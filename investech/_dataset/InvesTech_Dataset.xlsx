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  <sheet name="Holdings_Matrix" sheetId="2" state="visible" r:id="rId2"/>
    <sheet name="Changes_Log" sheetId="3" state="visible" r:id="rId3"/>
    <sheet name="Symbol_Legend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8" customWidth="1" min="4" max="4"/>
    <col width="10" customWidth="1" min="5" max="5"/>
    <col width="30" customWidth="1" min="6" max="6"/>
    <col width="12" customWidth="1" min="7" max="7"/>
    <col width="9" customWidth="1" min="8" max="8"/>
    <col width="11" customWidth="1" min="9" max="9"/>
    <col width="11" customWidth="1" min="10" max="10"/>
    <col width="12" customWidth="1" min="11" max="11"/>
    <col width="15" customWidth="1" min="12" max="12"/>
    <col width="16" customWidth="1" min="13" max="13"/>
    <col width="46" customWidth="1" min="14" max="14"/>
  </cols>
  <sheetData>
    <row r="1">
      <c r="A1" s="1" t="inlineStr">
        <is>
          <t>Issue Date</t>
        </is>
      </c>
      <c r="B1" s="1" t="inlineStr">
        <is>
          <t>Vol/Iss</t>
        </is>
      </c>
      <c r="C1" s="1" t="inlineStr">
        <is>
          <t>Net Equity %</t>
        </is>
      </c>
      <c r="D1" s="1" t="inlineStr">
        <is>
          <t>Cash %</t>
        </is>
      </c>
      <c r="E1" s="1" t="inlineStr">
        <is>
          <t>NLC Value</t>
        </is>
      </c>
      <c r="F1" s="1" t="inlineStr">
        <is>
          <t>NLC Regime</t>
        </is>
      </c>
      <c r="G1" s="1" t="inlineStr">
        <is>
          <t>S&amp;P 500 Last</t>
        </is>
      </c>
      <c r="H1" s="1" t="inlineStr">
        <is>
          <t>S&amp;P P/E</t>
        </is>
      </c>
      <c r="I1" s="1" t="inlineStr">
        <is>
          <t>P/E Long-run Avg</t>
        </is>
      </c>
      <c r="J1" s="1" t="inlineStr">
        <is>
          <t>Fed Funds %</t>
        </is>
      </c>
      <c r="K1" s="1" t="inlineStr">
        <is>
          <t>30yr T-Bond %</t>
        </is>
      </c>
      <c r="L1" s="1" t="inlineStr">
        <is>
          <t>Gold (London PM)</t>
        </is>
      </c>
      <c r="M1" s="1" t="inlineStr">
        <is>
          <t>Stance</t>
        </is>
      </c>
      <c r="N1" s="1" t="inlineStr">
        <is>
          <t>Cover Theme</t>
        </is>
      </c>
    </row>
    <row r="2">
      <c r="A2" t="inlineStr">
        <is>
          <t>2023-01-20</t>
        </is>
      </c>
      <c r="B2" t="inlineStr">
        <is>
          <t>V23I01</t>
        </is>
      </c>
      <c r="C2" t="n">
        <v>50</v>
      </c>
      <c r="D2" t="n">
        <v>50</v>
      </c>
      <c r="E2" t="n">
        <v>-71</v>
      </c>
      <c r="F2" t="inlineStr">
        <is>
          <t>Distribution easing (SV +9)</t>
        </is>
      </c>
      <c r="G2" t="n">
        <v>3999.09</v>
      </c>
      <c r="H2" t="n">
        <v>21.4</v>
      </c>
      <c r="I2" t="n">
        <v>17.6</v>
      </c>
      <c r="J2" t="n">
        <v>4.33</v>
      </c>
      <c r="K2" t="n">
        <v>3.98</v>
      </c>
      <c r="L2" t="n">
        <v>1907.15</v>
      </c>
      <c r="M2" t="inlineStr">
        <is>
          <t>Defensive</t>
        </is>
      </c>
      <c r="N2" t="inlineStr">
        <is>
          <t>Another Volatile (and uncertain) Year Ahead!</t>
        </is>
      </c>
    </row>
    <row r="3">
      <c r="A3" t="inlineStr">
        <is>
          <t>2023-02-17</t>
        </is>
      </c>
      <c r="B3" t="inlineStr">
        <is>
          <t>V23I02</t>
        </is>
      </c>
      <c r="C3" t="n">
        <v>53</v>
      </c>
      <c r="D3" t="n">
        <v>47</v>
      </c>
      <c r="E3" t="n">
        <v>23</v>
      </c>
      <c r="F3" t="inlineStr">
        <is>
          <t>Selling Vacuum (&gt;+20)</t>
        </is>
      </c>
      <c r="G3" t="n">
        <v>4090.46</v>
      </c>
      <c r="H3" t="n">
        <v>21.9</v>
      </c>
      <c r="I3" t="n">
        <v>17.6</v>
      </c>
      <c r="J3" t="n">
        <v>4.58</v>
      </c>
      <c r="K3" t="n">
        <v>3.83</v>
      </c>
      <c r="L3" t="n">
        <v>1859.7</v>
      </c>
      <c r="M3" t="inlineStr">
        <is>
          <t>Cautious</t>
        </is>
      </c>
      <c r="N3" t="inlineStr">
        <is>
          <t>On Course Through The Crosscurrents</t>
        </is>
      </c>
    </row>
    <row r="4">
      <c r="A4" t="inlineStr">
        <is>
          <t>2023-03-17</t>
        </is>
      </c>
      <c r="B4" t="inlineStr">
        <is>
          <t>V23I03</t>
        </is>
      </c>
      <c r="C4" t="n">
        <v>53</v>
      </c>
      <c r="D4" t="n">
        <v>47</v>
      </c>
      <c r="E4" t="n">
        <v>-23.6</v>
      </c>
      <c r="F4" t="inlineStr">
        <is>
          <t>Distribution reappeared</t>
        </is>
      </c>
      <c r="G4" t="n">
        <v>3861.59</v>
      </c>
      <c r="H4" t="n">
        <v>22.4</v>
      </c>
      <c r="I4" t="n">
        <v>17.6</v>
      </c>
      <c r="J4" t="n">
        <v>4.58</v>
      </c>
      <c r="K4" t="n">
        <v>4</v>
      </c>
      <c r="L4" t="n">
        <v>1861.25</v>
      </c>
      <c r="M4" t="inlineStr">
        <is>
          <t>Defensive</t>
        </is>
      </c>
      <c r="N4" t="inlineStr">
        <is>
          <t>Warnings from Wall Street: Reemergence of the Bear?</t>
        </is>
      </c>
    </row>
    <row r="5">
      <c r="A5" t="inlineStr">
        <is>
          <t>2023-04-21</t>
        </is>
      </c>
      <c r="B5" t="inlineStr">
        <is>
          <t>V23I04</t>
        </is>
      </c>
      <c r="C5" t="n">
        <v>48</v>
      </c>
      <c r="D5" t="n">
        <v>52</v>
      </c>
      <c r="E5" t="inlineStr"/>
      <c r="F5" t="inlineStr">
        <is>
          <t>Neutral (SV failed)</t>
        </is>
      </c>
      <c r="G5" t="n">
        <v>4137.64</v>
      </c>
      <c r="H5" t="n">
        <v>24</v>
      </c>
      <c r="I5" t="n">
        <v>17.6</v>
      </c>
      <c r="J5" t="n">
        <v>4.83</v>
      </c>
      <c r="K5" t="n">
        <v>3.74</v>
      </c>
      <c r="L5" t="n">
        <v>2019.4</v>
      </c>
      <c r="M5" t="inlineStr">
        <is>
          <t>Defensive</t>
        </is>
      </c>
      <c r="N5" t="inlineStr">
        <is>
          <t>Sailing [Even] Deeper into Uncharted Waters</t>
        </is>
      </c>
    </row>
    <row r="6">
      <c r="A6" t="inlineStr">
        <is>
          <t>2023-05-19</t>
        </is>
      </c>
      <c r="B6" t="inlineStr">
        <is>
          <t>V23I05</t>
        </is>
      </c>
      <c r="C6" t="n">
        <v>48</v>
      </c>
      <c r="D6" t="n">
        <v>52</v>
      </c>
      <c r="E6" t="inlineStr"/>
      <c r="F6" t="inlineStr">
        <is>
          <t>Distribution returning</t>
        </is>
      </c>
      <c r="G6" t="n">
        <v>4124.08</v>
      </c>
      <c r="H6" t="n">
        <v>23.9</v>
      </c>
      <c r="I6" t="n">
        <v>17.6</v>
      </c>
      <c r="J6" t="n">
        <v>5.08</v>
      </c>
      <c r="K6" t="n">
        <v>3.78</v>
      </c>
      <c r="L6" t="n">
        <v>2019.9</v>
      </c>
      <c r="M6" t="inlineStr">
        <is>
          <t>Defensive</t>
        </is>
      </c>
      <c r="N6" t="inlineStr">
        <is>
          <t>The Art of Successful Investing</t>
        </is>
      </c>
    </row>
    <row r="7">
      <c r="A7" t="inlineStr">
        <is>
          <t>2023-06-16</t>
        </is>
      </c>
      <c r="B7" t="inlineStr">
        <is>
          <t>V23I06</t>
        </is>
      </c>
      <c r="C7" t="n">
        <v>48</v>
      </c>
      <c r="D7" t="n">
        <v>52</v>
      </c>
      <c r="E7" t="n">
        <v>3</v>
      </c>
      <c r="F7" t="inlineStr">
        <is>
          <t>Weak SV / Distribution</t>
        </is>
      </c>
      <c r="G7" t="n">
        <v>4298.86</v>
      </c>
      <c r="H7" t="n">
        <v>24.5</v>
      </c>
      <c r="I7" t="n">
        <v>17.6</v>
      </c>
      <c r="J7" t="n">
        <v>5.08</v>
      </c>
      <c r="K7" t="n">
        <v>3.89</v>
      </c>
      <c r="L7" t="n">
        <v>1960.3</v>
      </c>
      <c r="M7" t="inlineStr">
        <is>
          <t>Defensive</t>
        </is>
      </c>
      <c r="N7" t="inlineStr">
        <is>
          <t>Showdown At The Wall Street Corral!</t>
        </is>
      </c>
    </row>
    <row r="8">
      <c r="A8" t="inlineStr">
        <is>
          <t>2023-07-21</t>
        </is>
      </c>
      <c r="B8" t="inlineStr">
        <is>
          <t>V23I07</t>
        </is>
      </c>
      <c r="C8" t="n">
        <v>51</v>
      </c>
      <c r="D8" t="n">
        <v>49</v>
      </c>
      <c r="E8" t="inlineStr"/>
      <c r="F8" t="inlineStr">
        <is>
          <t>AI Speculation Index debut</t>
        </is>
      </c>
      <c r="G8" t="n">
        <v>4505.42</v>
      </c>
      <c r="H8" t="n">
        <v>25.3</v>
      </c>
      <c r="I8" t="n">
        <v>17.6</v>
      </c>
      <c r="J8" t="n">
        <v>5.07</v>
      </c>
      <c r="K8" t="n">
        <v>3.93</v>
      </c>
      <c r="L8" t="n">
        <v>1959.5</v>
      </c>
      <c r="M8" t="inlineStr">
        <is>
          <t>Defensive</t>
        </is>
      </c>
      <c r="N8" t="inlineStr">
        <is>
          <t>Soft Landing... or Major Trouble Ahead?</t>
        </is>
      </c>
    </row>
    <row r="9">
      <c r="A9" t="inlineStr">
        <is>
          <t>2023-08-18</t>
        </is>
      </c>
      <c r="B9" t="inlineStr">
        <is>
          <t>V23I08</t>
        </is>
      </c>
      <c r="C9" t="n">
        <v>51</v>
      </c>
      <c r="D9" t="n">
        <v>49</v>
      </c>
      <c r="E9" t="n">
        <v>13</v>
      </c>
      <c r="F9" t="inlineStr">
        <is>
          <t>SV +13 (verge of Distribution)</t>
        </is>
      </c>
      <c r="G9" t="n">
        <v>4464.05</v>
      </c>
      <c r="H9" t="n">
        <v>25.5</v>
      </c>
      <c r="I9" t="n">
        <v>17.6</v>
      </c>
      <c r="J9" t="n">
        <v>5.33</v>
      </c>
      <c r="K9" t="n">
        <v>4.27</v>
      </c>
      <c r="L9" t="n">
        <v>1915.8</v>
      </c>
      <c r="M9" t="inlineStr">
        <is>
          <t>Defensive</t>
        </is>
      </c>
      <c r="N9" t="inlineStr">
        <is>
          <t>The Tug-of-War Intensifies!</t>
        </is>
      </c>
    </row>
    <row r="10">
      <c r="A10" t="inlineStr">
        <is>
          <t>2023-09-15</t>
        </is>
      </c>
      <c r="B10" t="inlineStr">
        <is>
          <t>V23I09</t>
        </is>
      </c>
      <c r="C10" t="n">
        <v>51</v>
      </c>
      <c r="D10" t="n">
        <v>49</v>
      </c>
      <c r="E10" t="n">
        <v>8</v>
      </c>
      <c r="F10" t="inlineStr">
        <is>
          <t>SV +8 (Distribution likely)</t>
        </is>
      </c>
      <c r="G10" t="n">
        <v>4457.49</v>
      </c>
      <c r="H10" t="n">
        <v>24.6</v>
      </c>
      <c r="I10" t="n">
        <v>17.6</v>
      </c>
      <c r="J10" t="n">
        <v>5.33</v>
      </c>
      <c r="K10" t="n">
        <v>4.33</v>
      </c>
      <c r="L10" t="n">
        <v>1942.8</v>
      </c>
      <c r="M10" t="inlineStr">
        <is>
          <t>Defensive</t>
        </is>
      </c>
      <c r="N10" t="inlineStr">
        <is>
          <t>Still on Course for a (Soft or Hard) Landing</t>
        </is>
      </c>
    </row>
    <row r="11">
      <c r="A11" t="inlineStr">
        <is>
          <t>2023-10-20</t>
        </is>
      </c>
      <c r="B11" t="inlineStr">
        <is>
          <t>V23I10</t>
        </is>
      </c>
      <c r="C11" t="n">
        <v>45</v>
      </c>
      <c r="D11" t="n">
        <v>55</v>
      </c>
      <c r="E11" t="n">
        <v>-100</v>
      </c>
      <c r="F11" t="inlineStr">
        <is>
          <t>Distribution -100</t>
        </is>
      </c>
      <c r="G11" t="n">
        <v>4327.78</v>
      </c>
      <c r="H11" t="n">
        <v>23.9</v>
      </c>
      <c r="I11" t="n">
        <v>17.6</v>
      </c>
      <c r="J11" t="n">
        <v>5.33</v>
      </c>
      <c r="K11" t="n">
        <v>4.78</v>
      </c>
      <c r="L11" t="n">
        <v>1909.2</v>
      </c>
      <c r="M11" t="inlineStr">
        <is>
          <t>Most defensive</t>
        </is>
      </c>
      <c r="N11" t="inlineStr">
        <is>
          <t>Warning Flags Increase... Be Careful Out There!</t>
        </is>
      </c>
    </row>
    <row r="12">
      <c r="A12" t="inlineStr">
        <is>
          <t>2023-11-17</t>
        </is>
      </c>
      <c r="B12" t="inlineStr">
        <is>
          <t>V23I11</t>
        </is>
      </c>
      <c r="C12" t="n">
        <v>49</v>
      </c>
      <c r="D12" t="n">
        <v>51</v>
      </c>
      <c r="E12" t="n">
        <v>-100</v>
      </c>
      <c r="F12" t="inlineStr">
        <is>
          <t>Distribution -100 (easing)</t>
        </is>
      </c>
      <c r="G12" t="n">
        <v>4415.24</v>
      </c>
      <c r="H12" t="n">
        <v>24.4</v>
      </c>
      <c r="I12" t="n">
        <v>17.6</v>
      </c>
      <c r="J12" t="n">
        <v>5.33</v>
      </c>
      <c r="K12" t="n">
        <v>5.11</v>
      </c>
      <c r="L12" t="n">
        <v>1941.65</v>
      </c>
      <c r="M12" t="inlineStr">
        <is>
          <t>Defensive</t>
        </is>
      </c>
      <c r="N12" t="inlineStr">
        <is>
          <t>This Ride is Not Over Yet...</t>
        </is>
      </c>
    </row>
    <row r="13">
      <c r="A13" t="inlineStr">
        <is>
          <t>2023-12-15</t>
        </is>
      </c>
      <c r="B13" t="inlineStr">
        <is>
          <t>V23I12</t>
        </is>
      </c>
      <c r="C13" t="n">
        <v>49</v>
      </c>
      <c r="D13" t="n">
        <v>51</v>
      </c>
      <c r="E13" t="n">
        <v>-44</v>
      </c>
      <c r="F13" t="inlineStr">
        <is>
          <t>Distribution -44 (SV +5)</t>
        </is>
      </c>
      <c r="G13" t="n">
        <v>4604.37</v>
      </c>
      <c r="H13" t="n">
        <v>25</v>
      </c>
      <c r="I13" t="n">
        <v>17.6</v>
      </c>
      <c r="J13" t="n">
        <v>5.33</v>
      </c>
      <c r="K13" t="n">
        <v>4.76</v>
      </c>
      <c r="L13" t="n">
        <v>2008.1</v>
      </c>
      <c r="M13" t="inlineStr">
        <is>
          <t>Defensive</t>
        </is>
      </c>
      <c r="N13" t="inlineStr">
        <is>
          <t>Speculative Momentum - Market Surges to New Highs</t>
        </is>
      </c>
    </row>
    <row r="14">
      <c r="A14" t="inlineStr">
        <is>
          <t>2024-01-19</t>
        </is>
      </c>
      <c r="B14" t="inlineStr">
        <is>
          <t>V24I01</t>
        </is>
      </c>
      <c r="C14" t="n">
        <v>49</v>
      </c>
      <c r="D14" t="n">
        <v>51</v>
      </c>
      <c r="E14" t="n">
        <v>17</v>
      </c>
      <c r="F14" t="inlineStr">
        <is>
          <t>Selling Vacuum +17 (weak)</t>
        </is>
      </c>
      <c r="G14" t="n">
        <v>4783.83</v>
      </c>
      <c r="H14" t="n">
        <v>26</v>
      </c>
      <c r="I14" t="n">
        <v>17.7</v>
      </c>
      <c r="J14" t="n">
        <v>5.33</v>
      </c>
      <c r="K14" t="n">
        <v>4.2</v>
      </c>
      <c r="L14" t="n">
        <v>2055.65</v>
      </c>
      <c r="M14" t="inlineStr">
        <is>
          <t>Defensive</t>
        </is>
      </c>
      <c r="N14" t="inlineStr">
        <is>
          <t>Sizing Up Systemic Risk</t>
        </is>
      </c>
    </row>
    <row r="15">
      <c r="A15" t="inlineStr">
        <is>
          <t>2024-02-16</t>
        </is>
      </c>
      <c r="B15" t="inlineStr">
        <is>
          <t>V24I02</t>
        </is>
      </c>
      <c r="C15" t="n">
        <v>49</v>
      </c>
      <c r="D15" t="n">
        <v>51</v>
      </c>
      <c r="E15" t="n">
        <v>14</v>
      </c>
      <c r="F15" t="inlineStr">
        <is>
          <t>Selling Vacuum +14</t>
        </is>
      </c>
      <c r="G15" t="n">
        <v>5026.61</v>
      </c>
      <c r="H15" t="n">
        <v>27.3</v>
      </c>
      <c r="I15" t="n">
        <v>17.7</v>
      </c>
      <c r="J15" t="n">
        <v>5.33</v>
      </c>
      <c r="K15" t="n">
        <v>4.37</v>
      </c>
      <c r="L15" t="n">
        <v>2023.5</v>
      </c>
      <c r="M15" t="inlineStr">
        <is>
          <t>Defensive</t>
        </is>
      </c>
      <c r="N15" t="inlineStr">
        <is>
          <t>The Goldilocks Outlook</t>
        </is>
      </c>
    </row>
    <row r="16">
      <c r="A16" t="inlineStr">
        <is>
          <t>2024-03-15</t>
        </is>
      </c>
      <c r="B16" t="inlineStr">
        <is>
          <t>V24I03</t>
        </is>
      </c>
      <c r="C16" t="n">
        <v>53</v>
      </c>
      <c r="D16" t="n">
        <v>47</v>
      </c>
      <c r="E16" t="inlineStr"/>
      <c r="F16" t="inlineStr">
        <is>
          <t>A/D Divergence warning</t>
        </is>
      </c>
      <c r="G16" t="n">
        <v>5123.69</v>
      </c>
      <c r="H16" t="n">
        <v>26.5</v>
      </c>
      <c r="I16" t="n">
        <v>17.6</v>
      </c>
      <c r="J16" t="n">
        <v>5.33</v>
      </c>
      <c r="K16" t="n">
        <v>4.26</v>
      </c>
      <c r="L16" t="n">
        <v>2171.2</v>
      </c>
      <c r="M16" t="inlineStr">
        <is>
          <t>Cautious</t>
        </is>
      </c>
      <c r="N16" t="inlineStr">
        <is>
          <t>Speculation Soars... while foundation cracks intensify</t>
        </is>
      </c>
    </row>
    <row r="17">
      <c r="A17" t="inlineStr">
        <is>
          <t>2024-04-19</t>
        </is>
      </c>
      <c r="B17" t="inlineStr">
        <is>
          <t>V24I04</t>
        </is>
      </c>
      <c r="C17" t="n">
        <v>58</v>
      </c>
      <c r="D17" t="n">
        <v>42</v>
      </c>
      <c r="E17" t="inlineStr"/>
      <c r="F17" t="inlineStr">
        <is>
          <t>AI Index 180-turn down</t>
        </is>
      </c>
      <c r="G17" t="n">
        <v>5123.41</v>
      </c>
      <c r="H17" t="n">
        <v>26.6</v>
      </c>
      <c r="I17" t="n">
        <v>17.7</v>
      </c>
      <c r="J17" t="n">
        <v>5.33</v>
      </c>
      <c r="K17" t="n">
        <v>4.61</v>
      </c>
      <c r="L17" t="n">
        <v>2401.5</v>
      </c>
      <c r="M17" t="inlineStr">
        <is>
          <t>Defensive</t>
        </is>
      </c>
      <c r="N17" t="inlineStr">
        <is>
          <t>Wall Street - Addicted to the Fed</t>
        </is>
      </c>
    </row>
    <row r="18">
      <c r="A18" t="inlineStr">
        <is>
          <t>2024-05-17</t>
        </is>
      </c>
      <c r="B18" t="inlineStr">
        <is>
          <t>V24I05</t>
        </is>
      </c>
      <c r="C18" t="n">
        <v>58</v>
      </c>
      <c r="D18" t="n">
        <v>42</v>
      </c>
      <c r="E18" t="n">
        <v>3</v>
      </c>
      <c r="F18" t="inlineStr">
        <is>
          <t>Neutral (SV +3 / Dist 0)</t>
        </is>
      </c>
      <c r="G18" t="n">
        <v>5222.68</v>
      </c>
      <c r="H18" t="n">
        <v>27.1</v>
      </c>
      <c r="I18" t="n">
        <v>17.7</v>
      </c>
      <c r="J18" t="n">
        <v>5.33</v>
      </c>
      <c r="K18" t="n">
        <v>4.64</v>
      </c>
      <c r="L18" t="n">
        <v>2372.45</v>
      </c>
      <c r="M18" t="inlineStr">
        <is>
          <t>Defensive</t>
        </is>
      </c>
      <c r="N18" t="inlineStr">
        <is>
          <t>The Fed's Moral Hazard</t>
        </is>
      </c>
    </row>
    <row r="19">
      <c r="A19" t="inlineStr">
        <is>
          <t>2024-06-21</t>
        </is>
      </c>
      <c r="B19" t="inlineStr">
        <is>
          <t>V24I06</t>
        </is>
      </c>
      <c r="C19" t="n">
        <v>58</v>
      </c>
      <c r="D19" t="n">
        <v>42</v>
      </c>
      <c r="E19" t="n">
        <v>2</v>
      </c>
      <c r="F19" t="inlineStr">
        <is>
          <t>Neutral (SV +2 / Dist 0)</t>
        </is>
      </c>
      <c r="G19" t="n">
        <v>5431.6</v>
      </c>
      <c r="H19" t="n">
        <v>28.3</v>
      </c>
      <c r="I19" t="n">
        <v>17.7</v>
      </c>
      <c r="J19" t="n">
        <v>5.33</v>
      </c>
      <c r="K19" t="n">
        <v>4.34</v>
      </c>
      <c r="L19" t="n">
        <v>2330.45</v>
      </c>
      <c r="M19" t="inlineStr">
        <is>
          <t>Cautious</t>
        </is>
      </c>
      <c r="N19" t="inlineStr">
        <is>
          <t>A Historical First On Wall Street!!</t>
        </is>
      </c>
    </row>
    <row r="20">
      <c r="A20" t="inlineStr">
        <is>
          <t>2024-07-19</t>
        </is>
      </c>
      <c r="B20" t="inlineStr">
        <is>
          <t>V24I07</t>
        </is>
      </c>
      <c r="C20" t="n">
        <v>58</v>
      </c>
      <c r="D20" t="n">
        <v>42</v>
      </c>
      <c r="E20" t="n">
        <v>8.699999999999999</v>
      </c>
      <c r="F20" t="inlineStr">
        <is>
          <t>Selling Vacuum +8.7</t>
        </is>
      </c>
      <c r="G20" t="n">
        <v>5615.35</v>
      </c>
      <c r="H20" t="n">
        <v>29.3</v>
      </c>
      <c r="I20" t="n">
        <v>17.7</v>
      </c>
      <c r="J20" t="n">
        <v>5.33</v>
      </c>
      <c r="K20" t="n">
        <v>4.39</v>
      </c>
      <c r="L20" t="n">
        <v>2406.85</v>
      </c>
      <c r="M20" t="inlineStr">
        <is>
          <t>Cautious</t>
        </is>
      </c>
      <c r="N20" t="inlineStr">
        <is>
          <t>The Tug-of-War Intensifies!</t>
        </is>
      </c>
    </row>
    <row r="21">
      <c r="A21" t="inlineStr">
        <is>
          <t>2024-08-16</t>
        </is>
      </c>
      <c r="B21" t="inlineStr">
        <is>
          <t>V24I08</t>
        </is>
      </c>
      <c r="C21" t="n">
        <v>55</v>
      </c>
      <c r="D21" t="n">
        <v>45</v>
      </c>
      <c r="E21" t="n">
        <v>7</v>
      </c>
      <c r="F21" t="inlineStr">
        <is>
          <t>SV +7 (Dist could trigger Sep)</t>
        </is>
      </c>
      <c r="G21" t="n">
        <v>5344.16</v>
      </c>
      <c r="H21" t="n">
        <v>27.9</v>
      </c>
      <c r="I21" t="n">
        <v>17.7</v>
      </c>
      <c r="J21" t="n">
        <v>5.33</v>
      </c>
      <c r="K21" t="n">
        <v>4.23</v>
      </c>
      <c r="L21" t="n">
        <v>2427.35</v>
      </c>
      <c r="M21" t="inlineStr">
        <is>
          <t>Defensive</t>
        </is>
      </c>
      <c r="N21" t="inlineStr">
        <is>
          <t>Is an Economic Soft Landing Now Imminent?</t>
        </is>
      </c>
    </row>
    <row r="22">
      <c r="A22" t="inlineStr">
        <is>
          <t>2024-09-20</t>
        </is>
      </c>
      <c r="B22" t="inlineStr">
        <is>
          <t>V24I09</t>
        </is>
      </c>
      <c r="C22" t="n">
        <v>55</v>
      </c>
      <c r="D22" t="n">
        <v>45</v>
      </c>
      <c r="E22" t="n">
        <v>11</v>
      </c>
      <c r="F22" t="inlineStr">
        <is>
          <t>Selling Vacuum +11 (stalling)</t>
        </is>
      </c>
      <c r="G22" t="n">
        <v>5626.02</v>
      </c>
      <c r="H22" t="n">
        <v>28.6</v>
      </c>
      <c r="I22" t="n">
        <v>17.7</v>
      </c>
      <c r="J22" t="n">
        <v>5.33</v>
      </c>
      <c r="K22" t="n">
        <v>3.98</v>
      </c>
      <c r="L22" t="n">
        <v>2575.1</v>
      </c>
      <c r="M22" t="inlineStr">
        <is>
          <t>Cautious</t>
        </is>
      </c>
      <c r="N22" t="inlineStr">
        <is>
          <t>More Warning Shots Across the Bow</t>
        </is>
      </c>
    </row>
    <row r="23">
      <c r="A23" t="inlineStr">
        <is>
          <t>2024-10-18</t>
        </is>
      </c>
      <c r="B23" t="inlineStr">
        <is>
          <t>V24I10</t>
        </is>
      </c>
      <c r="C23" t="n">
        <v>55</v>
      </c>
      <c r="D23" t="n">
        <v>45</v>
      </c>
      <c r="E23" t="inlineStr"/>
      <c r="F23" t="inlineStr">
        <is>
          <t>Priced to Perfection</t>
        </is>
      </c>
      <c r="G23" t="n">
        <v>5815.03</v>
      </c>
      <c r="H23" t="n">
        <v>29.7</v>
      </c>
      <c r="I23" t="n">
        <v>17.7</v>
      </c>
      <c r="J23" t="n">
        <v>4.83</v>
      </c>
      <c r="K23" t="n">
        <v>4.39</v>
      </c>
      <c r="L23" t="n">
        <v>2648.8</v>
      </c>
      <c r="M23" t="inlineStr">
        <is>
          <t>Defensive</t>
        </is>
      </c>
      <c r="N23" t="inlineStr">
        <is>
          <t>Priced to Perfection!</t>
        </is>
      </c>
    </row>
    <row r="24">
      <c r="A24" t="inlineStr">
        <is>
          <t>2024-11-15</t>
        </is>
      </c>
      <c r="B24" t="inlineStr">
        <is>
          <t>V24I11</t>
        </is>
      </c>
      <c r="C24" t="n">
        <v>57</v>
      </c>
      <c r="D24" t="n">
        <v>43</v>
      </c>
      <c r="E24" t="inlineStr"/>
      <c r="F24" t="inlineStr">
        <is>
          <t>IIPB Extreme Optimism (bearish)</t>
        </is>
      </c>
      <c r="G24" t="n">
        <v>5995.54</v>
      </c>
      <c r="H24" t="n">
        <v>30.6</v>
      </c>
      <c r="I24" t="n">
        <v>17.7</v>
      </c>
      <c r="J24" t="n">
        <v>4.83</v>
      </c>
      <c r="K24" t="n">
        <v>4.47</v>
      </c>
      <c r="L24" t="n">
        <v>2691.15</v>
      </c>
      <c r="M24" t="inlineStr">
        <is>
          <t>Defensive</t>
        </is>
      </c>
      <c r="N24" t="inlineStr">
        <is>
          <t>When Hopes, Headlines, and Hype reach Historic Extremes</t>
        </is>
      </c>
    </row>
    <row r="25">
      <c r="A25" t="inlineStr">
        <is>
          <t>2024-12-20</t>
        </is>
      </c>
      <c r="B25" t="inlineStr">
        <is>
          <t>V24I12</t>
        </is>
      </c>
      <c r="C25" t="n">
        <v>61</v>
      </c>
      <c r="D25" t="n">
        <v>39</v>
      </c>
      <c r="E25" t="inlineStr"/>
      <c r="F25" t="inlineStr">
        <is>
          <t>Neutral (Dist likely within a week)</t>
        </is>
      </c>
      <c r="G25" t="n">
        <v>6051.09</v>
      </c>
      <c r="H25" t="n">
        <v>30.2</v>
      </c>
      <c r="I25" t="n">
        <v>17.7</v>
      </c>
      <c r="J25" t="n">
        <v>4.58</v>
      </c>
      <c r="K25" t="n">
        <v>4.61</v>
      </c>
      <c r="L25" t="n">
        <v>2659.05</v>
      </c>
      <c r="M25" t="inlineStr">
        <is>
          <t>Defensive</t>
        </is>
      </c>
      <c r="N25" t="inlineStr">
        <is>
          <t>Maximum Consensus = Maximum Risk</t>
        </is>
      </c>
    </row>
    <row r="26">
      <c r="A26" t="inlineStr">
        <is>
          <t>2025-01-17</t>
        </is>
      </c>
      <c r="B26" t="inlineStr">
        <is>
          <t>V25I01</t>
        </is>
      </c>
      <c r="C26" t="n">
        <v>58</v>
      </c>
      <c r="D26" t="n">
        <v>36</v>
      </c>
      <c r="E26" t="n">
        <v>-29</v>
      </c>
      <c r="F26" t="inlineStr">
        <is>
          <t>Distribution -29</t>
        </is>
      </c>
      <c r="G26" t="n">
        <v>5827.04</v>
      </c>
      <c r="H26" t="n">
        <v>29.1</v>
      </c>
      <c r="I26" t="n">
        <v>17.8</v>
      </c>
      <c r="J26" t="n">
        <v>4.33</v>
      </c>
      <c r="K26" t="n">
        <v>4.96</v>
      </c>
      <c r="L26" t="n">
        <v>2687.45</v>
      </c>
      <c r="M26" t="inlineStr">
        <is>
          <t>Defensive</t>
        </is>
      </c>
      <c r="N26" t="inlineStr">
        <is>
          <t>Investing in Bubbles can be Contagious</t>
        </is>
      </c>
    </row>
    <row r="27">
      <c r="A27" t="inlineStr">
        <is>
          <t>2025-02-21</t>
        </is>
      </c>
      <c r="B27" t="inlineStr">
        <is>
          <t>V25I02</t>
        </is>
      </c>
      <c r="C27" t="n">
        <v>58</v>
      </c>
      <c r="D27" t="n">
        <v>36</v>
      </c>
      <c r="E27" t="inlineStr"/>
      <c r="F27" t="inlineStr">
        <is>
          <t>Distribution (stubborn)</t>
        </is>
      </c>
      <c r="G27" t="n">
        <v>6114.63</v>
      </c>
      <c r="H27" t="n">
        <v>29</v>
      </c>
      <c r="I27" t="n">
        <v>17.7</v>
      </c>
      <c r="J27" t="n">
        <v>4.33</v>
      </c>
      <c r="K27" t="n">
        <v>4.69</v>
      </c>
      <c r="L27" t="n">
        <v>2921.25</v>
      </c>
      <c r="M27" t="inlineStr">
        <is>
          <t>Defensive</t>
        </is>
      </c>
      <c r="N27" t="inlineStr">
        <is>
          <t>Critical Turning Point!</t>
        </is>
      </c>
    </row>
    <row r="28">
      <c r="A28" t="inlineStr">
        <is>
          <t>2025-03-21</t>
        </is>
      </c>
      <c r="B28" t="inlineStr">
        <is>
          <t>V25I03</t>
        </is>
      </c>
      <c r="C28" t="n">
        <v>58</v>
      </c>
      <c r="D28" t="n">
        <v>36</v>
      </c>
      <c r="E28" t="n">
        <v>-41</v>
      </c>
      <c r="F28" t="inlineStr">
        <is>
          <t>Distribution -41 (deepening)</t>
        </is>
      </c>
      <c r="G28" t="n">
        <v>5638.94</v>
      </c>
      <c r="H28" t="n">
        <v>26.8</v>
      </c>
      <c r="I28" t="n">
        <v>17.7</v>
      </c>
      <c r="J28" t="n">
        <v>4.33</v>
      </c>
      <c r="K28" t="n">
        <v>4.62</v>
      </c>
      <c r="L28" t="n">
        <v>2978.05</v>
      </c>
      <c r="M28" t="inlineStr">
        <is>
          <t>Defensive</t>
        </is>
      </c>
      <c r="N28" t="inlineStr">
        <is>
          <t>Not A Bear Among 'Em!</t>
        </is>
      </c>
    </row>
    <row r="29">
      <c r="A29" t="inlineStr">
        <is>
          <t>2025-04-18</t>
        </is>
      </c>
      <c r="B29" t="inlineStr">
        <is>
          <t>V25I04</t>
        </is>
      </c>
      <c r="C29" t="n">
        <v>54</v>
      </c>
      <c r="D29" t="n">
        <v>40</v>
      </c>
      <c r="E29" t="n">
        <v>-100</v>
      </c>
      <c r="F29" t="inlineStr">
        <is>
          <t>Distribution -100</t>
        </is>
      </c>
      <c r="G29" t="n">
        <v>5363.36</v>
      </c>
      <c r="H29" t="n">
        <v>25.5</v>
      </c>
      <c r="I29" t="n">
        <v>17.8</v>
      </c>
      <c r="J29" t="n">
        <v>4.33</v>
      </c>
      <c r="K29" t="n">
        <v>4.85</v>
      </c>
      <c r="L29" t="n">
        <v>3230.5</v>
      </c>
      <c r="M29" t="inlineStr">
        <is>
          <t>Defensive/bearish</t>
        </is>
      </c>
      <c r="N29" t="inlineStr">
        <is>
          <t>Tracking the Path of the Bear... the Unwinding Begins</t>
        </is>
      </c>
    </row>
    <row r="30">
      <c r="A30" t="inlineStr">
        <is>
          <t>2025-05-16</t>
        </is>
      </c>
      <c r="B30" t="inlineStr">
        <is>
          <t>V25I05</t>
        </is>
      </c>
      <c r="C30" t="n">
        <v>54</v>
      </c>
      <c r="D30" t="n">
        <v>40</v>
      </c>
      <c r="E30" t="n">
        <v>-96</v>
      </c>
      <c r="F30" t="inlineStr">
        <is>
          <t>Distribution -96</t>
        </is>
      </c>
      <c r="G30" t="n">
        <v>5659.91</v>
      </c>
      <c r="H30" t="n">
        <v>26.9</v>
      </c>
      <c r="I30" t="n">
        <v>17.8</v>
      </c>
      <c r="J30" t="n">
        <v>4.33</v>
      </c>
      <c r="K30" t="n">
        <v>4.83</v>
      </c>
      <c r="L30" t="n">
        <v>3324.55</v>
      </c>
      <c r="M30" t="inlineStr">
        <is>
          <t>Defensive</t>
        </is>
      </c>
      <c r="N30" t="inlineStr">
        <is>
          <t>At a Critical Juncture - Is that all there is?</t>
        </is>
      </c>
    </row>
    <row r="31">
      <c r="A31" t="inlineStr">
        <is>
          <t>2025-06-20</t>
        </is>
      </c>
      <c r="B31" t="inlineStr">
        <is>
          <t>V25I06</t>
        </is>
      </c>
      <c r="C31" t="n">
        <v>57</v>
      </c>
      <c r="D31" t="n">
        <v>43</v>
      </c>
      <c r="E31" t="n">
        <v>-26</v>
      </c>
      <c r="F31" t="inlineStr">
        <is>
          <t>Distribution -26 (brief SV +1)</t>
        </is>
      </c>
      <c r="G31" t="n">
        <v>5976.97</v>
      </c>
      <c r="H31" t="n">
        <v>27.6</v>
      </c>
      <c r="I31" t="n">
        <v>17.8</v>
      </c>
      <c r="J31" t="n">
        <v>4.33</v>
      </c>
      <c r="K31" t="n">
        <v>4.9</v>
      </c>
      <c r="L31" t="n">
        <v>3435.35</v>
      </c>
      <c r="M31" t="inlineStr">
        <is>
          <t>Defensive</t>
        </is>
      </c>
      <c r="N31" t="inlineStr">
        <is>
          <t>Perfectly Positioned for Resilience</t>
        </is>
      </c>
    </row>
    <row r="32">
      <c r="A32" t="inlineStr">
        <is>
          <t>2025-07-18</t>
        </is>
      </c>
      <c r="B32" t="inlineStr">
        <is>
          <t>V25I07</t>
        </is>
      </c>
      <c r="C32" t="n">
        <v>57</v>
      </c>
      <c r="D32" t="n">
        <v>43</v>
      </c>
      <c r="E32" t="n">
        <v>4</v>
      </c>
      <c r="F32" t="inlineStr">
        <is>
          <t>Selling Vacuum +4 (bullish flip)</t>
        </is>
      </c>
      <c r="G32" t="n">
        <v>6259.75</v>
      </c>
      <c r="H32" t="n">
        <v>28.9</v>
      </c>
      <c r="I32" t="n">
        <v>17.8</v>
      </c>
      <c r="J32" t="n">
        <v>4.33</v>
      </c>
      <c r="K32" t="n">
        <v>4.96</v>
      </c>
      <c r="L32" t="n">
        <v>3352.1</v>
      </c>
      <c r="M32" t="inlineStr">
        <is>
          <t>Cautious</t>
        </is>
      </c>
      <c r="N32" t="inlineStr">
        <is>
          <t>Tip Toe Through A Minefield</t>
        </is>
      </c>
    </row>
    <row r="33">
      <c r="A33" t="inlineStr">
        <is>
          <t>2025-08-15</t>
        </is>
      </c>
      <c r="B33" t="inlineStr">
        <is>
          <t>V25I08</t>
        </is>
      </c>
      <c r="C33" t="n">
        <v>57</v>
      </c>
      <c r="D33" t="n">
        <v>43</v>
      </c>
      <c r="E33" t="inlineStr"/>
      <c r="F33" t="inlineStr">
        <is>
          <t>SV failed (Dist expected late Oct)</t>
        </is>
      </c>
      <c r="G33" t="n">
        <v>6389.45</v>
      </c>
      <c r="H33" t="n">
        <v>29.5</v>
      </c>
      <c r="I33" t="n">
        <v>17.8</v>
      </c>
      <c r="J33" t="n">
        <v>4.33</v>
      </c>
      <c r="K33" t="n">
        <v>4.85</v>
      </c>
      <c r="L33" t="n">
        <v>3394.15</v>
      </c>
      <c r="M33" t="inlineStr">
        <is>
          <t>Defensive</t>
        </is>
      </c>
      <c r="N33" t="inlineStr">
        <is>
          <t>The Perfect Trifecta of Bear Market Risks</t>
        </is>
      </c>
    </row>
    <row r="34">
      <c r="A34" t="inlineStr">
        <is>
          <t>2025-09-19</t>
        </is>
      </c>
      <c r="B34" t="inlineStr">
        <is>
          <t>V25I09</t>
        </is>
      </c>
      <c r="C34" t="n">
        <v>57</v>
      </c>
      <c r="D34" t="n">
        <v>38</v>
      </c>
      <c r="E34" t="n">
        <v>12</v>
      </c>
      <c r="F34" t="inlineStr">
        <is>
          <t>Selling Vacuum +12 (stalled &lt;+20)</t>
        </is>
      </c>
      <c r="G34" t="n">
        <v>6584.29</v>
      </c>
      <c r="H34" t="n">
        <v>29.6</v>
      </c>
      <c r="I34" t="n">
        <v>17.8</v>
      </c>
      <c r="J34" t="n">
        <v>4.33</v>
      </c>
      <c r="K34" t="n">
        <v>4.68</v>
      </c>
      <c r="L34" t="n">
        <v>3651.1</v>
      </c>
      <c r="M34" t="inlineStr">
        <is>
          <t>Defensive</t>
        </is>
      </c>
      <c r="N34" t="inlineStr">
        <is>
          <t>To Infinity and Beyond!</t>
        </is>
      </c>
    </row>
    <row r="35">
      <c r="A35" t="inlineStr">
        <is>
          <t>2025-10-17</t>
        </is>
      </c>
      <c r="B35" t="inlineStr">
        <is>
          <t>V25I10</t>
        </is>
      </c>
      <c r="C35" t="n">
        <v>57</v>
      </c>
      <c r="D35" t="n">
        <v>38</v>
      </c>
      <c r="E35" t="inlineStr"/>
      <c r="F35" t="inlineStr">
        <is>
          <t>Distribution could reappear</t>
        </is>
      </c>
      <c r="G35" t="n">
        <v>6552.51</v>
      </c>
      <c r="H35" t="n">
        <v>29.4</v>
      </c>
      <c r="I35" t="n">
        <v>17.8</v>
      </c>
      <c r="J35" t="n">
        <v>4.1</v>
      </c>
      <c r="K35" t="n">
        <v>4.63</v>
      </c>
      <c r="L35" t="n">
        <v>3974.5</v>
      </c>
      <c r="M35" t="inlineStr">
        <is>
          <t>Defensive</t>
        </is>
      </c>
      <c r="N35" t="inlineStr">
        <is>
          <t>A Tale of Two Bubbles</t>
        </is>
      </c>
    </row>
    <row r="36">
      <c r="A36" t="inlineStr">
        <is>
          <t>2025-11-21</t>
        </is>
      </c>
      <c r="B36" t="inlineStr">
        <is>
          <t>V25I11</t>
        </is>
      </c>
      <c r="C36" t="n">
        <v>50</v>
      </c>
      <c r="D36" t="n">
        <v>35</v>
      </c>
      <c r="E36" t="n">
        <v>-17</v>
      </c>
      <c r="F36" t="inlineStr">
        <is>
          <t>Distribution -17 reemerged</t>
        </is>
      </c>
      <c r="G36" t="n">
        <v>6734.11</v>
      </c>
      <c r="H36" t="n">
        <v>30.3</v>
      </c>
      <c r="I36" t="n">
        <v>17.8</v>
      </c>
      <c r="J36" t="n">
        <v>3.88</v>
      </c>
      <c r="K36" t="n">
        <v>4.74</v>
      </c>
      <c r="L36" t="n">
        <v>4071.1</v>
      </c>
      <c r="M36" t="inlineStr">
        <is>
          <t>Defensive/bearish</t>
        </is>
      </c>
      <c r="N36" t="inlineStr">
        <is>
          <t>The Unsettling and Unforgiving Path Into a Bear Market</t>
        </is>
      </c>
    </row>
    <row r="37">
      <c r="A37" t="inlineStr">
        <is>
          <t>2025-12-19</t>
        </is>
      </c>
      <c r="B37" t="inlineStr">
        <is>
          <t>V25I12</t>
        </is>
      </c>
      <c r="C37" t="n">
        <v>53</v>
      </c>
      <c r="D37" t="n">
        <v>32</v>
      </c>
      <c r="E37" t="n">
        <v>-20</v>
      </c>
      <c r="F37" t="inlineStr">
        <is>
          <t>Distribution -20 eased to 0</t>
        </is>
      </c>
      <c r="G37" t="n">
        <v>6827.41</v>
      </c>
      <c r="H37" t="n">
        <v>29</v>
      </c>
      <c r="I37" t="n">
        <v>17.8</v>
      </c>
      <c r="J37" t="n">
        <v>3.64</v>
      </c>
      <c r="K37" t="n">
        <v>4.85</v>
      </c>
      <c r="L37" t="n">
        <v>4346.95</v>
      </c>
      <c r="M37" t="inlineStr">
        <is>
          <t>Defensive</t>
        </is>
      </c>
      <c r="N37" t="inlineStr">
        <is>
          <t>Navigating a 'Bubble Economy' to a Soft Landing?</t>
        </is>
      </c>
    </row>
    <row r="38">
      <c r="A38" t="inlineStr">
        <is>
          <t>2026-01-16</t>
        </is>
      </c>
      <c r="B38" t="inlineStr">
        <is>
          <t>V26I01</t>
        </is>
      </c>
      <c r="C38" t="n">
        <v>55</v>
      </c>
      <c r="D38" t="n">
        <v>30</v>
      </c>
      <c r="E38" t="n">
        <v>0</v>
      </c>
      <c r="F38" t="inlineStr">
        <is>
          <t>Neutral (Dist 0, SV &lt;+20)</t>
        </is>
      </c>
      <c r="G38" t="n">
        <v>6966.28</v>
      </c>
      <c r="H38" t="n">
        <v>29.8</v>
      </c>
      <c r="I38" t="n">
        <v>17.8</v>
      </c>
      <c r="J38" t="n">
        <v>3.64</v>
      </c>
      <c r="K38" t="n">
        <v>4.82</v>
      </c>
      <c r="L38" t="n">
        <v>4493.85</v>
      </c>
      <c r="M38" t="inlineStr">
        <is>
          <t>Defensive</t>
        </is>
      </c>
      <c r="N38" t="inlineStr">
        <is>
          <t>A Look at the Year Ahead</t>
        </is>
      </c>
    </row>
    <row r="39">
      <c r="A39" t="inlineStr">
        <is>
          <t>2026-02-20</t>
        </is>
      </c>
      <c r="B39" t="inlineStr">
        <is>
          <t>V26I02</t>
        </is>
      </c>
      <c r="C39" t="n">
        <v>51</v>
      </c>
      <c r="D39" t="n">
        <v>30</v>
      </c>
      <c r="E39" t="inlineStr"/>
      <c r="F39" t="inlineStr">
        <is>
          <t>Distribution (AI Index -29%)</t>
        </is>
      </c>
      <c r="G39" t="n">
        <v>6836.17</v>
      </c>
      <c r="H39" t="n">
        <v>29.2</v>
      </c>
      <c r="I39" t="n">
        <v>17.8</v>
      </c>
      <c r="J39" t="n">
        <v>3.64</v>
      </c>
      <c r="K39" t="n">
        <v>4.69</v>
      </c>
      <c r="L39" t="n">
        <v>4994.95</v>
      </c>
      <c r="M39" t="inlineStr">
        <is>
          <t>Defensive</t>
        </is>
      </c>
      <c r="N39" t="inlineStr">
        <is>
          <t>Double Bubble, Toil &amp; Trouble</t>
        </is>
      </c>
    </row>
    <row r="40">
      <c r="A40" t="inlineStr">
        <is>
          <t>2026-03-20</t>
        </is>
      </c>
      <c r="B40" t="inlineStr">
        <is>
          <t>V26I03</t>
        </is>
      </c>
      <c r="C40" t="n">
        <v>51</v>
      </c>
      <c r="D40" t="n">
        <v>30</v>
      </c>
      <c r="E40" t="n">
        <v>-14</v>
      </c>
      <c r="F40" t="inlineStr">
        <is>
          <t>Distribution -14 reappeared</t>
        </is>
      </c>
      <c r="G40" t="n">
        <v>6632.19</v>
      </c>
      <c r="H40" t="n">
        <v>26.2</v>
      </c>
      <c r="I40" t="n">
        <v>17.8</v>
      </c>
      <c r="J40" t="n">
        <v>3.64</v>
      </c>
      <c r="K40" t="n">
        <v>4.9</v>
      </c>
      <c r="L40" t="n">
        <v>5044.6</v>
      </c>
      <c r="M40" t="inlineStr">
        <is>
          <t>Defensive</t>
        </is>
      </c>
      <c r="N40" t="inlineStr">
        <is>
          <t>Walking the Recession Tightrope</t>
        </is>
      </c>
    </row>
    <row r="41">
      <c r="A41" t="inlineStr">
        <is>
          <t>2026-04-17</t>
        </is>
      </c>
      <c r="B41" t="inlineStr">
        <is>
          <t>V26I04</t>
        </is>
      </c>
      <c r="C41" t="n">
        <v>53</v>
      </c>
      <c r="D41" t="n">
        <v>32</v>
      </c>
      <c r="E41" t="inlineStr"/>
      <c r="F41" t="inlineStr">
        <is>
          <t>Selling Vacuum reemerged</t>
        </is>
      </c>
      <c r="G41" t="n">
        <v>6816.89</v>
      </c>
      <c r="H41" t="n">
        <v>24.5</v>
      </c>
      <c r="I41" t="n">
        <v>17.9</v>
      </c>
      <c r="J41" t="n">
        <v>3.64</v>
      </c>
      <c r="K41" t="n">
        <v>4.91</v>
      </c>
      <c r="L41" t="n">
        <v>4773.75</v>
      </c>
      <c r="M41" t="inlineStr">
        <is>
          <t>Cautious</t>
        </is>
      </c>
      <c r="N41" t="inlineStr">
        <is>
          <t>Speculative Lemminglike Frenzy Reignites Volatility</t>
        </is>
      </c>
    </row>
    <row r="42">
      <c r="A42" t="inlineStr">
        <is>
          <t>2026-05-15</t>
        </is>
      </c>
      <c r="B42" t="inlineStr">
        <is>
          <t>V26I05</t>
        </is>
      </c>
      <c r="C42" t="n">
        <v>53</v>
      </c>
      <c r="D42" t="n">
        <v>32</v>
      </c>
      <c r="E42" t="n">
        <v>2.7</v>
      </c>
      <c r="F42" t="inlineStr">
        <is>
          <t>SV +2.7 stalling / Dist 0</t>
        </is>
      </c>
      <c r="G42" t="n">
        <v>7398.93</v>
      </c>
      <c r="H42" t="n">
        <v>26.7</v>
      </c>
      <c r="I42" t="n">
        <v>17.9</v>
      </c>
      <c r="J42" t="n">
        <v>3.63</v>
      </c>
      <c r="K42" t="n">
        <v>4.95</v>
      </c>
      <c r="L42" t="n">
        <v>4741.4</v>
      </c>
      <c r="M42" t="inlineStr">
        <is>
          <t>Defensive/bearish</t>
        </is>
      </c>
      <c r="N42" t="inlineStr">
        <is>
          <t>Volatility, Internal Divergences, and Speculative Risk ALL Increase</t>
        </is>
      </c>
    </row>
    <row r="43">
      <c r="A43" t="inlineStr">
        <is>
          <t>2026-06-19</t>
        </is>
      </c>
      <c r="B43" t="inlineStr">
        <is>
          <t>V26I06</t>
        </is>
      </c>
      <c r="C43" t="n">
        <v>51.5</v>
      </c>
      <c r="D43" t="n">
        <v>33.5</v>
      </c>
      <c r="E43" t="n">
        <v>-4</v>
      </c>
      <c r="F43" t="inlineStr">
        <is>
          <t>Distribution -4.0</t>
        </is>
      </c>
      <c r="G43" t="n">
        <v>7431.46</v>
      </c>
      <c r="H43" t="n">
        <v>25.3</v>
      </c>
      <c r="I43" t="n">
        <v>17.9</v>
      </c>
      <c r="J43" t="n">
        <v>3.62</v>
      </c>
      <c r="K43" t="n">
        <v>4.97</v>
      </c>
      <c r="L43" t="n">
        <v>4185.95</v>
      </c>
      <c r="M43" t="inlineStr">
        <is>
          <t>Defensive</t>
        </is>
      </c>
      <c r="N43" t="inlineStr">
        <is>
          <t>Blast Off! (SpaceX IPO frenzy)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Issue Date</t>
        </is>
      </c>
      <c r="B1" s="1" t="inlineStr">
        <is>
          <t>Cash/T-Bills/MMF</t>
        </is>
      </c>
      <c r="C1" s="1" t="inlineStr">
        <is>
          <t>IBTM</t>
        </is>
      </c>
      <c r="D1" s="1" t="inlineStr">
        <is>
          <t>TRMCX</t>
        </is>
      </c>
      <c r="E1" s="1" t="inlineStr">
        <is>
          <t>XLV</t>
        </is>
      </c>
      <c r="F1" s="1" t="inlineStr">
        <is>
          <t>NOBL</t>
        </is>
      </c>
      <c r="G1" s="1" t="inlineStr">
        <is>
          <t>XLP</t>
        </is>
      </c>
      <c r="H1" s="1" t="inlineStr">
        <is>
          <t>XLE</t>
        </is>
      </c>
      <c r="I1" s="1" t="inlineStr">
        <is>
          <t>XLI</t>
        </is>
      </c>
      <c r="J1" s="1" t="inlineStr">
        <is>
          <t>XLU</t>
        </is>
      </c>
      <c r="K1" s="1" t="inlineStr">
        <is>
          <t>RYT</t>
        </is>
      </c>
      <c r="L1" s="1" t="inlineStr">
        <is>
          <t>RSPT</t>
        </is>
      </c>
      <c r="M1" s="1" t="inlineStr">
        <is>
          <t>FSTCX</t>
        </is>
      </c>
      <c r="N1" s="1" t="inlineStr">
        <is>
          <t>XLF</t>
        </is>
      </c>
      <c r="O1" s="1" t="inlineStr">
        <is>
          <t>IWM</t>
        </is>
      </c>
      <c r="P1" s="1" t="inlineStr">
        <is>
          <t>GDX</t>
        </is>
      </c>
      <c r="Q1" s="1" t="inlineStr">
        <is>
          <t>SPDN</t>
        </is>
      </c>
      <c r="R1" s="2" t="inlineStr">
        <is>
          <t>SUM</t>
        </is>
      </c>
    </row>
    <row r="2">
      <c r="A2" t="inlineStr">
        <is>
          <t>2023-01-20</t>
        </is>
      </c>
      <c r="B2" t="n">
        <v>50</v>
      </c>
      <c r="C2" t="inlineStr"/>
      <c r="D2" t="inlineStr"/>
      <c r="E2" t="n">
        <v>12</v>
      </c>
      <c r="F2" t="inlineStr"/>
      <c r="G2" t="n">
        <v>7</v>
      </c>
      <c r="H2" t="n">
        <v>6</v>
      </c>
      <c r="I2" t="n">
        <v>6</v>
      </c>
      <c r="J2" t="n">
        <v>2</v>
      </c>
      <c r="K2" t="n">
        <v>6</v>
      </c>
      <c r="L2" t="inlineStr"/>
      <c r="M2" t="n">
        <v>3</v>
      </c>
      <c r="N2" t="n">
        <v>3</v>
      </c>
      <c r="O2" t="inlineStr"/>
      <c r="P2" t="n">
        <v>5</v>
      </c>
      <c r="Q2" t="inlineStr"/>
      <c r="R2">
        <f>SUM(B2:Q2)</f>
        <v/>
      </c>
    </row>
    <row r="3">
      <c r="A3" t="inlineStr">
        <is>
          <t>2023-02-17</t>
        </is>
      </c>
      <c r="B3" t="n">
        <v>47</v>
      </c>
      <c r="C3" t="inlineStr"/>
      <c r="D3" t="inlineStr"/>
      <c r="E3" t="n">
        <v>12</v>
      </c>
      <c r="F3" t="inlineStr"/>
      <c r="G3" t="n">
        <v>7</v>
      </c>
      <c r="H3" t="n">
        <v>6</v>
      </c>
      <c r="I3" t="n">
        <v>8</v>
      </c>
      <c r="J3" t="n">
        <v>2</v>
      </c>
      <c r="K3" t="n">
        <v>6</v>
      </c>
      <c r="L3" t="inlineStr"/>
      <c r="M3" t="n">
        <v>3</v>
      </c>
      <c r="N3" t="n">
        <v>3</v>
      </c>
      <c r="O3" t="inlineStr"/>
      <c r="P3" t="n">
        <v>6</v>
      </c>
      <c r="Q3" t="inlineStr"/>
      <c r="R3">
        <f>SUM(B3:Q3)</f>
        <v/>
      </c>
    </row>
    <row r="4">
      <c r="A4" t="inlineStr">
        <is>
          <t>2023-03-17</t>
        </is>
      </c>
      <c r="B4" t="n">
        <v>47</v>
      </c>
      <c r="C4" t="inlineStr"/>
      <c r="D4" t="inlineStr"/>
      <c r="E4" t="n">
        <v>12</v>
      </c>
      <c r="F4" t="inlineStr"/>
      <c r="G4" t="n">
        <v>7</v>
      </c>
      <c r="H4" t="n">
        <v>6</v>
      </c>
      <c r="I4" t="n">
        <v>8</v>
      </c>
      <c r="J4" t="n">
        <v>2</v>
      </c>
      <c r="K4" t="n">
        <v>6</v>
      </c>
      <c r="L4" t="inlineStr"/>
      <c r="M4" t="n">
        <v>3</v>
      </c>
      <c r="N4" t="n">
        <v>3</v>
      </c>
      <c r="O4" t="inlineStr"/>
      <c r="P4" t="n">
        <v>6</v>
      </c>
      <c r="Q4" t="inlineStr"/>
      <c r="R4">
        <f>SUM(B4:Q4)</f>
        <v/>
      </c>
    </row>
    <row r="5">
      <c r="A5" t="inlineStr">
        <is>
          <t>2023-04-21</t>
        </is>
      </c>
      <c r="B5" t="n">
        <v>52</v>
      </c>
      <c r="C5" t="inlineStr"/>
      <c r="D5" t="inlineStr"/>
      <c r="E5" t="n">
        <v>12</v>
      </c>
      <c r="F5" t="inlineStr"/>
      <c r="G5" t="n">
        <v>7</v>
      </c>
      <c r="H5" t="n">
        <v>4</v>
      </c>
      <c r="I5" t="n">
        <v>8</v>
      </c>
      <c r="J5" t="n">
        <v>2</v>
      </c>
      <c r="K5" t="n">
        <v>6</v>
      </c>
      <c r="L5" t="inlineStr"/>
      <c r="M5" t="n">
        <v>3</v>
      </c>
      <c r="N5" t="inlineStr"/>
      <c r="O5" t="inlineStr"/>
      <c r="P5" t="n">
        <v>6</v>
      </c>
      <c r="Q5" t="inlineStr"/>
      <c r="R5">
        <f>SUM(B5:Q5)</f>
        <v/>
      </c>
    </row>
    <row r="6">
      <c r="A6" t="inlineStr">
        <is>
          <t>2023-05-19</t>
        </is>
      </c>
      <c r="B6" t="n">
        <v>52</v>
      </c>
      <c r="C6" t="inlineStr"/>
      <c r="D6" t="inlineStr"/>
      <c r="E6" t="n">
        <v>12</v>
      </c>
      <c r="F6" t="inlineStr"/>
      <c r="G6" t="n">
        <v>7</v>
      </c>
      <c r="H6" t="n">
        <v>4</v>
      </c>
      <c r="I6" t="n">
        <v>8</v>
      </c>
      <c r="J6" t="n">
        <v>2</v>
      </c>
      <c r="K6" t="n">
        <v>6</v>
      </c>
      <c r="L6" t="inlineStr"/>
      <c r="M6" t="n">
        <v>3</v>
      </c>
      <c r="N6" t="inlineStr"/>
      <c r="O6" t="inlineStr"/>
      <c r="P6" t="n">
        <v>6</v>
      </c>
      <c r="Q6" t="inlineStr"/>
      <c r="R6">
        <f>SUM(B6:Q6)</f>
        <v/>
      </c>
    </row>
    <row r="7">
      <c r="A7" t="inlineStr">
        <is>
          <t>2023-06-16</t>
        </is>
      </c>
      <c r="B7" t="n">
        <v>52</v>
      </c>
      <c r="C7" t="inlineStr"/>
      <c r="D7" t="inlineStr"/>
      <c r="E7" t="n">
        <v>12</v>
      </c>
      <c r="F7" t="inlineStr"/>
      <c r="G7" t="n">
        <v>7</v>
      </c>
      <c r="H7" t="n">
        <v>4</v>
      </c>
      <c r="I7" t="n">
        <v>8</v>
      </c>
      <c r="J7" t="n">
        <v>2</v>
      </c>
      <c r="K7" t="inlineStr"/>
      <c r="L7" t="n">
        <v>6</v>
      </c>
      <c r="M7" t="n">
        <v>3</v>
      </c>
      <c r="N7" t="inlineStr"/>
      <c r="O7" t="inlineStr"/>
      <c r="P7" t="n">
        <v>6</v>
      </c>
      <c r="Q7" t="inlineStr"/>
      <c r="R7">
        <f>SUM(B7:Q7)</f>
        <v/>
      </c>
    </row>
    <row r="8">
      <c r="A8" t="inlineStr">
        <is>
          <t>2023-07-21</t>
        </is>
      </c>
      <c r="B8" t="n">
        <v>49</v>
      </c>
      <c r="C8" t="inlineStr"/>
      <c r="D8" t="inlineStr"/>
      <c r="E8" t="n">
        <v>12</v>
      </c>
      <c r="F8" t="n">
        <v>8</v>
      </c>
      <c r="G8" t="n">
        <v>7</v>
      </c>
      <c r="H8" t="n">
        <v>4</v>
      </c>
      <c r="I8" t="n">
        <v>8</v>
      </c>
      <c r="J8" t="n">
        <v>2</v>
      </c>
      <c r="K8" t="inlineStr"/>
      <c r="L8" t="n">
        <v>4</v>
      </c>
      <c r="M8" t="inlineStr"/>
      <c r="N8" t="inlineStr"/>
      <c r="O8" t="inlineStr"/>
      <c r="P8" t="n">
        <v>6</v>
      </c>
      <c r="Q8" t="inlineStr"/>
      <c r="R8">
        <f>SUM(B8:Q8)</f>
        <v/>
      </c>
    </row>
    <row r="9">
      <c r="A9" t="inlineStr">
        <is>
          <t>2023-08-18</t>
        </is>
      </c>
      <c r="B9" t="n">
        <v>49</v>
      </c>
      <c r="C9" t="inlineStr"/>
      <c r="D9" t="inlineStr"/>
      <c r="E9" t="n">
        <v>12</v>
      </c>
      <c r="F9" t="n">
        <v>8</v>
      </c>
      <c r="G9" t="n">
        <v>7</v>
      </c>
      <c r="H9" t="n">
        <v>4</v>
      </c>
      <c r="I9" t="n">
        <v>8</v>
      </c>
      <c r="J9" t="n">
        <v>2</v>
      </c>
      <c r="K9" t="inlineStr"/>
      <c r="L9" t="n">
        <v>4</v>
      </c>
      <c r="M9" t="inlineStr"/>
      <c r="N9" t="inlineStr"/>
      <c r="O9" t="inlineStr"/>
      <c r="P9" t="n">
        <v>6</v>
      </c>
      <c r="Q9" t="inlineStr"/>
      <c r="R9">
        <f>SUM(B9:Q9)</f>
        <v/>
      </c>
    </row>
    <row r="10">
      <c r="A10" t="inlineStr">
        <is>
          <t>2023-09-15</t>
        </is>
      </c>
      <c r="B10" t="n">
        <v>49</v>
      </c>
      <c r="C10" t="inlineStr"/>
      <c r="D10" t="inlineStr"/>
      <c r="E10" t="n">
        <v>12</v>
      </c>
      <c r="F10" t="n">
        <v>8</v>
      </c>
      <c r="G10" t="n">
        <v>7</v>
      </c>
      <c r="H10" t="n">
        <v>4</v>
      </c>
      <c r="I10" t="n">
        <v>8</v>
      </c>
      <c r="J10" t="n">
        <v>2</v>
      </c>
      <c r="K10" t="inlineStr"/>
      <c r="L10" t="n">
        <v>4</v>
      </c>
      <c r="M10" t="inlineStr"/>
      <c r="N10" t="inlineStr"/>
      <c r="O10" t="inlineStr"/>
      <c r="P10" t="n">
        <v>6</v>
      </c>
      <c r="Q10" t="inlineStr"/>
      <c r="R10">
        <f>SUM(B10:Q10)</f>
        <v/>
      </c>
    </row>
    <row r="11">
      <c r="A11" t="inlineStr">
        <is>
          <t>2023-10-20</t>
        </is>
      </c>
      <c r="B11" t="n">
        <v>55</v>
      </c>
      <c r="C11" t="inlineStr"/>
      <c r="D11" t="inlineStr"/>
      <c r="E11" t="n">
        <v>12</v>
      </c>
      <c r="F11" t="n">
        <v>8</v>
      </c>
      <c r="G11" t="n">
        <v>7</v>
      </c>
      <c r="H11" t="n">
        <v>4</v>
      </c>
      <c r="I11" t="n">
        <v>5</v>
      </c>
      <c r="J11" t="n">
        <v>2</v>
      </c>
      <c r="K11" t="inlineStr"/>
      <c r="L11" t="n">
        <v>3</v>
      </c>
      <c r="M11" t="inlineStr"/>
      <c r="N11" t="inlineStr"/>
      <c r="O11" t="inlineStr"/>
      <c r="P11" t="n">
        <v>4</v>
      </c>
      <c r="Q11" t="inlineStr"/>
      <c r="R11">
        <f>SUM(B11:Q11)</f>
        <v/>
      </c>
    </row>
    <row r="12">
      <c r="A12" t="inlineStr">
        <is>
          <t>2023-11-17</t>
        </is>
      </c>
      <c r="B12" t="n">
        <v>51</v>
      </c>
      <c r="C12" t="inlineStr"/>
      <c r="D12" t="inlineStr"/>
      <c r="E12" t="n">
        <v>12</v>
      </c>
      <c r="F12" t="n">
        <v>12</v>
      </c>
      <c r="G12" t="n">
        <v>7</v>
      </c>
      <c r="H12" t="n">
        <v>4</v>
      </c>
      <c r="I12" t="n">
        <v>5</v>
      </c>
      <c r="J12" t="n">
        <v>2</v>
      </c>
      <c r="K12" t="inlineStr"/>
      <c r="L12" t="n">
        <v>3</v>
      </c>
      <c r="M12" t="inlineStr"/>
      <c r="N12" t="inlineStr"/>
      <c r="O12" t="inlineStr"/>
      <c r="P12" t="n">
        <v>4</v>
      </c>
      <c r="Q12" t="inlineStr"/>
      <c r="R12">
        <f>SUM(B12:Q12)</f>
        <v/>
      </c>
    </row>
    <row r="13">
      <c r="A13" t="inlineStr">
        <is>
          <t>2023-12-15</t>
        </is>
      </c>
      <c r="B13" t="n">
        <v>51</v>
      </c>
      <c r="C13" t="inlineStr"/>
      <c r="D13" t="inlineStr"/>
      <c r="E13" t="n">
        <v>12</v>
      </c>
      <c r="F13" t="n">
        <v>12</v>
      </c>
      <c r="G13" t="n">
        <v>7</v>
      </c>
      <c r="H13" t="n">
        <v>4</v>
      </c>
      <c r="I13" t="n">
        <v>5</v>
      </c>
      <c r="J13" t="n">
        <v>2</v>
      </c>
      <c r="K13" t="inlineStr"/>
      <c r="L13" t="n">
        <v>3</v>
      </c>
      <c r="M13" t="inlineStr"/>
      <c r="N13" t="inlineStr"/>
      <c r="O13" t="inlineStr"/>
      <c r="P13" t="n">
        <v>4</v>
      </c>
      <c r="Q13" t="inlineStr"/>
      <c r="R13">
        <f>SUM(B13:Q13)</f>
        <v/>
      </c>
    </row>
    <row r="14">
      <c r="A14" t="inlineStr">
        <is>
          <t>2024-01-19</t>
        </is>
      </c>
      <c r="B14" t="n">
        <v>51</v>
      </c>
      <c r="C14" t="inlineStr"/>
      <c r="D14" t="inlineStr"/>
      <c r="E14" t="n">
        <v>12</v>
      </c>
      <c r="F14" t="n">
        <v>12</v>
      </c>
      <c r="G14" t="n">
        <v>7</v>
      </c>
      <c r="H14" t="n">
        <v>4</v>
      </c>
      <c r="I14" t="n">
        <v>5</v>
      </c>
      <c r="J14" t="n">
        <v>2</v>
      </c>
      <c r="K14" t="inlineStr"/>
      <c r="L14" t="n">
        <v>3</v>
      </c>
      <c r="M14" t="inlineStr"/>
      <c r="N14" t="inlineStr"/>
      <c r="O14" t="inlineStr"/>
      <c r="P14" t="n">
        <v>4</v>
      </c>
      <c r="Q14" t="inlineStr"/>
      <c r="R14">
        <f>SUM(B14:Q14)</f>
        <v/>
      </c>
    </row>
    <row r="15">
      <c r="A15" t="inlineStr">
        <is>
          <t>2024-02-16</t>
        </is>
      </c>
      <c r="B15" t="n">
        <v>51</v>
      </c>
      <c r="C15" t="inlineStr"/>
      <c r="D15" t="inlineStr"/>
      <c r="E15" t="n">
        <v>12</v>
      </c>
      <c r="F15" t="n">
        <v>12</v>
      </c>
      <c r="G15" t="n">
        <v>7</v>
      </c>
      <c r="H15" t="n">
        <v>4</v>
      </c>
      <c r="I15" t="n">
        <v>5</v>
      </c>
      <c r="J15" t="n">
        <v>2</v>
      </c>
      <c r="K15" t="inlineStr"/>
      <c r="L15" t="n">
        <v>3</v>
      </c>
      <c r="M15" t="inlineStr"/>
      <c r="N15" t="inlineStr"/>
      <c r="O15" t="inlineStr"/>
      <c r="P15" t="n">
        <v>4</v>
      </c>
      <c r="Q15" t="inlineStr"/>
      <c r="R15">
        <f>SUM(B15:Q15)</f>
        <v/>
      </c>
    </row>
    <row r="16">
      <c r="A16" t="inlineStr">
        <is>
          <t>2024-03-15</t>
        </is>
      </c>
      <c r="B16" t="n">
        <v>47</v>
      </c>
      <c r="C16" t="inlineStr"/>
      <c r="D16" t="inlineStr"/>
      <c r="E16" t="n">
        <v>12</v>
      </c>
      <c r="F16" t="n">
        <v>16</v>
      </c>
      <c r="G16" t="n">
        <v>7</v>
      </c>
      <c r="H16" t="n">
        <v>4</v>
      </c>
      <c r="I16" t="n">
        <v>5</v>
      </c>
      <c r="J16" t="n">
        <v>2</v>
      </c>
      <c r="K16" t="inlineStr"/>
      <c r="L16" t="n">
        <v>3</v>
      </c>
      <c r="M16" t="inlineStr"/>
      <c r="N16" t="inlineStr"/>
      <c r="O16" t="inlineStr"/>
      <c r="P16" t="n">
        <v>4</v>
      </c>
      <c r="Q16" t="inlineStr"/>
      <c r="R16">
        <f>SUM(B16:Q16)</f>
        <v/>
      </c>
    </row>
    <row r="17">
      <c r="A17" t="inlineStr">
        <is>
          <t>2024-04-19</t>
        </is>
      </c>
      <c r="B17" t="n">
        <v>42</v>
      </c>
      <c r="C17" t="inlineStr"/>
      <c r="D17" t="inlineStr"/>
      <c r="E17" t="n">
        <v>12</v>
      </c>
      <c r="F17" t="n">
        <v>16</v>
      </c>
      <c r="G17" t="n">
        <v>7</v>
      </c>
      <c r="H17" t="n">
        <v>6</v>
      </c>
      <c r="I17" t="n">
        <v>5</v>
      </c>
      <c r="J17" t="n">
        <v>2</v>
      </c>
      <c r="K17" t="inlineStr"/>
      <c r="L17" t="n">
        <v>3</v>
      </c>
      <c r="M17" t="inlineStr"/>
      <c r="N17" t="inlineStr"/>
      <c r="O17" t="n">
        <v>3</v>
      </c>
      <c r="P17" t="n">
        <v>4</v>
      </c>
      <c r="Q17" t="inlineStr"/>
      <c r="R17">
        <f>SUM(B17:Q17)</f>
        <v/>
      </c>
    </row>
    <row r="18">
      <c r="A18" t="inlineStr">
        <is>
          <t>2024-05-17</t>
        </is>
      </c>
      <c r="B18" t="n">
        <v>42</v>
      </c>
      <c r="C18" t="inlineStr"/>
      <c r="D18" t="inlineStr"/>
      <c r="E18" t="n">
        <v>12</v>
      </c>
      <c r="F18" t="n">
        <v>16</v>
      </c>
      <c r="G18" t="n">
        <v>7</v>
      </c>
      <c r="H18" t="n">
        <v>6</v>
      </c>
      <c r="I18" t="n">
        <v>5</v>
      </c>
      <c r="J18" t="n">
        <v>2</v>
      </c>
      <c r="K18" t="inlineStr"/>
      <c r="L18" t="n">
        <v>3</v>
      </c>
      <c r="M18" t="inlineStr"/>
      <c r="N18" t="inlineStr"/>
      <c r="O18" t="n">
        <v>3</v>
      </c>
      <c r="P18" t="n">
        <v>4</v>
      </c>
      <c r="Q18" t="inlineStr"/>
      <c r="R18">
        <f>SUM(B18:Q18)</f>
        <v/>
      </c>
    </row>
    <row r="19">
      <c r="A19" t="inlineStr">
        <is>
          <t>2024-06-21</t>
        </is>
      </c>
      <c r="B19" t="n">
        <v>42</v>
      </c>
      <c r="C19" t="inlineStr"/>
      <c r="D19" t="inlineStr"/>
      <c r="E19" t="n">
        <v>12</v>
      </c>
      <c r="F19" t="n">
        <v>16</v>
      </c>
      <c r="G19" t="n">
        <v>7</v>
      </c>
      <c r="H19" t="n">
        <v>6</v>
      </c>
      <c r="I19" t="n">
        <v>5</v>
      </c>
      <c r="J19" t="n">
        <v>2</v>
      </c>
      <c r="K19" t="inlineStr"/>
      <c r="L19" t="n">
        <v>3</v>
      </c>
      <c r="M19" t="inlineStr"/>
      <c r="N19" t="inlineStr"/>
      <c r="O19" t="n">
        <v>3</v>
      </c>
      <c r="P19" t="n">
        <v>4</v>
      </c>
      <c r="Q19" t="inlineStr"/>
      <c r="R19">
        <f>SUM(B19:Q19)</f>
        <v/>
      </c>
    </row>
    <row r="20">
      <c r="A20" t="inlineStr">
        <is>
          <t>2024-07-19</t>
        </is>
      </c>
      <c r="B20" t="n">
        <v>42</v>
      </c>
      <c r="C20" t="inlineStr"/>
      <c r="D20" t="inlineStr"/>
      <c r="E20" t="n">
        <v>12</v>
      </c>
      <c r="F20" t="n">
        <v>16</v>
      </c>
      <c r="G20" t="n">
        <v>7</v>
      </c>
      <c r="H20" t="n">
        <v>6</v>
      </c>
      <c r="I20" t="n">
        <v>5</v>
      </c>
      <c r="J20" t="n">
        <v>2</v>
      </c>
      <c r="K20" t="inlineStr"/>
      <c r="L20" t="n">
        <v>3</v>
      </c>
      <c r="M20" t="inlineStr"/>
      <c r="N20" t="inlineStr"/>
      <c r="O20" t="n">
        <v>3</v>
      </c>
      <c r="P20" t="n">
        <v>4</v>
      </c>
      <c r="Q20" t="inlineStr"/>
      <c r="R20">
        <f>SUM(B20:Q20)</f>
        <v/>
      </c>
    </row>
    <row r="21">
      <c r="A21" t="inlineStr">
        <is>
          <t>2024-08-16</t>
        </is>
      </c>
      <c r="B21" t="n">
        <v>45</v>
      </c>
      <c r="C21" t="inlineStr"/>
      <c r="D21" t="inlineStr"/>
      <c r="E21" t="n">
        <v>12</v>
      </c>
      <c r="F21" t="n">
        <v>16</v>
      </c>
      <c r="G21" t="n">
        <v>7</v>
      </c>
      <c r="H21" t="n">
        <v>6</v>
      </c>
      <c r="I21" t="n">
        <v>5</v>
      </c>
      <c r="J21" t="n">
        <v>2</v>
      </c>
      <c r="K21" t="inlineStr"/>
      <c r="L21" t="n">
        <v>3</v>
      </c>
      <c r="M21" t="inlineStr"/>
      <c r="N21" t="inlineStr"/>
      <c r="O21" t="inlineStr"/>
      <c r="P21" t="n">
        <v>4</v>
      </c>
      <c r="Q21" t="inlineStr"/>
      <c r="R21">
        <f>SUM(B21:Q21)</f>
        <v/>
      </c>
    </row>
    <row r="22">
      <c r="A22" t="inlineStr">
        <is>
          <t>2024-09-20</t>
        </is>
      </c>
      <c r="B22" t="n">
        <v>45</v>
      </c>
      <c r="C22" t="inlineStr"/>
      <c r="D22" t="inlineStr"/>
      <c r="E22" t="n">
        <v>12</v>
      </c>
      <c r="F22" t="n">
        <v>16</v>
      </c>
      <c r="G22" t="n">
        <v>7</v>
      </c>
      <c r="H22" t="n">
        <v>6</v>
      </c>
      <c r="I22" t="n">
        <v>5</v>
      </c>
      <c r="J22" t="n">
        <v>2</v>
      </c>
      <c r="K22" t="inlineStr"/>
      <c r="L22" t="n">
        <v>3</v>
      </c>
      <c r="M22" t="inlineStr"/>
      <c r="N22" t="inlineStr"/>
      <c r="O22" t="inlineStr"/>
      <c r="P22" t="n">
        <v>4</v>
      </c>
      <c r="Q22" t="inlineStr"/>
      <c r="R22">
        <f>SUM(B22:Q22)</f>
        <v/>
      </c>
    </row>
    <row r="23">
      <c r="A23" t="inlineStr">
        <is>
          <t>2024-10-18</t>
        </is>
      </c>
      <c r="B23" t="n">
        <v>45</v>
      </c>
      <c r="C23" t="inlineStr"/>
      <c r="D23" t="inlineStr"/>
      <c r="E23" t="n">
        <v>12</v>
      </c>
      <c r="F23" t="n">
        <v>16</v>
      </c>
      <c r="G23" t="n">
        <v>7</v>
      </c>
      <c r="H23" t="n">
        <v>6</v>
      </c>
      <c r="I23" t="n">
        <v>5</v>
      </c>
      <c r="J23" t="n">
        <v>2</v>
      </c>
      <c r="K23" t="inlineStr"/>
      <c r="L23" t="n">
        <v>3</v>
      </c>
      <c r="M23" t="inlineStr"/>
      <c r="N23" t="inlineStr"/>
      <c r="O23" t="inlineStr"/>
      <c r="P23" t="n">
        <v>4</v>
      </c>
      <c r="Q23" t="inlineStr"/>
      <c r="R23">
        <f>SUM(B23:Q23)</f>
        <v/>
      </c>
    </row>
    <row r="24">
      <c r="A24" t="inlineStr">
        <is>
          <t>2024-11-15</t>
        </is>
      </c>
      <c r="B24" t="n">
        <v>43</v>
      </c>
      <c r="C24" t="inlineStr"/>
      <c r="D24" t="inlineStr"/>
      <c r="E24" t="n">
        <v>12</v>
      </c>
      <c r="F24" t="n">
        <v>16</v>
      </c>
      <c r="G24" t="n">
        <v>7</v>
      </c>
      <c r="H24" t="n">
        <v>6</v>
      </c>
      <c r="I24" t="n">
        <v>6</v>
      </c>
      <c r="J24" t="n">
        <v>2</v>
      </c>
      <c r="K24" t="inlineStr"/>
      <c r="L24" t="n">
        <v>3</v>
      </c>
      <c r="M24" t="inlineStr"/>
      <c r="N24" t="inlineStr"/>
      <c r="O24" t="inlineStr"/>
      <c r="P24" t="n">
        <v>5</v>
      </c>
      <c r="Q24" t="inlineStr"/>
      <c r="R24">
        <f>SUM(B24:Q24)</f>
        <v/>
      </c>
    </row>
    <row r="25">
      <c r="A25" t="inlineStr">
        <is>
          <t>2024-12-20</t>
        </is>
      </c>
      <c r="B25" t="n">
        <v>39</v>
      </c>
      <c r="C25" t="inlineStr"/>
      <c r="D25" t="inlineStr"/>
      <c r="E25" t="n">
        <v>12</v>
      </c>
      <c r="F25" t="n">
        <v>16</v>
      </c>
      <c r="G25" t="n">
        <v>7</v>
      </c>
      <c r="H25" t="n">
        <v>6</v>
      </c>
      <c r="I25" t="n">
        <v>8</v>
      </c>
      <c r="J25" t="n">
        <v>4</v>
      </c>
      <c r="K25" t="inlineStr"/>
      <c r="L25" t="n">
        <v>3</v>
      </c>
      <c r="M25" t="inlineStr"/>
      <c r="N25" t="inlineStr"/>
      <c r="O25" t="inlineStr"/>
      <c r="P25" t="n">
        <v>5</v>
      </c>
      <c r="Q25" t="inlineStr"/>
      <c r="R25">
        <f>SUM(B25:Q25)</f>
        <v/>
      </c>
    </row>
    <row r="26">
      <c r="A26" t="inlineStr">
        <is>
          <t>2025-01-17</t>
        </is>
      </c>
      <c r="B26" t="n">
        <v>36</v>
      </c>
      <c r="C26" t="inlineStr"/>
      <c r="D26" t="inlineStr"/>
      <c r="E26" t="n">
        <v>12</v>
      </c>
      <c r="F26" t="n">
        <v>16</v>
      </c>
      <c r="G26" t="n">
        <v>7</v>
      </c>
      <c r="H26" t="n">
        <v>6</v>
      </c>
      <c r="I26" t="n">
        <v>8</v>
      </c>
      <c r="J26" t="n">
        <v>4</v>
      </c>
      <c r="K26" t="inlineStr"/>
      <c r="L26" t="n">
        <v>3</v>
      </c>
      <c r="M26" t="inlineStr"/>
      <c r="N26" t="inlineStr"/>
      <c r="O26" t="inlineStr"/>
      <c r="P26" t="n">
        <v>5</v>
      </c>
      <c r="Q26" t="n">
        <v>3</v>
      </c>
      <c r="R26">
        <f>SUM(B26:Q26)</f>
        <v/>
      </c>
    </row>
    <row r="27">
      <c r="A27" t="inlineStr">
        <is>
          <t>2025-02-21</t>
        </is>
      </c>
      <c r="B27" t="n">
        <v>36</v>
      </c>
      <c r="C27" t="inlineStr"/>
      <c r="D27" t="inlineStr"/>
      <c r="E27" t="n">
        <v>12</v>
      </c>
      <c r="F27" t="n">
        <v>16</v>
      </c>
      <c r="G27" t="n">
        <v>7</v>
      </c>
      <c r="H27" t="n">
        <v>6</v>
      </c>
      <c r="I27" t="n">
        <v>8</v>
      </c>
      <c r="J27" t="n">
        <v>4</v>
      </c>
      <c r="K27" t="inlineStr"/>
      <c r="L27" t="n">
        <v>3</v>
      </c>
      <c r="M27" t="inlineStr"/>
      <c r="N27" t="inlineStr"/>
      <c r="O27" t="inlineStr"/>
      <c r="P27" t="n">
        <v>5</v>
      </c>
      <c r="Q27" t="n">
        <v>3</v>
      </c>
      <c r="R27">
        <f>SUM(B27:Q27)</f>
        <v/>
      </c>
    </row>
    <row r="28">
      <c r="A28" t="inlineStr">
        <is>
          <t>2025-03-21</t>
        </is>
      </c>
      <c r="B28" t="n">
        <v>36</v>
      </c>
      <c r="C28" t="inlineStr"/>
      <c r="D28" t="inlineStr"/>
      <c r="E28" t="n">
        <v>12</v>
      </c>
      <c r="F28" t="n">
        <v>16</v>
      </c>
      <c r="G28" t="n">
        <v>7</v>
      </c>
      <c r="H28" t="n">
        <v>6</v>
      </c>
      <c r="I28" t="n">
        <v>8</v>
      </c>
      <c r="J28" t="n">
        <v>4</v>
      </c>
      <c r="K28" t="inlineStr"/>
      <c r="L28" t="n">
        <v>3</v>
      </c>
      <c r="M28" t="inlineStr"/>
      <c r="N28" t="inlineStr"/>
      <c r="O28" t="inlineStr"/>
      <c r="P28" t="n">
        <v>5</v>
      </c>
      <c r="Q28" t="n">
        <v>3</v>
      </c>
      <c r="R28">
        <f>SUM(B28:Q28)</f>
        <v/>
      </c>
    </row>
    <row r="29">
      <c r="A29" t="inlineStr">
        <is>
          <t>2025-04-18</t>
        </is>
      </c>
      <c r="B29" t="n">
        <v>40</v>
      </c>
      <c r="C29" t="inlineStr"/>
      <c r="D29" t="inlineStr"/>
      <c r="E29" t="n">
        <v>12</v>
      </c>
      <c r="F29" t="n">
        <v>16</v>
      </c>
      <c r="G29" t="n">
        <v>7</v>
      </c>
      <c r="H29" t="n">
        <v>6</v>
      </c>
      <c r="I29" t="n">
        <v>8</v>
      </c>
      <c r="J29" t="n">
        <v>4</v>
      </c>
      <c r="K29" t="inlineStr"/>
      <c r="L29" t="inlineStr"/>
      <c r="M29" t="inlineStr"/>
      <c r="N29" t="inlineStr"/>
      <c r="O29" t="inlineStr"/>
      <c r="P29" t="n">
        <v>4</v>
      </c>
      <c r="Q29" t="n">
        <v>3</v>
      </c>
      <c r="R29">
        <f>SUM(B29:Q29)</f>
        <v/>
      </c>
    </row>
    <row r="30">
      <c r="A30" t="inlineStr">
        <is>
          <t>2025-05-16</t>
        </is>
      </c>
      <c r="B30" t="n">
        <v>40</v>
      </c>
      <c r="C30" t="inlineStr"/>
      <c r="D30" t="inlineStr"/>
      <c r="E30" t="n">
        <v>12</v>
      </c>
      <c r="F30" t="n">
        <v>16</v>
      </c>
      <c r="G30" t="n">
        <v>7</v>
      </c>
      <c r="H30" t="n">
        <v>6</v>
      </c>
      <c r="I30" t="n">
        <v>8</v>
      </c>
      <c r="J30" t="n">
        <v>4</v>
      </c>
      <c r="K30" t="inlineStr"/>
      <c r="L30" t="inlineStr"/>
      <c r="M30" t="inlineStr"/>
      <c r="N30" t="inlineStr"/>
      <c r="O30" t="inlineStr"/>
      <c r="P30" t="n">
        <v>4</v>
      </c>
      <c r="Q30" t="n">
        <v>3</v>
      </c>
      <c r="R30">
        <f>SUM(B30:Q30)</f>
        <v/>
      </c>
    </row>
    <row r="31">
      <c r="A31" t="inlineStr">
        <is>
          <t>2025-06-20</t>
        </is>
      </c>
      <c r="B31" t="n">
        <v>43</v>
      </c>
      <c r="C31" t="inlineStr"/>
      <c r="D31" t="inlineStr"/>
      <c r="E31" t="n">
        <v>12</v>
      </c>
      <c r="F31" t="n">
        <v>16</v>
      </c>
      <c r="G31" t="n">
        <v>7</v>
      </c>
      <c r="H31" t="n">
        <v>6</v>
      </c>
      <c r="I31" t="n">
        <v>8</v>
      </c>
      <c r="J31" t="n">
        <v>4</v>
      </c>
      <c r="K31" t="inlineStr"/>
      <c r="L31" t="inlineStr"/>
      <c r="M31" t="inlineStr"/>
      <c r="N31" t="inlineStr"/>
      <c r="O31" t="inlineStr"/>
      <c r="P31" t="n">
        <v>4</v>
      </c>
      <c r="Q31" t="inlineStr"/>
      <c r="R31">
        <f>SUM(B31:Q31)</f>
        <v/>
      </c>
    </row>
    <row r="32">
      <c r="A32" t="inlineStr">
        <is>
          <t>2025-07-18</t>
        </is>
      </c>
      <c r="B32" t="n">
        <v>43</v>
      </c>
      <c r="C32" t="inlineStr"/>
      <c r="D32" t="inlineStr"/>
      <c r="E32" t="n">
        <v>12</v>
      </c>
      <c r="F32" t="n">
        <v>16</v>
      </c>
      <c r="G32" t="n">
        <v>7</v>
      </c>
      <c r="H32" t="n">
        <v>6</v>
      </c>
      <c r="I32" t="n">
        <v>8</v>
      </c>
      <c r="J32" t="n">
        <v>4</v>
      </c>
      <c r="K32" t="inlineStr"/>
      <c r="L32" t="inlineStr"/>
      <c r="M32" t="inlineStr"/>
      <c r="N32" t="inlineStr"/>
      <c r="O32" t="inlineStr"/>
      <c r="P32" t="n">
        <v>4</v>
      </c>
      <c r="Q32" t="inlineStr"/>
      <c r="R32">
        <f>SUM(B32:Q32)</f>
        <v/>
      </c>
    </row>
    <row r="33">
      <c r="A33" t="inlineStr">
        <is>
          <t>2025-08-15</t>
        </is>
      </c>
      <c r="B33" t="n">
        <v>43</v>
      </c>
      <c r="C33" t="inlineStr"/>
      <c r="D33" t="inlineStr"/>
      <c r="E33" t="n">
        <v>12</v>
      </c>
      <c r="F33" t="n">
        <v>16</v>
      </c>
      <c r="G33" t="n">
        <v>7</v>
      </c>
      <c r="H33" t="n">
        <v>6</v>
      </c>
      <c r="I33" t="n">
        <v>8</v>
      </c>
      <c r="J33" t="n">
        <v>4</v>
      </c>
      <c r="K33" t="inlineStr"/>
      <c r="L33" t="inlineStr"/>
      <c r="M33" t="inlineStr"/>
      <c r="N33" t="inlineStr"/>
      <c r="O33" t="inlineStr"/>
      <c r="P33" t="n">
        <v>4</v>
      </c>
      <c r="Q33" t="inlineStr"/>
      <c r="R33">
        <f>SUM(B33:Q33)</f>
        <v/>
      </c>
    </row>
    <row r="34">
      <c r="A34" t="inlineStr">
        <is>
          <t>2025-09-19</t>
        </is>
      </c>
      <c r="B34" t="n">
        <v>38</v>
      </c>
      <c r="C34" t="n">
        <v>5</v>
      </c>
      <c r="D34" t="inlineStr"/>
      <c r="E34" t="n">
        <v>12</v>
      </c>
      <c r="F34" t="n">
        <v>16</v>
      </c>
      <c r="G34" t="n">
        <v>7</v>
      </c>
      <c r="H34" t="n">
        <v>6</v>
      </c>
      <c r="I34" t="n">
        <v>8</v>
      </c>
      <c r="J34" t="n">
        <v>4</v>
      </c>
      <c r="K34" t="inlineStr"/>
      <c r="L34" t="inlineStr"/>
      <c r="M34" t="inlineStr"/>
      <c r="N34" t="inlineStr"/>
      <c r="O34" t="inlineStr"/>
      <c r="P34" t="n">
        <v>4</v>
      </c>
      <c r="Q34" t="inlineStr"/>
      <c r="R34">
        <f>SUM(B34:Q34)</f>
        <v/>
      </c>
    </row>
    <row r="35">
      <c r="A35" t="inlineStr">
        <is>
          <t>2025-10-17</t>
        </is>
      </c>
      <c r="B35" t="n">
        <v>38</v>
      </c>
      <c r="C35" t="n">
        <v>5</v>
      </c>
      <c r="D35" t="inlineStr"/>
      <c r="E35" t="n">
        <v>12</v>
      </c>
      <c r="F35" t="n">
        <v>15</v>
      </c>
      <c r="G35" t="n">
        <v>6</v>
      </c>
      <c r="H35" t="n">
        <v>5</v>
      </c>
      <c r="I35" t="n">
        <v>8</v>
      </c>
      <c r="J35" t="n">
        <v>4</v>
      </c>
      <c r="K35" t="inlineStr"/>
      <c r="L35" t="inlineStr"/>
      <c r="M35" t="inlineStr"/>
      <c r="N35" t="inlineStr"/>
      <c r="O35" t="inlineStr"/>
      <c r="P35" t="n">
        <v>7</v>
      </c>
      <c r="Q35" t="inlineStr"/>
      <c r="R35">
        <f>SUM(B35:Q35)</f>
        <v/>
      </c>
    </row>
    <row r="36">
      <c r="A36" t="inlineStr">
        <is>
          <t>2025-11-21</t>
        </is>
      </c>
      <c r="B36" t="n">
        <v>35</v>
      </c>
      <c r="C36" t="n">
        <v>5</v>
      </c>
      <c r="D36" t="inlineStr"/>
      <c r="E36" t="n">
        <v>12</v>
      </c>
      <c r="F36" t="n">
        <v>15</v>
      </c>
      <c r="G36" t="n">
        <v>6</v>
      </c>
      <c r="H36" t="n">
        <v>5</v>
      </c>
      <c r="I36" t="n">
        <v>8</v>
      </c>
      <c r="J36" t="n">
        <v>4</v>
      </c>
      <c r="K36" t="inlineStr"/>
      <c r="L36" t="inlineStr"/>
      <c r="M36" t="inlineStr"/>
      <c r="N36" t="inlineStr"/>
      <c r="O36" t="inlineStr"/>
      <c r="P36" t="n">
        <v>5</v>
      </c>
      <c r="Q36" t="n">
        <v>5</v>
      </c>
      <c r="R36">
        <f>SUM(B36:Q36)</f>
        <v/>
      </c>
    </row>
    <row r="37">
      <c r="A37" t="inlineStr">
        <is>
          <t>2025-12-19</t>
        </is>
      </c>
      <c r="B37" t="n">
        <v>32</v>
      </c>
      <c r="C37" t="n">
        <v>5</v>
      </c>
      <c r="D37" t="n">
        <v>5</v>
      </c>
      <c r="E37" t="n">
        <v>12</v>
      </c>
      <c r="F37" t="n">
        <v>13</v>
      </c>
      <c r="G37" t="n">
        <v>6</v>
      </c>
      <c r="H37" t="n">
        <v>5</v>
      </c>
      <c r="I37" t="n">
        <v>8</v>
      </c>
      <c r="J37" t="n">
        <v>4</v>
      </c>
      <c r="K37" t="inlineStr"/>
      <c r="L37" t="inlineStr"/>
      <c r="M37" t="inlineStr"/>
      <c r="N37" t="inlineStr"/>
      <c r="O37" t="inlineStr"/>
      <c r="P37" t="n">
        <v>5</v>
      </c>
      <c r="Q37" t="n">
        <v>5</v>
      </c>
      <c r="R37">
        <f>SUM(B37:Q37)</f>
        <v/>
      </c>
    </row>
    <row r="38">
      <c r="A38" t="inlineStr">
        <is>
          <t>2026-01-16</t>
        </is>
      </c>
      <c r="B38" t="n">
        <v>30</v>
      </c>
      <c r="C38" t="n">
        <v>5</v>
      </c>
      <c r="D38" t="n">
        <v>7</v>
      </c>
      <c r="E38" t="n">
        <v>12</v>
      </c>
      <c r="F38" t="n">
        <v>13</v>
      </c>
      <c r="G38" t="n">
        <v>6</v>
      </c>
      <c r="H38" t="n">
        <v>5</v>
      </c>
      <c r="I38" t="n">
        <v>8</v>
      </c>
      <c r="J38" t="n">
        <v>4</v>
      </c>
      <c r="K38" t="inlineStr"/>
      <c r="L38" t="inlineStr"/>
      <c r="M38" t="inlineStr"/>
      <c r="N38" t="inlineStr"/>
      <c r="O38" t="inlineStr"/>
      <c r="P38" t="n">
        <v>5</v>
      </c>
      <c r="Q38" t="n">
        <v>5</v>
      </c>
      <c r="R38">
        <f>SUM(B38:Q38)</f>
        <v/>
      </c>
    </row>
    <row r="39">
      <c r="A39" t="inlineStr">
        <is>
          <t>2026-02-20</t>
        </is>
      </c>
      <c r="B39" t="n">
        <v>30</v>
      </c>
      <c r="C39" t="n">
        <v>5</v>
      </c>
      <c r="D39" t="n">
        <v>7</v>
      </c>
      <c r="E39" t="n">
        <v>12</v>
      </c>
      <c r="F39" t="n">
        <v>13</v>
      </c>
      <c r="G39" t="n">
        <v>6</v>
      </c>
      <c r="H39" t="n">
        <v>5</v>
      </c>
      <c r="I39" t="n">
        <v>8</v>
      </c>
      <c r="J39" t="n">
        <v>4</v>
      </c>
      <c r="K39" t="inlineStr"/>
      <c r="L39" t="inlineStr"/>
      <c r="M39" t="inlineStr"/>
      <c r="N39" t="inlineStr"/>
      <c r="O39" t="inlineStr"/>
      <c r="P39" t="n">
        <v>3</v>
      </c>
      <c r="Q39" t="n">
        <v>7</v>
      </c>
      <c r="R39">
        <f>SUM(B39:Q39)</f>
        <v/>
      </c>
    </row>
    <row r="40">
      <c r="A40" t="inlineStr">
        <is>
          <t>2026-03-20</t>
        </is>
      </c>
      <c r="B40" t="n">
        <v>30</v>
      </c>
      <c r="C40" t="n">
        <v>5</v>
      </c>
      <c r="D40" t="n">
        <v>7</v>
      </c>
      <c r="E40" t="n">
        <v>12</v>
      </c>
      <c r="F40" t="n">
        <v>13</v>
      </c>
      <c r="G40" t="n">
        <v>6</v>
      </c>
      <c r="H40" t="n">
        <v>5</v>
      </c>
      <c r="I40" t="n">
        <v>8</v>
      </c>
      <c r="J40" t="n">
        <v>4</v>
      </c>
      <c r="K40" t="inlineStr"/>
      <c r="L40" t="inlineStr"/>
      <c r="M40" t="inlineStr"/>
      <c r="N40" t="inlineStr"/>
      <c r="O40" t="inlineStr"/>
      <c r="P40" t="n">
        <v>3</v>
      </c>
      <c r="Q40" t="n">
        <v>7</v>
      </c>
      <c r="R40">
        <f>SUM(B40:Q40)</f>
        <v/>
      </c>
    </row>
    <row r="41">
      <c r="A41" t="inlineStr">
        <is>
          <t>2026-04-17</t>
        </is>
      </c>
      <c r="B41" t="n">
        <v>32</v>
      </c>
      <c r="C41" t="n">
        <v>5</v>
      </c>
      <c r="D41" t="n">
        <v>7</v>
      </c>
      <c r="E41" t="n">
        <v>12</v>
      </c>
      <c r="F41" t="n">
        <v>13</v>
      </c>
      <c r="G41" t="n">
        <v>6</v>
      </c>
      <c r="H41" t="n">
        <v>5</v>
      </c>
      <c r="I41" t="n">
        <v>8</v>
      </c>
      <c r="J41" t="n">
        <v>4</v>
      </c>
      <c r="K41" t="inlineStr"/>
      <c r="L41" t="inlineStr"/>
      <c r="M41" t="inlineStr"/>
      <c r="N41" t="inlineStr"/>
      <c r="O41" t="inlineStr"/>
      <c r="P41" t="n">
        <v>3</v>
      </c>
      <c r="Q41" t="n">
        <v>5</v>
      </c>
      <c r="R41">
        <f>SUM(B41:Q41)</f>
        <v/>
      </c>
    </row>
    <row r="42">
      <c r="A42" t="inlineStr">
        <is>
          <t>2026-05-15</t>
        </is>
      </c>
      <c r="B42" t="n">
        <v>32</v>
      </c>
      <c r="C42" t="n">
        <v>5</v>
      </c>
      <c r="D42" t="n">
        <v>7</v>
      </c>
      <c r="E42" t="n">
        <v>12</v>
      </c>
      <c r="F42" t="n">
        <v>13</v>
      </c>
      <c r="G42" t="n">
        <v>6</v>
      </c>
      <c r="H42" t="n">
        <v>5</v>
      </c>
      <c r="I42" t="n">
        <v>8</v>
      </c>
      <c r="J42" t="n">
        <v>4</v>
      </c>
      <c r="K42" t="inlineStr"/>
      <c r="L42" t="inlineStr"/>
      <c r="M42" t="inlineStr"/>
      <c r="N42" t="inlineStr"/>
      <c r="O42" t="inlineStr"/>
      <c r="P42" t="n">
        <v>3</v>
      </c>
      <c r="Q42" t="n">
        <v>5</v>
      </c>
      <c r="R42">
        <f>SUM(B42:Q42)</f>
        <v/>
      </c>
    </row>
    <row r="43">
      <c r="A43" t="inlineStr">
        <is>
          <t>2026-06-19</t>
        </is>
      </c>
      <c r="B43" t="n">
        <v>33.5</v>
      </c>
      <c r="C43" t="n">
        <v>5</v>
      </c>
      <c r="D43" t="n">
        <v>7</v>
      </c>
      <c r="E43" t="n">
        <v>12</v>
      </c>
      <c r="F43" t="n">
        <v>13</v>
      </c>
      <c r="G43" t="n">
        <v>6</v>
      </c>
      <c r="H43" t="n">
        <v>5</v>
      </c>
      <c r="I43" t="n">
        <v>8</v>
      </c>
      <c r="J43" t="n">
        <v>4</v>
      </c>
      <c r="K43" t="inlineStr"/>
      <c r="L43" t="inlineStr"/>
      <c r="M43" t="inlineStr"/>
      <c r="N43" t="inlineStr"/>
      <c r="O43" t="inlineStr"/>
      <c r="P43" t="n">
        <v>1.5</v>
      </c>
      <c r="Q43" t="n">
        <v>5</v>
      </c>
      <c r="R43">
        <f>SUM(B43:Q43)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2" t="inlineStr">
        <is>
          <t>Hotline Date</t>
        </is>
      </c>
      <c r="B1" s="2" t="inlineStr">
        <is>
          <t>Change</t>
        </is>
      </c>
    </row>
    <row r="2">
      <c r="A2" t="inlineStr">
        <is>
          <t>2023-01-13</t>
        </is>
      </c>
      <c r="B2" t="inlineStr">
        <is>
          <t>Exited Direxion Daily S&amp;P 500 Bear 1X ETF (SPDN) inverse hedge</t>
        </is>
      </c>
    </row>
    <row r="3">
      <c r="A3" t="inlineStr">
        <is>
          <t>2023-02-03</t>
        </is>
      </c>
      <c r="B3" t="inlineStr">
        <is>
          <t>Increased XLI 6-&gt;8%; increased GDX 5-&gt;6%</t>
        </is>
      </c>
    </row>
    <row r="4">
      <c r="A4" t="inlineStr">
        <is>
          <t>2023-03-23</t>
        </is>
      </c>
      <c r="B4" t="inlineStr">
        <is>
          <t>Exited Financials (XLF); reduced XLE 6-&gt;4%</t>
        </is>
      </c>
    </row>
    <row r="5">
      <c r="A5" t="inlineStr">
        <is>
          <t>2023-06</t>
        </is>
      </c>
      <c r="B5" t="inlineStr">
        <is>
          <t>Ticker change: equal-weight tech RYT -&gt; RSPT</t>
        </is>
      </c>
    </row>
    <row r="6">
      <c r="A6" t="inlineStr">
        <is>
          <t>2023-07-20</t>
        </is>
      </c>
      <c r="B6" t="inlineStr">
        <is>
          <t>Reduced RSPT 6-&gt;4% (took profits); exited Telecomm (FSTCX); initiated NOBL 8%</t>
        </is>
      </c>
    </row>
    <row r="7">
      <c r="A7" t="inlineStr">
        <is>
          <t>2023-09-21 / 10-02</t>
        </is>
      </c>
      <c r="B7" t="inlineStr">
        <is>
          <t>Reduced GDX 6-&gt;4%; XLI 8-&gt;5%; RSPT 4-&gt;3% (cut to 45% invested)</t>
        </is>
      </c>
    </row>
    <row r="8">
      <c r="A8" t="inlineStr">
        <is>
          <t>2023-11-16</t>
        </is>
      </c>
      <c r="B8" t="inlineStr">
        <is>
          <t>Increased NOBL 8-&gt;12% (raised invested 45-&gt;49%)</t>
        </is>
      </c>
    </row>
    <row r="9">
      <c r="A9" t="inlineStr">
        <is>
          <t>2024-03-05</t>
        </is>
      </c>
      <c r="B9" t="inlineStr">
        <is>
          <t>Raised NOBL 12-&gt;16%</t>
        </is>
      </c>
    </row>
    <row r="10">
      <c r="A10" t="inlineStr">
        <is>
          <t>2024-03-21</t>
        </is>
      </c>
      <c r="B10" t="inlineStr">
        <is>
          <t>Initiated iShares Russell 2000 (IWM) 3%; raised XLE 4-&gt;6%</t>
        </is>
      </c>
    </row>
    <row r="11">
      <c r="A11" t="inlineStr">
        <is>
          <t>2024-08-02</t>
        </is>
      </c>
      <c r="B11" t="inlineStr">
        <is>
          <t>Sold IWM 3% (raised cash 42-&gt;45%)</t>
        </is>
      </c>
    </row>
    <row r="12">
      <c r="A12" t="inlineStr">
        <is>
          <t>2024-10-25</t>
        </is>
      </c>
      <c r="B12" t="inlineStr">
        <is>
          <t>Rebalance: XLI 5-&gt;6%; GDX 4-&gt;5%</t>
        </is>
      </c>
    </row>
    <row r="13">
      <c r="A13" t="inlineStr">
        <is>
          <t>2024-12-04</t>
        </is>
      </c>
      <c r="B13" t="inlineStr">
        <is>
          <t>Raised XLU 2-&gt;4%; XLI 6-&gt;8%</t>
        </is>
      </c>
    </row>
    <row r="14">
      <c r="A14" t="inlineStr">
        <is>
          <t>2025-01-10</t>
        </is>
      </c>
      <c r="B14" t="inlineStr">
        <is>
          <t>Initiated 3% SPDN bear fund (first hedge of cycle)</t>
        </is>
      </c>
    </row>
    <row r="15">
      <c r="A15" t="inlineStr">
        <is>
          <t>2025-04-04</t>
        </is>
      </c>
      <c r="B15" t="inlineStr">
        <is>
          <t>Sold RSPT entirely</t>
        </is>
      </c>
    </row>
    <row r="16">
      <c r="A16" t="inlineStr">
        <is>
          <t>2025-04-09</t>
        </is>
      </c>
      <c r="B16" t="inlineStr">
        <is>
          <t>Trimmed GDX 5-&gt;4% (cash 36-&gt;40%)</t>
        </is>
      </c>
    </row>
    <row r="17">
      <c r="A17" t="inlineStr">
        <is>
          <t>2025-06-06</t>
        </is>
      </c>
      <c r="B17" t="inlineStr">
        <is>
          <t>Sold 3% SPDN bear fund (weak Selling Vacuum appeared)</t>
        </is>
      </c>
    </row>
    <row r="18">
      <c r="A18" t="inlineStr">
        <is>
          <t>2025-09-04</t>
        </is>
      </c>
      <c r="B18" t="inlineStr">
        <is>
          <t>Bought 5% IBTM Treasury ETF (cash 43-&gt;38%)</t>
        </is>
      </c>
    </row>
    <row r="19">
      <c r="A19" t="inlineStr">
        <is>
          <t>2025-10-17</t>
        </is>
      </c>
      <c r="B19" t="inlineStr">
        <is>
          <t>Rebalance: GDX 4-&gt;7%, XLP 7-&gt;6%, XLE 6-&gt;5%, NOBL 16-&gt;15%</t>
        </is>
      </c>
    </row>
    <row r="20">
      <c r="A20" t="inlineStr">
        <is>
          <t>2025-10-24</t>
        </is>
      </c>
      <c r="B20" t="inlineStr">
        <is>
          <t>Trimmed GDX 7-&gt;5%</t>
        </is>
      </c>
    </row>
    <row r="21">
      <c r="A21" t="inlineStr">
        <is>
          <t>2025-11-03</t>
        </is>
      </c>
      <c r="B21" t="inlineStr">
        <is>
          <t>Initiated 5% SPDN bear fund</t>
        </is>
      </c>
    </row>
    <row r="22">
      <c r="A22" t="inlineStr">
        <is>
          <t>2025-12-09</t>
        </is>
      </c>
      <c r="B22" t="inlineStr">
        <is>
          <t>Trimmed NOBL 15-&gt;13%; initiated 5% TRMCX value fund</t>
        </is>
      </c>
    </row>
    <row r="23">
      <c r="A23" t="inlineStr">
        <is>
          <t>2026-01-16</t>
        </is>
      </c>
      <c r="B23" t="inlineStr">
        <is>
          <t>Increased TRMCX 5-&gt;7%</t>
        </is>
      </c>
    </row>
    <row r="24">
      <c r="A24" t="inlineStr">
        <is>
          <t>2026-02</t>
        </is>
      </c>
      <c r="B24" t="inlineStr">
        <is>
          <t>Decreased GDX 5-&gt;3% (took profits); increased SPDN 5-&gt;7%</t>
        </is>
      </c>
    </row>
    <row r="25">
      <c r="A25" t="inlineStr">
        <is>
          <t>2026-04-16</t>
        </is>
      </c>
      <c r="B25" t="inlineStr">
        <is>
          <t>Decreased SPDN 7-&gt;5% (Selling Vacuum reemerged)</t>
        </is>
      </c>
    </row>
    <row r="26">
      <c r="A26" t="inlineStr">
        <is>
          <t>2026-06-12</t>
        </is>
      </c>
      <c r="B26" t="inlineStr">
        <is>
          <t>Decreased GDX 3-&gt;1.5% (cash to 33.5%; net equity 51.5%)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24" customWidth="1" min="3" max="3"/>
  </cols>
  <sheetData>
    <row r="1">
      <c r="A1" s="2" t="inlineStr">
        <is>
          <t>Symbol</t>
        </is>
      </c>
      <c r="B1" s="2" t="inlineStr">
        <is>
          <t>Fund / Instrument</t>
        </is>
      </c>
      <c r="C1" s="2" t="inlineStr">
        <is>
          <t>Role</t>
        </is>
      </c>
    </row>
    <row r="2">
      <c r="A2" t="inlineStr">
        <is>
          <t>Cash/T-Bills/MMF</t>
        </is>
      </c>
      <c r="B2" t="inlineStr">
        <is>
          <t>T-Bills / Cash / Money Market</t>
        </is>
      </c>
      <c r="C2" t="inlineStr">
        <is>
          <t>Cash reserve (risk dial)</t>
        </is>
      </c>
    </row>
    <row r="3">
      <c r="A3" t="inlineStr">
        <is>
          <t>IBTM</t>
        </is>
      </c>
      <c r="B3" t="inlineStr">
        <is>
          <t>iShares iBonds Dec 2032 Term Treasury ETF</t>
        </is>
      </c>
      <c r="C3" t="inlineStr">
        <is>
          <t>Treasury ballast</t>
        </is>
      </c>
    </row>
    <row r="4">
      <c r="A4" t="inlineStr">
        <is>
          <t>TRMCX</t>
        </is>
      </c>
      <c r="B4" t="inlineStr">
        <is>
          <t>T. Rowe Price Mid-Cap Value Fund</t>
        </is>
      </c>
      <c r="C4" t="inlineStr">
        <is>
          <t>Value equity</t>
        </is>
      </c>
    </row>
    <row r="5">
      <c r="A5" t="inlineStr">
        <is>
          <t>XLV</t>
        </is>
      </c>
      <c r="B5" t="inlineStr">
        <is>
          <t>Health Care Select Sector SPDR</t>
        </is>
      </c>
      <c r="C5" t="inlineStr">
        <is>
          <t>Defensive core</t>
        </is>
      </c>
    </row>
    <row r="6">
      <c r="A6" t="inlineStr">
        <is>
          <t>NOBL</t>
        </is>
      </c>
      <c r="B6" t="inlineStr">
        <is>
          <t>ProShares S&amp;P 500 Dividend Aristocrats</t>
        </is>
      </c>
      <c r="C6" t="inlineStr">
        <is>
          <t>Dividend/quality core</t>
        </is>
      </c>
    </row>
    <row r="7">
      <c r="A7" t="inlineStr">
        <is>
          <t>XLP</t>
        </is>
      </c>
      <c r="B7" t="inlineStr">
        <is>
          <t>Consumer Staples Select Sector SPDR</t>
        </is>
      </c>
      <c r="C7" t="inlineStr">
        <is>
          <t>Defensive core</t>
        </is>
      </c>
    </row>
    <row r="8">
      <c r="A8" t="inlineStr">
        <is>
          <t>XLE</t>
        </is>
      </c>
      <c r="B8" t="inlineStr">
        <is>
          <t>Energy Select Sector SPDR</t>
        </is>
      </c>
      <c r="C8" t="inlineStr">
        <is>
          <t>Cyclical</t>
        </is>
      </c>
    </row>
    <row r="9">
      <c r="A9" t="inlineStr">
        <is>
          <t>XLI</t>
        </is>
      </c>
      <c r="B9" t="inlineStr">
        <is>
          <t>Industrial Select Sector SPDR</t>
        </is>
      </c>
      <c r="C9" t="inlineStr">
        <is>
          <t>Cyclical</t>
        </is>
      </c>
    </row>
    <row r="10">
      <c r="A10" t="inlineStr">
        <is>
          <t>XLU</t>
        </is>
      </c>
      <c r="B10" t="inlineStr">
        <is>
          <t>Utilities Select Sector SPDR</t>
        </is>
      </c>
      <c r="C10" t="inlineStr">
        <is>
          <t>Defensive core</t>
        </is>
      </c>
    </row>
    <row r="11">
      <c r="A11" t="inlineStr">
        <is>
          <t>RYT</t>
        </is>
      </c>
      <c r="B11" t="inlineStr">
        <is>
          <t>Invesco S&amp;P 500 Equal Weight Technology (old ticker)</t>
        </is>
      </c>
      <c r="C11" t="inlineStr">
        <is>
          <t>Tech (exited)</t>
        </is>
      </c>
    </row>
    <row r="12">
      <c r="A12" t="inlineStr">
        <is>
          <t>RSPT</t>
        </is>
      </c>
      <c r="B12" t="inlineStr">
        <is>
          <t>Invesco S&amp;P 500 Equal Weight Technology</t>
        </is>
      </c>
      <c r="C12" t="inlineStr">
        <is>
          <t>Tech (exited)</t>
        </is>
      </c>
    </row>
    <row r="13">
      <c r="A13" t="inlineStr">
        <is>
          <t>FSTCX</t>
        </is>
      </c>
      <c r="B13" t="inlineStr">
        <is>
          <t>Fidelity Select Communication Services</t>
        </is>
      </c>
      <c r="C13" t="inlineStr">
        <is>
          <t>Telecomm (exited)</t>
        </is>
      </c>
    </row>
    <row r="14">
      <c r="A14" t="inlineStr">
        <is>
          <t>XLF</t>
        </is>
      </c>
      <c r="B14" t="inlineStr">
        <is>
          <t>Financial Select Sector SPDR</t>
        </is>
      </c>
      <c r="C14" t="inlineStr">
        <is>
          <t>Financials (exited)</t>
        </is>
      </c>
    </row>
    <row r="15">
      <c r="A15" t="inlineStr">
        <is>
          <t>IWM</t>
        </is>
      </c>
      <c r="B15" t="inlineStr">
        <is>
          <t>iShares Russell 2000 ETF</t>
        </is>
      </c>
      <c r="C15" t="inlineStr">
        <is>
          <t>Small-cap (brief)</t>
        </is>
      </c>
    </row>
    <row r="16">
      <c r="A16" t="inlineStr">
        <is>
          <t>GDX</t>
        </is>
      </c>
      <c r="B16" t="inlineStr">
        <is>
          <t>VanEck Gold Miners ETF</t>
        </is>
      </c>
      <c r="C16" t="inlineStr">
        <is>
          <t>Gold hedge</t>
        </is>
      </c>
    </row>
    <row r="17">
      <c r="A17" t="inlineStr">
        <is>
          <t>SPDN</t>
        </is>
      </c>
      <c r="B17" t="inlineStr">
        <is>
          <t>Direxion Daily S&amp;P 500 Bear 1X ETF</t>
        </is>
      </c>
      <c r="C17" t="inlineStr">
        <is>
          <t>Inverse/bear hedge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InvesTech Research - Structured Dataset (Jan 2023 - Jun 2026)</t>
        </is>
      </c>
    </row>
    <row r="2">
      <c r="A2" t="inlineStr"/>
    </row>
    <row r="3">
      <c r="A3" t="inlineStr">
        <is>
          <t>Source: 42 monthly InvesTech Research newsletter PDFs (Vol23 Iss01 - Vol26 Iss06).</t>
        </is>
      </c>
    </row>
    <row r="4">
      <c r="A4" t="inlineStr">
        <is>
          <t>Compiled for TFR Trading desk research. One row per monthly issue.</t>
        </is>
      </c>
    </row>
    <row r="5">
      <c r="A5" t="inlineStr"/>
    </row>
    <row r="6">
      <c r="A6" s="4" t="inlineStr">
        <is>
          <t>DEFINITIONS</t>
        </is>
      </c>
    </row>
    <row r="7">
      <c r="A7" t="inlineStr">
        <is>
          <t>Net Equity % = InvesTech's reported net equity exposure (long equity minus inverse/bear fund).</t>
        </is>
      </c>
    </row>
    <row r="8">
      <c r="A8" t="inlineStr">
        <is>
          <t xml:space="preserve">  For 2023-2024 there is no inverse or Treasury sleeve most months, so Net Equity = invested allocation.</t>
        </is>
      </c>
    </row>
    <row r="9">
      <c r="A9" t="inlineStr">
        <is>
          <t xml:space="preserve">  From 2025 the model adds an inverse bear fund (SPDN) and a Treasury ETF (IBTM):</t>
        </is>
      </c>
    </row>
    <row r="10">
      <c r="A10" t="inlineStr">
        <is>
          <t xml:space="preserve">  Net Equity = long equity - SPDN.  'Invested' (100 - cash) is HIGHER because it includes IBTM + SPDN.</t>
        </is>
      </c>
    </row>
    <row r="11">
      <c r="A11" t="inlineStr">
        <is>
          <t>Cash % = T-Bills / Cash / Money Market line of the Model Fund Portfolio (the firm's primary risk dial).</t>
        </is>
      </c>
    </row>
    <row r="12">
      <c r="A12" t="inlineStr">
        <is>
          <t>NLC = Negative Leadership Composite. Positive = bullish 'Selling Vacuum' (needs &gt;+20 to confirm).</t>
        </is>
      </c>
    </row>
    <row r="13">
      <c r="A13" t="inlineStr">
        <is>
          <t xml:space="preserve">  Negative = bearish 'Distribution' (-100 = maximum danger). Blank = no numeric value printed that issue.</t>
        </is>
      </c>
    </row>
    <row r="14">
      <c r="A14" t="inlineStr">
        <is>
          <t>S&amp;P P/E = trailing P/E from the cover '4 Weeks Ending' data table; long-run avg ~17.6-17.9.</t>
        </is>
      </c>
    </row>
    <row r="15">
      <c r="A15" t="inlineStr"/>
    </row>
    <row r="16">
      <c r="A16" s="4" t="inlineStr">
        <is>
          <t>CAVEATS / DATA-QUALITY NOTES</t>
        </is>
      </c>
    </row>
    <row r="17">
      <c r="A17" t="inlineStr">
        <is>
          <t>- Holdings every month validated to sum to 100% (see Holdings_Matrix SUM column).</t>
        </is>
      </c>
    </row>
    <row r="18">
      <c r="A18" t="inlineStr">
        <is>
          <t>- Feb/Mar 2023: an OCR pass mislabeled a spurious 'Bear Fund 12%' slice; verified false (would sum to 112%). Removed.</t>
        </is>
      </c>
    </row>
    <row r="19">
      <c r="A19" t="inlineStr">
        <is>
          <t>- Nov 2023 PDF masthead mislabels the issue 'Vol23 Iss10'; it is chronologically Issue 11 (dated Nov 17). Recorded as V23I11.</t>
        </is>
      </c>
    </row>
    <row r="20">
      <c r="A20" t="inlineStr">
        <is>
          <t>- Jun 2026 NOBL price line resets reflect a share split/adjustment, not a holding change.</t>
        </is>
      </c>
    </row>
    <row r="21">
      <c r="A21" t="inlineStr">
        <is>
          <t>- A few issues print no numeric NLC value; regime described qualitatively in 'NLC Regime'.</t>
        </is>
      </c>
    </row>
    <row r="22">
      <c r="A22" t="inlineStr">
        <is>
          <t>- Equal-weight tech ticker changed RYT -&gt; RSPT in Jun 2023 (same exposure).</t>
        </is>
      </c>
    </row>
    <row r="23">
      <c r="A23" t="inlineStr"/>
    </row>
    <row r="24">
      <c r="A24" s="4" t="inlineStr">
        <is>
          <t>PROPRIETARY INDICES TRACKED BUT NOT HELD (candidates to reconstruct as live feeds):</t>
        </is>
      </c>
    </row>
    <row r="25">
      <c r="A25" t="inlineStr">
        <is>
          <t xml:space="preserve">  Gorilla Index (top-10 mega-caps, ~33% of S&amp;P), AI Index (9 names), plus Canary, Cockroach,</t>
        </is>
      </c>
    </row>
    <row r="26">
      <c r="A26" t="inlineStr">
        <is>
          <t xml:space="preserve">  Housing Bellwether, A/D Divergence, and Investor Psychology Barometer (IIPB).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2026-06-30T19:05:41Z</dcterms:created>
  <dcterms:modified xsi:type="dcterms:W3CDTF">2026-06-30T19:05:41Z</dcterms:modified>
</cp:coreProperties>
</file>