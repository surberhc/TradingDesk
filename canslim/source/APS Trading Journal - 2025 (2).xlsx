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ug\Documents\"/>
    </mc:Choice>
  </mc:AlternateContent>
  <xr:revisionPtr revIDLastSave="0" documentId="13_ncr:1_{28AAF1D3-5418-4AC6-BF4E-D47BB061A5D4}" xr6:coauthVersionLast="47" xr6:coauthVersionMax="47" xr10:uidLastSave="{00000000-0000-0000-0000-000000000000}"/>
  <bookViews>
    <workbookView xWindow="-120" yWindow="-120" windowWidth="29040" windowHeight="15840" firstSheet="40" activeTab="51" xr2:uid="{648B4207-EF52-4AD7-AA27-6EE0DC70B22A}"/>
  </bookViews>
  <sheets>
    <sheet name="01-03-25" sheetId="1" r:id="rId1"/>
    <sheet name="01-10-25" sheetId="2" r:id="rId2"/>
    <sheet name="01-17-25" sheetId="3" r:id="rId3"/>
    <sheet name="01-24-25" sheetId="4" r:id="rId4"/>
    <sheet name="01-31-25" sheetId="5" r:id="rId5"/>
    <sheet name="02-07-25" sheetId="6" r:id="rId6"/>
    <sheet name="02-14-25" sheetId="7" r:id="rId7"/>
    <sheet name="02-21-25" sheetId="8" r:id="rId8"/>
    <sheet name="02-28-25" sheetId="9" r:id="rId9"/>
    <sheet name="03-07-25" sheetId="10" r:id="rId10"/>
    <sheet name="03-14-25" sheetId="11" r:id="rId11"/>
    <sheet name="03-21-25" sheetId="12" r:id="rId12"/>
    <sheet name="03-28-25" sheetId="13" r:id="rId13"/>
    <sheet name="04-04-25" sheetId="14" r:id="rId14"/>
    <sheet name="04-11-25" sheetId="15" r:id="rId15"/>
    <sheet name="04-18-25" sheetId="16" r:id="rId16"/>
    <sheet name="04-25-25" sheetId="17" r:id="rId17"/>
    <sheet name="05-02-25" sheetId="18" r:id="rId18"/>
    <sheet name="05-09-25" sheetId="19" r:id="rId19"/>
    <sheet name="05-16-25" sheetId="20" r:id="rId20"/>
    <sheet name="05-23-25" sheetId="21" r:id="rId21"/>
    <sheet name="05-30-25" sheetId="22" r:id="rId22"/>
    <sheet name="06-07-25" sheetId="23" r:id="rId23"/>
    <sheet name="06-13-25" sheetId="24" r:id="rId24"/>
    <sheet name="06-20-25" sheetId="25" r:id="rId25"/>
    <sheet name="06-27-25" sheetId="26" r:id="rId26"/>
    <sheet name="07-04-25" sheetId="27" r:id="rId27"/>
    <sheet name="07-11-25" sheetId="28" r:id="rId28"/>
    <sheet name="07-18-25" sheetId="29" r:id="rId29"/>
    <sheet name="07-25-25" sheetId="30" r:id="rId30"/>
    <sheet name="08-01-25" sheetId="31" r:id="rId31"/>
    <sheet name="08-08-25" sheetId="32" r:id="rId32"/>
    <sheet name="08-15-25" sheetId="33" r:id="rId33"/>
    <sheet name="08-22-25" sheetId="34" r:id="rId34"/>
    <sheet name="08-29-25" sheetId="35" r:id="rId35"/>
    <sheet name="09-05-25" sheetId="36" r:id="rId36"/>
    <sheet name="09-12-25" sheetId="37" r:id="rId37"/>
    <sheet name="09-19-25" sheetId="38" r:id="rId38"/>
    <sheet name="09-26-25" sheetId="39" r:id="rId39"/>
    <sheet name="10-03-25" sheetId="40" r:id="rId40"/>
    <sheet name="10-10-24" sheetId="41" r:id="rId41"/>
    <sheet name="10-17-25" sheetId="42" r:id="rId42"/>
    <sheet name="10-24-25" sheetId="43" r:id="rId43"/>
    <sheet name="10-31-25" sheetId="44" r:id="rId44"/>
    <sheet name="11-07-25" sheetId="45" r:id="rId45"/>
    <sheet name="11-14-25" sheetId="46" r:id="rId46"/>
    <sheet name="11-21-25" sheetId="47" r:id="rId47"/>
    <sheet name="11-28-25" sheetId="48" r:id="rId48"/>
    <sheet name="12-05-25" sheetId="49" r:id="rId49"/>
    <sheet name="12-12-25" sheetId="50" r:id="rId50"/>
    <sheet name="12-19-25" sheetId="51" r:id="rId51"/>
    <sheet name="12-26-25" sheetId="52" r:id="rId52"/>
  </sheets>
  <externalReferences>
    <externalReference r:id="rId5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52" l="1"/>
  <c r="M70" i="52"/>
  <c r="I70" i="52"/>
  <c r="J70" i="52" s="1"/>
  <c r="F70" i="52"/>
  <c r="E70" i="52"/>
  <c r="D70" i="52"/>
  <c r="H70" i="52" s="1"/>
  <c r="M69" i="52"/>
  <c r="I69" i="52"/>
  <c r="J69" i="52" s="1"/>
  <c r="H69" i="52"/>
  <c r="E69" i="52"/>
  <c r="M68" i="52"/>
  <c r="I68" i="52"/>
  <c r="J68" i="52" s="1"/>
  <c r="H68" i="52"/>
  <c r="E68" i="52"/>
  <c r="M67" i="52"/>
  <c r="I67" i="52"/>
  <c r="J67" i="52" s="1"/>
  <c r="H67" i="52"/>
  <c r="E67" i="52"/>
  <c r="M66" i="52"/>
  <c r="J66" i="52"/>
  <c r="I66" i="52"/>
  <c r="H66" i="52"/>
  <c r="E66" i="52"/>
  <c r="M65" i="52"/>
  <c r="I65" i="52"/>
  <c r="J65" i="52" s="1"/>
  <c r="F65" i="52"/>
  <c r="E65" i="52"/>
  <c r="D65" i="52"/>
  <c r="H65" i="52" s="1"/>
  <c r="M64" i="52"/>
  <c r="H64" i="52"/>
  <c r="F64" i="52"/>
  <c r="I64" i="52" s="1"/>
  <c r="J64" i="52" s="1"/>
  <c r="D64" i="52"/>
  <c r="M63" i="52"/>
  <c r="I63" i="52"/>
  <c r="J63" i="52" s="1"/>
  <c r="H63" i="52"/>
  <c r="E63" i="52"/>
  <c r="M62" i="52"/>
  <c r="H62" i="52"/>
  <c r="F62" i="52"/>
  <c r="I62" i="52" s="1"/>
  <c r="J62" i="52" s="1"/>
  <c r="D62" i="52"/>
  <c r="M61" i="52"/>
  <c r="I61" i="52"/>
  <c r="J61" i="52" s="1"/>
  <c r="H61" i="52"/>
  <c r="E61" i="52"/>
  <c r="M60" i="52"/>
  <c r="G60" i="52"/>
  <c r="I60" i="52" s="1"/>
  <c r="J60" i="52" s="1"/>
  <c r="F60" i="52"/>
  <c r="E60" i="52" s="1"/>
  <c r="D60" i="52"/>
  <c r="M59" i="52"/>
  <c r="I59" i="52"/>
  <c r="J59" i="52" s="1"/>
  <c r="H59" i="52"/>
  <c r="E59" i="52"/>
  <c r="M58" i="52"/>
  <c r="I58" i="52"/>
  <c r="J58" i="52" s="1"/>
  <c r="H58" i="52"/>
  <c r="E58" i="52"/>
  <c r="M57" i="52"/>
  <c r="J57" i="52"/>
  <c r="I57" i="52"/>
  <c r="H57" i="52"/>
  <c r="E57" i="52"/>
  <c r="M56" i="52"/>
  <c r="I56" i="52"/>
  <c r="J56" i="52" s="1"/>
  <c r="F56" i="52"/>
  <c r="E56" i="52"/>
  <c r="D56" i="52"/>
  <c r="H56" i="52" s="1"/>
  <c r="M55" i="52"/>
  <c r="F55" i="52"/>
  <c r="I55" i="52" s="1"/>
  <c r="J55" i="52" s="1"/>
  <c r="D55" i="52"/>
  <c r="H55" i="52" s="1"/>
  <c r="M54" i="52"/>
  <c r="F54" i="52"/>
  <c r="I54" i="52" s="1"/>
  <c r="J54" i="52" s="1"/>
  <c r="D54" i="52"/>
  <c r="H54" i="52" s="1"/>
  <c r="M53" i="52"/>
  <c r="I53" i="52"/>
  <c r="J53" i="52" s="1"/>
  <c r="H53" i="52"/>
  <c r="F53" i="52"/>
  <c r="E53" i="52"/>
  <c r="D53" i="52"/>
  <c r="M52" i="52"/>
  <c r="J52" i="52"/>
  <c r="I52" i="52"/>
  <c r="H52" i="52"/>
  <c r="E52" i="52"/>
  <c r="M51" i="52"/>
  <c r="I51" i="52"/>
  <c r="J51" i="52" s="1"/>
  <c r="H51" i="52"/>
  <c r="E51" i="52"/>
  <c r="M50" i="52"/>
  <c r="F50" i="52"/>
  <c r="I50" i="52" s="1"/>
  <c r="J50" i="52" s="1"/>
  <c r="D50" i="52"/>
  <c r="H50" i="52" s="1"/>
  <c r="M49" i="52"/>
  <c r="I49" i="52"/>
  <c r="J49" i="52" s="1"/>
  <c r="H49" i="52"/>
  <c r="E49" i="52"/>
  <c r="M48" i="52"/>
  <c r="F48" i="52"/>
  <c r="I48" i="52" s="1"/>
  <c r="J48" i="52" s="1"/>
  <c r="D48" i="52"/>
  <c r="H48" i="52" s="1"/>
  <c r="M47" i="52"/>
  <c r="I47" i="52"/>
  <c r="J47" i="52" s="1"/>
  <c r="F47" i="52"/>
  <c r="E47" i="52"/>
  <c r="D47" i="52"/>
  <c r="H47" i="52" s="1"/>
  <c r="M46" i="52"/>
  <c r="G46" i="52"/>
  <c r="I46" i="52" s="1"/>
  <c r="J46" i="52" s="1"/>
  <c r="F46" i="52"/>
  <c r="E46" i="52" s="1"/>
  <c r="M45" i="52"/>
  <c r="J45" i="52"/>
  <c r="I45" i="52"/>
  <c r="H45" i="52"/>
  <c r="E45" i="52"/>
  <c r="M44" i="52"/>
  <c r="G44" i="52"/>
  <c r="I44" i="52" s="1"/>
  <c r="J44" i="52" s="1"/>
  <c r="E44" i="52"/>
  <c r="M43" i="52"/>
  <c r="G43" i="52"/>
  <c r="I43" i="52" s="1"/>
  <c r="J43" i="52" s="1"/>
  <c r="E43" i="52"/>
  <c r="M42" i="52"/>
  <c r="G42" i="52"/>
  <c r="I42" i="52" s="1"/>
  <c r="J42" i="52" s="1"/>
  <c r="E42" i="52"/>
  <c r="M41" i="52"/>
  <c r="G41" i="52"/>
  <c r="I41" i="52" s="1"/>
  <c r="J41" i="52" s="1"/>
  <c r="F41" i="52"/>
  <c r="E41" i="52"/>
  <c r="M40" i="52"/>
  <c r="H40" i="52"/>
  <c r="G40" i="52"/>
  <c r="I40" i="52" s="1"/>
  <c r="J40" i="52" s="1"/>
  <c r="E40" i="52"/>
  <c r="M39" i="52"/>
  <c r="H39" i="52"/>
  <c r="G39" i="52"/>
  <c r="I39" i="52" s="1"/>
  <c r="J39" i="52" s="1"/>
  <c r="E39" i="52"/>
  <c r="M38" i="52"/>
  <c r="H38" i="52"/>
  <c r="G38" i="52"/>
  <c r="I38" i="52" s="1"/>
  <c r="J38" i="52" s="1"/>
  <c r="F38" i="52"/>
  <c r="E38" i="52"/>
  <c r="D38" i="52"/>
  <c r="M37" i="52"/>
  <c r="G37" i="52"/>
  <c r="I37" i="52" s="1"/>
  <c r="J37" i="52" s="1"/>
  <c r="F37" i="52"/>
  <c r="D37" i="52"/>
  <c r="E37" i="52" s="1"/>
  <c r="M36" i="52"/>
  <c r="G36" i="52"/>
  <c r="H36" i="52" s="1"/>
  <c r="F36" i="52"/>
  <c r="E36" i="52" s="1"/>
  <c r="D36" i="52"/>
  <c r="M35" i="52"/>
  <c r="H35" i="52"/>
  <c r="G35" i="52"/>
  <c r="I35" i="52" s="1"/>
  <c r="J35" i="52" s="1"/>
  <c r="E35" i="52"/>
  <c r="M34" i="52"/>
  <c r="H34" i="52"/>
  <c r="G34" i="52"/>
  <c r="I34" i="52" s="1"/>
  <c r="J34" i="52" s="1"/>
  <c r="E34" i="52"/>
  <c r="M33" i="52"/>
  <c r="H33" i="52"/>
  <c r="G33" i="52"/>
  <c r="I33" i="52" s="1"/>
  <c r="J33" i="52" s="1"/>
  <c r="E33" i="52"/>
  <c r="M32" i="52"/>
  <c r="H32" i="52"/>
  <c r="G32" i="52"/>
  <c r="I32" i="52" s="1"/>
  <c r="J32" i="52" s="1"/>
  <c r="F32" i="52"/>
  <c r="E32" i="52"/>
  <c r="M31" i="52"/>
  <c r="G31" i="52"/>
  <c r="H31" i="52" s="1"/>
  <c r="F31" i="52"/>
  <c r="I31" i="52" s="1"/>
  <c r="J31" i="52" s="1"/>
  <c r="M30" i="52"/>
  <c r="J30" i="52"/>
  <c r="I30" i="52"/>
  <c r="H30" i="52"/>
  <c r="E30" i="52"/>
  <c r="M29" i="52"/>
  <c r="I29" i="52"/>
  <c r="J29" i="52" s="1"/>
  <c r="F29" i="52"/>
  <c r="E29" i="52"/>
  <c r="D29" i="52"/>
  <c r="H29" i="52" s="1"/>
  <c r="M28" i="52"/>
  <c r="J28" i="52"/>
  <c r="I28" i="52"/>
  <c r="H28" i="52"/>
  <c r="E28" i="52"/>
  <c r="M27" i="52"/>
  <c r="I27" i="52"/>
  <c r="J27" i="52" s="1"/>
  <c r="H27" i="52"/>
  <c r="E27" i="52"/>
  <c r="M26" i="52"/>
  <c r="I26" i="52"/>
  <c r="H26" i="52"/>
  <c r="E26" i="52"/>
  <c r="L22" i="52"/>
  <c r="V17" i="52"/>
  <c r="U17" i="52"/>
  <c r="T17" i="52"/>
  <c r="R17" i="52"/>
  <c r="L17" i="52"/>
  <c r="H17" i="52"/>
  <c r="W17" i="52" s="1"/>
  <c r="F17" i="52"/>
  <c r="I17" i="52" s="1"/>
  <c r="M17" i="52" s="1"/>
  <c r="V16" i="52"/>
  <c r="U16" i="52"/>
  <c r="T16" i="52"/>
  <c r="R16" i="52"/>
  <c r="L16" i="52"/>
  <c r="I16" i="52"/>
  <c r="M16" i="52" s="1"/>
  <c r="H16" i="52"/>
  <c r="Y16" i="52" s="1"/>
  <c r="F16" i="52"/>
  <c r="V15" i="52"/>
  <c r="U15" i="52"/>
  <c r="T15" i="52"/>
  <c r="R15" i="52"/>
  <c r="L15" i="52"/>
  <c r="J15" i="52"/>
  <c r="I15" i="52"/>
  <c r="M15" i="52" s="1"/>
  <c r="H15" i="52"/>
  <c r="Y15" i="52" s="1"/>
  <c r="F15" i="52"/>
  <c r="W14" i="52"/>
  <c r="V14" i="52"/>
  <c r="U14" i="52"/>
  <c r="T14" i="52"/>
  <c r="R14" i="52"/>
  <c r="L14" i="52"/>
  <c r="J14" i="52"/>
  <c r="I14" i="52"/>
  <c r="M14" i="52" s="1"/>
  <c r="H14" i="52"/>
  <c r="Y14" i="52" s="1"/>
  <c r="F14" i="52"/>
  <c r="Y13" i="52"/>
  <c r="W13" i="52"/>
  <c r="V13" i="52"/>
  <c r="U13" i="52"/>
  <c r="T13" i="52"/>
  <c r="R13" i="52"/>
  <c r="M13" i="52"/>
  <c r="L13" i="52"/>
  <c r="J13" i="52"/>
  <c r="I13" i="52"/>
  <c r="H13" i="52"/>
  <c r="F13" i="52"/>
  <c r="V12" i="52"/>
  <c r="U12" i="52"/>
  <c r="T12" i="52"/>
  <c r="R12" i="52"/>
  <c r="L12" i="52"/>
  <c r="H12" i="52"/>
  <c r="J12" i="52" s="1"/>
  <c r="F12" i="52"/>
  <c r="I12" i="52" s="1"/>
  <c r="M12" i="52" s="1"/>
  <c r="V11" i="52"/>
  <c r="U11" i="52"/>
  <c r="T11" i="52"/>
  <c r="R11" i="52"/>
  <c r="L11" i="52"/>
  <c r="H11" i="52"/>
  <c r="W11" i="52" s="1"/>
  <c r="F11" i="52"/>
  <c r="V10" i="52"/>
  <c r="U10" i="52"/>
  <c r="T10" i="52"/>
  <c r="R10" i="52"/>
  <c r="L10" i="52"/>
  <c r="H10" i="52"/>
  <c r="Y10" i="52" s="1"/>
  <c r="F10" i="52"/>
  <c r="I10" i="52" s="1"/>
  <c r="M10" i="52" s="1"/>
  <c r="V9" i="52"/>
  <c r="U9" i="52"/>
  <c r="T9" i="52"/>
  <c r="R9" i="52"/>
  <c r="L9" i="52"/>
  <c r="G9" i="52"/>
  <c r="G18" i="52" s="1"/>
  <c r="D9" i="52"/>
  <c r="F9" i="52" s="1"/>
  <c r="Y8" i="52"/>
  <c r="V8" i="52"/>
  <c r="U8" i="52"/>
  <c r="T8" i="52"/>
  <c r="R8" i="52"/>
  <c r="L8" i="52"/>
  <c r="H8" i="52"/>
  <c r="J8" i="52" s="1"/>
  <c r="F8" i="52"/>
  <c r="I8" i="52" s="1"/>
  <c r="M8" i="52" s="1"/>
  <c r="V7" i="52"/>
  <c r="U7" i="52"/>
  <c r="T7" i="52"/>
  <c r="R7" i="52"/>
  <c r="L7" i="52"/>
  <c r="H7" i="52"/>
  <c r="W7" i="52" s="1"/>
  <c r="F7" i="52"/>
  <c r="I7" i="52" s="1"/>
  <c r="I21" i="51"/>
  <c r="M70" i="51"/>
  <c r="F70" i="51"/>
  <c r="I70" i="51" s="1"/>
  <c r="J70" i="51" s="1"/>
  <c r="D70" i="51"/>
  <c r="E70" i="51" s="1"/>
  <c r="M69" i="51"/>
  <c r="I69" i="51"/>
  <c r="J69" i="51" s="1"/>
  <c r="H69" i="51"/>
  <c r="E69" i="51"/>
  <c r="M68" i="51"/>
  <c r="J68" i="51"/>
  <c r="I68" i="51"/>
  <c r="H68" i="51"/>
  <c r="E68" i="51"/>
  <c r="M67" i="51"/>
  <c r="J67" i="51"/>
  <c r="I67" i="51"/>
  <c r="H67" i="51"/>
  <c r="E67" i="51"/>
  <c r="M66" i="51"/>
  <c r="I66" i="51"/>
  <c r="J66" i="51" s="1"/>
  <c r="H66" i="51"/>
  <c r="E66" i="51"/>
  <c r="M65" i="51"/>
  <c r="H65" i="51"/>
  <c r="F65" i="51"/>
  <c r="I65" i="51" s="1"/>
  <c r="J65" i="51" s="1"/>
  <c r="D65" i="51"/>
  <c r="M64" i="51"/>
  <c r="I64" i="51"/>
  <c r="J64" i="51" s="1"/>
  <c r="F64" i="51"/>
  <c r="E64" i="51"/>
  <c r="D64" i="51"/>
  <c r="H64" i="51" s="1"/>
  <c r="M63" i="51"/>
  <c r="J63" i="51"/>
  <c r="I63" i="51"/>
  <c r="H63" i="51"/>
  <c r="E63" i="51"/>
  <c r="M62" i="51"/>
  <c r="I62" i="51"/>
  <c r="J62" i="51" s="1"/>
  <c r="F62" i="51"/>
  <c r="E62" i="51"/>
  <c r="D62" i="51"/>
  <c r="H62" i="51" s="1"/>
  <c r="M61" i="51"/>
  <c r="J61" i="51"/>
  <c r="I61" i="51"/>
  <c r="H61" i="51"/>
  <c r="E61" i="51"/>
  <c r="M60" i="51"/>
  <c r="I60" i="51"/>
  <c r="J60" i="51" s="1"/>
  <c r="G60" i="51"/>
  <c r="F60" i="51"/>
  <c r="E60" i="51" s="1"/>
  <c r="D60" i="51"/>
  <c r="H60" i="51" s="1"/>
  <c r="M59" i="51"/>
  <c r="I59" i="51"/>
  <c r="J59" i="51" s="1"/>
  <c r="H59" i="51"/>
  <c r="E59" i="51"/>
  <c r="M58" i="51"/>
  <c r="J58" i="51"/>
  <c r="I58" i="51"/>
  <c r="H58" i="51"/>
  <c r="E58" i="51"/>
  <c r="M57" i="51"/>
  <c r="I57" i="51"/>
  <c r="J57" i="51" s="1"/>
  <c r="H57" i="51"/>
  <c r="E57" i="51"/>
  <c r="M56" i="51"/>
  <c r="H56" i="51"/>
  <c r="F56" i="51"/>
  <c r="I56" i="51" s="1"/>
  <c r="J56" i="51" s="1"/>
  <c r="D56" i="51"/>
  <c r="M55" i="51"/>
  <c r="I55" i="51"/>
  <c r="J55" i="51" s="1"/>
  <c r="F55" i="51"/>
  <c r="E55" i="51"/>
  <c r="D55" i="51"/>
  <c r="H55" i="51" s="1"/>
  <c r="M54" i="51"/>
  <c r="F54" i="51"/>
  <c r="I54" i="51" s="1"/>
  <c r="J54" i="51" s="1"/>
  <c r="D54" i="51"/>
  <c r="H54" i="51" s="1"/>
  <c r="M53" i="51"/>
  <c r="F53" i="51"/>
  <c r="E53" i="51" s="1"/>
  <c r="D53" i="51"/>
  <c r="H53" i="51" s="1"/>
  <c r="M52" i="51"/>
  <c r="I52" i="51"/>
  <c r="J52" i="51" s="1"/>
  <c r="H52" i="51"/>
  <c r="E52" i="51"/>
  <c r="M51" i="51"/>
  <c r="I51" i="51"/>
  <c r="J51" i="51" s="1"/>
  <c r="H51" i="51"/>
  <c r="E51" i="51"/>
  <c r="M50" i="51"/>
  <c r="F50" i="51"/>
  <c r="I50" i="51" s="1"/>
  <c r="J50" i="51" s="1"/>
  <c r="D50" i="51"/>
  <c r="H50" i="51" s="1"/>
  <c r="M49" i="51"/>
  <c r="I49" i="51"/>
  <c r="J49" i="51" s="1"/>
  <c r="H49" i="51"/>
  <c r="E49" i="51"/>
  <c r="M48" i="51"/>
  <c r="F48" i="51"/>
  <c r="I48" i="51" s="1"/>
  <c r="J48" i="51" s="1"/>
  <c r="D48" i="51"/>
  <c r="H48" i="51" s="1"/>
  <c r="M47" i="51"/>
  <c r="F47" i="51"/>
  <c r="I47" i="51" s="1"/>
  <c r="J47" i="51" s="1"/>
  <c r="D47" i="51"/>
  <c r="E47" i="51" s="1"/>
  <c r="M46" i="51"/>
  <c r="G46" i="51"/>
  <c r="H46" i="51" s="1"/>
  <c r="F46" i="51"/>
  <c r="E46" i="51" s="1"/>
  <c r="M45" i="51"/>
  <c r="J45" i="51"/>
  <c r="I45" i="51"/>
  <c r="H45" i="51"/>
  <c r="E45" i="51"/>
  <c r="M44" i="51"/>
  <c r="I44" i="51"/>
  <c r="J44" i="51" s="1"/>
  <c r="H44" i="51"/>
  <c r="G44" i="51"/>
  <c r="E44" i="51"/>
  <c r="M43" i="51"/>
  <c r="I43" i="51"/>
  <c r="J43" i="51" s="1"/>
  <c r="H43" i="51"/>
  <c r="G43" i="51"/>
  <c r="E43" i="51"/>
  <c r="M42" i="51"/>
  <c r="I42" i="51"/>
  <c r="J42" i="51" s="1"/>
  <c r="H42" i="51"/>
  <c r="G42" i="51"/>
  <c r="E42" i="51"/>
  <c r="M41" i="51"/>
  <c r="H41" i="51"/>
  <c r="G41" i="51"/>
  <c r="F41" i="51"/>
  <c r="E41" i="51" s="1"/>
  <c r="M40" i="51"/>
  <c r="G40" i="51"/>
  <c r="H40" i="51" s="1"/>
  <c r="E40" i="51"/>
  <c r="M39" i="51"/>
  <c r="G39" i="51"/>
  <c r="H39" i="51" s="1"/>
  <c r="E39" i="51"/>
  <c r="M38" i="51"/>
  <c r="G38" i="51"/>
  <c r="H38" i="51" s="1"/>
  <c r="F38" i="51"/>
  <c r="D38" i="51"/>
  <c r="E38" i="51" s="1"/>
  <c r="M37" i="51"/>
  <c r="I37" i="51"/>
  <c r="J37" i="51" s="1"/>
  <c r="G37" i="51"/>
  <c r="H37" i="51" s="1"/>
  <c r="F37" i="51"/>
  <c r="E37" i="51" s="1"/>
  <c r="D37" i="51"/>
  <c r="M36" i="51"/>
  <c r="I36" i="51"/>
  <c r="J36" i="51" s="1"/>
  <c r="H36" i="51"/>
  <c r="G36" i="51"/>
  <c r="F36" i="51"/>
  <c r="E36" i="51"/>
  <c r="D36" i="51"/>
  <c r="M35" i="51"/>
  <c r="G35" i="51"/>
  <c r="H35" i="51" s="1"/>
  <c r="E35" i="51"/>
  <c r="M34" i="51"/>
  <c r="G34" i="51"/>
  <c r="H34" i="51" s="1"/>
  <c r="E34" i="51"/>
  <c r="M33" i="51"/>
  <c r="G33" i="51"/>
  <c r="H33" i="51" s="1"/>
  <c r="E33" i="51"/>
  <c r="M32" i="51"/>
  <c r="G32" i="51"/>
  <c r="H32" i="51" s="1"/>
  <c r="F32" i="51"/>
  <c r="E32" i="51"/>
  <c r="M31" i="51"/>
  <c r="H31" i="51"/>
  <c r="G31" i="51"/>
  <c r="I31" i="51" s="1"/>
  <c r="J31" i="51" s="1"/>
  <c r="F31" i="51"/>
  <c r="E31" i="51"/>
  <c r="M30" i="51"/>
  <c r="I30" i="51"/>
  <c r="J30" i="51" s="1"/>
  <c r="H30" i="51"/>
  <c r="E30" i="51"/>
  <c r="M29" i="51"/>
  <c r="I29" i="51"/>
  <c r="J29" i="51" s="1"/>
  <c r="H29" i="51"/>
  <c r="F29" i="51"/>
  <c r="D29" i="51"/>
  <c r="E29" i="51" s="1"/>
  <c r="M28" i="51"/>
  <c r="I28" i="51"/>
  <c r="J28" i="51" s="1"/>
  <c r="H28" i="51"/>
  <c r="E28" i="51"/>
  <c r="M27" i="51"/>
  <c r="I27" i="51"/>
  <c r="J27" i="51" s="1"/>
  <c r="H27" i="51"/>
  <c r="E27" i="51"/>
  <c r="M26" i="51"/>
  <c r="J26" i="51"/>
  <c r="I26" i="51"/>
  <c r="H26" i="51"/>
  <c r="E26" i="51"/>
  <c r="L22" i="51"/>
  <c r="V17" i="51"/>
  <c r="U17" i="51"/>
  <c r="T17" i="51"/>
  <c r="R17" i="51"/>
  <c r="L17" i="51"/>
  <c r="H17" i="51"/>
  <c r="W17" i="51" s="1"/>
  <c r="F17" i="51"/>
  <c r="I17" i="51" s="1"/>
  <c r="M17" i="51" s="1"/>
  <c r="V16" i="51"/>
  <c r="U16" i="51"/>
  <c r="T16" i="51"/>
  <c r="R16" i="51"/>
  <c r="L16" i="51"/>
  <c r="I16" i="51"/>
  <c r="M16" i="51" s="1"/>
  <c r="H16" i="51"/>
  <c r="Y16" i="51" s="1"/>
  <c r="F16" i="51"/>
  <c r="V15" i="51"/>
  <c r="U15" i="51"/>
  <c r="T15" i="51"/>
  <c r="R15" i="51"/>
  <c r="L15" i="51"/>
  <c r="I15" i="51"/>
  <c r="M15" i="51" s="1"/>
  <c r="H15" i="51"/>
  <c r="Y15" i="51" s="1"/>
  <c r="F15" i="51"/>
  <c r="V14" i="51"/>
  <c r="U14" i="51"/>
  <c r="T14" i="51"/>
  <c r="R14" i="51"/>
  <c r="L14" i="51"/>
  <c r="I14" i="51"/>
  <c r="M14" i="51" s="1"/>
  <c r="H14" i="51"/>
  <c r="Y14" i="51" s="1"/>
  <c r="F14" i="51"/>
  <c r="Y13" i="51"/>
  <c r="W13" i="51"/>
  <c r="V13" i="51"/>
  <c r="U13" i="51"/>
  <c r="T13" i="51"/>
  <c r="R13" i="51"/>
  <c r="L13" i="51"/>
  <c r="J13" i="51"/>
  <c r="I13" i="51"/>
  <c r="M13" i="51" s="1"/>
  <c r="H13" i="51"/>
  <c r="F13" i="51"/>
  <c r="Y12" i="51"/>
  <c r="W12" i="51"/>
  <c r="V12" i="51"/>
  <c r="U12" i="51"/>
  <c r="T12" i="51"/>
  <c r="R12" i="51"/>
  <c r="L12" i="51"/>
  <c r="J12" i="51"/>
  <c r="H12" i="51"/>
  <c r="F12" i="51"/>
  <c r="I12" i="51" s="1"/>
  <c r="M12" i="51" s="1"/>
  <c r="V11" i="51"/>
  <c r="U11" i="51"/>
  <c r="T11" i="51"/>
  <c r="R11" i="51"/>
  <c r="L11" i="51"/>
  <c r="H11" i="51"/>
  <c r="J11" i="51" s="1"/>
  <c r="F11" i="51"/>
  <c r="I11" i="51" s="1"/>
  <c r="M11" i="51" s="1"/>
  <c r="V10" i="51"/>
  <c r="U10" i="51"/>
  <c r="T10" i="51"/>
  <c r="R10" i="51"/>
  <c r="L10" i="51"/>
  <c r="H10" i="51"/>
  <c r="W10" i="51" s="1"/>
  <c r="F10" i="51"/>
  <c r="V9" i="51"/>
  <c r="U9" i="51"/>
  <c r="T9" i="51"/>
  <c r="R9" i="51"/>
  <c r="L9" i="51"/>
  <c r="G9" i="51"/>
  <c r="H9" i="51" s="1"/>
  <c r="D9" i="51"/>
  <c r="F9" i="51" s="1"/>
  <c r="Y8" i="51"/>
  <c r="W8" i="51"/>
  <c r="V8" i="51"/>
  <c r="U8" i="51"/>
  <c r="T8" i="51"/>
  <c r="R8" i="51"/>
  <c r="L8" i="51"/>
  <c r="J8" i="51"/>
  <c r="H8" i="51"/>
  <c r="F8" i="51"/>
  <c r="I8" i="51" s="1"/>
  <c r="M8" i="51" s="1"/>
  <c r="Y7" i="51"/>
  <c r="W7" i="51"/>
  <c r="V7" i="51"/>
  <c r="U7" i="51"/>
  <c r="T7" i="51"/>
  <c r="R7" i="51"/>
  <c r="L7" i="51"/>
  <c r="H7" i="51"/>
  <c r="J7" i="51" s="1"/>
  <c r="F7" i="51"/>
  <c r="I7" i="51" s="1"/>
  <c r="G9" i="50"/>
  <c r="H9" i="50" s="1"/>
  <c r="Y9" i="50" s="1"/>
  <c r="D9" i="50"/>
  <c r="I21" i="50"/>
  <c r="M70" i="50"/>
  <c r="F70" i="50"/>
  <c r="I70" i="50" s="1"/>
  <c r="J70" i="50" s="1"/>
  <c r="D70" i="50"/>
  <c r="E70" i="50" s="1"/>
  <c r="M69" i="50"/>
  <c r="I69" i="50"/>
  <c r="J69" i="50" s="1"/>
  <c r="H69" i="50"/>
  <c r="E69" i="50"/>
  <c r="M68" i="50"/>
  <c r="J68" i="50"/>
  <c r="I68" i="50"/>
  <c r="H68" i="50"/>
  <c r="E68" i="50"/>
  <c r="M67" i="50"/>
  <c r="J67" i="50"/>
  <c r="I67" i="50"/>
  <c r="H67" i="50"/>
  <c r="E67" i="50"/>
  <c r="M66" i="50"/>
  <c r="I66" i="50"/>
  <c r="J66" i="50" s="1"/>
  <c r="H66" i="50"/>
  <c r="E66" i="50"/>
  <c r="M65" i="50"/>
  <c r="I65" i="50"/>
  <c r="J65" i="50" s="1"/>
  <c r="H65" i="50"/>
  <c r="F65" i="50"/>
  <c r="E65" i="50" s="1"/>
  <c r="D65" i="50"/>
  <c r="M64" i="50"/>
  <c r="I64" i="50"/>
  <c r="J64" i="50" s="1"/>
  <c r="H64" i="50"/>
  <c r="F64" i="50"/>
  <c r="E64" i="50"/>
  <c r="D64" i="50"/>
  <c r="M63" i="50"/>
  <c r="J63" i="50"/>
  <c r="I63" i="50"/>
  <c r="H63" i="50"/>
  <c r="E63" i="50"/>
  <c r="M62" i="50"/>
  <c r="I62" i="50"/>
  <c r="J62" i="50" s="1"/>
  <c r="F62" i="50"/>
  <c r="E62" i="50"/>
  <c r="D62" i="50"/>
  <c r="H62" i="50" s="1"/>
  <c r="M61" i="50"/>
  <c r="J61" i="50"/>
  <c r="I61" i="50"/>
  <c r="H61" i="50"/>
  <c r="E61" i="50"/>
  <c r="M60" i="50"/>
  <c r="I60" i="50"/>
  <c r="J60" i="50" s="1"/>
  <c r="G60" i="50"/>
  <c r="F60" i="50"/>
  <c r="E60" i="50" s="1"/>
  <c r="D60" i="50"/>
  <c r="H60" i="50" s="1"/>
  <c r="M59" i="50"/>
  <c r="J59" i="50"/>
  <c r="I59" i="50"/>
  <c r="H59" i="50"/>
  <c r="E59" i="50"/>
  <c r="M58" i="50"/>
  <c r="J58" i="50"/>
  <c r="I58" i="50"/>
  <c r="H58" i="50"/>
  <c r="E58" i="50"/>
  <c r="M57" i="50"/>
  <c r="I57" i="50"/>
  <c r="J57" i="50" s="1"/>
  <c r="H57" i="50"/>
  <c r="E57" i="50"/>
  <c r="M56" i="50"/>
  <c r="I56" i="50"/>
  <c r="J56" i="50" s="1"/>
  <c r="H56" i="50"/>
  <c r="F56" i="50"/>
  <c r="E56" i="50" s="1"/>
  <c r="D56" i="50"/>
  <c r="M55" i="50"/>
  <c r="I55" i="50"/>
  <c r="J55" i="50" s="1"/>
  <c r="F55" i="50"/>
  <c r="E55" i="50"/>
  <c r="D55" i="50"/>
  <c r="H55" i="50" s="1"/>
  <c r="M54" i="50"/>
  <c r="F54" i="50"/>
  <c r="I54" i="50" s="1"/>
  <c r="J54" i="50" s="1"/>
  <c r="D54" i="50"/>
  <c r="H54" i="50" s="1"/>
  <c r="M53" i="50"/>
  <c r="F53" i="50"/>
  <c r="I53" i="50" s="1"/>
  <c r="J53" i="50" s="1"/>
  <c r="D53" i="50"/>
  <c r="E53" i="50" s="1"/>
  <c r="M52" i="50"/>
  <c r="I52" i="50"/>
  <c r="J52" i="50" s="1"/>
  <c r="H52" i="50"/>
  <c r="E52" i="50"/>
  <c r="M51" i="50"/>
  <c r="J51" i="50"/>
  <c r="I51" i="50"/>
  <c r="H51" i="50"/>
  <c r="E51" i="50"/>
  <c r="M50" i="50"/>
  <c r="F50" i="50"/>
  <c r="I50" i="50" s="1"/>
  <c r="J50" i="50" s="1"/>
  <c r="E50" i="50"/>
  <c r="D50" i="50"/>
  <c r="H50" i="50" s="1"/>
  <c r="M49" i="50"/>
  <c r="J49" i="50"/>
  <c r="I49" i="50"/>
  <c r="H49" i="50"/>
  <c r="E49" i="50"/>
  <c r="M48" i="50"/>
  <c r="F48" i="50"/>
  <c r="I48" i="50" s="1"/>
  <c r="J48" i="50" s="1"/>
  <c r="E48" i="50"/>
  <c r="D48" i="50"/>
  <c r="H48" i="50" s="1"/>
  <c r="M47" i="50"/>
  <c r="H47" i="50"/>
  <c r="F47" i="50"/>
  <c r="E47" i="50" s="1"/>
  <c r="D47" i="50"/>
  <c r="M46" i="50"/>
  <c r="I46" i="50"/>
  <c r="J46" i="50" s="1"/>
  <c r="H46" i="50"/>
  <c r="G46" i="50"/>
  <c r="F46" i="50"/>
  <c r="E46" i="50"/>
  <c r="M45" i="50"/>
  <c r="I45" i="50"/>
  <c r="J45" i="50" s="1"/>
  <c r="H45" i="50"/>
  <c r="E45" i="50"/>
  <c r="M44" i="50"/>
  <c r="I44" i="50"/>
  <c r="J44" i="50" s="1"/>
  <c r="H44" i="50"/>
  <c r="G44" i="50"/>
  <c r="E44" i="50"/>
  <c r="M43" i="50"/>
  <c r="I43" i="50"/>
  <c r="J43" i="50" s="1"/>
  <c r="H43" i="50"/>
  <c r="G43" i="50"/>
  <c r="E43" i="50"/>
  <c r="M42" i="50"/>
  <c r="I42" i="50"/>
  <c r="J42" i="50" s="1"/>
  <c r="H42" i="50"/>
  <c r="G42" i="50"/>
  <c r="E42" i="50"/>
  <c r="M41" i="50"/>
  <c r="I41" i="50"/>
  <c r="J41" i="50" s="1"/>
  <c r="H41" i="50"/>
  <c r="G41" i="50"/>
  <c r="F41" i="50"/>
  <c r="E41" i="50"/>
  <c r="M40" i="50"/>
  <c r="I40" i="50"/>
  <c r="J40" i="50" s="1"/>
  <c r="H40" i="50"/>
  <c r="G40" i="50"/>
  <c r="E40" i="50"/>
  <c r="M39" i="50"/>
  <c r="I39" i="50"/>
  <c r="J39" i="50" s="1"/>
  <c r="H39" i="50"/>
  <c r="G39" i="50"/>
  <c r="E39" i="50"/>
  <c r="M38" i="50"/>
  <c r="I38" i="50"/>
  <c r="J38" i="50" s="1"/>
  <c r="G38" i="50"/>
  <c r="F38" i="50"/>
  <c r="E38" i="50" s="1"/>
  <c r="D38" i="50"/>
  <c r="H38" i="50" s="1"/>
  <c r="M37" i="50"/>
  <c r="H37" i="50"/>
  <c r="G37" i="50"/>
  <c r="I37" i="50" s="1"/>
  <c r="J37" i="50" s="1"/>
  <c r="F37" i="50"/>
  <c r="E37" i="50"/>
  <c r="D37" i="50"/>
  <c r="M36" i="50"/>
  <c r="G36" i="50"/>
  <c r="I36" i="50" s="1"/>
  <c r="J36" i="50" s="1"/>
  <c r="F36" i="50"/>
  <c r="E36" i="50" s="1"/>
  <c r="D36" i="50"/>
  <c r="M35" i="50"/>
  <c r="I35" i="50"/>
  <c r="J35" i="50" s="1"/>
  <c r="H35" i="50"/>
  <c r="G35" i="50"/>
  <c r="E35" i="50"/>
  <c r="M34" i="50"/>
  <c r="I34" i="50"/>
  <c r="J34" i="50" s="1"/>
  <c r="H34" i="50"/>
  <c r="G34" i="50"/>
  <c r="E34" i="50"/>
  <c r="M33" i="50"/>
  <c r="I33" i="50"/>
  <c r="J33" i="50" s="1"/>
  <c r="H33" i="50"/>
  <c r="G33" i="50"/>
  <c r="E33" i="50"/>
  <c r="M32" i="50"/>
  <c r="I32" i="50"/>
  <c r="J32" i="50" s="1"/>
  <c r="H32" i="50"/>
  <c r="G32" i="50"/>
  <c r="F32" i="50"/>
  <c r="E32" i="50" s="1"/>
  <c r="M31" i="50"/>
  <c r="G31" i="50"/>
  <c r="I31" i="50" s="1"/>
  <c r="J31" i="50" s="1"/>
  <c r="F31" i="50"/>
  <c r="E31" i="50"/>
  <c r="M30" i="50"/>
  <c r="J30" i="50"/>
  <c r="I30" i="50"/>
  <c r="H30" i="50"/>
  <c r="E30" i="50"/>
  <c r="M29" i="50"/>
  <c r="F29" i="50"/>
  <c r="I29" i="50" s="1"/>
  <c r="J29" i="50" s="1"/>
  <c r="D29" i="50"/>
  <c r="H29" i="50" s="1"/>
  <c r="M28" i="50"/>
  <c r="J28" i="50"/>
  <c r="I28" i="50"/>
  <c r="H28" i="50"/>
  <c r="E28" i="50"/>
  <c r="M27" i="50"/>
  <c r="J27" i="50"/>
  <c r="I27" i="50"/>
  <c r="H27" i="50"/>
  <c r="E27" i="50"/>
  <c r="M26" i="50"/>
  <c r="I26" i="50"/>
  <c r="H26" i="50"/>
  <c r="E26" i="50"/>
  <c r="L22" i="50"/>
  <c r="V17" i="50"/>
  <c r="U17" i="50"/>
  <c r="T17" i="50"/>
  <c r="R17" i="50"/>
  <c r="L17" i="50"/>
  <c r="H17" i="50"/>
  <c r="W17" i="50" s="1"/>
  <c r="F17" i="50"/>
  <c r="I17" i="50" s="1"/>
  <c r="M17" i="50" s="1"/>
  <c r="V16" i="50"/>
  <c r="U16" i="50"/>
  <c r="T16" i="50"/>
  <c r="R16" i="50"/>
  <c r="L16" i="50"/>
  <c r="I16" i="50"/>
  <c r="M16" i="50" s="1"/>
  <c r="H16" i="50"/>
  <c r="Y16" i="50" s="1"/>
  <c r="F16" i="50"/>
  <c r="V15" i="50"/>
  <c r="U15" i="50"/>
  <c r="T15" i="50"/>
  <c r="R15" i="50"/>
  <c r="L15" i="50"/>
  <c r="I15" i="50"/>
  <c r="M15" i="50" s="1"/>
  <c r="H15" i="50"/>
  <c r="Y15" i="50" s="1"/>
  <c r="F15" i="50"/>
  <c r="V14" i="50"/>
  <c r="U14" i="50"/>
  <c r="T14" i="50"/>
  <c r="R14" i="50"/>
  <c r="L14" i="50"/>
  <c r="J14" i="50"/>
  <c r="I14" i="50"/>
  <c r="M14" i="50" s="1"/>
  <c r="H14" i="50"/>
  <c r="Y14" i="50" s="1"/>
  <c r="F14" i="50"/>
  <c r="Y13" i="50"/>
  <c r="W13" i="50"/>
  <c r="V13" i="50"/>
  <c r="U13" i="50"/>
  <c r="T13" i="50"/>
  <c r="R13" i="50"/>
  <c r="L13" i="50"/>
  <c r="J13" i="50"/>
  <c r="I13" i="50"/>
  <c r="M13" i="50" s="1"/>
  <c r="H13" i="50"/>
  <c r="F13" i="50"/>
  <c r="V12" i="50"/>
  <c r="U12" i="50"/>
  <c r="T12" i="50"/>
  <c r="R12" i="50"/>
  <c r="L12" i="50"/>
  <c r="H12" i="50"/>
  <c r="J12" i="50" s="1"/>
  <c r="F12" i="50"/>
  <c r="I12" i="50" s="1"/>
  <c r="M12" i="50" s="1"/>
  <c r="Y11" i="50"/>
  <c r="W11" i="50"/>
  <c r="V11" i="50"/>
  <c r="U11" i="50"/>
  <c r="T11" i="50"/>
  <c r="R11" i="50"/>
  <c r="L11" i="50"/>
  <c r="H11" i="50"/>
  <c r="J11" i="50" s="1"/>
  <c r="F11" i="50"/>
  <c r="I11" i="50" s="1"/>
  <c r="M11" i="50" s="1"/>
  <c r="V10" i="50"/>
  <c r="U10" i="50"/>
  <c r="T10" i="50"/>
  <c r="R10" i="50"/>
  <c r="L10" i="50"/>
  <c r="H10" i="50"/>
  <c r="Y10" i="50" s="1"/>
  <c r="F10" i="50"/>
  <c r="I10" i="50" s="1"/>
  <c r="M10" i="50" s="1"/>
  <c r="V9" i="50"/>
  <c r="U9" i="50"/>
  <c r="T9" i="50"/>
  <c r="R9" i="50"/>
  <c r="L9" i="50"/>
  <c r="F9" i="50"/>
  <c r="I9" i="50" s="1"/>
  <c r="M9" i="50" s="1"/>
  <c r="Y8" i="50"/>
  <c r="V8" i="50"/>
  <c r="U8" i="50"/>
  <c r="T8" i="50"/>
  <c r="R8" i="50"/>
  <c r="L8" i="50"/>
  <c r="J8" i="50"/>
  <c r="H8" i="50"/>
  <c r="W8" i="50" s="1"/>
  <c r="F8" i="50"/>
  <c r="I8" i="50" s="1"/>
  <c r="M8" i="50" s="1"/>
  <c r="W7" i="50"/>
  <c r="V7" i="50"/>
  <c r="U7" i="50"/>
  <c r="T7" i="50"/>
  <c r="R7" i="50"/>
  <c r="L7" i="50"/>
  <c r="J7" i="50"/>
  <c r="H7" i="50"/>
  <c r="Y7" i="50" s="1"/>
  <c r="F7" i="50"/>
  <c r="I7" i="50" s="1"/>
  <c r="L8" i="49"/>
  <c r="L9" i="49"/>
  <c r="I21" i="49"/>
  <c r="M70" i="49"/>
  <c r="I70" i="49"/>
  <c r="J70" i="49" s="1"/>
  <c r="F70" i="49"/>
  <c r="D70" i="49"/>
  <c r="E70" i="49" s="1"/>
  <c r="M69" i="49"/>
  <c r="I69" i="49"/>
  <c r="J69" i="49" s="1"/>
  <c r="H69" i="49"/>
  <c r="E69" i="49"/>
  <c r="M68" i="49"/>
  <c r="J68" i="49"/>
  <c r="I68" i="49"/>
  <c r="H68" i="49"/>
  <c r="E68" i="49"/>
  <c r="M67" i="49"/>
  <c r="J67" i="49"/>
  <c r="I67" i="49"/>
  <c r="H67" i="49"/>
  <c r="E67" i="49"/>
  <c r="M66" i="49"/>
  <c r="J66" i="49"/>
  <c r="I66" i="49"/>
  <c r="H66" i="49"/>
  <c r="E66" i="49"/>
  <c r="M65" i="49"/>
  <c r="I65" i="49"/>
  <c r="J65" i="49" s="1"/>
  <c r="F65" i="49"/>
  <c r="E65" i="49" s="1"/>
  <c r="D65" i="49"/>
  <c r="H65" i="49" s="1"/>
  <c r="M64" i="49"/>
  <c r="J64" i="49"/>
  <c r="I64" i="49"/>
  <c r="F64" i="49"/>
  <c r="D64" i="49"/>
  <c r="H64" i="49" s="1"/>
  <c r="M63" i="49"/>
  <c r="J63" i="49"/>
  <c r="I63" i="49"/>
  <c r="H63" i="49"/>
  <c r="E63" i="49"/>
  <c r="M62" i="49"/>
  <c r="J62" i="49"/>
  <c r="I62" i="49"/>
  <c r="F62" i="49"/>
  <c r="D62" i="49"/>
  <c r="H62" i="49" s="1"/>
  <c r="M61" i="49"/>
  <c r="J61" i="49"/>
  <c r="I61" i="49"/>
  <c r="H61" i="49"/>
  <c r="E61" i="49"/>
  <c r="M60" i="49"/>
  <c r="G60" i="49"/>
  <c r="F60" i="49"/>
  <c r="I60" i="49" s="1"/>
  <c r="J60" i="49" s="1"/>
  <c r="D60" i="49"/>
  <c r="E60" i="49" s="1"/>
  <c r="M59" i="49"/>
  <c r="J59" i="49"/>
  <c r="I59" i="49"/>
  <c r="H59" i="49"/>
  <c r="E59" i="49"/>
  <c r="M58" i="49"/>
  <c r="J58" i="49"/>
  <c r="I58" i="49"/>
  <c r="H58" i="49"/>
  <c r="E58" i="49"/>
  <c r="M57" i="49"/>
  <c r="J57" i="49"/>
  <c r="I57" i="49"/>
  <c r="H57" i="49"/>
  <c r="E57" i="49"/>
  <c r="M56" i="49"/>
  <c r="I56" i="49"/>
  <c r="J56" i="49" s="1"/>
  <c r="F56" i="49"/>
  <c r="E56" i="49" s="1"/>
  <c r="D56" i="49"/>
  <c r="H56" i="49" s="1"/>
  <c r="M55" i="49"/>
  <c r="J55" i="49"/>
  <c r="I55" i="49"/>
  <c r="F55" i="49"/>
  <c r="D55" i="49"/>
  <c r="H55" i="49" s="1"/>
  <c r="M54" i="49"/>
  <c r="F54" i="49"/>
  <c r="I54" i="49" s="1"/>
  <c r="J54" i="49" s="1"/>
  <c r="D54" i="49"/>
  <c r="H54" i="49" s="1"/>
  <c r="M53" i="49"/>
  <c r="H53" i="49"/>
  <c r="F53" i="49"/>
  <c r="I53" i="49" s="1"/>
  <c r="J53" i="49" s="1"/>
  <c r="E53" i="49"/>
  <c r="D53" i="49"/>
  <c r="M52" i="49"/>
  <c r="I52" i="49"/>
  <c r="J52" i="49" s="1"/>
  <c r="H52" i="49"/>
  <c r="E52" i="49"/>
  <c r="M51" i="49"/>
  <c r="J51" i="49"/>
  <c r="I51" i="49"/>
  <c r="H51" i="49"/>
  <c r="E51" i="49"/>
  <c r="M50" i="49"/>
  <c r="F50" i="49"/>
  <c r="I50" i="49" s="1"/>
  <c r="J50" i="49" s="1"/>
  <c r="D50" i="49"/>
  <c r="E50" i="49" s="1"/>
  <c r="M49" i="49"/>
  <c r="J49" i="49"/>
  <c r="I49" i="49"/>
  <c r="H49" i="49"/>
  <c r="E49" i="49"/>
  <c r="M48" i="49"/>
  <c r="F48" i="49"/>
  <c r="I48" i="49" s="1"/>
  <c r="J48" i="49" s="1"/>
  <c r="D48" i="49"/>
  <c r="E48" i="49" s="1"/>
  <c r="M47" i="49"/>
  <c r="H47" i="49"/>
  <c r="F47" i="49"/>
  <c r="I47" i="49" s="1"/>
  <c r="J47" i="49" s="1"/>
  <c r="E47" i="49"/>
  <c r="D47" i="49"/>
  <c r="M46" i="49"/>
  <c r="G46" i="49"/>
  <c r="H46" i="49" s="1"/>
  <c r="F46" i="49"/>
  <c r="E46" i="49"/>
  <c r="M45" i="49"/>
  <c r="I45" i="49"/>
  <c r="J45" i="49" s="1"/>
  <c r="H45" i="49"/>
  <c r="E45" i="49"/>
  <c r="M44" i="49"/>
  <c r="G44" i="49"/>
  <c r="I44" i="49" s="1"/>
  <c r="J44" i="49" s="1"/>
  <c r="E44" i="49"/>
  <c r="M43" i="49"/>
  <c r="G43" i="49"/>
  <c r="H43" i="49" s="1"/>
  <c r="E43" i="49"/>
  <c r="M42" i="49"/>
  <c r="G42" i="49"/>
  <c r="H42" i="49" s="1"/>
  <c r="E42" i="49"/>
  <c r="M41" i="49"/>
  <c r="G41" i="49"/>
  <c r="H41" i="49" s="1"/>
  <c r="F41" i="49"/>
  <c r="E41" i="49"/>
  <c r="M40" i="49"/>
  <c r="I40" i="49"/>
  <c r="J40" i="49" s="1"/>
  <c r="H40" i="49"/>
  <c r="G40" i="49"/>
  <c r="E40" i="49"/>
  <c r="M39" i="49"/>
  <c r="I39" i="49"/>
  <c r="J39" i="49" s="1"/>
  <c r="H39" i="49"/>
  <c r="G39" i="49"/>
  <c r="E39" i="49"/>
  <c r="M38" i="49"/>
  <c r="I38" i="49"/>
  <c r="J38" i="49" s="1"/>
  <c r="H38" i="49"/>
  <c r="G38" i="49"/>
  <c r="F38" i="49"/>
  <c r="D38" i="49"/>
  <c r="E38" i="49" s="1"/>
  <c r="M37" i="49"/>
  <c r="G37" i="49"/>
  <c r="I37" i="49" s="1"/>
  <c r="J37" i="49" s="1"/>
  <c r="F37" i="49"/>
  <c r="D37" i="49"/>
  <c r="E37" i="49" s="1"/>
  <c r="M36" i="49"/>
  <c r="G36" i="49"/>
  <c r="I36" i="49" s="1"/>
  <c r="J36" i="49" s="1"/>
  <c r="F36" i="49"/>
  <c r="E36" i="49" s="1"/>
  <c r="D36" i="49"/>
  <c r="M35" i="49"/>
  <c r="I35" i="49"/>
  <c r="J35" i="49" s="1"/>
  <c r="H35" i="49"/>
  <c r="G35" i="49"/>
  <c r="E35" i="49"/>
  <c r="M34" i="49"/>
  <c r="I34" i="49"/>
  <c r="J34" i="49" s="1"/>
  <c r="H34" i="49"/>
  <c r="G34" i="49"/>
  <c r="E34" i="49"/>
  <c r="M33" i="49"/>
  <c r="I33" i="49"/>
  <c r="J33" i="49" s="1"/>
  <c r="H33" i="49"/>
  <c r="G33" i="49"/>
  <c r="E33" i="49"/>
  <c r="M32" i="49"/>
  <c r="I32" i="49"/>
  <c r="J32" i="49" s="1"/>
  <c r="H32" i="49"/>
  <c r="G32" i="49"/>
  <c r="F32" i="49"/>
  <c r="E32" i="49"/>
  <c r="M31" i="49"/>
  <c r="I31" i="49"/>
  <c r="J31" i="49" s="1"/>
  <c r="G31" i="49"/>
  <c r="H31" i="49" s="1"/>
  <c r="F31" i="49"/>
  <c r="E31" i="49"/>
  <c r="M30" i="49"/>
  <c r="J30" i="49"/>
  <c r="I30" i="49"/>
  <c r="H30" i="49"/>
  <c r="E30" i="49"/>
  <c r="M29" i="49"/>
  <c r="I29" i="49"/>
  <c r="J29" i="49" s="1"/>
  <c r="F29" i="49"/>
  <c r="D29" i="49"/>
  <c r="H29" i="49" s="1"/>
  <c r="M28" i="49"/>
  <c r="J28" i="49"/>
  <c r="I28" i="49"/>
  <c r="H28" i="49"/>
  <c r="E28" i="49"/>
  <c r="M27" i="49"/>
  <c r="I27" i="49"/>
  <c r="J27" i="49" s="1"/>
  <c r="H27" i="49"/>
  <c r="E27" i="49"/>
  <c r="M26" i="49"/>
  <c r="I26" i="49"/>
  <c r="H26" i="49"/>
  <c r="E26" i="49"/>
  <c r="L22" i="49"/>
  <c r="G18" i="49"/>
  <c r="Y17" i="49"/>
  <c r="W17" i="49"/>
  <c r="V17" i="49"/>
  <c r="U17" i="49"/>
  <c r="T17" i="49"/>
  <c r="R17" i="49"/>
  <c r="L17" i="49"/>
  <c r="H17" i="49"/>
  <c r="J17" i="49" s="1"/>
  <c r="F17" i="49"/>
  <c r="I17" i="49" s="1"/>
  <c r="M17" i="49" s="1"/>
  <c r="Y16" i="49"/>
  <c r="V16" i="49"/>
  <c r="U16" i="49"/>
  <c r="T16" i="49"/>
  <c r="R16" i="49"/>
  <c r="L16" i="49"/>
  <c r="H16" i="49"/>
  <c r="W16" i="49" s="1"/>
  <c r="F16" i="49"/>
  <c r="I16" i="49" s="1"/>
  <c r="M16" i="49" s="1"/>
  <c r="V15" i="49"/>
  <c r="U15" i="49"/>
  <c r="T15" i="49"/>
  <c r="R15" i="49"/>
  <c r="L15" i="49"/>
  <c r="H15" i="49"/>
  <c r="Y15" i="49" s="1"/>
  <c r="F15" i="49"/>
  <c r="V14" i="49"/>
  <c r="U14" i="49"/>
  <c r="T14" i="49"/>
  <c r="R14" i="49"/>
  <c r="L14" i="49"/>
  <c r="I14" i="49"/>
  <c r="M14" i="49" s="1"/>
  <c r="H14" i="49"/>
  <c r="Y14" i="49" s="1"/>
  <c r="F14" i="49"/>
  <c r="Y13" i="49"/>
  <c r="W13" i="49"/>
  <c r="V13" i="49"/>
  <c r="U13" i="49"/>
  <c r="T13" i="49"/>
  <c r="R13" i="49"/>
  <c r="L13" i="49"/>
  <c r="J13" i="49"/>
  <c r="I13" i="49"/>
  <c r="M13" i="49" s="1"/>
  <c r="H13" i="49"/>
  <c r="F13" i="49"/>
  <c r="Y12" i="49"/>
  <c r="W12" i="49"/>
  <c r="V12" i="49"/>
  <c r="U12" i="49"/>
  <c r="T12" i="49"/>
  <c r="R12" i="49"/>
  <c r="L12" i="49"/>
  <c r="J12" i="49"/>
  <c r="H12" i="49"/>
  <c r="F12" i="49"/>
  <c r="I12" i="49" s="1"/>
  <c r="M12" i="49" s="1"/>
  <c r="Y11" i="49"/>
  <c r="W11" i="49"/>
  <c r="V11" i="49"/>
  <c r="U11" i="49"/>
  <c r="T11" i="49"/>
  <c r="R11" i="49"/>
  <c r="L11" i="49"/>
  <c r="H11" i="49"/>
  <c r="J11" i="49" s="1"/>
  <c r="F11" i="49"/>
  <c r="I11" i="49" s="1"/>
  <c r="M11" i="49" s="1"/>
  <c r="Y10" i="49"/>
  <c r="V10" i="49"/>
  <c r="U10" i="49"/>
  <c r="T10" i="49"/>
  <c r="R10" i="49"/>
  <c r="L10" i="49"/>
  <c r="H10" i="49"/>
  <c r="W10" i="49" s="1"/>
  <c r="F10" i="49"/>
  <c r="V9" i="49"/>
  <c r="U9" i="49"/>
  <c r="T9" i="49"/>
  <c r="R9" i="49"/>
  <c r="H9" i="49"/>
  <c r="Y9" i="49" s="1"/>
  <c r="F9" i="49"/>
  <c r="I9" i="49" s="1"/>
  <c r="M9" i="49" s="1"/>
  <c r="V8" i="49"/>
  <c r="U8" i="49"/>
  <c r="T8" i="49"/>
  <c r="R8" i="49"/>
  <c r="H8" i="49"/>
  <c r="Y8" i="49" s="1"/>
  <c r="F8" i="49"/>
  <c r="I8" i="49" s="1"/>
  <c r="M8" i="49" s="1"/>
  <c r="V7" i="49"/>
  <c r="U7" i="49"/>
  <c r="T7" i="49"/>
  <c r="R7" i="49"/>
  <c r="L7" i="49"/>
  <c r="H7" i="49"/>
  <c r="Y7" i="49" s="1"/>
  <c r="F7" i="49"/>
  <c r="I21" i="48"/>
  <c r="M70" i="48"/>
  <c r="F70" i="48"/>
  <c r="I70" i="48" s="1"/>
  <c r="J70" i="48" s="1"/>
  <c r="D70" i="48"/>
  <c r="E70" i="48" s="1"/>
  <c r="M69" i="48"/>
  <c r="I69" i="48"/>
  <c r="J69" i="48" s="1"/>
  <c r="H69" i="48"/>
  <c r="E69" i="48"/>
  <c r="M68" i="48"/>
  <c r="J68" i="48"/>
  <c r="I68" i="48"/>
  <c r="H68" i="48"/>
  <c r="E68" i="48"/>
  <c r="M67" i="48"/>
  <c r="J67" i="48"/>
  <c r="I67" i="48"/>
  <c r="H67" i="48"/>
  <c r="E67" i="48"/>
  <c r="M66" i="48"/>
  <c r="I66" i="48"/>
  <c r="J66" i="48" s="1"/>
  <c r="H66" i="48"/>
  <c r="E66" i="48"/>
  <c r="M65" i="48"/>
  <c r="I65" i="48"/>
  <c r="J65" i="48" s="1"/>
  <c r="H65" i="48"/>
  <c r="F65" i="48"/>
  <c r="E65" i="48" s="1"/>
  <c r="D65" i="48"/>
  <c r="M64" i="48"/>
  <c r="I64" i="48"/>
  <c r="J64" i="48" s="1"/>
  <c r="F64" i="48"/>
  <c r="D64" i="48"/>
  <c r="H64" i="48" s="1"/>
  <c r="M63" i="48"/>
  <c r="J63" i="48"/>
  <c r="I63" i="48"/>
  <c r="H63" i="48"/>
  <c r="E63" i="48"/>
  <c r="M62" i="48"/>
  <c r="I62" i="48"/>
  <c r="J62" i="48" s="1"/>
  <c r="F62" i="48"/>
  <c r="D62" i="48"/>
  <c r="H62" i="48" s="1"/>
  <c r="M61" i="48"/>
  <c r="J61" i="48"/>
  <c r="I61" i="48"/>
  <c r="H61" i="48"/>
  <c r="E61" i="48"/>
  <c r="M60" i="48"/>
  <c r="I60" i="48"/>
  <c r="J60" i="48" s="1"/>
  <c r="G60" i="48"/>
  <c r="F60" i="48"/>
  <c r="D60" i="48"/>
  <c r="H60" i="48" s="1"/>
  <c r="M59" i="48"/>
  <c r="J59" i="48"/>
  <c r="I59" i="48"/>
  <c r="H59" i="48"/>
  <c r="E59" i="48"/>
  <c r="M58" i="48"/>
  <c r="J58" i="48"/>
  <c r="I58" i="48"/>
  <c r="H58" i="48"/>
  <c r="E58" i="48"/>
  <c r="M57" i="48"/>
  <c r="I57" i="48"/>
  <c r="J57" i="48" s="1"/>
  <c r="H57" i="48"/>
  <c r="E57" i="48"/>
  <c r="M56" i="48"/>
  <c r="I56" i="48"/>
  <c r="J56" i="48" s="1"/>
  <c r="H56" i="48"/>
  <c r="F56" i="48"/>
  <c r="E56" i="48" s="1"/>
  <c r="D56" i="48"/>
  <c r="M55" i="48"/>
  <c r="I55" i="48"/>
  <c r="J55" i="48" s="1"/>
  <c r="F55" i="48"/>
  <c r="D55" i="48"/>
  <c r="H55" i="48" s="1"/>
  <c r="M54" i="48"/>
  <c r="F54" i="48"/>
  <c r="I54" i="48" s="1"/>
  <c r="J54" i="48" s="1"/>
  <c r="D54" i="48"/>
  <c r="E54" i="48" s="1"/>
  <c r="M53" i="48"/>
  <c r="F53" i="48"/>
  <c r="I53" i="48" s="1"/>
  <c r="J53" i="48" s="1"/>
  <c r="D53" i="48"/>
  <c r="E53" i="48" s="1"/>
  <c r="M52" i="48"/>
  <c r="I52" i="48"/>
  <c r="J52" i="48" s="1"/>
  <c r="H52" i="48"/>
  <c r="E52" i="48"/>
  <c r="M51" i="48"/>
  <c r="J51" i="48"/>
  <c r="I51" i="48"/>
  <c r="H51" i="48"/>
  <c r="E51" i="48"/>
  <c r="M50" i="48"/>
  <c r="J50" i="48"/>
  <c r="I50" i="48"/>
  <c r="F50" i="48"/>
  <c r="D50" i="48"/>
  <c r="E50" i="48" s="1"/>
  <c r="M49" i="48"/>
  <c r="J49" i="48"/>
  <c r="I49" i="48"/>
  <c r="H49" i="48"/>
  <c r="E49" i="48"/>
  <c r="M48" i="48"/>
  <c r="J48" i="48"/>
  <c r="I48" i="48"/>
  <c r="F48" i="48"/>
  <c r="D48" i="48"/>
  <c r="E48" i="48" s="1"/>
  <c r="M47" i="48"/>
  <c r="F47" i="48"/>
  <c r="I47" i="48" s="1"/>
  <c r="J47" i="48" s="1"/>
  <c r="D47" i="48"/>
  <c r="E47" i="48" s="1"/>
  <c r="M46" i="48"/>
  <c r="G46" i="48"/>
  <c r="H46" i="48" s="1"/>
  <c r="F46" i="48"/>
  <c r="E46" i="48" s="1"/>
  <c r="M45" i="48"/>
  <c r="I45" i="48"/>
  <c r="J45" i="48" s="1"/>
  <c r="H45" i="48"/>
  <c r="E45" i="48"/>
  <c r="M44" i="48"/>
  <c r="G44" i="48"/>
  <c r="I44" i="48" s="1"/>
  <c r="J44" i="48" s="1"/>
  <c r="E44" i="48"/>
  <c r="M43" i="48"/>
  <c r="G43" i="48"/>
  <c r="H43" i="48" s="1"/>
  <c r="E43" i="48"/>
  <c r="M42" i="48"/>
  <c r="G42" i="48"/>
  <c r="H42" i="48" s="1"/>
  <c r="E42" i="48"/>
  <c r="M41" i="48"/>
  <c r="G41" i="48"/>
  <c r="H41" i="48" s="1"/>
  <c r="F41" i="48"/>
  <c r="E41" i="48" s="1"/>
  <c r="M40" i="48"/>
  <c r="G40" i="48"/>
  <c r="I40" i="48" s="1"/>
  <c r="J40" i="48" s="1"/>
  <c r="E40" i="48"/>
  <c r="M39" i="48"/>
  <c r="G39" i="48"/>
  <c r="I39" i="48" s="1"/>
  <c r="J39" i="48" s="1"/>
  <c r="E39" i="48"/>
  <c r="M38" i="48"/>
  <c r="G38" i="48"/>
  <c r="I38" i="48" s="1"/>
  <c r="J38" i="48" s="1"/>
  <c r="F38" i="48"/>
  <c r="E38" i="48" s="1"/>
  <c r="D38" i="48"/>
  <c r="M37" i="48"/>
  <c r="I37" i="48"/>
  <c r="J37" i="48" s="1"/>
  <c r="G37" i="48"/>
  <c r="F37" i="48"/>
  <c r="D37" i="48"/>
  <c r="H37" i="48" s="1"/>
  <c r="M36" i="48"/>
  <c r="G36" i="48"/>
  <c r="I36" i="48" s="1"/>
  <c r="J36" i="48" s="1"/>
  <c r="F36" i="48"/>
  <c r="E36" i="48"/>
  <c r="D36" i="48"/>
  <c r="M35" i="48"/>
  <c r="G35" i="48"/>
  <c r="I35" i="48" s="1"/>
  <c r="J35" i="48" s="1"/>
  <c r="E35" i="48"/>
  <c r="M34" i="48"/>
  <c r="G34" i="48"/>
  <c r="I34" i="48" s="1"/>
  <c r="J34" i="48" s="1"/>
  <c r="E34" i="48"/>
  <c r="M33" i="48"/>
  <c r="G33" i="48"/>
  <c r="I33" i="48" s="1"/>
  <c r="J33" i="48" s="1"/>
  <c r="E33" i="48"/>
  <c r="M32" i="48"/>
  <c r="G32" i="48"/>
  <c r="H32" i="48" s="1"/>
  <c r="F32" i="48"/>
  <c r="E32" i="48" s="1"/>
  <c r="M31" i="48"/>
  <c r="I31" i="48"/>
  <c r="J31" i="48" s="1"/>
  <c r="H31" i="48"/>
  <c r="G31" i="48"/>
  <c r="F31" i="48"/>
  <c r="E31" i="48"/>
  <c r="M30" i="48"/>
  <c r="I30" i="48"/>
  <c r="J30" i="48" s="1"/>
  <c r="H30" i="48"/>
  <c r="E30" i="48"/>
  <c r="M29" i="48"/>
  <c r="I29" i="48"/>
  <c r="J29" i="48" s="1"/>
  <c r="H29" i="48"/>
  <c r="F29" i="48"/>
  <c r="E29" i="48" s="1"/>
  <c r="D29" i="48"/>
  <c r="M28" i="48"/>
  <c r="I28" i="48"/>
  <c r="J28" i="48" s="1"/>
  <c r="H28" i="48"/>
  <c r="E28" i="48"/>
  <c r="M27" i="48"/>
  <c r="I27" i="48"/>
  <c r="J27" i="48" s="1"/>
  <c r="H27" i="48"/>
  <c r="E27" i="48"/>
  <c r="M26" i="48"/>
  <c r="I26" i="48"/>
  <c r="H26" i="48"/>
  <c r="E26" i="48"/>
  <c r="L22" i="48"/>
  <c r="G18" i="48"/>
  <c r="Y17" i="48"/>
  <c r="W17" i="48"/>
  <c r="V17" i="48"/>
  <c r="U17" i="48"/>
  <c r="T17" i="48"/>
  <c r="R17" i="48"/>
  <c r="L17" i="48"/>
  <c r="J17" i="48"/>
  <c r="H17" i="48"/>
  <c r="F17" i="48"/>
  <c r="I17" i="48" s="1"/>
  <c r="M17" i="48" s="1"/>
  <c r="Y16" i="48"/>
  <c r="W16" i="48"/>
  <c r="V16" i="48"/>
  <c r="U16" i="48"/>
  <c r="T16" i="48"/>
  <c r="R16" i="48"/>
  <c r="L16" i="48"/>
  <c r="H16" i="48"/>
  <c r="J16" i="48" s="1"/>
  <c r="F16" i="48"/>
  <c r="I16" i="48" s="1"/>
  <c r="M16" i="48" s="1"/>
  <c r="Y15" i="48"/>
  <c r="V15" i="48"/>
  <c r="U15" i="48"/>
  <c r="T15" i="48"/>
  <c r="R15" i="48"/>
  <c r="L15" i="48"/>
  <c r="H15" i="48"/>
  <c r="W15" i="48" s="1"/>
  <c r="F15" i="48"/>
  <c r="Z15" i="48" s="1"/>
  <c r="V14" i="48"/>
  <c r="U14" i="48"/>
  <c r="T14" i="48"/>
  <c r="R14" i="48"/>
  <c r="L14" i="48"/>
  <c r="H14" i="48"/>
  <c r="Y14" i="48" s="1"/>
  <c r="F14" i="48"/>
  <c r="I14" i="48" s="1"/>
  <c r="M14" i="48" s="1"/>
  <c r="V13" i="48"/>
  <c r="U13" i="48"/>
  <c r="T13" i="48"/>
  <c r="R13" i="48"/>
  <c r="L13" i="48"/>
  <c r="I13" i="48"/>
  <c r="M13" i="48" s="1"/>
  <c r="H13" i="48"/>
  <c r="Y13" i="48" s="1"/>
  <c r="F13" i="48"/>
  <c r="Y12" i="48"/>
  <c r="W12" i="48"/>
  <c r="V12" i="48"/>
  <c r="U12" i="48"/>
  <c r="T12" i="48"/>
  <c r="R12" i="48"/>
  <c r="L12" i="48"/>
  <c r="J12" i="48"/>
  <c r="I12" i="48"/>
  <c r="M12" i="48" s="1"/>
  <c r="H12" i="48"/>
  <c r="F12" i="48"/>
  <c r="Y11" i="48"/>
  <c r="W11" i="48"/>
  <c r="V11" i="48"/>
  <c r="U11" i="48"/>
  <c r="T11" i="48"/>
  <c r="R11" i="48"/>
  <c r="L11" i="48"/>
  <c r="J11" i="48"/>
  <c r="H11" i="48"/>
  <c r="F11" i="48"/>
  <c r="I11" i="48" s="1"/>
  <c r="M11" i="48" s="1"/>
  <c r="Y10" i="48"/>
  <c r="W10" i="48"/>
  <c r="V10" i="48"/>
  <c r="U10" i="48"/>
  <c r="T10" i="48"/>
  <c r="R10" i="48"/>
  <c r="L10" i="48"/>
  <c r="H10" i="48"/>
  <c r="J10" i="48" s="1"/>
  <c r="F10" i="48"/>
  <c r="Z10" i="48" s="1"/>
  <c r="Y9" i="48"/>
  <c r="V9" i="48"/>
  <c r="U9" i="48"/>
  <c r="T9" i="48"/>
  <c r="R9" i="48"/>
  <c r="H9" i="48"/>
  <c r="W9" i="48" s="1"/>
  <c r="F9" i="48"/>
  <c r="I9" i="48" s="1"/>
  <c r="M9" i="48" s="1"/>
  <c r="Y8" i="48"/>
  <c r="V8" i="48"/>
  <c r="U8" i="48"/>
  <c r="T8" i="48"/>
  <c r="R8" i="48"/>
  <c r="H8" i="48"/>
  <c r="W8" i="48" s="1"/>
  <c r="F8" i="48"/>
  <c r="I8" i="48" s="1"/>
  <c r="M8" i="48" s="1"/>
  <c r="Y7" i="48"/>
  <c r="V7" i="48"/>
  <c r="U7" i="48"/>
  <c r="T7" i="48"/>
  <c r="R7" i="48"/>
  <c r="L7" i="48"/>
  <c r="H7" i="48"/>
  <c r="W7" i="48" s="1"/>
  <c r="F7" i="48"/>
  <c r="F18" i="48" s="1"/>
  <c r="F20" i="48" s="1"/>
  <c r="F70" i="47"/>
  <c r="I70" i="47" s="1"/>
  <c r="J70" i="47" s="1"/>
  <c r="D70" i="47"/>
  <c r="E70" i="47" s="1"/>
  <c r="M68" i="47"/>
  <c r="M69" i="47"/>
  <c r="M70" i="47"/>
  <c r="H68" i="47"/>
  <c r="I68" i="47"/>
  <c r="J68" i="47" s="1"/>
  <c r="H69" i="47"/>
  <c r="I69" i="47"/>
  <c r="J69" i="47" s="1"/>
  <c r="H70" i="47"/>
  <c r="E68" i="47"/>
  <c r="E69" i="47"/>
  <c r="I21" i="47"/>
  <c r="I9" i="52" l="1"/>
  <c r="M9" i="52" s="1"/>
  <c r="I18" i="52"/>
  <c r="M7" i="52"/>
  <c r="J10" i="52"/>
  <c r="I11" i="52"/>
  <c r="M11" i="52" s="1"/>
  <c r="Y7" i="52"/>
  <c r="W8" i="52"/>
  <c r="H9" i="52"/>
  <c r="Y11" i="52"/>
  <c r="W12" i="52"/>
  <c r="Y17" i="52"/>
  <c r="H41" i="52"/>
  <c r="H42" i="52"/>
  <c r="H43" i="52"/>
  <c r="H44" i="52"/>
  <c r="H46" i="52"/>
  <c r="E48" i="52"/>
  <c r="E50" i="52"/>
  <c r="E54" i="52"/>
  <c r="J26" i="52"/>
  <c r="E31" i="52"/>
  <c r="E55" i="52"/>
  <c r="E62" i="52"/>
  <c r="E64" i="52"/>
  <c r="Y12" i="52"/>
  <c r="F18" i="52"/>
  <c r="F20" i="52" s="1"/>
  <c r="Z14" i="52" s="1"/>
  <c r="I36" i="52"/>
  <c r="J36" i="52" s="1"/>
  <c r="W15" i="52"/>
  <c r="J16" i="52"/>
  <c r="H37" i="52"/>
  <c r="H60" i="52"/>
  <c r="J7" i="52"/>
  <c r="W10" i="52"/>
  <c r="J11" i="52"/>
  <c r="W16" i="52"/>
  <c r="J17" i="52"/>
  <c r="W11" i="51"/>
  <c r="Y11" i="51"/>
  <c r="Y10" i="51"/>
  <c r="M7" i="51"/>
  <c r="I9" i="51"/>
  <c r="M9" i="51" s="1"/>
  <c r="Y9" i="51"/>
  <c r="W9" i="51"/>
  <c r="J9" i="51"/>
  <c r="Y17" i="51"/>
  <c r="I32" i="51"/>
  <c r="J32" i="51" s="1"/>
  <c r="I33" i="51"/>
  <c r="J33" i="51" s="1"/>
  <c r="I34" i="51"/>
  <c r="J34" i="51" s="1"/>
  <c r="I35" i="51"/>
  <c r="J35" i="51" s="1"/>
  <c r="I38" i="51"/>
  <c r="J38" i="51" s="1"/>
  <c r="I39" i="51"/>
  <c r="J39" i="51" s="1"/>
  <c r="I40" i="51"/>
  <c r="J40" i="51" s="1"/>
  <c r="E48" i="51"/>
  <c r="E50" i="51"/>
  <c r="E54" i="51"/>
  <c r="J14" i="51"/>
  <c r="I41" i="51"/>
  <c r="J41" i="51" s="1"/>
  <c r="I46" i="51"/>
  <c r="J46" i="51" s="1"/>
  <c r="H47" i="51"/>
  <c r="H70" i="51"/>
  <c r="I10" i="51"/>
  <c r="M10" i="51" s="1"/>
  <c r="W14" i="51"/>
  <c r="J15" i="51"/>
  <c r="F18" i="51"/>
  <c r="F20" i="51" s="1"/>
  <c r="Z17" i="51" s="1"/>
  <c r="I53" i="51"/>
  <c r="J53" i="51" s="1"/>
  <c r="E56" i="51"/>
  <c r="E65" i="51"/>
  <c r="J10" i="51"/>
  <c r="W15" i="51"/>
  <c r="J16" i="51"/>
  <c r="G18" i="51"/>
  <c r="W16" i="51"/>
  <c r="J17" i="51"/>
  <c r="G18" i="50"/>
  <c r="W9" i="50"/>
  <c r="I18" i="50"/>
  <c r="M7" i="50"/>
  <c r="W12" i="50"/>
  <c r="Y17" i="50"/>
  <c r="E54" i="50"/>
  <c r="J26" i="50"/>
  <c r="H36" i="50"/>
  <c r="H53" i="50"/>
  <c r="H70" i="50"/>
  <c r="Y12" i="50"/>
  <c r="J9" i="50"/>
  <c r="W14" i="50"/>
  <c r="J15" i="50"/>
  <c r="F18" i="50"/>
  <c r="F20" i="50" s="1"/>
  <c r="Z13" i="50" s="1"/>
  <c r="E29" i="50"/>
  <c r="I47" i="50"/>
  <c r="J47" i="50" s="1"/>
  <c r="W15" i="50"/>
  <c r="J16" i="50"/>
  <c r="W10" i="50"/>
  <c r="W16" i="50"/>
  <c r="J17" i="50"/>
  <c r="H31" i="50"/>
  <c r="J10" i="50"/>
  <c r="H44" i="49"/>
  <c r="E54" i="49"/>
  <c r="J14" i="49"/>
  <c r="I15" i="49"/>
  <c r="M15" i="49" s="1"/>
  <c r="J26" i="49"/>
  <c r="H36" i="49"/>
  <c r="I41" i="49"/>
  <c r="J41" i="49" s="1"/>
  <c r="I42" i="49"/>
  <c r="J42" i="49" s="1"/>
  <c r="I43" i="49"/>
  <c r="J43" i="49" s="1"/>
  <c r="I46" i="49"/>
  <c r="J46" i="49" s="1"/>
  <c r="E55" i="49"/>
  <c r="E62" i="49"/>
  <c r="E64" i="49"/>
  <c r="H70" i="49"/>
  <c r="I7" i="49"/>
  <c r="J7" i="49"/>
  <c r="I10" i="49"/>
  <c r="M10" i="49" s="1"/>
  <c r="W14" i="49"/>
  <c r="J15" i="49"/>
  <c r="F18" i="49"/>
  <c r="F20" i="49" s="1"/>
  <c r="Z15" i="49" s="1"/>
  <c r="E29" i="49"/>
  <c r="H48" i="49"/>
  <c r="H50" i="49"/>
  <c r="W7" i="49"/>
  <c r="J8" i="49"/>
  <c r="W8" i="49"/>
  <c r="J9" i="49"/>
  <c r="W9" i="49"/>
  <c r="J10" i="49"/>
  <c r="W15" i="49"/>
  <c r="J16" i="49"/>
  <c r="H37" i="49"/>
  <c r="H60" i="49"/>
  <c r="Z13" i="48"/>
  <c r="Z12" i="48"/>
  <c r="G19" i="48"/>
  <c r="I22" i="48"/>
  <c r="Z9" i="48"/>
  <c r="Z8" i="48"/>
  <c r="Z14" i="48"/>
  <c r="Z7" i="48"/>
  <c r="H34" i="48"/>
  <c r="H39" i="48"/>
  <c r="Z16" i="48"/>
  <c r="I32" i="48"/>
  <c r="J32" i="48" s="1"/>
  <c r="H44" i="48"/>
  <c r="I7" i="48"/>
  <c r="Z11" i="48"/>
  <c r="W13" i="48"/>
  <c r="J14" i="48"/>
  <c r="I15" i="48"/>
  <c r="M15" i="48" s="1"/>
  <c r="Z17" i="48"/>
  <c r="J26" i="48"/>
  <c r="H36" i="48"/>
  <c r="I41" i="48"/>
  <c r="J41" i="48" s="1"/>
  <c r="I42" i="48"/>
  <c r="J42" i="48" s="1"/>
  <c r="I43" i="48"/>
  <c r="J43" i="48" s="1"/>
  <c r="I46" i="48"/>
  <c r="J46" i="48" s="1"/>
  <c r="H47" i="48"/>
  <c r="H53" i="48"/>
  <c r="E55" i="48"/>
  <c r="E62" i="48"/>
  <c r="E64" i="48"/>
  <c r="H70" i="48"/>
  <c r="H35" i="48"/>
  <c r="H40" i="48"/>
  <c r="J13" i="48"/>
  <c r="E60" i="48"/>
  <c r="J7" i="48"/>
  <c r="I10" i="48"/>
  <c r="M10" i="48" s="1"/>
  <c r="W14" i="48"/>
  <c r="J15" i="48"/>
  <c r="H48" i="48"/>
  <c r="H50" i="48"/>
  <c r="H54" i="48"/>
  <c r="H33" i="48"/>
  <c r="H38" i="48"/>
  <c r="E37" i="48"/>
  <c r="J8" i="48"/>
  <c r="J9" i="48"/>
  <c r="M67" i="47"/>
  <c r="J67" i="47"/>
  <c r="I67" i="47"/>
  <c r="H67" i="47"/>
  <c r="E67" i="47"/>
  <c r="M66" i="47"/>
  <c r="J66" i="47"/>
  <c r="I66" i="47"/>
  <c r="H66" i="47"/>
  <c r="E66" i="47"/>
  <c r="M65" i="47"/>
  <c r="F65" i="47"/>
  <c r="I65" i="47" s="1"/>
  <c r="J65" i="47" s="1"/>
  <c r="D65" i="47"/>
  <c r="H65" i="47" s="1"/>
  <c r="M64" i="47"/>
  <c r="F64" i="47"/>
  <c r="I64" i="47" s="1"/>
  <c r="J64" i="47" s="1"/>
  <c r="D64" i="47"/>
  <c r="H64" i="47" s="1"/>
  <c r="M63" i="47"/>
  <c r="I63" i="47"/>
  <c r="J63" i="47" s="1"/>
  <c r="H63" i="47"/>
  <c r="E63" i="47"/>
  <c r="M62" i="47"/>
  <c r="F62" i="47"/>
  <c r="I62" i="47" s="1"/>
  <c r="J62" i="47" s="1"/>
  <c r="D62" i="47"/>
  <c r="H62" i="47" s="1"/>
  <c r="M61" i="47"/>
  <c r="I61" i="47"/>
  <c r="J61" i="47" s="1"/>
  <c r="H61" i="47"/>
  <c r="E61" i="47"/>
  <c r="M60" i="47"/>
  <c r="G60" i="47"/>
  <c r="F60" i="47"/>
  <c r="D60" i="47"/>
  <c r="E60" i="47" s="1"/>
  <c r="M59" i="47"/>
  <c r="I59" i="47"/>
  <c r="J59" i="47" s="1"/>
  <c r="H59" i="47"/>
  <c r="E59" i="47"/>
  <c r="M58" i="47"/>
  <c r="J58" i="47"/>
  <c r="I58" i="47"/>
  <c r="H58" i="47"/>
  <c r="E58" i="47"/>
  <c r="M57" i="47"/>
  <c r="I57" i="47"/>
  <c r="J57" i="47" s="1"/>
  <c r="H57" i="47"/>
  <c r="E57" i="47"/>
  <c r="M56" i="47"/>
  <c r="F56" i="47"/>
  <c r="D56" i="47"/>
  <c r="H56" i="47" s="1"/>
  <c r="M55" i="47"/>
  <c r="F55" i="47"/>
  <c r="I55" i="47" s="1"/>
  <c r="J55" i="47" s="1"/>
  <c r="D55" i="47"/>
  <c r="H55" i="47" s="1"/>
  <c r="M54" i="47"/>
  <c r="F54" i="47"/>
  <c r="I54" i="47" s="1"/>
  <c r="J54" i="47" s="1"/>
  <c r="D54" i="47"/>
  <c r="M53" i="47"/>
  <c r="F53" i="47"/>
  <c r="I53" i="47" s="1"/>
  <c r="J53" i="47" s="1"/>
  <c r="D53" i="47"/>
  <c r="E53" i="47" s="1"/>
  <c r="M52" i="47"/>
  <c r="I52" i="47"/>
  <c r="J52" i="47" s="1"/>
  <c r="H52" i="47"/>
  <c r="E52" i="47"/>
  <c r="M51" i="47"/>
  <c r="I51" i="47"/>
  <c r="J51" i="47" s="1"/>
  <c r="H51" i="47"/>
  <c r="E51" i="47"/>
  <c r="M50" i="47"/>
  <c r="F50" i="47"/>
  <c r="I50" i="47" s="1"/>
  <c r="J50" i="47" s="1"/>
  <c r="D50" i="47"/>
  <c r="E50" i="47" s="1"/>
  <c r="M49" i="47"/>
  <c r="J49" i="47"/>
  <c r="I49" i="47"/>
  <c r="H49" i="47"/>
  <c r="E49" i="47"/>
  <c r="M48" i="47"/>
  <c r="F48" i="47"/>
  <c r="I48" i="47" s="1"/>
  <c r="J48" i="47" s="1"/>
  <c r="D48" i="47"/>
  <c r="E48" i="47" s="1"/>
  <c r="M47" i="47"/>
  <c r="F47" i="47"/>
  <c r="I47" i="47" s="1"/>
  <c r="J47" i="47" s="1"/>
  <c r="D47" i="47"/>
  <c r="H47" i="47" s="1"/>
  <c r="M46" i="47"/>
  <c r="G46" i="47"/>
  <c r="H46" i="47" s="1"/>
  <c r="F46" i="47"/>
  <c r="E46" i="47" s="1"/>
  <c r="M45" i="47"/>
  <c r="I45" i="47"/>
  <c r="J45" i="47" s="1"/>
  <c r="H45" i="47"/>
  <c r="E45" i="47"/>
  <c r="M44" i="47"/>
  <c r="G44" i="47"/>
  <c r="H44" i="47" s="1"/>
  <c r="E44" i="47"/>
  <c r="M43" i="47"/>
  <c r="G43" i="47"/>
  <c r="H43" i="47" s="1"/>
  <c r="E43" i="47"/>
  <c r="M42" i="47"/>
  <c r="G42" i="47"/>
  <c r="H42" i="47" s="1"/>
  <c r="E42" i="47"/>
  <c r="M41" i="47"/>
  <c r="G41" i="47"/>
  <c r="H41" i="47" s="1"/>
  <c r="F41" i="47"/>
  <c r="E41" i="47" s="1"/>
  <c r="M40" i="47"/>
  <c r="G40" i="47"/>
  <c r="I40" i="47" s="1"/>
  <c r="J40" i="47" s="1"/>
  <c r="E40" i="47"/>
  <c r="M39" i="47"/>
  <c r="G39" i="47"/>
  <c r="I39" i="47" s="1"/>
  <c r="J39" i="47" s="1"/>
  <c r="E39" i="47"/>
  <c r="M38" i="47"/>
  <c r="G38" i="47"/>
  <c r="I38" i="47" s="1"/>
  <c r="J38" i="47" s="1"/>
  <c r="F38" i="47"/>
  <c r="D38" i="47"/>
  <c r="E38" i="47" s="1"/>
  <c r="M37" i="47"/>
  <c r="G37" i="47"/>
  <c r="H37" i="47" s="1"/>
  <c r="F37" i="47"/>
  <c r="D37" i="47"/>
  <c r="M36" i="47"/>
  <c r="G36" i="47"/>
  <c r="F36" i="47"/>
  <c r="D36" i="47"/>
  <c r="E36" i="47" s="1"/>
  <c r="M35" i="47"/>
  <c r="G35" i="47"/>
  <c r="I35" i="47" s="1"/>
  <c r="J35" i="47" s="1"/>
  <c r="E35" i="47"/>
  <c r="M34" i="47"/>
  <c r="G34" i="47"/>
  <c r="I34" i="47" s="1"/>
  <c r="J34" i="47" s="1"/>
  <c r="E34" i="47"/>
  <c r="M33" i="47"/>
  <c r="G33" i="47"/>
  <c r="I33" i="47" s="1"/>
  <c r="J33" i="47" s="1"/>
  <c r="E33" i="47"/>
  <c r="M32" i="47"/>
  <c r="G32" i="47"/>
  <c r="F32" i="47"/>
  <c r="E32" i="47" s="1"/>
  <c r="M31" i="47"/>
  <c r="G31" i="47"/>
  <c r="I31" i="47" s="1"/>
  <c r="J31" i="47" s="1"/>
  <c r="F31" i="47"/>
  <c r="E31" i="47" s="1"/>
  <c r="M30" i="47"/>
  <c r="I30" i="47"/>
  <c r="J30" i="47" s="1"/>
  <c r="H30" i="47"/>
  <c r="E30" i="47"/>
  <c r="M29" i="47"/>
  <c r="H29" i="47"/>
  <c r="F29" i="47"/>
  <c r="D29" i="47"/>
  <c r="M28" i="47"/>
  <c r="I28" i="47"/>
  <c r="J28" i="47" s="1"/>
  <c r="H28" i="47"/>
  <c r="E28" i="47"/>
  <c r="M27" i="47"/>
  <c r="I27" i="47"/>
  <c r="J27" i="47" s="1"/>
  <c r="H27" i="47"/>
  <c r="E27" i="47"/>
  <c r="M26" i="47"/>
  <c r="I26" i="47"/>
  <c r="H26" i="47"/>
  <c r="E26" i="47"/>
  <c r="L22" i="47"/>
  <c r="Y17" i="47"/>
  <c r="V17" i="47"/>
  <c r="U17" i="47"/>
  <c r="T17" i="47"/>
  <c r="R17" i="47"/>
  <c r="L17" i="47"/>
  <c r="H17" i="47"/>
  <c r="W17" i="47" s="1"/>
  <c r="F17" i="47"/>
  <c r="I17" i="47" s="1"/>
  <c r="M17" i="47" s="1"/>
  <c r="V16" i="47"/>
  <c r="U16" i="47"/>
  <c r="T16" i="47"/>
  <c r="R16" i="47"/>
  <c r="L16" i="47"/>
  <c r="H16" i="47"/>
  <c r="J16" i="47" s="1"/>
  <c r="F16" i="47"/>
  <c r="V15" i="47"/>
  <c r="U15" i="47"/>
  <c r="T15" i="47"/>
  <c r="R15" i="47"/>
  <c r="L15" i="47"/>
  <c r="H15" i="47"/>
  <c r="W15" i="47" s="1"/>
  <c r="F15" i="47"/>
  <c r="I15" i="47" s="1"/>
  <c r="M15" i="47" s="1"/>
  <c r="V14" i="47"/>
  <c r="U14" i="47"/>
  <c r="T14" i="47"/>
  <c r="R14" i="47"/>
  <c r="L14" i="47"/>
  <c r="H14" i="47"/>
  <c r="Y14" i="47" s="1"/>
  <c r="F14" i="47"/>
  <c r="I14" i="47" s="1"/>
  <c r="M14" i="47" s="1"/>
  <c r="V13" i="47"/>
  <c r="U13" i="47"/>
  <c r="T13" i="47"/>
  <c r="R13" i="47"/>
  <c r="L13" i="47"/>
  <c r="H13" i="47"/>
  <c r="J13" i="47" s="1"/>
  <c r="F13" i="47"/>
  <c r="I13" i="47" s="1"/>
  <c r="M13" i="47" s="1"/>
  <c r="Y12" i="47"/>
  <c r="V12" i="47"/>
  <c r="U12" i="47"/>
  <c r="T12" i="47"/>
  <c r="R12" i="47"/>
  <c r="L12" i="47"/>
  <c r="I12" i="47"/>
  <c r="M12" i="47" s="1"/>
  <c r="H12" i="47"/>
  <c r="W12" i="47" s="1"/>
  <c r="F12" i="47"/>
  <c r="Y11" i="47"/>
  <c r="W11" i="47"/>
  <c r="V11" i="47"/>
  <c r="U11" i="47"/>
  <c r="T11" i="47"/>
  <c r="R11" i="47"/>
  <c r="L11" i="47"/>
  <c r="J11" i="47"/>
  <c r="H11" i="47"/>
  <c r="F11" i="47"/>
  <c r="I11" i="47" s="1"/>
  <c r="M11" i="47" s="1"/>
  <c r="V10" i="47"/>
  <c r="U10" i="47"/>
  <c r="T10" i="47"/>
  <c r="R10" i="47"/>
  <c r="L10" i="47"/>
  <c r="H10" i="47"/>
  <c r="J10" i="47" s="1"/>
  <c r="F10" i="47"/>
  <c r="V7" i="47"/>
  <c r="U7" i="47"/>
  <c r="T7" i="47"/>
  <c r="R7" i="47"/>
  <c r="L7" i="47"/>
  <c r="H7" i="47"/>
  <c r="W7" i="47" s="1"/>
  <c r="F7" i="47"/>
  <c r="V9" i="47"/>
  <c r="U9" i="47"/>
  <c r="T9" i="47"/>
  <c r="R9" i="47"/>
  <c r="G18" i="47"/>
  <c r="F9" i="47"/>
  <c r="V8" i="47"/>
  <c r="U8" i="47"/>
  <c r="T8" i="47"/>
  <c r="R8" i="47"/>
  <c r="H8" i="47"/>
  <c r="Y8" i="47" s="1"/>
  <c r="F8" i="47"/>
  <c r="I8" i="47" s="1"/>
  <c r="M67" i="46"/>
  <c r="H67" i="46"/>
  <c r="I67" i="46"/>
  <c r="J67" i="46" s="1"/>
  <c r="E67" i="46"/>
  <c r="I21" i="46"/>
  <c r="M66" i="46"/>
  <c r="J66" i="46"/>
  <c r="I66" i="46"/>
  <c r="H66" i="46"/>
  <c r="E66" i="46"/>
  <c r="M65" i="46"/>
  <c r="J65" i="46"/>
  <c r="I65" i="46"/>
  <c r="F65" i="46"/>
  <c r="D65" i="46"/>
  <c r="H65" i="46" s="1"/>
  <c r="M64" i="46"/>
  <c r="F64" i="46"/>
  <c r="I64" i="46" s="1"/>
  <c r="J64" i="46" s="1"/>
  <c r="D64" i="46"/>
  <c r="E64" i="46" s="1"/>
  <c r="M63" i="46"/>
  <c r="I63" i="46"/>
  <c r="J63" i="46" s="1"/>
  <c r="H63" i="46"/>
  <c r="E63" i="46"/>
  <c r="M62" i="46"/>
  <c r="F62" i="46"/>
  <c r="I62" i="46" s="1"/>
  <c r="J62" i="46" s="1"/>
  <c r="D62" i="46"/>
  <c r="E62" i="46" s="1"/>
  <c r="M61" i="46"/>
  <c r="I61" i="46"/>
  <c r="J61" i="46" s="1"/>
  <c r="H61" i="46"/>
  <c r="E61" i="46"/>
  <c r="M60" i="46"/>
  <c r="G60" i="46"/>
  <c r="I60" i="46" s="1"/>
  <c r="J60" i="46" s="1"/>
  <c r="F60" i="46"/>
  <c r="E60" i="46"/>
  <c r="D60" i="46"/>
  <c r="M59" i="46"/>
  <c r="I59" i="46"/>
  <c r="J59" i="46" s="1"/>
  <c r="H59" i="46"/>
  <c r="E59" i="46"/>
  <c r="M58" i="46"/>
  <c r="J58" i="46"/>
  <c r="I58" i="46"/>
  <c r="H58" i="46"/>
  <c r="E58" i="46"/>
  <c r="M57" i="46"/>
  <c r="I57" i="46"/>
  <c r="J57" i="46" s="1"/>
  <c r="H57" i="46"/>
  <c r="E57" i="46"/>
  <c r="M56" i="46"/>
  <c r="J56" i="46"/>
  <c r="I56" i="46"/>
  <c r="H56" i="46"/>
  <c r="F56" i="46"/>
  <c r="D56" i="46"/>
  <c r="E56" i="46" s="1"/>
  <c r="M55" i="46"/>
  <c r="I55" i="46"/>
  <c r="J55" i="46" s="1"/>
  <c r="F55" i="46"/>
  <c r="D55" i="46"/>
  <c r="E55" i="46" s="1"/>
  <c r="M54" i="46"/>
  <c r="F54" i="46"/>
  <c r="I54" i="46" s="1"/>
  <c r="J54" i="46" s="1"/>
  <c r="E54" i="46"/>
  <c r="D54" i="46"/>
  <c r="H54" i="46" s="1"/>
  <c r="M53" i="46"/>
  <c r="F53" i="46"/>
  <c r="E53" i="46" s="1"/>
  <c r="D53" i="46"/>
  <c r="H53" i="46" s="1"/>
  <c r="M52" i="46"/>
  <c r="I52" i="46"/>
  <c r="J52" i="46" s="1"/>
  <c r="H52" i="46"/>
  <c r="E52" i="46"/>
  <c r="M51" i="46"/>
  <c r="J51" i="46"/>
  <c r="I51" i="46"/>
  <c r="H51" i="46"/>
  <c r="E51" i="46"/>
  <c r="M50" i="46"/>
  <c r="F50" i="46"/>
  <c r="I50" i="46" s="1"/>
  <c r="J50" i="46" s="1"/>
  <c r="E50" i="46"/>
  <c r="D50" i="46"/>
  <c r="H50" i="46" s="1"/>
  <c r="M49" i="46"/>
  <c r="J49" i="46"/>
  <c r="I49" i="46"/>
  <c r="H49" i="46"/>
  <c r="E49" i="46"/>
  <c r="M48" i="46"/>
  <c r="F48" i="46"/>
  <c r="I48" i="46" s="1"/>
  <c r="J48" i="46" s="1"/>
  <c r="E48" i="46"/>
  <c r="D48" i="46"/>
  <c r="H48" i="46" s="1"/>
  <c r="M47" i="46"/>
  <c r="F47" i="46"/>
  <c r="E47" i="46" s="1"/>
  <c r="D47" i="46"/>
  <c r="H47" i="46" s="1"/>
  <c r="M46" i="46"/>
  <c r="H46" i="46"/>
  <c r="G46" i="46"/>
  <c r="F46" i="46"/>
  <c r="I46" i="46" s="1"/>
  <c r="J46" i="46" s="1"/>
  <c r="M45" i="46"/>
  <c r="I45" i="46"/>
  <c r="J45" i="46" s="1"/>
  <c r="H45" i="46"/>
  <c r="E45" i="46"/>
  <c r="M44" i="46"/>
  <c r="J44" i="46"/>
  <c r="I44" i="46"/>
  <c r="H44" i="46"/>
  <c r="G44" i="46"/>
  <c r="E44" i="46"/>
  <c r="M43" i="46"/>
  <c r="J43" i="46"/>
  <c r="I43" i="46"/>
  <c r="H43" i="46"/>
  <c r="G43" i="46"/>
  <c r="E43" i="46"/>
  <c r="M42" i="46"/>
  <c r="J42" i="46"/>
  <c r="I42" i="46"/>
  <c r="H42" i="46"/>
  <c r="G42" i="46"/>
  <c r="E42" i="46"/>
  <c r="M41" i="46"/>
  <c r="H41" i="46"/>
  <c r="G41" i="46"/>
  <c r="F41" i="46"/>
  <c r="I41" i="46" s="1"/>
  <c r="J41" i="46" s="1"/>
  <c r="M40" i="46"/>
  <c r="I40" i="46"/>
  <c r="J40" i="46" s="1"/>
  <c r="G40" i="46"/>
  <c r="H40" i="46" s="1"/>
  <c r="E40" i="46"/>
  <c r="M39" i="46"/>
  <c r="I39" i="46"/>
  <c r="J39" i="46" s="1"/>
  <c r="G39" i="46"/>
  <c r="H39" i="46" s="1"/>
  <c r="E39" i="46"/>
  <c r="M38" i="46"/>
  <c r="I38" i="46"/>
  <c r="J38" i="46" s="1"/>
  <c r="G38" i="46"/>
  <c r="H38" i="46" s="1"/>
  <c r="F38" i="46"/>
  <c r="E38" i="46"/>
  <c r="D38" i="46"/>
  <c r="M37" i="46"/>
  <c r="G37" i="46"/>
  <c r="I37" i="46" s="1"/>
  <c r="J37" i="46" s="1"/>
  <c r="F37" i="46"/>
  <c r="E37" i="46"/>
  <c r="D37" i="46"/>
  <c r="M36" i="46"/>
  <c r="I36" i="46"/>
  <c r="J36" i="46" s="1"/>
  <c r="G36" i="46"/>
  <c r="H36" i="46" s="1"/>
  <c r="F36" i="46"/>
  <c r="E36" i="46"/>
  <c r="D36" i="46"/>
  <c r="M35" i="46"/>
  <c r="I35" i="46"/>
  <c r="J35" i="46" s="1"/>
  <c r="G35" i="46"/>
  <c r="H35" i="46" s="1"/>
  <c r="E35" i="46"/>
  <c r="M34" i="46"/>
  <c r="I34" i="46"/>
  <c r="J34" i="46" s="1"/>
  <c r="G34" i="46"/>
  <c r="H34" i="46" s="1"/>
  <c r="E34" i="46"/>
  <c r="M33" i="46"/>
  <c r="I33" i="46"/>
  <c r="J33" i="46" s="1"/>
  <c r="G33" i="46"/>
  <c r="H33" i="46" s="1"/>
  <c r="E33" i="46"/>
  <c r="M32" i="46"/>
  <c r="I32" i="46"/>
  <c r="J32" i="46" s="1"/>
  <c r="G32" i="46"/>
  <c r="H32" i="46" s="1"/>
  <c r="F32" i="46"/>
  <c r="E32" i="46"/>
  <c r="M31" i="46"/>
  <c r="H31" i="46"/>
  <c r="G31" i="46"/>
  <c r="F31" i="46"/>
  <c r="E31" i="46" s="1"/>
  <c r="M30" i="46"/>
  <c r="I30" i="46"/>
  <c r="J30" i="46" s="1"/>
  <c r="H30" i="46"/>
  <c r="E30" i="46"/>
  <c r="M29" i="46"/>
  <c r="J29" i="46"/>
  <c r="I29" i="46"/>
  <c r="H29" i="46"/>
  <c r="F29" i="46"/>
  <c r="E29" i="46"/>
  <c r="D29" i="46"/>
  <c r="M28" i="46"/>
  <c r="I28" i="46"/>
  <c r="J28" i="46" s="1"/>
  <c r="H28" i="46"/>
  <c r="E28" i="46"/>
  <c r="M27" i="46"/>
  <c r="J27" i="46"/>
  <c r="I27" i="46"/>
  <c r="H27" i="46"/>
  <c r="E27" i="46"/>
  <c r="M26" i="46"/>
  <c r="I26" i="46"/>
  <c r="H26" i="46"/>
  <c r="E26" i="46"/>
  <c r="L22" i="46"/>
  <c r="V17" i="46"/>
  <c r="U17" i="46"/>
  <c r="T17" i="46"/>
  <c r="R17" i="46"/>
  <c r="L17" i="46"/>
  <c r="H17" i="46"/>
  <c r="Y17" i="46" s="1"/>
  <c r="F17" i="46"/>
  <c r="V16" i="46"/>
  <c r="U16" i="46"/>
  <c r="T16" i="46"/>
  <c r="R16" i="46"/>
  <c r="L16" i="46"/>
  <c r="I16" i="46"/>
  <c r="M16" i="46" s="1"/>
  <c r="H16" i="46"/>
  <c r="Y16" i="46" s="1"/>
  <c r="F16" i="46"/>
  <c r="V15" i="46"/>
  <c r="U15" i="46"/>
  <c r="T15" i="46"/>
  <c r="R15" i="46"/>
  <c r="L15" i="46"/>
  <c r="I15" i="46"/>
  <c r="M15" i="46" s="1"/>
  <c r="H15" i="46"/>
  <c r="Y15" i="46" s="1"/>
  <c r="F15" i="46"/>
  <c r="W14" i="46"/>
  <c r="V14" i="46"/>
  <c r="U14" i="46"/>
  <c r="T14" i="46"/>
  <c r="R14" i="46"/>
  <c r="L14" i="46"/>
  <c r="J14" i="46"/>
  <c r="I14" i="46"/>
  <c r="M14" i="46" s="1"/>
  <c r="H14" i="46"/>
  <c r="Y14" i="46" s="1"/>
  <c r="F14" i="46"/>
  <c r="Y13" i="46"/>
  <c r="W13" i="46"/>
  <c r="V13" i="46"/>
  <c r="U13" i="46"/>
  <c r="T13" i="46"/>
  <c r="R13" i="46"/>
  <c r="M13" i="46"/>
  <c r="L13" i="46"/>
  <c r="J13" i="46"/>
  <c r="I13" i="46"/>
  <c r="H13" i="46"/>
  <c r="F13" i="46"/>
  <c r="Y12" i="46"/>
  <c r="W12" i="46"/>
  <c r="V12" i="46"/>
  <c r="U12" i="46"/>
  <c r="T12" i="46"/>
  <c r="R12" i="46"/>
  <c r="L12" i="46"/>
  <c r="J12" i="46"/>
  <c r="H12" i="46"/>
  <c r="F12" i="46"/>
  <c r="I12" i="46" s="1"/>
  <c r="M12" i="46" s="1"/>
  <c r="Y11" i="46"/>
  <c r="V11" i="46"/>
  <c r="U11" i="46"/>
  <c r="T11" i="46"/>
  <c r="R11" i="46"/>
  <c r="L11" i="46"/>
  <c r="H11" i="46"/>
  <c r="W11" i="46" s="1"/>
  <c r="F11" i="46"/>
  <c r="V9" i="46"/>
  <c r="U9" i="46"/>
  <c r="T9" i="46"/>
  <c r="R9" i="46"/>
  <c r="L9" i="46"/>
  <c r="H9" i="46"/>
  <c r="Y9" i="46" s="1"/>
  <c r="F9" i="46"/>
  <c r="V10" i="46"/>
  <c r="U10" i="46"/>
  <c r="T10" i="46"/>
  <c r="R10" i="46"/>
  <c r="L10" i="46"/>
  <c r="H10" i="46"/>
  <c r="Y10" i="46" s="1"/>
  <c r="F10" i="46"/>
  <c r="I10" i="46" s="1"/>
  <c r="M10" i="46" s="1"/>
  <c r="V8" i="46"/>
  <c r="U8" i="46"/>
  <c r="T8" i="46"/>
  <c r="R8" i="46"/>
  <c r="L8" i="46"/>
  <c r="G8" i="46"/>
  <c r="G18" i="46" s="1"/>
  <c r="D8" i="46"/>
  <c r="H8" i="46" s="1"/>
  <c r="V7" i="46"/>
  <c r="U7" i="46"/>
  <c r="T7" i="46"/>
  <c r="R7" i="46"/>
  <c r="L7" i="46"/>
  <c r="H7" i="46"/>
  <c r="W7" i="46" s="1"/>
  <c r="F7" i="46"/>
  <c r="I7" i="46" s="1"/>
  <c r="M7" i="46" s="1"/>
  <c r="M66" i="45"/>
  <c r="H66" i="45"/>
  <c r="I66" i="45"/>
  <c r="J66" i="45" s="1"/>
  <c r="E66" i="45"/>
  <c r="F65" i="45"/>
  <c r="D65" i="45"/>
  <c r="E65" i="45" s="1"/>
  <c r="M64" i="45"/>
  <c r="M65" i="45"/>
  <c r="H64" i="45"/>
  <c r="I64" i="45"/>
  <c r="J64" i="45" s="1"/>
  <c r="I65" i="45"/>
  <c r="J65" i="45" s="1"/>
  <c r="E64" i="45"/>
  <c r="F64" i="45"/>
  <c r="D64" i="45"/>
  <c r="I21" i="45"/>
  <c r="M63" i="45"/>
  <c r="I63" i="45"/>
  <c r="J63" i="45" s="1"/>
  <c r="H63" i="45"/>
  <c r="E63" i="45"/>
  <c r="M62" i="45"/>
  <c r="I62" i="45"/>
  <c r="J62" i="45" s="1"/>
  <c r="H62" i="45"/>
  <c r="F62" i="45"/>
  <c r="D62" i="45"/>
  <c r="E62" i="45" s="1"/>
  <c r="M61" i="45"/>
  <c r="I61" i="45"/>
  <c r="J61" i="45" s="1"/>
  <c r="H61" i="45"/>
  <c r="E61" i="45"/>
  <c r="M60" i="45"/>
  <c r="G60" i="45"/>
  <c r="I60" i="45" s="1"/>
  <c r="J60" i="45" s="1"/>
  <c r="F60" i="45"/>
  <c r="D60" i="45"/>
  <c r="E60" i="45" s="1"/>
  <c r="M59" i="45"/>
  <c r="I59" i="45"/>
  <c r="J59" i="45" s="1"/>
  <c r="H59" i="45"/>
  <c r="E59" i="45"/>
  <c r="M58" i="45"/>
  <c r="I58" i="45"/>
  <c r="J58" i="45" s="1"/>
  <c r="H58" i="45"/>
  <c r="E58" i="45"/>
  <c r="M57" i="45"/>
  <c r="I57" i="45"/>
  <c r="J57" i="45" s="1"/>
  <c r="H57" i="45"/>
  <c r="E57" i="45"/>
  <c r="M56" i="45"/>
  <c r="H56" i="45"/>
  <c r="F56" i="45"/>
  <c r="I56" i="45" s="1"/>
  <c r="J56" i="45" s="1"/>
  <c r="D56" i="45"/>
  <c r="E56" i="45" s="1"/>
  <c r="M55" i="45"/>
  <c r="H55" i="45"/>
  <c r="F55" i="45"/>
  <c r="I55" i="45" s="1"/>
  <c r="J55" i="45" s="1"/>
  <c r="D55" i="45"/>
  <c r="M54" i="45"/>
  <c r="I54" i="45"/>
  <c r="J54" i="45" s="1"/>
  <c r="H54" i="45"/>
  <c r="F54" i="45"/>
  <c r="E54" i="45"/>
  <c r="D54" i="45"/>
  <c r="M53" i="45"/>
  <c r="I53" i="45"/>
  <c r="J53" i="45" s="1"/>
  <c r="F53" i="45"/>
  <c r="E53" i="45" s="1"/>
  <c r="D53" i="45"/>
  <c r="H53" i="45" s="1"/>
  <c r="M52" i="45"/>
  <c r="I52" i="45"/>
  <c r="J52" i="45" s="1"/>
  <c r="H52" i="45"/>
  <c r="E52" i="45"/>
  <c r="M51" i="45"/>
  <c r="I51" i="45"/>
  <c r="J51" i="45" s="1"/>
  <c r="H51" i="45"/>
  <c r="E51" i="45"/>
  <c r="M50" i="45"/>
  <c r="H50" i="45"/>
  <c r="F50" i="45"/>
  <c r="E50" i="45" s="1"/>
  <c r="D50" i="45"/>
  <c r="M49" i="45"/>
  <c r="I49" i="45"/>
  <c r="J49" i="45" s="1"/>
  <c r="H49" i="45"/>
  <c r="E49" i="45"/>
  <c r="M48" i="45"/>
  <c r="F48" i="45"/>
  <c r="I48" i="45" s="1"/>
  <c r="J48" i="45" s="1"/>
  <c r="D48" i="45"/>
  <c r="H48" i="45" s="1"/>
  <c r="M47" i="45"/>
  <c r="F47" i="45"/>
  <c r="E47" i="45" s="1"/>
  <c r="D47" i="45"/>
  <c r="H47" i="45" s="1"/>
  <c r="M46" i="45"/>
  <c r="H46" i="45"/>
  <c r="G46" i="45"/>
  <c r="I46" i="45" s="1"/>
  <c r="J46" i="45" s="1"/>
  <c r="F46" i="45"/>
  <c r="E46" i="45"/>
  <c r="M45" i="45"/>
  <c r="I45" i="45"/>
  <c r="J45" i="45" s="1"/>
  <c r="H45" i="45"/>
  <c r="E45" i="45"/>
  <c r="M44" i="45"/>
  <c r="H44" i="45"/>
  <c r="G44" i="45"/>
  <c r="I44" i="45" s="1"/>
  <c r="J44" i="45" s="1"/>
  <c r="E44" i="45"/>
  <c r="M43" i="45"/>
  <c r="H43" i="45"/>
  <c r="G43" i="45"/>
  <c r="I43" i="45" s="1"/>
  <c r="J43" i="45" s="1"/>
  <c r="E43" i="45"/>
  <c r="M42" i="45"/>
  <c r="G42" i="45"/>
  <c r="I42" i="45" s="1"/>
  <c r="J42" i="45" s="1"/>
  <c r="E42" i="45"/>
  <c r="M41" i="45"/>
  <c r="H41" i="45"/>
  <c r="G41" i="45"/>
  <c r="I41" i="45" s="1"/>
  <c r="J41" i="45" s="1"/>
  <c r="F41" i="45"/>
  <c r="E41" i="45"/>
  <c r="M40" i="45"/>
  <c r="G40" i="45"/>
  <c r="H40" i="45" s="1"/>
  <c r="E40" i="45"/>
  <c r="M39" i="45"/>
  <c r="G39" i="45"/>
  <c r="H39" i="45" s="1"/>
  <c r="E39" i="45"/>
  <c r="M38" i="45"/>
  <c r="G38" i="45"/>
  <c r="H38" i="45" s="1"/>
  <c r="F38" i="45"/>
  <c r="E38" i="45" s="1"/>
  <c r="D38" i="45"/>
  <c r="M37" i="45"/>
  <c r="G37" i="45"/>
  <c r="I37" i="45" s="1"/>
  <c r="J37" i="45" s="1"/>
  <c r="F37" i="45"/>
  <c r="E37" i="45"/>
  <c r="D37" i="45"/>
  <c r="M36" i="45"/>
  <c r="I36" i="45"/>
  <c r="J36" i="45" s="1"/>
  <c r="G36" i="45"/>
  <c r="F36" i="45"/>
  <c r="D36" i="45"/>
  <c r="E36" i="45" s="1"/>
  <c r="M35" i="45"/>
  <c r="G35" i="45"/>
  <c r="H35" i="45" s="1"/>
  <c r="E35" i="45"/>
  <c r="M34" i="45"/>
  <c r="G34" i="45"/>
  <c r="H34" i="45" s="1"/>
  <c r="E34" i="45"/>
  <c r="M33" i="45"/>
  <c r="G33" i="45"/>
  <c r="H33" i="45" s="1"/>
  <c r="E33" i="45"/>
  <c r="M32" i="45"/>
  <c r="G32" i="45"/>
  <c r="H32" i="45" s="1"/>
  <c r="F32" i="45"/>
  <c r="E32" i="45" s="1"/>
  <c r="M31" i="45"/>
  <c r="G31" i="45"/>
  <c r="I31" i="45" s="1"/>
  <c r="J31" i="45" s="1"/>
  <c r="F31" i="45"/>
  <c r="E31" i="45" s="1"/>
  <c r="M30" i="45"/>
  <c r="I30" i="45"/>
  <c r="J30" i="45" s="1"/>
  <c r="H30" i="45"/>
  <c r="E30" i="45"/>
  <c r="M29" i="45"/>
  <c r="F29" i="45"/>
  <c r="I29" i="45" s="1"/>
  <c r="J29" i="45" s="1"/>
  <c r="E29" i="45"/>
  <c r="D29" i="45"/>
  <c r="H29" i="45" s="1"/>
  <c r="M28" i="45"/>
  <c r="I28" i="45"/>
  <c r="J28" i="45" s="1"/>
  <c r="H28" i="45"/>
  <c r="E28" i="45"/>
  <c r="M27" i="45"/>
  <c r="I27" i="45"/>
  <c r="J27" i="45" s="1"/>
  <c r="H27" i="45"/>
  <c r="E27" i="45"/>
  <c r="M26" i="45"/>
  <c r="I26" i="45"/>
  <c r="H26" i="45"/>
  <c r="E26" i="45"/>
  <c r="L22" i="45"/>
  <c r="V17" i="45"/>
  <c r="U17" i="45"/>
  <c r="T17" i="45"/>
  <c r="R17" i="45"/>
  <c r="L17" i="45"/>
  <c r="I17" i="45"/>
  <c r="M17" i="45" s="1"/>
  <c r="H17" i="45"/>
  <c r="W17" i="45" s="1"/>
  <c r="F17" i="45"/>
  <c r="W16" i="45"/>
  <c r="V16" i="45"/>
  <c r="U16" i="45"/>
  <c r="T16" i="45"/>
  <c r="R16" i="45"/>
  <c r="L16" i="45"/>
  <c r="J16" i="45"/>
  <c r="H16" i="45"/>
  <c r="Y16" i="45" s="1"/>
  <c r="F16" i="45"/>
  <c r="I16" i="45" s="1"/>
  <c r="M16" i="45" s="1"/>
  <c r="V15" i="45"/>
  <c r="U15" i="45"/>
  <c r="T15" i="45"/>
  <c r="R15" i="45"/>
  <c r="L15" i="45"/>
  <c r="J15" i="45"/>
  <c r="H15" i="45"/>
  <c r="Y15" i="45" s="1"/>
  <c r="F15" i="45"/>
  <c r="I15" i="45" s="1"/>
  <c r="M15" i="45" s="1"/>
  <c r="V14" i="45"/>
  <c r="U14" i="45"/>
  <c r="T14" i="45"/>
  <c r="R14" i="45"/>
  <c r="L14" i="45"/>
  <c r="H14" i="45"/>
  <c r="Y14" i="45" s="1"/>
  <c r="F14" i="45"/>
  <c r="V13" i="45"/>
  <c r="U13" i="45"/>
  <c r="T13" i="45"/>
  <c r="R13" i="45"/>
  <c r="L13" i="45"/>
  <c r="H13" i="45"/>
  <c r="W13" i="45" s="1"/>
  <c r="F13" i="45"/>
  <c r="I13" i="45" s="1"/>
  <c r="M13" i="45" s="1"/>
  <c r="V9" i="45"/>
  <c r="U9" i="45"/>
  <c r="T9" i="45"/>
  <c r="R9" i="45"/>
  <c r="L9" i="45"/>
  <c r="H9" i="45"/>
  <c r="J9" i="45" s="1"/>
  <c r="F9" i="45"/>
  <c r="I9" i="45" s="1"/>
  <c r="M9" i="45" s="1"/>
  <c r="V12" i="45"/>
  <c r="U12" i="45"/>
  <c r="T12" i="45"/>
  <c r="R12" i="45"/>
  <c r="L12" i="45"/>
  <c r="H12" i="45"/>
  <c r="W12" i="45" s="1"/>
  <c r="F12" i="45"/>
  <c r="I12" i="45" s="1"/>
  <c r="M12" i="45" s="1"/>
  <c r="V8" i="45"/>
  <c r="U8" i="45"/>
  <c r="T8" i="45"/>
  <c r="R8" i="45"/>
  <c r="L8" i="45"/>
  <c r="G8" i="45"/>
  <c r="D8" i="45"/>
  <c r="F8" i="45" s="1"/>
  <c r="V7" i="45"/>
  <c r="U7" i="45"/>
  <c r="T7" i="45"/>
  <c r="R7" i="45"/>
  <c r="L7" i="45"/>
  <c r="H7" i="45"/>
  <c r="W7" i="45" s="1"/>
  <c r="F7" i="45"/>
  <c r="I7" i="45" s="1"/>
  <c r="M7" i="45" s="1"/>
  <c r="V11" i="45"/>
  <c r="U11" i="45"/>
  <c r="T11" i="45"/>
  <c r="R11" i="45"/>
  <c r="L11" i="45"/>
  <c r="F11" i="45"/>
  <c r="V10" i="45"/>
  <c r="U10" i="45"/>
  <c r="T10" i="45"/>
  <c r="R10" i="45"/>
  <c r="L10" i="45"/>
  <c r="F10" i="45"/>
  <c r="I21" i="44"/>
  <c r="M63" i="44"/>
  <c r="J63" i="44"/>
  <c r="I63" i="44"/>
  <c r="H63" i="44"/>
  <c r="E63" i="44"/>
  <c r="M62" i="44"/>
  <c r="I62" i="44"/>
  <c r="J62" i="44" s="1"/>
  <c r="F62" i="44"/>
  <c r="E62" i="44"/>
  <c r="D62" i="44"/>
  <c r="H62" i="44" s="1"/>
  <c r="M61" i="44"/>
  <c r="I61" i="44"/>
  <c r="J61" i="44" s="1"/>
  <c r="H61" i="44"/>
  <c r="E61" i="44"/>
  <c r="M60" i="44"/>
  <c r="I60" i="44"/>
  <c r="J60" i="44" s="1"/>
  <c r="H60" i="44"/>
  <c r="G60" i="44"/>
  <c r="F60" i="44"/>
  <c r="E60" i="44" s="1"/>
  <c r="D60" i="44"/>
  <c r="M59" i="44"/>
  <c r="J59" i="44"/>
  <c r="I59" i="44"/>
  <c r="H59" i="44"/>
  <c r="E59" i="44"/>
  <c r="M58" i="44"/>
  <c r="I58" i="44"/>
  <c r="J58" i="44" s="1"/>
  <c r="H58" i="44"/>
  <c r="E58" i="44"/>
  <c r="M57" i="44"/>
  <c r="I57" i="44"/>
  <c r="J57" i="44" s="1"/>
  <c r="H57" i="44"/>
  <c r="E57" i="44"/>
  <c r="M56" i="44"/>
  <c r="H56" i="44"/>
  <c r="F56" i="44"/>
  <c r="I56" i="44" s="1"/>
  <c r="J56" i="44" s="1"/>
  <c r="D56" i="44"/>
  <c r="M55" i="44"/>
  <c r="I55" i="44"/>
  <c r="J55" i="44" s="1"/>
  <c r="H55" i="44"/>
  <c r="F55" i="44"/>
  <c r="E55" i="44"/>
  <c r="D55" i="44"/>
  <c r="M54" i="44"/>
  <c r="I54" i="44"/>
  <c r="J54" i="44" s="1"/>
  <c r="F54" i="44"/>
  <c r="E54" i="44" s="1"/>
  <c r="D54" i="44"/>
  <c r="H54" i="44" s="1"/>
  <c r="M53" i="44"/>
  <c r="F53" i="44"/>
  <c r="I53" i="44" s="1"/>
  <c r="J53" i="44" s="1"/>
  <c r="D53" i="44"/>
  <c r="E53" i="44" s="1"/>
  <c r="M52" i="44"/>
  <c r="I52" i="44"/>
  <c r="J52" i="44" s="1"/>
  <c r="H52" i="44"/>
  <c r="E52" i="44"/>
  <c r="M51" i="44"/>
  <c r="J51" i="44"/>
  <c r="I51" i="44"/>
  <c r="H51" i="44"/>
  <c r="E51" i="44"/>
  <c r="M50" i="44"/>
  <c r="I50" i="44"/>
  <c r="J50" i="44" s="1"/>
  <c r="F50" i="44"/>
  <c r="E50" i="44" s="1"/>
  <c r="D50" i="44"/>
  <c r="H50" i="44" s="1"/>
  <c r="M49" i="44"/>
  <c r="J49" i="44"/>
  <c r="I49" i="44"/>
  <c r="H49" i="44"/>
  <c r="E49" i="44"/>
  <c r="M48" i="44"/>
  <c r="I48" i="44"/>
  <c r="J48" i="44" s="1"/>
  <c r="F48" i="44"/>
  <c r="E48" i="44" s="1"/>
  <c r="D48" i="44"/>
  <c r="H48" i="44" s="1"/>
  <c r="M47" i="44"/>
  <c r="F47" i="44"/>
  <c r="I47" i="44" s="1"/>
  <c r="J47" i="44" s="1"/>
  <c r="D47" i="44"/>
  <c r="E47" i="44" s="1"/>
  <c r="M46" i="44"/>
  <c r="G46" i="44"/>
  <c r="H46" i="44" s="1"/>
  <c r="F46" i="44"/>
  <c r="I46" i="44" s="1"/>
  <c r="J46" i="44" s="1"/>
  <c r="E46" i="44"/>
  <c r="M45" i="44"/>
  <c r="J45" i="44"/>
  <c r="I45" i="44"/>
  <c r="H45" i="44"/>
  <c r="E45" i="44"/>
  <c r="M44" i="44"/>
  <c r="I44" i="44"/>
  <c r="J44" i="44" s="1"/>
  <c r="G44" i="44"/>
  <c r="H44" i="44" s="1"/>
  <c r="E44" i="44"/>
  <c r="M43" i="44"/>
  <c r="I43" i="44"/>
  <c r="J43" i="44" s="1"/>
  <c r="G43" i="44"/>
  <c r="H43" i="44" s="1"/>
  <c r="E43" i="44"/>
  <c r="M42" i="44"/>
  <c r="I42" i="44"/>
  <c r="J42" i="44" s="1"/>
  <c r="G42" i="44"/>
  <c r="H42" i="44" s="1"/>
  <c r="E42" i="44"/>
  <c r="M41" i="44"/>
  <c r="G41" i="44"/>
  <c r="H41" i="44" s="1"/>
  <c r="F41" i="44"/>
  <c r="I41" i="44" s="1"/>
  <c r="J41" i="44" s="1"/>
  <c r="E41" i="44"/>
  <c r="M40" i="44"/>
  <c r="G40" i="44"/>
  <c r="I40" i="44" s="1"/>
  <c r="J40" i="44" s="1"/>
  <c r="E40" i="44"/>
  <c r="M39" i="44"/>
  <c r="G39" i="44"/>
  <c r="I39" i="44" s="1"/>
  <c r="J39" i="44" s="1"/>
  <c r="E39" i="44"/>
  <c r="M38" i="44"/>
  <c r="G38" i="44"/>
  <c r="I38" i="44" s="1"/>
  <c r="J38" i="44" s="1"/>
  <c r="F38" i="44"/>
  <c r="E38" i="44" s="1"/>
  <c r="D38" i="44"/>
  <c r="M37" i="44"/>
  <c r="I37" i="44"/>
  <c r="J37" i="44" s="1"/>
  <c r="H37" i="44"/>
  <c r="G37" i="44"/>
  <c r="F37" i="44"/>
  <c r="E37" i="44" s="1"/>
  <c r="D37" i="44"/>
  <c r="M36" i="44"/>
  <c r="G36" i="44"/>
  <c r="I36" i="44" s="1"/>
  <c r="J36" i="44" s="1"/>
  <c r="F36" i="44"/>
  <c r="D36" i="44"/>
  <c r="E36" i="44" s="1"/>
  <c r="M35" i="44"/>
  <c r="G35" i="44"/>
  <c r="I35" i="44" s="1"/>
  <c r="J35" i="44" s="1"/>
  <c r="E35" i="44"/>
  <c r="M34" i="44"/>
  <c r="G34" i="44"/>
  <c r="I34" i="44" s="1"/>
  <c r="J34" i="44" s="1"/>
  <c r="E34" i="44"/>
  <c r="M33" i="44"/>
  <c r="G33" i="44"/>
  <c r="I33" i="44" s="1"/>
  <c r="J33" i="44" s="1"/>
  <c r="E33" i="44"/>
  <c r="M32" i="44"/>
  <c r="G32" i="44"/>
  <c r="I32" i="44" s="1"/>
  <c r="J32" i="44" s="1"/>
  <c r="F32" i="44"/>
  <c r="E32" i="44" s="1"/>
  <c r="M31" i="44"/>
  <c r="G31" i="44"/>
  <c r="I31" i="44" s="1"/>
  <c r="J31" i="44" s="1"/>
  <c r="F31" i="44"/>
  <c r="E31" i="44"/>
  <c r="M30" i="44"/>
  <c r="I30" i="44"/>
  <c r="J30" i="44" s="1"/>
  <c r="H30" i="44"/>
  <c r="E30" i="44"/>
  <c r="M29" i="44"/>
  <c r="H29" i="44"/>
  <c r="F29" i="44"/>
  <c r="I29" i="44" s="1"/>
  <c r="J29" i="44" s="1"/>
  <c r="D29" i="44"/>
  <c r="M28" i="44"/>
  <c r="I28" i="44"/>
  <c r="J28" i="44" s="1"/>
  <c r="H28" i="44"/>
  <c r="E28" i="44"/>
  <c r="M27" i="44"/>
  <c r="I27" i="44"/>
  <c r="J27" i="44" s="1"/>
  <c r="H27" i="44"/>
  <c r="E27" i="44"/>
  <c r="M26" i="44"/>
  <c r="J26" i="44"/>
  <c r="I26" i="44"/>
  <c r="H26" i="44"/>
  <c r="E26" i="44"/>
  <c r="L22" i="44"/>
  <c r="G18" i="44"/>
  <c r="Y17" i="44"/>
  <c r="W17" i="44"/>
  <c r="V17" i="44"/>
  <c r="U17" i="44"/>
  <c r="T17" i="44"/>
  <c r="R17" i="44"/>
  <c r="L17" i="44"/>
  <c r="J17" i="44"/>
  <c r="I17" i="44"/>
  <c r="M17" i="44" s="1"/>
  <c r="H17" i="44"/>
  <c r="F17" i="44"/>
  <c r="V16" i="44"/>
  <c r="U16" i="44"/>
  <c r="T16" i="44"/>
  <c r="R16" i="44"/>
  <c r="L16" i="44"/>
  <c r="J16" i="44"/>
  <c r="H16" i="44"/>
  <c r="Y16" i="44" s="1"/>
  <c r="F16" i="44"/>
  <c r="Y15" i="44"/>
  <c r="W15" i="44"/>
  <c r="V15" i="44"/>
  <c r="U15" i="44"/>
  <c r="T15" i="44"/>
  <c r="R15" i="44"/>
  <c r="L15" i="44"/>
  <c r="I15" i="44"/>
  <c r="M15" i="44" s="1"/>
  <c r="H15" i="44"/>
  <c r="J15" i="44" s="1"/>
  <c r="F15" i="44"/>
  <c r="Y14" i="44"/>
  <c r="V14" i="44"/>
  <c r="U14" i="44"/>
  <c r="T14" i="44"/>
  <c r="R14" i="44"/>
  <c r="L14" i="44"/>
  <c r="J14" i="44"/>
  <c r="H14" i="44"/>
  <c r="W14" i="44" s="1"/>
  <c r="F14" i="44"/>
  <c r="I14" i="44" s="1"/>
  <c r="M14" i="44" s="1"/>
  <c r="W13" i="44"/>
  <c r="V13" i="44"/>
  <c r="U13" i="44"/>
  <c r="T13" i="44"/>
  <c r="R13" i="44"/>
  <c r="L13" i="44"/>
  <c r="H13" i="44"/>
  <c r="J13" i="44" s="1"/>
  <c r="F13" i="44"/>
  <c r="I13" i="44" s="1"/>
  <c r="M13" i="44" s="1"/>
  <c r="V12" i="44"/>
  <c r="U12" i="44"/>
  <c r="T12" i="44"/>
  <c r="R12" i="44"/>
  <c r="L12" i="44"/>
  <c r="H12" i="44"/>
  <c r="W12" i="44" s="1"/>
  <c r="F12" i="44"/>
  <c r="I12" i="44" s="1"/>
  <c r="M12" i="44" s="1"/>
  <c r="Y11" i="44"/>
  <c r="W11" i="44"/>
  <c r="V11" i="44"/>
  <c r="U11" i="44"/>
  <c r="T11" i="44"/>
  <c r="R11" i="44"/>
  <c r="L11" i="44"/>
  <c r="J11" i="44"/>
  <c r="H11" i="44"/>
  <c r="F11" i="44"/>
  <c r="I11" i="44" s="1"/>
  <c r="M11" i="44" s="1"/>
  <c r="V10" i="44"/>
  <c r="U10" i="44"/>
  <c r="T10" i="44"/>
  <c r="R10" i="44"/>
  <c r="L10" i="44"/>
  <c r="J10" i="44"/>
  <c r="H10" i="44"/>
  <c r="W10" i="44" s="1"/>
  <c r="G10" i="44"/>
  <c r="D10" i="44"/>
  <c r="F10" i="44" s="1"/>
  <c r="W9" i="44"/>
  <c r="V9" i="44"/>
  <c r="U9" i="44"/>
  <c r="T9" i="44"/>
  <c r="R9" i="44"/>
  <c r="L9" i="44"/>
  <c r="H9" i="44"/>
  <c r="J9" i="44" s="1"/>
  <c r="F9" i="44"/>
  <c r="I9" i="44" s="1"/>
  <c r="M9" i="44" s="1"/>
  <c r="V8" i="44"/>
  <c r="U8" i="44"/>
  <c r="T8" i="44"/>
  <c r="R8" i="44"/>
  <c r="L8" i="44"/>
  <c r="H8" i="44"/>
  <c r="W8" i="44" s="1"/>
  <c r="G8" i="44"/>
  <c r="F8" i="44"/>
  <c r="I8" i="44" s="1"/>
  <c r="M8" i="44" s="1"/>
  <c r="D8" i="44"/>
  <c r="V7" i="44"/>
  <c r="U7" i="44"/>
  <c r="T7" i="44"/>
  <c r="R7" i="44"/>
  <c r="L7" i="44"/>
  <c r="G7" i="44"/>
  <c r="H7" i="44" s="1"/>
  <c r="D7" i="44"/>
  <c r="F7" i="44" s="1"/>
  <c r="Z7" i="52" l="1"/>
  <c r="Z17" i="52"/>
  <c r="Z15" i="52"/>
  <c r="Z10" i="52"/>
  <c r="Z8" i="52"/>
  <c r="Z16" i="52"/>
  <c r="Z13" i="52"/>
  <c r="I76" i="52"/>
  <c r="G19" i="52"/>
  <c r="I22" i="52"/>
  <c r="Z11" i="52"/>
  <c r="Y9" i="52"/>
  <c r="J9" i="52"/>
  <c r="W9" i="52"/>
  <c r="Z12" i="52"/>
  <c r="Z9" i="52"/>
  <c r="Z10" i="51"/>
  <c r="Z8" i="51"/>
  <c r="Z13" i="51"/>
  <c r="Z9" i="51"/>
  <c r="Z12" i="51"/>
  <c r="I18" i="51"/>
  <c r="G19" i="51"/>
  <c r="I22" i="51"/>
  <c r="Z11" i="51"/>
  <c r="Z15" i="51"/>
  <c r="I76" i="51"/>
  <c r="Z7" i="51"/>
  <c r="Z16" i="51"/>
  <c r="Z14" i="51"/>
  <c r="Z10" i="50"/>
  <c r="Z12" i="50"/>
  <c r="Z9" i="50"/>
  <c r="Z16" i="50"/>
  <c r="Z7" i="50"/>
  <c r="I76" i="50"/>
  <c r="Z17" i="50"/>
  <c r="Z15" i="50"/>
  <c r="G19" i="50"/>
  <c r="I22" i="50"/>
  <c r="Z11" i="50"/>
  <c r="Z14" i="50"/>
  <c r="Z8" i="50"/>
  <c r="Z10" i="49"/>
  <c r="Z12" i="49"/>
  <c r="Z14" i="49"/>
  <c r="I76" i="49"/>
  <c r="G19" i="49"/>
  <c r="Z9" i="49"/>
  <c r="Z11" i="49"/>
  <c r="I22" i="49"/>
  <c r="Z8" i="49"/>
  <c r="I18" i="49"/>
  <c r="M7" i="49"/>
  <c r="Z17" i="49"/>
  <c r="Z13" i="49"/>
  <c r="Z16" i="49"/>
  <c r="Z7" i="49"/>
  <c r="I76" i="48"/>
  <c r="I18" i="48"/>
  <c r="M7" i="48"/>
  <c r="Y7" i="47"/>
  <c r="W16" i="47"/>
  <c r="I32" i="47"/>
  <c r="J32" i="47" s="1"/>
  <c r="E56" i="47"/>
  <c r="J8" i="47"/>
  <c r="W8" i="47"/>
  <c r="W10" i="47"/>
  <c r="Y16" i="47"/>
  <c r="H31" i="47"/>
  <c r="I37" i="47"/>
  <c r="J37" i="47" s="1"/>
  <c r="H60" i="47"/>
  <c r="Y10" i="47"/>
  <c r="E29" i="47"/>
  <c r="I36" i="47"/>
  <c r="J36" i="47" s="1"/>
  <c r="I56" i="47"/>
  <c r="J56" i="47" s="1"/>
  <c r="I60" i="47"/>
  <c r="J60" i="47" s="1"/>
  <c r="J12" i="47"/>
  <c r="Y15" i="47"/>
  <c r="J17" i="47"/>
  <c r="I29" i="47"/>
  <c r="J29" i="47" s="1"/>
  <c r="E37" i="47"/>
  <c r="E54" i="47"/>
  <c r="I9" i="47"/>
  <c r="M9" i="47" s="1"/>
  <c r="M8" i="47"/>
  <c r="H33" i="47"/>
  <c r="H39" i="47"/>
  <c r="E47" i="47"/>
  <c r="I7" i="47"/>
  <c r="M7" i="47" s="1"/>
  <c r="W13" i="47"/>
  <c r="J14" i="47"/>
  <c r="J26" i="47"/>
  <c r="H36" i="47"/>
  <c r="I41" i="47"/>
  <c r="J41" i="47" s="1"/>
  <c r="I42" i="47"/>
  <c r="J42" i="47" s="1"/>
  <c r="I43" i="47"/>
  <c r="J43" i="47" s="1"/>
  <c r="I44" i="47"/>
  <c r="J44" i="47" s="1"/>
  <c r="I46" i="47"/>
  <c r="J46" i="47" s="1"/>
  <c r="H53" i="47"/>
  <c r="E55" i="47"/>
  <c r="E62" i="47"/>
  <c r="E64" i="47"/>
  <c r="H9" i="47"/>
  <c r="H32" i="47"/>
  <c r="J7" i="47"/>
  <c r="I10" i="47"/>
  <c r="M10" i="47" s="1"/>
  <c r="Y13" i="47"/>
  <c r="W14" i="47"/>
  <c r="J15" i="47"/>
  <c r="I16" i="47"/>
  <c r="M16" i="47" s="1"/>
  <c r="F18" i="47"/>
  <c r="F20" i="47" s="1"/>
  <c r="Z16" i="47" s="1"/>
  <c r="H48" i="47"/>
  <c r="H50" i="47"/>
  <c r="H54" i="47"/>
  <c r="E65" i="47"/>
  <c r="H34" i="47"/>
  <c r="H40" i="47"/>
  <c r="H35" i="47"/>
  <c r="H38" i="47"/>
  <c r="Y7" i="46"/>
  <c r="J8" i="46"/>
  <c r="Y8" i="46"/>
  <c r="W8" i="46"/>
  <c r="J10" i="46"/>
  <c r="I9" i="46"/>
  <c r="M9" i="46" s="1"/>
  <c r="J15" i="46"/>
  <c r="I47" i="46"/>
  <c r="J47" i="46" s="1"/>
  <c r="I53" i="46"/>
  <c r="J53" i="46" s="1"/>
  <c r="E65" i="46"/>
  <c r="F8" i="46"/>
  <c r="F18" i="46" s="1"/>
  <c r="F20" i="46" s="1"/>
  <c r="Z7" i="46" s="1"/>
  <c r="W10" i="46"/>
  <c r="J9" i="46"/>
  <c r="I11" i="46"/>
  <c r="M11" i="46" s="1"/>
  <c r="W15" i="46"/>
  <c r="J16" i="46"/>
  <c r="I17" i="46"/>
  <c r="M17" i="46" s="1"/>
  <c r="H37" i="46"/>
  <c r="E41" i="46"/>
  <c r="E46" i="46"/>
  <c r="H55" i="46"/>
  <c r="H60" i="46"/>
  <c r="H62" i="46"/>
  <c r="H64" i="46"/>
  <c r="J7" i="46"/>
  <c r="W9" i="46"/>
  <c r="J11" i="46"/>
  <c r="W16" i="46"/>
  <c r="J17" i="46"/>
  <c r="W17" i="46"/>
  <c r="I31" i="46"/>
  <c r="J31" i="46" s="1"/>
  <c r="J26" i="46"/>
  <c r="H65" i="45"/>
  <c r="H11" i="45"/>
  <c r="W11" i="45" s="1"/>
  <c r="Y13" i="45"/>
  <c r="H42" i="45"/>
  <c r="E48" i="45"/>
  <c r="H60" i="45"/>
  <c r="Y7" i="45"/>
  <c r="I50" i="45"/>
  <c r="J50" i="45" s="1"/>
  <c r="H8" i="45"/>
  <c r="W8" i="45" s="1"/>
  <c r="J14" i="45"/>
  <c r="W14" i="45"/>
  <c r="W15" i="45"/>
  <c r="I47" i="45"/>
  <c r="J47" i="45" s="1"/>
  <c r="H36" i="45"/>
  <c r="I11" i="45"/>
  <c r="M11" i="45" s="1"/>
  <c r="I8" i="45"/>
  <c r="M8" i="45" s="1"/>
  <c r="I10" i="45"/>
  <c r="F18" i="45"/>
  <c r="F20" i="45" s="1"/>
  <c r="Z17" i="45" s="1"/>
  <c r="G18" i="45"/>
  <c r="H37" i="45"/>
  <c r="H10" i="45"/>
  <c r="J7" i="45"/>
  <c r="Y12" i="45"/>
  <c r="W9" i="45"/>
  <c r="J13" i="45"/>
  <c r="I14" i="45"/>
  <c r="M14" i="45" s="1"/>
  <c r="Y17" i="45"/>
  <c r="I32" i="45"/>
  <c r="J32" i="45" s="1"/>
  <c r="I33" i="45"/>
  <c r="J33" i="45" s="1"/>
  <c r="I34" i="45"/>
  <c r="J34" i="45" s="1"/>
  <c r="I35" i="45"/>
  <c r="J35" i="45" s="1"/>
  <c r="I38" i="45"/>
  <c r="J38" i="45" s="1"/>
  <c r="I39" i="45"/>
  <c r="J39" i="45" s="1"/>
  <c r="I40" i="45"/>
  <c r="J40" i="45" s="1"/>
  <c r="Y9" i="45"/>
  <c r="J26" i="45"/>
  <c r="E55" i="45"/>
  <c r="J12" i="45"/>
  <c r="J17" i="45"/>
  <c r="H31" i="45"/>
  <c r="F18" i="44"/>
  <c r="F20" i="44" s="1"/>
  <c r="Z15" i="44" s="1"/>
  <c r="I7" i="44"/>
  <c r="Y7" i="44"/>
  <c r="W7" i="44"/>
  <c r="J7" i="44"/>
  <c r="I65" i="44"/>
  <c r="I10" i="44"/>
  <c r="M10" i="44" s="1"/>
  <c r="Y8" i="44"/>
  <c r="Y12" i="44"/>
  <c r="H36" i="44"/>
  <c r="H47" i="44"/>
  <c r="H53" i="44"/>
  <c r="Y9" i="44"/>
  <c r="Y13" i="44"/>
  <c r="I16" i="44"/>
  <c r="M16" i="44" s="1"/>
  <c r="E29" i="44"/>
  <c r="E56" i="44"/>
  <c r="W16" i="44"/>
  <c r="H31" i="44"/>
  <c r="J8" i="44"/>
  <c r="Y10" i="44"/>
  <c r="J12" i="44"/>
  <c r="H32" i="44"/>
  <c r="H33" i="44"/>
  <c r="H34" i="44"/>
  <c r="H35" i="44"/>
  <c r="H38" i="44"/>
  <c r="H39" i="44"/>
  <c r="H40" i="44"/>
  <c r="Z14" i="47" l="1"/>
  <c r="Z17" i="47"/>
  <c r="Z12" i="47"/>
  <c r="I18" i="47"/>
  <c r="I22" i="47"/>
  <c r="G19" i="47"/>
  <c r="Z15" i="47"/>
  <c r="Z13" i="47"/>
  <c r="Z9" i="47"/>
  <c r="I76" i="47"/>
  <c r="Z11" i="47"/>
  <c r="Z7" i="47"/>
  <c r="Y9" i="47"/>
  <c r="W9" i="47"/>
  <c r="J9" i="47"/>
  <c r="Z8" i="47"/>
  <c r="Z10" i="47"/>
  <c r="Z14" i="46"/>
  <c r="G19" i="46"/>
  <c r="I22" i="46"/>
  <c r="Z9" i="46"/>
  <c r="I8" i="46"/>
  <c r="Z8" i="46"/>
  <c r="Z12" i="46"/>
  <c r="Z13" i="46"/>
  <c r="Z15" i="46"/>
  <c r="Z11" i="46"/>
  <c r="I69" i="46"/>
  <c r="Z16" i="46"/>
  <c r="Z10" i="46"/>
  <c r="Z17" i="46"/>
  <c r="J8" i="45"/>
  <c r="Y8" i="45"/>
  <c r="Y11" i="45"/>
  <c r="J11" i="45"/>
  <c r="Z11" i="45"/>
  <c r="Z12" i="45"/>
  <c r="Z13" i="45"/>
  <c r="Z7" i="45"/>
  <c r="Z14" i="45"/>
  <c r="Z8" i="45"/>
  <c r="I69" i="45"/>
  <c r="G19" i="45"/>
  <c r="I22" i="45"/>
  <c r="Z16" i="45"/>
  <c r="J10" i="45"/>
  <c r="Y10" i="45"/>
  <c r="W10" i="45"/>
  <c r="I18" i="45"/>
  <c r="M10" i="45"/>
  <c r="Z15" i="45"/>
  <c r="Z9" i="45"/>
  <c r="Z10" i="45"/>
  <c r="Z16" i="44"/>
  <c r="Z14" i="44"/>
  <c r="Z13" i="44"/>
  <c r="Z8" i="44"/>
  <c r="Z9" i="44"/>
  <c r="Z11" i="44"/>
  <c r="M7" i="44"/>
  <c r="I18" i="44"/>
  <c r="Z17" i="44"/>
  <c r="G19" i="44"/>
  <c r="I22" i="44"/>
  <c r="Z10" i="44"/>
  <c r="Z12" i="44"/>
  <c r="Z7" i="44"/>
  <c r="M8" i="46" l="1"/>
  <c r="I18" i="46"/>
  <c r="F62" i="43"/>
  <c r="I62" i="43" s="1"/>
  <c r="J62" i="43" s="1"/>
  <c r="D62" i="43"/>
  <c r="H62" i="43" s="1"/>
  <c r="M61" i="43"/>
  <c r="M62" i="43"/>
  <c r="M63" i="43"/>
  <c r="E61" i="43"/>
  <c r="E63" i="43"/>
  <c r="H61" i="43"/>
  <c r="I61" i="43"/>
  <c r="J61" i="43"/>
  <c r="H63" i="43"/>
  <c r="I63" i="43"/>
  <c r="J63" i="43" s="1"/>
  <c r="G60" i="43"/>
  <c r="F60" i="43"/>
  <c r="D60" i="43"/>
  <c r="I21" i="43"/>
  <c r="E62" i="43" l="1"/>
  <c r="M60" i="43"/>
  <c r="I60" i="43"/>
  <c r="J60" i="43" s="1"/>
  <c r="H60" i="43"/>
  <c r="E60" i="43"/>
  <c r="M59" i="43"/>
  <c r="I59" i="43"/>
  <c r="J59" i="43" s="1"/>
  <c r="H59" i="43"/>
  <c r="E59" i="43"/>
  <c r="M58" i="43"/>
  <c r="I58" i="43"/>
  <c r="J58" i="43" s="1"/>
  <c r="H58" i="43"/>
  <c r="E58" i="43"/>
  <c r="M57" i="43"/>
  <c r="J57" i="43"/>
  <c r="I57" i="43"/>
  <c r="H57" i="43"/>
  <c r="E57" i="43"/>
  <c r="M56" i="43"/>
  <c r="H56" i="43"/>
  <c r="F56" i="43"/>
  <c r="I56" i="43" s="1"/>
  <c r="J56" i="43" s="1"/>
  <c r="E56" i="43"/>
  <c r="D56" i="43"/>
  <c r="M55" i="43"/>
  <c r="H55" i="43"/>
  <c r="F55" i="43"/>
  <c r="I55" i="43" s="1"/>
  <c r="J55" i="43" s="1"/>
  <c r="D55" i="43"/>
  <c r="M54" i="43"/>
  <c r="I54" i="43"/>
  <c r="J54" i="43" s="1"/>
  <c r="H54" i="43"/>
  <c r="F54" i="43"/>
  <c r="E54" i="43"/>
  <c r="D54" i="43"/>
  <c r="M53" i="43"/>
  <c r="I53" i="43"/>
  <c r="J53" i="43" s="1"/>
  <c r="H53" i="43"/>
  <c r="F53" i="43"/>
  <c r="E53" i="43" s="1"/>
  <c r="D53" i="43"/>
  <c r="M52" i="43"/>
  <c r="J52" i="43"/>
  <c r="I52" i="43"/>
  <c r="H52" i="43"/>
  <c r="E52" i="43"/>
  <c r="M51" i="43"/>
  <c r="I51" i="43"/>
  <c r="J51" i="43" s="1"/>
  <c r="H51" i="43"/>
  <c r="E51" i="43"/>
  <c r="M50" i="43"/>
  <c r="I50" i="43"/>
  <c r="J50" i="43" s="1"/>
  <c r="H50" i="43"/>
  <c r="F50" i="43"/>
  <c r="D50" i="43"/>
  <c r="E50" i="43" s="1"/>
  <c r="M49" i="43"/>
  <c r="I49" i="43"/>
  <c r="J49" i="43" s="1"/>
  <c r="H49" i="43"/>
  <c r="E49" i="43"/>
  <c r="M48" i="43"/>
  <c r="I48" i="43"/>
  <c r="J48" i="43" s="1"/>
  <c r="H48" i="43"/>
  <c r="F48" i="43"/>
  <c r="D48" i="43"/>
  <c r="E48" i="43" s="1"/>
  <c r="M47" i="43"/>
  <c r="I47" i="43"/>
  <c r="J47" i="43" s="1"/>
  <c r="F47" i="43"/>
  <c r="D47" i="43"/>
  <c r="H47" i="43" s="1"/>
  <c r="M46" i="43"/>
  <c r="G46" i="43"/>
  <c r="I46" i="43" s="1"/>
  <c r="J46" i="43" s="1"/>
  <c r="F46" i="43"/>
  <c r="E46" i="43"/>
  <c r="M45" i="43"/>
  <c r="I45" i="43"/>
  <c r="J45" i="43" s="1"/>
  <c r="H45" i="43"/>
  <c r="E45" i="43"/>
  <c r="M44" i="43"/>
  <c r="J44" i="43"/>
  <c r="I44" i="43"/>
  <c r="H44" i="43"/>
  <c r="G44" i="43"/>
  <c r="E44" i="43"/>
  <c r="M43" i="43"/>
  <c r="J43" i="43"/>
  <c r="I43" i="43"/>
  <c r="H43" i="43"/>
  <c r="G43" i="43"/>
  <c r="E43" i="43"/>
  <c r="M42" i="43"/>
  <c r="J42" i="43"/>
  <c r="I42" i="43"/>
  <c r="H42" i="43"/>
  <c r="G42" i="43"/>
  <c r="E42" i="43"/>
  <c r="M41" i="43"/>
  <c r="J41" i="43"/>
  <c r="I41" i="43"/>
  <c r="H41" i="43"/>
  <c r="G41" i="43"/>
  <c r="F41" i="43"/>
  <c r="E41" i="43"/>
  <c r="M40" i="43"/>
  <c r="I40" i="43"/>
  <c r="J40" i="43" s="1"/>
  <c r="G40" i="43"/>
  <c r="H40" i="43" s="1"/>
  <c r="E40" i="43"/>
  <c r="M39" i="43"/>
  <c r="I39" i="43"/>
  <c r="J39" i="43" s="1"/>
  <c r="G39" i="43"/>
  <c r="H39" i="43" s="1"/>
  <c r="E39" i="43"/>
  <c r="M38" i="43"/>
  <c r="G38" i="43"/>
  <c r="H38" i="43" s="1"/>
  <c r="F38" i="43"/>
  <c r="I38" i="43" s="1"/>
  <c r="J38" i="43" s="1"/>
  <c r="E38" i="43"/>
  <c r="D38" i="43"/>
  <c r="M37" i="43"/>
  <c r="G37" i="43"/>
  <c r="I37" i="43" s="1"/>
  <c r="J37" i="43" s="1"/>
  <c r="F37" i="43"/>
  <c r="E37" i="43"/>
  <c r="D37" i="43"/>
  <c r="M36" i="43"/>
  <c r="I36" i="43"/>
  <c r="J36" i="43" s="1"/>
  <c r="G36" i="43"/>
  <c r="H36" i="43" s="1"/>
  <c r="F36" i="43"/>
  <c r="D36" i="43"/>
  <c r="E36" i="43" s="1"/>
  <c r="M35" i="43"/>
  <c r="I35" i="43"/>
  <c r="J35" i="43" s="1"/>
  <c r="G35" i="43"/>
  <c r="H35" i="43" s="1"/>
  <c r="E35" i="43"/>
  <c r="M34" i="43"/>
  <c r="G34" i="43"/>
  <c r="I34" i="43" s="1"/>
  <c r="J34" i="43" s="1"/>
  <c r="E34" i="43"/>
  <c r="M33" i="43"/>
  <c r="G33" i="43"/>
  <c r="I33" i="43" s="1"/>
  <c r="J33" i="43" s="1"/>
  <c r="E33" i="43"/>
  <c r="M32" i="43"/>
  <c r="H32" i="43"/>
  <c r="G32" i="43"/>
  <c r="F32" i="43"/>
  <c r="I32" i="43" s="1"/>
  <c r="J32" i="43" s="1"/>
  <c r="E32" i="43"/>
  <c r="M31" i="43"/>
  <c r="G31" i="43"/>
  <c r="H31" i="43" s="1"/>
  <c r="F31" i="43"/>
  <c r="E31" i="43" s="1"/>
  <c r="M30" i="43"/>
  <c r="I30" i="43"/>
  <c r="J30" i="43" s="1"/>
  <c r="H30" i="43"/>
  <c r="E30" i="43"/>
  <c r="M29" i="43"/>
  <c r="F29" i="43"/>
  <c r="I29" i="43" s="1"/>
  <c r="J29" i="43" s="1"/>
  <c r="E29" i="43"/>
  <c r="D29" i="43"/>
  <c r="H29" i="43" s="1"/>
  <c r="M28" i="43"/>
  <c r="I28" i="43"/>
  <c r="J28" i="43" s="1"/>
  <c r="H28" i="43"/>
  <c r="E28" i="43"/>
  <c r="M27" i="43"/>
  <c r="J27" i="43"/>
  <c r="I27" i="43"/>
  <c r="H27" i="43"/>
  <c r="E27" i="43"/>
  <c r="M26" i="43"/>
  <c r="I26" i="43"/>
  <c r="H26" i="43"/>
  <c r="E26" i="43"/>
  <c r="L22" i="43"/>
  <c r="V17" i="43"/>
  <c r="U17" i="43"/>
  <c r="T17" i="43"/>
  <c r="R17" i="43"/>
  <c r="L17" i="43"/>
  <c r="I17" i="43"/>
  <c r="M17" i="43" s="1"/>
  <c r="H17" i="43"/>
  <c r="J17" i="43" s="1"/>
  <c r="F17" i="43"/>
  <c r="V16" i="43"/>
  <c r="U16" i="43"/>
  <c r="T16" i="43"/>
  <c r="R16" i="43"/>
  <c r="L16" i="43"/>
  <c r="J16" i="43"/>
  <c r="I16" i="43"/>
  <c r="M16" i="43" s="1"/>
  <c r="H16" i="43"/>
  <c r="W16" i="43" s="1"/>
  <c r="F16" i="43"/>
  <c r="W15" i="43"/>
  <c r="V15" i="43"/>
  <c r="U15" i="43"/>
  <c r="T15" i="43"/>
  <c r="R15" i="43"/>
  <c r="L15" i="43"/>
  <c r="J15" i="43"/>
  <c r="I15" i="43"/>
  <c r="M15" i="43" s="1"/>
  <c r="H15" i="43"/>
  <c r="Y15" i="43" s="1"/>
  <c r="F15" i="43"/>
  <c r="Y14" i="43"/>
  <c r="W14" i="43"/>
  <c r="V14" i="43"/>
  <c r="U14" i="43"/>
  <c r="T14" i="43"/>
  <c r="R14" i="43"/>
  <c r="M14" i="43"/>
  <c r="L14" i="43"/>
  <c r="J14" i="43"/>
  <c r="I14" i="43"/>
  <c r="H14" i="43"/>
  <c r="F14" i="43"/>
  <c r="V12" i="43"/>
  <c r="U12" i="43"/>
  <c r="T12" i="43"/>
  <c r="R12" i="43"/>
  <c r="L12" i="43"/>
  <c r="H12" i="43"/>
  <c r="W12" i="43" s="1"/>
  <c r="F12" i="43"/>
  <c r="V10" i="43"/>
  <c r="U10" i="43"/>
  <c r="T10" i="43"/>
  <c r="R10" i="43"/>
  <c r="L10" i="43"/>
  <c r="G10" i="43"/>
  <c r="G18" i="43" s="1"/>
  <c r="F10" i="43"/>
  <c r="I10" i="43" s="1"/>
  <c r="M10" i="43" s="1"/>
  <c r="D10" i="43"/>
  <c r="V9" i="43"/>
  <c r="U9" i="43"/>
  <c r="T9" i="43"/>
  <c r="R9" i="43"/>
  <c r="L9" i="43"/>
  <c r="H9" i="43"/>
  <c r="Y9" i="43" s="1"/>
  <c r="F9" i="43"/>
  <c r="I9" i="43" s="1"/>
  <c r="M9" i="43" s="1"/>
  <c r="V13" i="43"/>
  <c r="U13" i="43"/>
  <c r="T13" i="43"/>
  <c r="R13" i="43"/>
  <c r="L13" i="43"/>
  <c r="F13" i="43"/>
  <c r="V8" i="43"/>
  <c r="U8" i="43"/>
  <c r="T8" i="43"/>
  <c r="R8" i="43"/>
  <c r="L8" i="43"/>
  <c r="H8" i="43"/>
  <c r="J8" i="43" s="1"/>
  <c r="G8" i="43"/>
  <c r="D8" i="43"/>
  <c r="F8" i="43" s="1"/>
  <c r="V11" i="43"/>
  <c r="U11" i="43"/>
  <c r="T11" i="43"/>
  <c r="R11" i="43"/>
  <c r="L11" i="43"/>
  <c r="F11" i="43"/>
  <c r="V7" i="43"/>
  <c r="U7" i="43"/>
  <c r="T7" i="43"/>
  <c r="R7" i="43"/>
  <c r="L7" i="43"/>
  <c r="H7" i="43"/>
  <c r="J7" i="43" s="1"/>
  <c r="G7" i="43"/>
  <c r="D7" i="43"/>
  <c r="F7" i="43" s="1"/>
  <c r="M60" i="42"/>
  <c r="H60" i="42"/>
  <c r="I60" i="42"/>
  <c r="J60" i="42" s="1"/>
  <c r="G10" i="42"/>
  <c r="H10" i="42" s="1"/>
  <c r="Y10" i="42" s="1"/>
  <c r="D10" i="42"/>
  <c r="F10" i="42" s="1"/>
  <c r="I10" i="42" s="1"/>
  <c r="M10" i="42" s="1"/>
  <c r="E60" i="42"/>
  <c r="M59" i="42"/>
  <c r="H59" i="42"/>
  <c r="I59" i="42"/>
  <c r="J59" i="42" s="1"/>
  <c r="E59" i="42"/>
  <c r="I21" i="42"/>
  <c r="M58" i="42"/>
  <c r="J58" i="42"/>
  <c r="I58" i="42"/>
  <c r="H58" i="42"/>
  <c r="E58" i="42"/>
  <c r="M57" i="42"/>
  <c r="J57" i="42"/>
  <c r="I57" i="42"/>
  <c r="H57" i="42"/>
  <c r="E57" i="42"/>
  <c r="M56" i="42"/>
  <c r="J56" i="42"/>
  <c r="I56" i="42"/>
  <c r="F56" i="42"/>
  <c r="D56" i="42"/>
  <c r="H56" i="42" s="1"/>
  <c r="M55" i="42"/>
  <c r="F55" i="42"/>
  <c r="I55" i="42" s="1"/>
  <c r="J55" i="42" s="1"/>
  <c r="E55" i="42"/>
  <c r="D55" i="42"/>
  <c r="H55" i="42" s="1"/>
  <c r="M54" i="42"/>
  <c r="F54" i="42"/>
  <c r="E54" i="42" s="1"/>
  <c r="D54" i="42"/>
  <c r="H54" i="42" s="1"/>
  <c r="M53" i="42"/>
  <c r="H53" i="42"/>
  <c r="F53" i="42"/>
  <c r="E53" i="42" s="1"/>
  <c r="D53" i="42"/>
  <c r="M52" i="42"/>
  <c r="I52" i="42"/>
  <c r="J52" i="42" s="1"/>
  <c r="H52" i="42"/>
  <c r="E52" i="42"/>
  <c r="M51" i="42"/>
  <c r="J51" i="42"/>
  <c r="I51" i="42"/>
  <c r="H51" i="42"/>
  <c r="E51" i="42"/>
  <c r="M50" i="42"/>
  <c r="F50" i="42"/>
  <c r="E50" i="42" s="1"/>
  <c r="D50" i="42"/>
  <c r="H50" i="42" s="1"/>
  <c r="M49" i="42"/>
  <c r="J49" i="42"/>
  <c r="I49" i="42"/>
  <c r="H49" i="42"/>
  <c r="E49" i="42"/>
  <c r="M48" i="42"/>
  <c r="F48" i="42"/>
  <c r="E48" i="42" s="1"/>
  <c r="D48" i="42"/>
  <c r="H48" i="42" s="1"/>
  <c r="M47" i="42"/>
  <c r="H47" i="42"/>
  <c r="F47" i="42"/>
  <c r="E47" i="42" s="1"/>
  <c r="D47" i="42"/>
  <c r="M46" i="42"/>
  <c r="I46" i="42"/>
  <c r="J46" i="42" s="1"/>
  <c r="H46" i="42"/>
  <c r="G46" i="42"/>
  <c r="F46" i="42"/>
  <c r="E46" i="42"/>
  <c r="M45" i="42"/>
  <c r="J45" i="42"/>
  <c r="I45" i="42"/>
  <c r="H45" i="42"/>
  <c r="E45" i="42"/>
  <c r="M44" i="42"/>
  <c r="I44" i="42"/>
  <c r="J44" i="42" s="1"/>
  <c r="H44" i="42"/>
  <c r="G44" i="42"/>
  <c r="E44" i="42"/>
  <c r="M43" i="42"/>
  <c r="I43" i="42"/>
  <c r="J43" i="42" s="1"/>
  <c r="H43" i="42"/>
  <c r="G43" i="42"/>
  <c r="E43" i="42"/>
  <c r="M42" i="42"/>
  <c r="I42" i="42"/>
  <c r="J42" i="42" s="1"/>
  <c r="H42" i="42"/>
  <c r="G42" i="42"/>
  <c r="E42" i="42"/>
  <c r="M41" i="42"/>
  <c r="I41" i="42"/>
  <c r="J41" i="42" s="1"/>
  <c r="H41" i="42"/>
  <c r="G41" i="42"/>
  <c r="F41" i="42"/>
  <c r="E41" i="42"/>
  <c r="M40" i="42"/>
  <c r="G40" i="42"/>
  <c r="I40" i="42" s="1"/>
  <c r="J40" i="42" s="1"/>
  <c r="E40" i="42"/>
  <c r="M39" i="42"/>
  <c r="G39" i="42"/>
  <c r="I39" i="42" s="1"/>
  <c r="J39" i="42" s="1"/>
  <c r="E39" i="42"/>
  <c r="M38" i="42"/>
  <c r="G38" i="42"/>
  <c r="I38" i="42" s="1"/>
  <c r="J38" i="42" s="1"/>
  <c r="F38" i="42"/>
  <c r="E38" i="42" s="1"/>
  <c r="D38" i="42"/>
  <c r="M37" i="42"/>
  <c r="H37" i="42"/>
  <c r="G37" i="42"/>
  <c r="F37" i="42"/>
  <c r="E37" i="42" s="1"/>
  <c r="D37" i="42"/>
  <c r="M36" i="42"/>
  <c r="H36" i="42"/>
  <c r="G36" i="42"/>
  <c r="I36" i="42" s="1"/>
  <c r="J36" i="42" s="1"/>
  <c r="F36" i="42"/>
  <c r="D36" i="42"/>
  <c r="E36" i="42" s="1"/>
  <c r="M35" i="42"/>
  <c r="G35" i="42"/>
  <c r="I35" i="42" s="1"/>
  <c r="J35" i="42" s="1"/>
  <c r="E35" i="42"/>
  <c r="M34" i="42"/>
  <c r="G34" i="42"/>
  <c r="I34" i="42" s="1"/>
  <c r="J34" i="42" s="1"/>
  <c r="E34" i="42"/>
  <c r="M33" i="42"/>
  <c r="G33" i="42"/>
  <c r="I33" i="42" s="1"/>
  <c r="J33" i="42" s="1"/>
  <c r="E33" i="42"/>
  <c r="M32" i="42"/>
  <c r="G32" i="42"/>
  <c r="I32" i="42" s="1"/>
  <c r="J32" i="42" s="1"/>
  <c r="F32" i="42"/>
  <c r="E32" i="42" s="1"/>
  <c r="M31" i="42"/>
  <c r="G31" i="42"/>
  <c r="I31" i="42" s="1"/>
  <c r="J31" i="42" s="1"/>
  <c r="F31" i="42"/>
  <c r="E31" i="42"/>
  <c r="M30" i="42"/>
  <c r="I30" i="42"/>
  <c r="J30" i="42" s="1"/>
  <c r="H30" i="42"/>
  <c r="E30" i="42"/>
  <c r="M29" i="42"/>
  <c r="F29" i="42"/>
  <c r="I29" i="42" s="1"/>
  <c r="J29" i="42" s="1"/>
  <c r="D29" i="42"/>
  <c r="H29" i="42" s="1"/>
  <c r="M28" i="42"/>
  <c r="I28" i="42"/>
  <c r="J28" i="42" s="1"/>
  <c r="H28" i="42"/>
  <c r="E28" i="42"/>
  <c r="M27" i="42"/>
  <c r="J27" i="42"/>
  <c r="I27" i="42"/>
  <c r="H27" i="42"/>
  <c r="E27" i="42"/>
  <c r="M26" i="42"/>
  <c r="J26" i="42"/>
  <c r="I26" i="42"/>
  <c r="H26" i="42"/>
  <c r="E26" i="42"/>
  <c r="L22" i="42"/>
  <c r="V17" i="42"/>
  <c r="U17" i="42"/>
  <c r="T17" i="42"/>
  <c r="R17" i="42"/>
  <c r="L17" i="42"/>
  <c r="H17" i="42"/>
  <c r="Y17" i="42" s="1"/>
  <c r="F17" i="42"/>
  <c r="V16" i="42"/>
  <c r="U16" i="42"/>
  <c r="T16" i="42"/>
  <c r="R16" i="42"/>
  <c r="L16" i="42"/>
  <c r="I16" i="42"/>
  <c r="M16" i="42" s="1"/>
  <c r="H16" i="42"/>
  <c r="Y16" i="42" s="1"/>
  <c r="F16" i="42"/>
  <c r="W15" i="42"/>
  <c r="V15" i="42"/>
  <c r="U15" i="42"/>
  <c r="T15" i="42"/>
  <c r="R15" i="42"/>
  <c r="L15" i="42"/>
  <c r="I15" i="42"/>
  <c r="M15" i="42" s="1"/>
  <c r="H15" i="42"/>
  <c r="Y15" i="42" s="1"/>
  <c r="F15" i="42"/>
  <c r="V13" i="42"/>
  <c r="U13" i="42"/>
  <c r="T13" i="42"/>
  <c r="R13" i="42"/>
  <c r="L13" i="42"/>
  <c r="J13" i="42"/>
  <c r="H13" i="42"/>
  <c r="Y13" i="42" s="1"/>
  <c r="F13" i="42"/>
  <c r="I13" i="42" s="1"/>
  <c r="M13" i="42" s="1"/>
  <c r="V14" i="42"/>
  <c r="U14" i="42"/>
  <c r="T14" i="42"/>
  <c r="R14" i="42"/>
  <c r="L14" i="42"/>
  <c r="H14" i="42"/>
  <c r="W14" i="42" s="1"/>
  <c r="F14" i="42"/>
  <c r="I14" i="42" s="1"/>
  <c r="M14" i="42" s="1"/>
  <c r="V12" i="42"/>
  <c r="U12" i="42"/>
  <c r="T12" i="42"/>
  <c r="R12" i="42"/>
  <c r="L12" i="42"/>
  <c r="H12" i="42"/>
  <c r="W12" i="42" s="1"/>
  <c r="G12" i="42"/>
  <c r="F12" i="42"/>
  <c r="I12" i="42" s="1"/>
  <c r="M12" i="42" s="1"/>
  <c r="D12" i="42"/>
  <c r="V11" i="42"/>
  <c r="U11" i="42"/>
  <c r="T11" i="42"/>
  <c r="R11" i="42"/>
  <c r="L11" i="42"/>
  <c r="H11" i="42"/>
  <c r="Y11" i="42" s="1"/>
  <c r="F11" i="42"/>
  <c r="I11" i="42" s="1"/>
  <c r="M11" i="42" s="1"/>
  <c r="V10" i="42"/>
  <c r="U10" i="42"/>
  <c r="T10" i="42"/>
  <c r="R10" i="42"/>
  <c r="L10" i="42"/>
  <c r="V9" i="42"/>
  <c r="U9" i="42"/>
  <c r="T9" i="42"/>
  <c r="R9" i="42"/>
  <c r="L9" i="42"/>
  <c r="G9" i="42"/>
  <c r="H9" i="42" s="1"/>
  <c r="D9" i="42"/>
  <c r="F9" i="42" s="1"/>
  <c r="V8" i="42"/>
  <c r="U8" i="42"/>
  <c r="T8" i="42"/>
  <c r="R8" i="42"/>
  <c r="L8" i="42"/>
  <c r="H8" i="42"/>
  <c r="Y8" i="42" s="1"/>
  <c r="G8" i="42"/>
  <c r="D8" i="42"/>
  <c r="F8" i="42" s="1"/>
  <c r="V7" i="42"/>
  <c r="U7" i="42"/>
  <c r="T7" i="42"/>
  <c r="R7" i="42"/>
  <c r="L7" i="42"/>
  <c r="G7" i="42"/>
  <c r="H7" i="42" s="1"/>
  <c r="D7" i="42"/>
  <c r="F7" i="42" s="1"/>
  <c r="I21" i="41"/>
  <c r="M58" i="41"/>
  <c r="E58" i="41"/>
  <c r="H58" i="41"/>
  <c r="I58" i="41"/>
  <c r="J58" i="41" s="1"/>
  <c r="J9" i="43" l="1"/>
  <c r="Y12" i="43"/>
  <c r="J12" i="43"/>
  <c r="W9" i="43"/>
  <c r="F18" i="43"/>
  <c r="F20" i="43" s="1"/>
  <c r="Z12" i="43" s="1"/>
  <c r="I7" i="43"/>
  <c r="I11" i="43"/>
  <c r="M11" i="43" s="1"/>
  <c r="I8" i="43"/>
  <c r="M8" i="43" s="1"/>
  <c r="I13" i="43"/>
  <c r="M13" i="43" s="1"/>
  <c r="H37" i="43"/>
  <c r="W7" i="43"/>
  <c r="H11" i="43"/>
  <c r="W8" i="43"/>
  <c r="H13" i="43"/>
  <c r="I12" i="43"/>
  <c r="M12" i="43" s="1"/>
  <c r="Y16" i="43"/>
  <c r="W17" i="43"/>
  <c r="I31" i="43"/>
  <c r="J31" i="43" s="1"/>
  <c r="H33" i="43"/>
  <c r="H34" i="43"/>
  <c r="E47" i="43"/>
  <c r="H10" i="43"/>
  <c r="Y7" i="43"/>
  <c r="Y8" i="43"/>
  <c r="Y17" i="43"/>
  <c r="H46" i="43"/>
  <c r="J26" i="43"/>
  <c r="E55" i="43"/>
  <c r="J10" i="42"/>
  <c r="W13" i="42"/>
  <c r="W10" i="42"/>
  <c r="W11" i="42"/>
  <c r="Y12" i="42"/>
  <c r="J14" i="42"/>
  <c r="Y14" i="42"/>
  <c r="I9" i="42"/>
  <c r="M9" i="42" s="1"/>
  <c r="I7" i="42"/>
  <c r="F18" i="42"/>
  <c r="F20" i="42" s="1"/>
  <c r="Z7" i="42" s="1"/>
  <c r="I8" i="42"/>
  <c r="M8" i="42" s="1"/>
  <c r="J7" i="42"/>
  <c r="W7" i="42"/>
  <c r="Y7" i="42"/>
  <c r="J9" i="42"/>
  <c r="W9" i="42"/>
  <c r="Y9" i="42"/>
  <c r="J11" i="42"/>
  <c r="J15" i="42"/>
  <c r="E29" i="42"/>
  <c r="I47" i="42"/>
  <c r="J47" i="42" s="1"/>
  <c r="I53" i="42"/>
  <c r="J53" i="42" s="1"/>
  <c r="E56" i="42"/>
  <c r="I54" i="42"/>
  <c r="J54" i="42" s="1"/>
  <c r="J8" i="42"/>
  <c r="G18" i="42"/>
  <c r="I48" i="42"/>
  <c r="J48" i="42" s="1"/>
  <c r="W8" i="42"/>
  <c r="W16" i="42"/>
  <c r="J17" i="42"/>
  <c r="H31" i="42"/>
  <c r="I37" i="42"/>
  <c r="J37" i="42" s="1"/>
  <c r="J16" i="42"/>
  <c r="I17" i="42"/>
  <c r="M17" i="42" s="1"/>
  <c r="I50" i="42"/>
  <c r="J50" i="42" s="1"/>
  <c r="J12" i="42"/>
  <c r="W17" i="42"/>
  <c r="H32" i="42"/>
  <c r="H33" i="42"/>
  <c r="H34" i="42"/>
  <c r="H35" i="42"/>
  <c r="H38" i="42"/>
  <c r="H39" i="42"/>
  <c r="H40" i="42"/>
  <c r="M57" i="41"/>
  <c r="I57" i="41"/>
  <c r="J57" i="41" s="1"/>
  <c r="H57" i="41"/>
  <c r="E57" i="41"/>
  <c r="M56" i="41"/>
  <c r="F56" i="41"/>
  <c r="I56" i="41" s="1"/>
  <c r="J56" i="41" s="1"/>
  <c r="D56" i="41"/>
  <c r="H56" i="41" s="1"/>
  <c r="M55" i="41"/>
  <c r="F55" i="41"/>
  <c r="D55" i="41"/>
  <c r="H55" i="41" s="1"/>
  <c r="M54" i="41"/>
  <c r="I54" i="41"/>
  <c r="J54" i="41" s="1"/>
  <c r="F54" i="41"/>
  <c r="E54" i="41" s="1"/>
  <c r="D54" i="41"/>
  <c r="H54" i="41" s="1"/>
  <c r="M53" i="41"/>
  <c r="F53" i="41"/>
  <c r="I53" i="41" s="1"/>
  <c r="J53" i="41" s="1"/>
  <c r="D53" i="41"/>
  <c r="H53" i="41" s="1"/>
  <c r="M52" i="41"/>
  <c r="I52" i="41"/>
  <c r="J52" i="41" s="1"/>
  <c r="H52" i="41"/>
  <c r="E52" i="41"/>
  <c r="M51" i="41"/>
  <c r="I51" i="41"/>
  <c r="J51" i="41" s="1"/>
  <c r="H51" i="41"/>
  <c r="E51" i="41"/>
  <c r="M50" i="41"/>
  <c r="I50" i="41"/>
  <c r="J50" i="41" s="1"/>
  <c r="H50" i="41"/>
  <c r="F50" i="41"/>
  <c r="E50" i="41" s="1"/>
  <c r="D50" i="41"/>
  <c r="M49" i="41"/>
  <c r="I49" i="41"/>
  <c r="J49" i="41" s="1"/>
  <c r="H49" i="41"/>
  <c r="E49" i="41"/>
  <c r="M48" i="41"/>
  <c r="F48" i="41"/>
  <c r="I48" i="41" s="1"/>
  <c r="J48" i="41" s="1"/>
  <c r="D48" i="41"/>
  <c r="H48" i="41" s="1"/>
  <c r="M47" i="41"/>
  <c r="I47" i="41"/>
  <c r="J47" i="41" s="1"/>
  <c r="F47" i="41"/>
  <c r="D47" i="41"/>
  <c r="H47" i="41" s="1"/>
  <c r="M46" i="41"/>
  <c r="G46" i="41"/>
  <c r="I46" i="41" s="1"/>
  <c r="J46" i="41" s="1"/>
  <c r="F46" i="41"/>
  <c r="E46" i="41"/>
  <c r="M45" i="41"/>
  <c r="I45" i="41"/>
  <c r="J45" i="41" s="1"/>
  <c r="H45" i="41"/>
  <c r="E45" i="41"/>
  <c r="M44" i="41"/>
  <c r="G44" i="41"/>
  <c r="I44" i="41" s="1"/>
  <c r="J44" i="41" s="1"/>
  <c r="E44" i="41"/>
  <c r="M43" i="41"/>
  <c r="G43" i="41"/>
  <c r="I43" i="41" s="1"/>
  <c r="J43" i="41" s="1"/>
  <c r="E43" i="41"/>
  <c r="M42" i="41"/>
  <c r="G42" i="41"/>
  <c r="I42" i="41" s="1"/>
  <c r="J42" i="41" s="1"/>
  <c r="E42" i="41"/>
  <c r="M41" i="41"/>
  <c r="G41" i="41"/>
  <c r="F41" i="41"/>
  <c r="E41" i="41" s="1"/>
  <c r="M40" i="41"/>
  <c r="G40" i="41"/>
  <c r="H40" i="41" s="1"/>
  <c r="E40" i="41"/>
  <c r="M39" i="41"/>
  <c r="G39" i="41"/>
  <c r="I39" i="41" s="1"/>
  <c r="J39" i="41" s="1"/>
  <c r="E39" i="41"/>
  <c r="M38" i="41"/>
  <c r="G38" i="41"/>
  <c r="F38" i="41"/>
  <c r="E38" i="41" s="1"/>
  <c r="D38" i="41"/>
  <c r="M37" i="41"/>
  <c r="G37" i="41"/>
  <c r="F37" i="41"/>
  <c r="D37" i="41"/>
  <c r="E37" i="41" s="1"/>
  <c r="M36" i="41"/>
  <c r="I36" i="41"/>
  <c r="J36" i="41" s="1"/>
  <c r="G36" i="41"/>
  <c r="F36" i="41"/>
  <c r="D36" i="41"/>
  <c r="E36" i="41" s="1"/>
  <c r="M35" i="41"/>
  <c r="G35" i="41"/>
  <c r="H35" i="41" s="1"/>
  <c r="E35" i="41"/>
  <c r="M34" i="41"/>
  <c r="G34" i="41"/>
  <c r="I34" i="41" s="1"/>
  <c r="J34" i="41" s="1"/>
  <c r="E34" i="41"/>
  <c r="M33" i="41"/>
  <c r="G33" i="41"/>
  <c r="H33" i="41" s="1"/>
  <c r="E33" i="41"/>
  <c r="M32" i="41"/>
  <c r="G32" i="41"/>
  <c r="I32" i="41" s="1"/>
  <c r="J32" i="41" s="1"/>
  <c r="F32" i="41"/>
  <c r="E32" i="41"/>
  <c r="M31" i="41"/>
  <c r="G31" i="41"/>
  <c r="I31" i="41" s="1"/>
  <c r="J31" i="41" s="1"/>
  <c r="F31" i="41"/>
  <c r="E31" i="41" s="1"/>
  <c r="M30" i="41"/>
  <c r="I30" i="41"/>
  <c r="J30" i="41" s="1"/>
  <c r="H30" i="41"/>
  <c r="E30" i="41"/>
  <c r="M29" i="41"/>
  <c r="F29" i="41"/>
  <c r="I29" i="41" s="1"/>
  <c r="J29" i="41" s="1"/>
  <c r="D29" i="41"/>
  <c r="H29" i="41" s="1"/>
  <c r="M28" i="41"/>
  <c r="I28" i="41"/>
  <c r="J28" i="41" s="1"/>
  <c r="H28" i="41"/>
  <c r="E28" i="41"/>
  <c r="M27" i="41"/>
  <c r="I27" i="41"/>
  <c r="J27" i="41" s="1"/>
  <c r="H27" i="41"/>
  <c r="E27" i="41"/>
  <c r="M26" i="41"/>
  <c r="I26" i="41"/>
  <c r="H26" i="41"/>
  <c r="E26" i="41"/>
  <c r="L22" i="41"/>
  <c r="V17" i="41"/>
  <c r="U17" i="41"/>
  <c r="T17" i="41"/>
  <c r="R17" i="41"/>
  <c r="L17" i="41"/>
  <c r="I17" i="41"/>
  <c r="M17" i="41" s="1"/>
  <c r="H17" i="41"/>
  <c r="W17" i="41" s="1"/>
  <c r="F17" i="41"/>
  <c r="V16" i="41"/>
  <c r="U16" i="41"/>
  <c r="T16" i="41"/>
  <c r="R16" i="41"/>
  <c r="L16" i="41"/>
  <c r="H16" i="41"/>
  <c r="Y16" i="41" s="1"/>
  <c r="F16" i="41"/>
  <c r="I16" i="41" s="1"/>
  <c r="M16" i="41" s="1"/>
  <c r="V15" i="41"/>
  <c r="U15" i="41"/>
  <c r="T15" i="41"/>
  <c r="R15" i="41"/>
  <c r="L15" i="41"/>
  <c r="H15" i="41"/>
  <c r="Y15" i="41" s="1"/>
  <c r="F15" i="41"/>
  <c r="I15" i="41" s="1"/>
  <c r="M15" i="41" s="1"/>
  <c r="V13" i="41"/>
  <c r="U13" i="41"/>
  <c r="T13" i="41"/>
  <c r="R13" i="41"/>
  <c r="L13" i="41"/>
  <c r="H13" i="41"/>
  <c r="J13" i="41" s="1"/>
  <c r="F13" i="41"/>
  <c r="V12" i="41"/>
  <c r="U12" i="41"/>
  <c r="T12" i="41"/>
  <c r="R12" i="41"/>
  <c r="L12" i="41"/>
  <c r="G12" i="41"/>
  <c r="D12" i="41"/>
  <c r="F12" i="41" s="1"/>
  <c r="I12" i="41" s="1"/>
  <c r="M12" i="41" s="1"/>
  <c r="V14" i="41"/>
  <c r="U14" i="41"/>
  <c r="T14" i="41"/>
  <c r="R14" i="41"/>
  <c r="L14" i="41"/>
  <c r="H14" i="41"/>
  <c r="Y14" i="41" s="1"/>
  <c r="F14" i="41"/>
  <c r="I14" i="41" s="1"/>
  <c r="M14" i="41" s="1"/>
  <c r="V11" i="41"/>
  <c r="U11" i="41"/>
  <c r="T11" i="41"/>
  <c r="R11" i="41"/>
  <c r="L11" i="41"/>
  <c r="H11" i="41"/>
  <c r="Y11" i="41" s="1"/>
  <c r="F11" i="41"/>
  <c r="I11" i="41" s="1"/>
  <c r="M11" i="41" s="1"/>
  <c r="V10" i="41"/>
  <c r="U10" i="41"/>
  <c r="T10" i="41"/>
  <c r="R10" i="41"/>
  <c r="L10" i="41"/>
  <c r="H10" i="41"/>
  <c r="J10" i="41" s="1"/>
  <c r="F10" i="41"/>
  <c r="I10" i="41" s="1"/>
  <c r="M10" i="41" s="1"/>
  <c r="V9" i="41"/>
  <c r="U9" i="41"/>
  <c r="T9" i="41"/>
  <c r="R9" i="41"/>
  <c r="L9" i="41"/>
  <c r="G9" i="41"/>
  <c r="D9" i="41"/>
  <c r="F9" i="41" s="1"/>
  <c r="V8" i="41"/>
  <c r="U8" i="41"/>
  <c r="T8" i="41"/>
  <c r="R8" i="41"/>
  <c r="L8" i="41"/>
  <c r="G8" i="41"/>
  <c r="D8" i="41"/>
  <c r="H8" i="41" s="1"/>
  <c r="V7" i="41"/>
  <c r="U7" i="41"/>
  <c r="T7" i="41"/>
  <c r="R7" i="41"/>
  <c r="L7" i="41"/>
  <c r="G7" i="41"/>
  <c r="H7" i="41" s="1"/>
  <c r="D7" i="41"/>
  <c r="F7" i="41" s="1"/>
  <c r="I7" i="41" s="1"/>
  <c r="I21" i="40"/>
  <c r="M57" i="40"/>
  <c r="I57" i="40"/>
  <c r="J57" i="40" s="1"/>
  <c r="H57" i="40"/>
  <c r="E57" i="40"/>
  <c r="M56" i="40"/>
  <c r="J56" i="40"/>
  <c r="I56" i="40"/>
  <c r="F56" i="40"/>
  <c r="D56" i="40"/>
  <c r="H56" i="40" s="1"/>
  <c r="M55" i="40"/>
  <c r="F55" i="40"/>
  <c r="I55" i="40" s="1"/>
  <c r="J55" i="40" s="1"/>
  <c r="D55" i="40"/>
  <c r="E55" i="40" s="1"/>
  <c r="M54" i="40"/>
  <c r="F54" i="40"/>
  <c r="I54" i="40" s="1"/>
  <c r="J54" i="40" s="1"/>
  <c r="E54" i="40"/>
  <c r="D54" i="40"/>
  <c r="H54" i="40" s="1"/>
  <c r="M53" i="40"/>
  <c r="F53" i="40"/>
  <c r="E53" i="40" s="1"/>
  <c r="D53" i="40"/>
  <c r="H53" i="40" s="1"/>
  <c r="M52" i="40"/>
  <c r="I52" i="40"/>
  <c r="J52" i="40" s="1"/>
  <c r="H52" i="40"/>
  <c r="E52" i="40"/>
  <c r="M51" i="40"/>
  <c r="J51" i="40"/>
  <c r="I51" i="40"/>
  <c r="H51" i="40"/>
  <c r="E51" i="40"/>
  <c r="M50" i="40"/>
  <c r="I50" i="40"/>
  <c r="J50" i="40" s="1"/>
  <c r="F50" i="40"/>
  <c r="E50" i="40"/>
  <c r="D50" i="40"/>
  <c r="H50" i="40" s="1"/>
  <c r="M49" i="40"/>
  <c r="J49" i="40"/>
  <c r="I49" i="40"/>
  <c r="H49" i="40"/>
  <c r="E49" i="40"/>
  <c r="M48" i="40"/>
  <c r="I48" i="40"/>
  <c r="J48" i="40" s="1"/>
  <c r="F48" i="40"/>
  <c r="E48" i="40"/>
  <c r="D48" i="40"/>
  <c r="H48" i="40" s="1"/>
  <c r="M47" i="40"/>
  <c r="F47" i="40"/>
  <c r="E47" i="40" s="1"/>
  <c r="D47" i="40"/>
  <c r="H47" i="40" s="1"/>
  <c r="M46" i="40"/>
  <c r="H46" i="40"/>
  <c r="G46" i="40"/>
  <c r="I46" i="40" s="1"/>
  <c r="J46" i="40" s="1"/>
  <c r="F46" i="40"/>
  <c r="E46" i="40"/>
  <c r="M45" i="40"/>
  <c r="I45" i="40"/>
  <c r="J45" i="40" s="1"/>
  <c r="H45" i="40"/>
  <c r="E45" i="40"/>
  <c r="M44" i="40"/>
  <c r="H44" i="40"/>
  <c r="G44" i="40"/>
  <c r="I44" i="40" s="1"/>
  <c r="J44" i="40" s="1"/>
  <c r="E44" i="40"/>
  <c r="M43" i="40"/>
  <c r="H43" i="40"/>
  <c r="G43" i="40"/>
  <c r="I43" i="40" s="1"/>
  <c r="J43" i="40" s="1"/>
  <c r="E43" i="40"/>
  <c r="M42" i="40"/>
  <c r="H42" i="40"/>
  <c r="G42" i="40"/>
  <c r="I42" i="40" s="1"/>
  <c r="J42" i="40" s="1"/>
  <c r="E42" i="40"/>
  <c r="M41" i="40"/>
  <c r="H41" i="40"/>
  <c r="G41" i="40"/>
  <c r="I41" i="40" s="1"/>
  <c r="J41" i="40" s="1"/>
  <c r="F41" i="40"/>
  <c r="E41" i="40"/>
  <c r="M40" i="40"/>
  <c r="G40" i="40"/>
  <c r="I40" i="40" s="1"/>
  <c r="J40" i="40" s="1"/>
  <c r="E40" i="40"/>
  <c r="M39" i="40"/>
  <c r="G39" i="40"/>
  <c r="I39" i="40" s="1"/>
  <c r="J39" i="40" s="1"/>
  <c r="E39" i="40"/>
  <c r="M38" i="40"/>
  <c r="G38" i="40"/>
  <c r="I38" i="40" s="1"/>
  <c r="J38" i="40" s="1"/>
  <c r="F38" i="40"/>
  <c r="E38" i="40" s="1"/>
  <c r="D38" i="40"/>
  <c r="M37" i="40"/>
  <c r="I37" i="40"/>
  <c r="J37" i="40" s="1"/>
  <c r="H37" i="40"/>
  <c r="G37" i="40"/>
  <c r="F37" i="40"/>
  <c r="E37" i="40"/>
  <c r="D37" i="40"/>
  <c r="M36" i="40"/>
  <c r="G36" i="40"/>
  <c r="H36" i="40" s="1"/>
  <c r="F36" i="40"/>
  <c r="D36" i="40"/>
  <c r="E36" i="40" s="1"/>
  <c r="M35" i="40"/>
  <c r="G35" i="40"/>
  <c r="I35" i="40" s="1"/>
  <c r="J35" i="40" s="1"/>
  <c r="E35" i="40"/>
  <c r="M34" i="40"/>
  <c r="G34" i="40"/>
  <c r="I34" i="40" s="1"/>
  <c r="J34" i="40" s="1"/>
  <c r="E34" i="40"/>
  <c r="M33" i="40"/>
  <c r="G33" i="40"/>
  <c r="I33" i="40" s="1"/>
  <c r="J33" i="40" s="1"/>
  <c r="E33" i="40"/>
  <c r="M32" i="40"/>
  <c r="G32" i="40"/>
  <c r="I32" i="40" s="1"/>
  <c r="J32" i="40" s="1"/>
  <c r="F32" i="40"/>
  <c r="E32" i="40" s="1"/>
  <c r="M31" i="40"/>
  <c r="G31" i="40"/>
  <c r="I31" i="40" s="1"/>
  <c r="J31" i="40" s="1"/>
  <c r="F31" i="40"/>
  <c r="E31" i="40"/>
  <c r="M30" i="40"/>
  <c r="I30" i="40"/>
  <c r="J30" i="40" s="1"/>
  <c r="H30" i="40"/>
  <c r="E30" i="40"/>
  <c r="M29" i="40"/>
  <c r="H29" i="40"/>
  <c r="F29" i="40"/>
  <c r="I29" i="40" s="1"/>
  <c r="J29" i="40" s="1"/>
  <c r="D29" i="40"/>
  <c r="M28" i="40"/>
  <c r="I28" i="40"/>
  <c r="J28" i="40" s="1"/>
  <c r="H28" i="40"/>
  <c r="E28" i="40"/>
  <c r="M27" i="40"/>
  <c r="J27" i="40"/>
  <c r="I27" i="40"/>
  <c r="H27" i="40"/>
  <c r="E27" i="40"/>
  <c r="M26" i="40"/>
  <c r="I26" i="40"/>
  <c r="H26" i="40"/>
  <c r="E26" i="40"/>
  <c r="L22" i="40"/>
  <c r="V17" i="40"/>
  <c r="U17" i="40"/>
  <c r="T17" i="40"/>
  <c r="R17" i="40"/>
  <c r="L17" i="40"/>
  <c r="I17" i="40"/>
  <c r="M17" i="40" s="1"/>
  <c r="H17" i="40"/>
  <c r="Y17" i="40" s="1"/>
  <c r="F17" i="40"/>
  <c r="V16" i="40"/>
  <c r="U16" i="40"/>
  <c r="T16" i="40"/>
  <c r="R16" i="40"/>
  <c r="L16" i="40"/>
  <c r="I16" i="40"/>
  <c r="M16" i="40" s="1"/>
  <c r="H16" i="40"/>
  <c r="Y16" i="40" s="1"/>
  <c r="F16" i="40"/>
  <c r="V15" i="40"/>
  <c r="U15" i="40"/>
  <c r="T15" i="40"/>
  <c r="R15" i="40"/>
  <c r="L15" i="40"/>
  <c r="I15" i="40"/>
  <c r="M15" i="40" s="1"/>
  <c r="H15" i="40"/>
  <c r="J15" i="40" s="1"/>
  <c r="F15" i="40"/>
  <c r="Y14" i="40"/>
  <c r="W14" i="40"/>
  <c r="V14" i="40"/>
  <c r="U14" i="40"/>
  <c r="T14" i="40"/>
  <c r="R14" i="40"/>
  <c r="L14" i="40"/>
  <c r="J14" i="40"/>
  <c r="H14" i="40"/>
  <c r="F14" i="40"/>
  <c r="I14" i="40" s="1"/>
  <c r="M14" i="40" s="1"/>
  <c r="V13" i="40"/>
  <c r="U13" i="40"/>
  <c r="T13" i="40"/>
  <c r="R13" i="40"/>
  <c r="L13" i="40"/>
  <c r="G13" i="40"/>
  <c r="H13" i="40" s="1"/>
  <c r="D13" i="40"/>
  <c r="F13" i="40" s="1"/>
  <c r="V12" i="40"/>
  <c r="U12" i="40"/>
  <c r="T12" i="40"/>
  <c r="R12" i="40"/>
  <c r="L12" i="40"/>
  <c r="H12" i="40"/>
  <c r="Y12" i="40" s="1"/>
  <c r="F12" i="40"/>
  <c r="V11" i="40"/>
  <c r="U11" i="40"/>
  <c r="T11" i="40"/>
  <c r="R11" i="40"/>
  <c r="L11" i="40"/>
  <c r="H11" i="40"/>
  <c r="W11" i="40" s="1"/>
  <c r="F11" i="40"/>
  <c r="I11" i="40" s="1"/>
  <c r="M11" i="40" s="1"/>
  <c r="Y10" i="40"/>
  <c r="W10" i="40"/>
  <c r="V10" i="40"/>
  <c r="U10" i="40"/>
  <c r="T10" i="40"/>
  <c r="R10" i="40"/>
  <c r="L10" i="40"/>
  <c r="J10" i="40"/>
  <c r="H10" i="40"/>
  <c r="F10" i="40"/>
  <c r="I10" i="40" s="1"/>
  <c r="M10" i="40" s="1"/>
  <c r="V9" i="40"/>
  <c r="U9" i="40"/>
  <c r="T9" i="40"/>
  <c r="R9" i="40"/>
  <c r="L9" i="40"/>
  <c r="G9" i="40"/>
  <c r="H9" i="40" s="1"/>
  <c r="D9" i="40"/>
  <c r="F9" i="40" s="1"/>
  <c r="V8" i="40"/>
  <c r="U8" i="40"/>
  <c r="T8" i="40"/>
  <c r="R8" i="40"/>
  <c r="L8" i="40"/>
  <c r="G8" i="40"/>
  <c r="F8" i="40"/>
  <c r="D8" i="40"/>
  <c r="V7" i="40"/>
  <c r="U7" i="40"/>
  <c r="T7" i="40"/>
  <c r="R7" i="40"/>
  <c r="L7" i="40"/>
  <c r="G7" i="40"/>
  <c r="H7" i="40" s="1"/>
  <c r="D7" i="40"/>
  <c r="F7" i="40" s="1"/>
  <c r="I21" i="39"/>
  <c r="M57" i="39"/>
  <c r="I57" i="39"/>
  <c r="J57" i="39" s="1"/>
  <c r="H57" i="39"/>
  <c r="E57" i="39"/>
  <c r="M56" i="39"/>
  <c r="J56" i="39"/>
  <c r="I56" i="39"/>
  <c r="F56" i="39"/>
  <c r="D56" i="39"/>
  <c r="H56" i="39" s="1"/>
  <c r="M55" i="39"/>
  <c r="I55" i="39"/>
  <c r="J55" i="39" s="1"/>
  <c r="F55" i="39"/>
  <c r="D55" i="39"/>
  <c r="E55" i="39" s="1"/>
  <c r="M54" i="39"/>
  <c r="F54" i="39"/>
  <c r="I54" i="39" s="1"/>
  <c r="J54" i="39" s="1"/>
  <c r="D54" i="39"/>
  <c r="E54" i="39" s="1"/>
  <c r="M53" i="39"/>
  <c r="F53" i="39"/>
  <c r="I53" i="39" s="1"/>
  <c r="J53" i="39" s="1"/>
  <c r="D53" i="39"/>
  <c r="H53" i="39" s="1"/>
  <c r="M52" i="39"/>
  <c r="I52" i="39"/>
  <c r="J52" i="39" s="1"/>
  <c r="H52" i="39"/>
  <c r="E52" i="39"/>
  <c r="M51" i="39"/>
  <c r="J51" i="39"/>
  <c r="I51" i="39"/>
  <c r="H51" i="39"/>
  <c r="E51" i="39"/>
  <c r="M50" i="39"/>
  <c r="F50" i="39"/>
  <c r="I50" i="39" s="1"/>
  <c r="J50" i="39" s="1"/>
  <c r="D50" i="39"/>
  <c r="E50" i="39" s="1"/>
  <c r="M49" i="39"/>
  <c r="J49" i="39"/>
  <c r="I49" i="39"/>
  <c r="H49" i="39"/>
  <c r="E49" i="39"/>
  <c r="M48" i="39"/>
  <c r="F48" i="39"/>
  <c r="I48" i="39" s="1"/>
  <c r="J48" i="39" s="1"/>
  <c r="D48" i="39"/>
  <c r="E48" i="39" s="1"/>
  <c r="M47" i="39"/>
  <c r="F47" i="39"/>
  <c r="I47" i="39" s="1"/>
  <c r="J47" i="39" s="1"/>
  <c r="D47" i="39"/>
  <c r="H47" i="39" s="1"/>
  <c r="M46" i="39"/>
  <c r="G46" i="39"/>
  <c r="I46" i="39" s="1"/>
  <c r="J46" i="39" s="1"/>
  <c r="F46" i="39"/>
  <c r="E46" i="39" s="1"/>
  <c r="M45" i="39"/>
  <c r="I45" i="39"/>
  <c r="J45" i="39" s="1"/>
  <c r="H45" i="39"/>
  <c r="E45" i="39"/>
  <c r="M44" i="39"/>
  <c r="G44" i="39"/>
  <c r="I44" i="39" s="1"/>
  <c r="J44" i="39" s="1"/>
  <c r="E44" i="39"/>
  <c r="M43" i="39"/>
  <c r="G43" i="39"/>
  <c r="I43" i="39" s="1"/>
  <c r="J43" i="39" s="1"/>
  <c r="E43" i="39"/>
  <c r="M42" i="39"/>
  <c r="G42" i="39"/>
  <c r="I42" i="39" s="1"/>
  <c r="J42" i="39" s="1"/>
  <c r="E42" i="39"/>
  <c r="M41" i="39"/>
  <c r="G41" i="39"/>
  <c r="I41" i="39" s="1"/>
  <c r="J41" i="39" s="1"/>
  <c r="F41" i="39"/>
  <c r="E41" i="39" s="1"/>
  <c r="M40" i="39"/>
  <c r="G40" i="39"/>
  <c r="I40" i="39" s="1"/>
  <c r="J40" i="39" s="1"/>
  <c r="E40" i="39"/>
  <c r="M39" i="39"/>
  <c r="G39" i="39"/>
  <c r="H39" i="39" s="1"/>
  <c r="E39" i="39"/>
  <c r="M38" i="39"/>
  <c r="G38" i="39"/>
  <c r="I38" i="39" s="1"/>
  <c r="J38" i="39" s="1"/>
  <c r="F38" i="39"/>
  <c r="E38" i="39" s="1"/>
  <c r="D38" i="39"/>
  <c r="M37" i="39"/>
  <c r="I37" i="39"/>
  <c r="J37" i="39" s="1"/>
  <c r="G37" i="39"/>
  <c r="F37" i="39"/>
  <c r="D37" i="39"/>
  <c r="E37" i="39" s="1"/>
  <c r="M36" i="39"/>
  <c r="G36" i="39"/>
  <c r="H36" i="39" s="1"/>
  <c r="F36" i="39"/>
  <c r="I36" i="39" s="1"/>
  <c r="J36" i="39" s="1"/>
  <c r="E36" i="39"/>
  <c r="D36" i="39"/>
  <c r="M35" i="39"/>
  <c r="G35" i="39"/>
  <c r="I35" i="39" s="1"/>
  <c r="J35" i="39" s="1"/>
  <c r="E35" i="39"/>
  <c r="M34" i="39"/>
  <c r="G34" i="39"/>
  <c r="I34" i="39" s="1"/>
  <c r="J34" i="39" s="1"/>
  <c r="E34" i="39"/>
  <c r="M33" i="39"/>
  <c r="G33" i="39"/>
  <c r="I33" i="39" s="1"/>
  <c r="J33" i="39" s="1"/>
  <c r="E33" i="39"/>
  <c r="M32" i="39"/>
  <c r="G32" i="39"/>
  <c r="H32" i="39" s="1"/>
  <c r="F32" i="39"/>
  <c r="E32" i="39"/>
  <c r="M31" i="39"/>
  <c r="I31" i="39"/>
  <c r="J31" i="39" s="1"/>
  <c r="H31" i="39"/>
  <c r="G31" i="39"/>
  <c r="F31" i="39"/>
  <c r="E31" i="39" s="1"/>
  <c r="M30" i="39"/>
  <c r="I30" i="39"/>
  <c r="J30" i="39" s="1"/>
  <c r="H30" i="39"/>
  <c r="E30" i="39"/>
  <c r="M29" i="39"/>
  <c r="I29" i="39"/>
  <c r="J29" i="39" s="1"/>
  <c r="H29" i="39"/>
  <c r="F29" i="39"/>
  <c r="E29" i="39"/>
  <c r="D29" i="39"/>
  <c r="M28" i="39"/>
  <c r="I28" i="39"/>
  <c r="J28" i="39" s="1"/>
  <c r="H28" i="39"/>
  <c r="E28" i="39"/>
  <c r="M27" i="39"/>
  <c r="I27" i="39"/>
  <c r="J27" i="39" s="1"/>
  <c r="H27" i="39"/>
  <c r="E27" i="39"/>
  <c r="M26" i="39"/>
  <c r="I26" i="39"/>
  <c r="H26" i="39"/>
  <c r="E26" i="39"/>
  <c r="L22" i="39"/>
  <c r="W17" i="39"/>
  <c r="V17" i="39"/>
  <c r="U17" i="39"/>
  <c r="T17" i="39"/>
  <c r="R17" i="39"/>
  <c r="L17" i="39"/>
  <c r="J17" i="39"/>
  <c r="H17" i="39"/>
  <c r="Y17" i="39" s="1"/>
  <c r="F17" i="39"/>
  <c r="Y16" i="39"/>
  <c r="W16" i="39"/>
  <c r="V16" i="39"/>
  <c r="U16" i="39"/>
  <c r="T16" i="39"/>
  <c r="R16" i="39"/>
  <c r="M16" i="39"/>
  <c r="L16" i="39"/>
  <c r="I16" i="39"/>
  <c r="H16" i="39"/>
  <c r="J16" i="39" s="1"/>
  <c r="F16" i="39"/>
  <c r="V15" i="39"/>
  <c r="U15" i="39"/>
  <c r="T15" i="39"/>
  <c r="R15" i="39"/>
  <c r="L15" i="39"/>
  <c r="H15" i="39"/>
  <c r="Y15" i="39" s="1"/>
  <c r="F15" i="39"/>
  <c r="I15" i="39" s="1"/>
  <c r="M15" i="39" s="1"/>
  <c r="V14" i="39"/>
  <c r="U14" i="39"/>
  <c r="T14" i="39"/>
  <c r="R14" i="39"/>
  <c r="L14" i="39"/>
  <c r="H14" i="39"/>
  <c r="J14" i="39" s="1"/>
  <c r="F14" i="39"/>
  <c r="I14" i="39" s="1"/>
  <c r="M14" i="39" s="1"/>
  <c r="V13" i="39"/>
  <c r="U13" i="39"/>
  <c r="T13" i="39"/>
  <c r="R13" i="39"/>
  <c r="L13" i="39"/>
  <c r="H13" i="39"/>
  <c r="W13" i="39" s="1"/>
  <c r="G13" i="39"/>
  <c r="D13" i="39"/>
  <c r="F13" i="39" s="1"/>
  <c r="Y12" i="39"/>
  <c r="W12" i="39"/>
  <c r="V12" i="39"/>
  <c r="U12" i="39"/>
  <c r="T12" i="39"/>
  <c r="R12" i="39"/>
  <c r="L12" i="39"/>
  <c r="H12" i="39"/>
  <c r="J12" i="39" s="1"/>
  <c r="F12" i="39"/>
  <c r="I12" i="39" s="1"/>
  <c r="M12" i="39" s="1"/>
  <c r="Y11" i="39"/>
  <c r="V11" i="39"/>
  <c r="U11" i="39"/>
  <c r="T11" i="39"/>
  <c r="R11" i="39"/>
  <c r="L11" i="39"/>
  <c r="H11" i="39"/>
  <c r="W11" i="39" s="1"/>
  <c r="F11" i="39"/>
  <c r="I11" i="39" s="1"/>
  <c r="M11" i="39" s="1"/>
  <c r="V10" i="39"/>
  <c r="U10" i="39"/>
  <c r="T10" i="39"/>
  <c r="R10" i="39"/>
  <c r="L10" i="39"/>
  <c r="H10" i="39"/>
  <c r="J10" i="39" s="1"/>
  <c r="F10" i="39"/>
  <c r="I10" i="39" s="1"/>
  <c r="M10" i="39" s="1"/>
  <c r="V9" i="39"/>
  <c r="U9" i="39"/>
  <c r="T9" i="39"/>
  <c r="R9" i="39"/>
  <c r="L9" i="39"/>
  <c r="H9" i="39"/>
  <c r="W9" i="39" s="1"/>
  <c r="G9" i="39"/>
  <c r="D9" i="39"/>
  <c r="F9" i="39" s="1"/>
  <c r="V8" i="39"/>
  <c r="U8" i="39"/>
  <c r="T8" i="39"/>
  <c r="R8" i="39"/>
  <c r="L8" i="39"/>
  <c r="G8" i="39"/>
  <c r="H8" i="39" s="1"/>
  <c r="D8" i="39"/>
  <c r="F8" i="39" s="1"/>
  <c r="V7" i="39"/>
  <c r="U7" i="39"/>
  <c r="T7" i="39"/>
  <c r="R7" i="39"/>
  <c r="L7" i="39"/>
  <c r="H7" i="39"/>
  <c r="W7" i="39" s="1"/>
  <c r="G7" i="39"/>
  <c r="G18" i="39" s="1"/>
  <c r="D7" i="39"/>
  <c r="F7" i="39" s="1"/>
  <c r="I21" i="38"/>
  <c r="M57" i="38"/>
  <c r="I57" i="38"/>
  <c r="J57" i="38" s="1"/>
  <c r="H57" i="38"/>
  <c r="E57" i="38"/>
  <c r="M56" i="38"/>
  <c r="J56" i="38"/>
  <c r="I56" i="38"/>
  <c r="F56" i="38"/>
  <c r="D56" i="38"/>
  <c r="H56" i="38" s="1"/>
  <c r="M55" i="38"/>
  <c r="F55" i="38"/>
  <c r="I55" i="38" s="1"/>
  <c r="J55" i="38" s="1"/>
  <c r="E55" i="38"/>
  <c r="D55" i="38"/>
  <c r="H55" i="38" s="1"/>
  <c r="M54" i="38"/>
  <c r="F54" i="38"/>
  <c r="E54" i="38" s="1"/>
  <c r="D54" i="38"/>
  <c r="H54" i="38" s="1"/>
  <c r="M53" i="38"/>
  <c r="F53" i="38"/>
  <c r="I53" i="38" s="1"/>
  <c r="J53" i="38" s="1"/>
  <c r="D53" i="38"/>
  <c r="H53" i="38" s="1"/>
  <c r="M52" i="38"/>
  <c r="I52" i="38"/>
  <c r="J52" i="38" s="1"/>
  <c r="H52" i="38"/>
  <c r="E52" i="38"/>
  <c r="M51" i="38"/>
  <c r="J51" i="38"/>
  <c r="I51" i="38"/>
  <c r="H51" i="38"/>
  <c r="E51" i="38"/>
  <c r="M50" i="38"/>
  <c r="F50" i="38"/>
  <c r="E50" i="38" s="1"/>
  <c r="D50" i="38"/>
  <c r="H50" i="38" s="1"/>
  <c r="M49" i="38"/>
  <c r="J49" i="38"/>
  <c r="I49" i="38"/>
  <c r="H49" i="38"/>
  <c r="E49" i="38"/>
  <c r="M48" i="38"/>
  <c r="F48" i="38"/>
  <c r="E48" i="38" s="1"/>
  <c r="D48" i="38"/>
  <c r="H48" i="38" s="1"/>
  <c r="M47" i="38"/>
  <c r="F47" i="38"/>
  <c r="I47" i="38" s="1"/>
  <c r="J47" i="38" s="1"/>
  <c r="D47" i="38"/>
  <c r="H47" i="38" s="1"/>
  <c r="M46" i="38"/>
  <c r="G46" i="38"/>
  <c r="I46" i="38" s="1"/>
  <c r="J46" i="38" s="1"/>
  <c r="F46" i="38"/>
  <c r="E46" i="38" s="1"/>
  <c r="M45" i="38"/>
  <c r="J45" i="38"/>
  <c r="I45" i="38"/>
  <c r="H45" i="38"/>
  <c r="E45" i="38"/>
  <c r="M44" i="38"/>
  <c r="G44" i="38"/>
  <c r="I44" i="38" s="1"/>
  <c r="J44" i="38" s="1"/>
  <c r="E44" i="38"/>
  <c r="M43" i="38"/>
  <c r="G43" i="38"/>
  <c r="I43" i="38" s="1"/>
  <c r="J43" i="38" s="1"/>
  <c r="E43" i="38"/>
  <c r="M42" i="38"/>
  <c r="G42" i="38"/>
  <c r="I42" i="38" s="1"/>
  <c r="J42" i="38" s="1"/>
  <c r="E42" i="38"/>
  <c r="M41" i="38"/>
  <c r="G41" i="38"/>
  <c r="I41" i="38" s="1"/>
  <c r="J41" i="38" s="1"/>
  <c r="F41" i="38"/>
  <c r="E41" i="38" s="1"/>
  <c r="M40" i="38"/>
  <c r="G40" i="38"/>
  <c r="I40" i="38" s="1"/>
  <c r="J40" i="38" s="1"/>
  <c r="E40" i="38"/>
  <c r="M39" i="38"/>
  <c r="G39" i="38"/>
  <c r="I39" i="38" s="1"/>
  <c r="J39" i="38" s="1"/>
  <c r="E39" i="38"/>
  <c r="M38" i="38"/>
  <c r="G38" i="38"/>
  <c r="I38" i="38" s="1"/>
  <c r="J38" i="38" s="1"/>
  <c r="F38" i="38"/>
  <c r="E38" i="38" s="1"/>
  <c r="D38" i="38"/>
  <c r="M37" i="38"/>
  <c r="I37" i="38"/>
  <c r="J37" i="38" s="1"/>
  <c r="G37" i="38"/>
  <c r="F37" i="38"/>
  <c r="E37" i="38" s="1"/>
  <c r="D37" i="38"/>
  <c r="H37" i="38" s="1"/>
  <c r="M36" i="38"/>
  <c r="H36" i="38"/>
  <c r="G36" i="38"/>
  <c r="I36" i="38" s="1"/>
  <c r="J36" i="38" s="1"/>
  <c r="F36" i="38"/>
  <c r="E36" i="38"/>
  <c r="D36" i="38"/>
  <c r="M35" i="38"/>
  <c r="G35" i="38"/>
  <c r="I35" i="38" s="1"/>
  <c r="J35" i="38" s="1"/>
  <c r="E35" i="38"/>
  <c r="M34" i="38"/>
  <c r="G34" i="38"/>
  <c r="I34" i="38" s="1"/>
  <c r="J34" i="38" s="1"/>
  <c r="E34" i="38"/>
  <c r="M33" i="38"/>
  <c r="G33" i="38"/>
  <c r="I33" i="38" s="1"/>
  <c r="J33" i="38" s="1"/>
  <c r="E33" i="38"/>
  <c r="M32" i="38"/>
  <c r="G32" i="38"/>
  <c r="I32" i="38" s="1"/>
  <c r="J32" i="38" s="1"/>
  <c r="F32" i="38"/>
  <c r="E32" i="38" s="1"/>
  <c r="M31" i="38"/>
  <c r="I31" i="38"/>
  <c r="J31" i="38" s="1"/>
  <c r="H31" i="38"/>
  <c r="G31" i="38"/>
  <c r="F31" i="38"/>
  <c r="E31" i="38"/>
  <c r="M30" i="38"/>
  <c r="I30" i="38"/>
  <c r="J30" i="38" s="1"/>
  <c r="H30" i="38"/>
  <c r="E30" i="38"/>
  <c r="M29" i="38"/>
  <c r="I29" i="38"/>
  <c r="J29" i="38" s="1"/>
  <c r="H29" i="38"/>
  <c r="F29" i="38"/>
  <c r="E29" i="38" s="1"/>
  <c r="D29" i="38"/>
  <c r="M28" i="38"/>
  <c r="I28" i="38"/>
  <c r="J28" i="38" s="1"/>
  <c r="H28" i="38"/>
  <c r="E28" i="38"/>
  <c r="M27" i="38"/>
  <c r="I27" i="38"/>
  <c r="J27" i="38" s="1"/>
  <c r="H27" i="38"/>
  <c r="E27" i="38"/>
  <c r="M26" i="38"/>
  <c r="J26" i="38"/>
  <c r="I26" i="38"/>
  <c r="H26" i="38"/>
  <c r="E26" i="38"/>
  <c r="L22" i="38"/>
  <c r="V17" i="38"/>
  <c r="U17" i="38"/>
  <c r="T17" i="38"/>
  <c r="R17" i="38"/>
  <c r="L17" i="38"/>
  <c r="H17" i="38"/>
  <c r="Y17" i="38" s="1"/>
  <c r="F17" i="38"/>
  <c r="I17" i="38" s="1"/>
  <c r="M17" i="38" s="1"/>
  <c r="V16" i="38"/>
  <c r="U16" i="38"/>
  <c r="T16" i="38"/>
  <c r="R16" i="38"/>
  <c r="M16" i="38"/>
  <c r="L16" i="38"/>
  <c r="I16" i="38"/>
  <c r="H16" i="38"/>
  <c r="Y16" i="38" s="1"/>
  <c r="F16" i="38"/>
  <c r="V15" i="38"/>
  <c r="U15" i="38"/>
  <c r="T15" i="38"/>
  <c r="R15" i="38"/>
  <c r="L15" i="38"/>
  <c r="H15" i="38"/>
  <c r="Y15" i="38" s="1"/>
  <c r="F15" i="38"/>
  <c r="I15" i="38" s="1"/>
  <c r="M15" i="38" s="1"/>
  <c r="V14" i="38"/>
  <c r="U14" i="38"/>
  <c r="T14" i="38"/>
  <c r="R14" i="38"/>
  <c r="L14" i="38"/>
  <c r="H14" i="38"/>
  <c r="J14" i="38" s="1"/>
  <c r="F14" i="38"/>
  <c r="I14" i="38" s="1"/>
  <c r="M14" i="38" s="1"/>
  <c r="V13" i="38"/>
  <c r="U13" i="38"/>
  <c r="T13" i="38"/>
  <c r="R13" i="38"/>
  <c r="L13" i="38"/>
  <c r="H13" i="38"/>
  <c r="W13" i="38" s="1"/>
  <c r="G13" i="38"/>
  <c r="D13" i="38"/>
  <c r="F13" i="38" s="1"/>
  <c r="Y12" i="38"/>
  <c r="W12" i="38"/>
  <c r="V12" i="38"/>
  <c r="U12" i="38"/>
  <c r="T12" i="38"/>
  <c r="R12" i="38"/>
  <c r="L12" i="38"/>
  <c r="H12" i="38"/>
  <c r="J12" i="38" s="1"/>
  <c r="F12" i="38"/>
  <c r="Y11" i="38"/>
  <c r="V11" i="38"/>
  <c r="U11" i="38"/>
  <c r="T11" i="38"/>
  <c r="R11" i="38"/>
  <c r="L11" i="38"/>
  <c r="H11" i="38"/>
  <c r="W11" i="38" s="1"/>
  <c r="F11" i="38"/>
  <c r="I11" i="38" s="1"/>
  <c r="M11" i="38" s="1"/>
  <c r="V10" i="38"/>
  <c r="U10" i="38"/>
  <c r="T10" i="38"/>
  <c r="R10" i="38"/>
  <c r="L10" i="38"/>
  <c r="H10" i="38"/>
  <c r="J10" i="38" s="1"/>
  <c r="F10" i="38"/>
  <c r="I10" i="38" s="1"/>
  <c r="M10" i="38" s="1"/>
  <c r="V9" i="38"/>
  <c r="U9" i="38"/>
  <c r="T9" i="38"/>
  <c r="R9" i="38"/>
  <c r="L9" i="38"/>
  <c r="H9" i="38"/>
  <c r="W9" i="38" s="1"/>
  <c r="G9" i="38"/>
  <c r="D9" i="38"/>
  <c r="F9" i="38" s="1"/>
  <c r="V8" i="38"/>
  <c r="U8" i="38"/>
  <c r="T8" i="38"/>
  <c r="R8" i="38"/>
  <c r="L8" i="38"/>
  <c r="G8" i="38"/>
  <c r="H8" i="38" s="1"/>
  <c r="D8" i="38"/>
  <c r="F8" i="38" s="1"/>
  <c r="V7" i="38"/>
  <c r="U7" i="38"/>
  <c r="T7" i="38"/>
  <c r="R7" i="38"/>
  <c r="L7" i="38"/>
  <c r="H7" i="38"/>
  <c r="W7" i="38" s="1"/>
  <c r="G7" i="38"/>
  <c r="G18" i="38" s="1"/>
  <c r="D7" i="38"/>
  <c r="F7" i="38" s="1"/>
  <c r="G13" i="37"/>
  <c r="D13" i="37"/>
  <c r="I21" i="37"/>
  <c r="Z16" i="43" l="1"/>
  <c r="Y11" i="43"/>
  <c r="J11" i="43"/>
  <c r="W11" i="43"/>
  <c r="Z13" i="43"/>
  <c r="Z7" i="43"/>
  <c r="Z15" i="43"/>
  <c r="Z11" i="43"/>
  <c r="Y10" i="43"/>
  <c r="W10" i="43"/>
  <c r="J10" i="43"/>
  <c r="Z14" i="43"/>
  <c r="I22" i="43"/>
  <c r="Z10" i="43"/>
  <c r="G19" i="43"/>
  <c r="I65" i="43"/>
  <c r="Z9" i="43"/>
  <c r="J13" i="43"/>
  <c r="Y13" i="43"/>
  <c r="W13" i="43"/>
  <c r="Z17" i="43"/>
  <c r="Z8" i="43"/>
  <c r="I18" i="43"/>
  <c r="M7" i="43"/>
  <c r="Z8" i="42"/>
  <c r="Z14" i="42"/>
  <c r="Z12" i="42"/>
  <c r="Z13" i="42"/>
  <c r="Z16" i="42"/>
  <c r="G19" i="42"/>
  <c r="I22" i="42"/>
  <c r="Z10" i="42"/>
  <c r="Z15" i="42"/>
  <c r="I18" i="42"/>
  <c r="M7" i="42"/>
  <c r="Z11" i="42"/>
  <c r="Z17" i="42"/>
  <c r="I65" i="42"/>
  <c r="Z9" i="42"/>
  <c r="J14" i="41"/>
  <c r="W14" i="41"/>
  <c r="J16" i="41"/>
  <c r="W16" i="41"/>
  <c r="J11" i="41"/>
  <c r="W11" i="41"/>
  <c r="H9" i="41"/>
  <c r="W9" i="41" s="1"/>
  <c r="W10" i="41"/>
  <c r="J15" i="41"/>
  <c r="W15" i="41"/>
  <c r="E29" i="41"/>
  <c r="H38" i="41"/>
  <c r="E55" i="41"/>
  <c r="W13" i="41"/>
  <c r="Y13" i="41"/>
  <c r="Y10" i="41"/>
  <c r="H12" i="41"/>
  <c r="J12" i="41" s="1"/>
  <c r="I37" i="41"/>
  <c r="J37" i="41" s="1"/>
  <c r="H36" i="41"/>
  <c r="I41" i="41"/>
  <c r="J41" i="41" s="1"/>
  <c r="E48" i="41"/>
  <c r="M7" i="41"/>
  <c r="Y12" i="41"/>
  <c r="W7" i="41"/>
  <c r="J7" i="41"/>
  <c r="Y7" i="41"/>
  <c r="Y8" i="41"/>
  <c r="J8" i="41"/>
  <c r="W8" i="41"/>
  <c r="E56" i="41"/>
  <c r="G18" i="41"/>
  <c r="H37" i="41"/>
  <c r="I55" i="41"/>
  <c r="J55" i="41" s="1"/>
  <c r="I9" i="41"/>
  <c r="M9" i="41" s="1"/>
  <c r="H32" i="41"/>
  <c r="H34" i="41"/>
  <c r="H39" i="41"/>
  <c r="E47" i="41"/>
  <c r="I13" i="41"/>
  <c r="M13" i="41" s="1"/>
  <c r="Y17" i="41"/>
  <c r="I33" i="41"/>
  <c r="J33" i="41" s="1"/>
  <c r="I35" i="41"/>
  <c r="J35" i="41" s="1"/>
  <c r="I38" i="41"/>
  <c r="J38" i="41" s="1"/>
  <c r="I40" i="41"/>
  <c r="J40" i="41" s="1"/>
  <c r="H41" i="41"/>
  <c r="H42" i="41"/>
  <c r="H43" i="41"/>
  <c r="H44" i="41"/>
  <c r="H46" i="41"/>
  <c r="J17" i="41"/>
  <c r="H31" i="41"/>
  <c r="F8" i="41"/>
  <c r="E53" i="41"/>
  <c r="J26" i="41"/>
  <c r="I8" i="40"/>
  <c r="M8" i="40" s="1"/>
  <c r="I7" i="40"/>
  <c r="F18" i="40"/>
  <c r="F20" i="40" s="1"/>
  <c r="Z16" i="40" s="1"/>
  <c r="I13" i="40"/>
  <c r="M13" i="40" s="1"/>
  <c r="I9" i="40"/>
  <c r="M9" i="40" s="1"/>
  <c r="J9" i="40"/>
  <c r="Y9" i="40"/>
  <c r="W9" i="40"/>
  <c r="Y7" i="40"/>
  <c r="W7" i="40"/>
  <c r="J7" i="40"/>
  <c r="J13" i="40"/>
  <c r="Y13" i="40"/>
  <c r="W13" i="40"/>
  <c r="E29" i="40"/>
  <c r="I36" i="40"/>
  <c r="J36" i="40" s="1"/>
  <c r="I47" i="40"/>
  <c r="J47" i="40" s="1"/>
  <c r="I53" i="40"/>
  <c r="J53" i="40" s="1"/>
  <c r="E56" i="40"/>
  <c r="W15" i="40"/>
  <c r="J16" i="40"/>
  <c r="G18" i="40"/>
  <c r="H55" i="40"/>
  <c r="H8" i="40"/>
  <c r="J11" i="40"/>
  <c r="I12" i="40"/>
  <c r="M12" i="40" s="1"/>
  <c r="J12" i="40"/>
  <c r="Y11" i="40"/>
  <c r="W12" i="40"/>
  <c r="Y15" i="40"/>
  <c r="W16" i="40"/>
  <c r="J17" i="40"/>
  <c r="H31" i="40"/>
  <c r="W17" i="40"/>
  <c r="H32" i="40"/>
  <c r="H33" i="40"/>
  <c r="H34" i="40"/>
  <c r="H35" i="40"/>
  <c r="H38" i="40"/>
  <c r="H39" i="40"/>
  <c r="H40" i="40"/>
  <c r="J26" i="40"/>
  <c r="I13" i="39"/>
  <c r="M13" i="39" s="1"/>
  <c r="I7" i="39"/>
  <c r="F18" i="39"/>
  <c r="F20" i="39" s="1"/>
  <c r="Z13" i="39" s="1"/>
  <c r="I8" i="39"/>
  <c r="M8" i="39" s="1"/>
  <c r="Y8" i="39"/>
  <c r="W8" i="39"/>
  <c r="J8" i="39"/>
  <c r="I9" i="39"/>
  <c r="M9" i="39" s="1"/>
  <c r="H34" i="39"/>
  <c r="H38" i="39"/>
  <c r="E53" i="39"/>
  <c r="J9" i="39"/>
  <c r="J11" i="39"/>
  <c r="W14" i="39"/>
  <c r="J15" i="39"/>
  <c r="H48" i="39"/>
  <c r="H50" i="39"/>
  <c r="H54" i="39"/>
  <c r="E56" i="39"/>
  <c r="H33" i="39"/>
  <c r="H35" i="39"/>
  <c r="H40" i="39"/>
  <c r="E47" i="39"/>
  <c r="J7" i="39"/>
  <c r="J13" i="39"/>
  <c r="Y7" i="39"/>
  <c r="Y9" i="39"/>
  <c r="W10" i="39"/>
  <c r="Y13" i="39"/>
  <c r="Y10" i="39"/>
  <c r="Y14" i="39"/>
  <c r="W15" i="39"/>
  <c r="I17" i="39"/>
  <c r="M17" i="39" s="1"/>
  <c r="H37" i="39"/>
  <c r="H55" i="39"/>
  <c r="I32" i="39"/>
  <c r="J32" i="39" s="1"/>
  <c r="I39" i="39"/>
  <c r="J39" i="39" s="1"/>
  <c r="H41" i="39"/>
  <c r="H42" i="39"/>
  <c r="H43" i="39"/>
  <c r="H44" i="39"/>
  <c r="H46" i="39"/>
  <c r="J26" i="39"/>
  <c r="I8" i="38"/>
  <c r="M8" i="38" s="1"/>
  <c r="Y8" i="38"/>
  <c r="W8" i="38"/>
  <c r="J8" i="38"/>
  <c r="I9" i="38"/>
  <c r="M9" i="38" s="1"/>
  <c r="I13" i="38"/>
  <c r="M13" i="38" s="1"/>
  <c r="I60" i="38"/>
  <c r="I7" i="38"/>
  <c r="F18" i="38"/>
  <c r="F20" i="38" s="1"/>
  <c r="Z13" i="38" s="1"/>
  <c r="E56" i="38"/>
  <c r="Y7" i="38"/>
  <c r="Y9" i="38"/>
  <c r="W10" i="38"/>
  <c r="J11" i="38"/>
  <c r="I12" i="38"/>
  <c r="M12" i="38" s="1"/>
  <c r="Y13" i="38"/>
  <c r="W14" i="38"/>
  <c r="J15" i="38"/>
  <c r="Y10" i="38"/>
  <c r="Y14" i="38"/>
  <c r="W15" i="38"/>
  <c r="J16" i="38"/>
  <c r="I48" i="38"/>
  <c r="J48" i="38" s="1"/>
  <c r="I50" i="38"/>
  <c r="J50" i="38" s="1"/>
  <c r="I54" i="38"/>
  <c r="J54" i="38" s="1"/>
  <c r="W16" i="38"/>
  <c r="J17" i="38"/>
  <c r="W17" i="38"/>
  <c r="H32" i="38"/>
  <c r="H33" i="38"/>
  <c r="H34" i="38"/>
  <c r="H35" i="38"/>
  <c r="H38" i="38"/>
  <c r="H39" i="38"/>
  <c r="H40" i="38"/>
  <c r="E47" i="38"/>
  <c r="E53" i="38"/>
  <c r="H41" i="38"/>
  <c r="H42" i="38"/>
  <c r="H43" i="38"/>
  <c r="H44" i="38"/>
  <c r="H46" i="38"/>
  <c r="J7" i="38"/>
  <c r="J9" i="38"/>
  <c r="J13" i="38"/>
  <c r="M57" i="37"/>
  <c r="J57" i="37"/>
  <c r="I57" i="37"/>
  <c r="H57" i="37"/>
  <c r="E57" i="37"/>
  <c r="M56" i="37"/>
  <c r="F56" i="37"/>
  <c r="I56" i="37" s="1"/>
  <c r="J56" i="37" s="1"/>
  <c r="D56" i="37"/>
  <c r="E56" i="37" s="1"/>
  <c r="M55" i="37"/>
  <c r="H55" i="37"/>
  <c r="F55" i="37"/>
  <c r="I55" i="37" s="1"/>
  <c r="J55" i="37" s="1"/>
  <c r="E55" i="37"/>
  <c r="D55" i="37"/>
  <c r="M54" i="37"/>
  <c r="H54" i="37"/>
  <c r="F54" i="37"/>
  <c r="E54" i="37" s="1"/>
  <c r="D54" i="37"/>
  <c r="M53" i="37"/>
  <c r="I53" i="37"/>
  <c r="J53" i="37" s="1"/>
  <c r="H53" i="37"/>
  <c r="F53" i="37"/>
  <c r="E53" i="37"/>
  <c r="D53" i="37"/>
  <c r="M52" i="37"/>
  <c r="I52" i="37"/>
  <c r="J52" i="37" s="1"/>
  <c r="H52" i="37"/>
  <c r="E52" i="37"/>
  <c r="M51" i="37"/>
  <c r="I51" i="37"/>
  <c r="J51" i="37" s="1"/>
  <c r="H51" i="37"/>
  <c r="E51" i="37"/>
  <c r="M50" i="37"/>
  <c r="H50" i="37"/>
  <c r="F50" i="37"/>
  <c r="E50" i="37" s="1"/>
  <c r="D50" i="37"/>
  <c r="M49" i="37"/>
  <c r="I49" i="37"/>
  <c r="J49" i="37" s="1"/>
  <c r="H49" i="37"/>
  <c r="E49" i="37"/>
  <c r="M48" i="37"/>
  <c r="H48" i="37"/>
  <c r="F48" i="37"/>
  <c r="E48" i="37" s="1"/>
  <c r="D48" i="37"/>
  <c r="M47" i="37"/>
  <c r="I47" i="37"/>
  <c r="J47" i="37" s="1"/>
  <c r="H47" i="37"/>
  <c r="F47" i="37"/>
  <c r="E47" i="37"/>
  <c r="D47" i="37"/>
  <c r="M46" i="37"/>
  <c r="I46" i="37"/>
  <c r="J46" i="37" s="1"/>
  <c r="G46" i="37"/>
  <c r="H46" i="37" s="1"/>
  <c r="F46" i="37"/>
  <c r="E46" i="37"/>
  <c r="M45" i="37"/>
  <c r="J45" i="37"/>
  <c r="I45" i="37"/>
  <c r="H45" i="37"/>
  <c r="E45" i="37"/>
  <c r="M44" i="37"/>
  <c r="I44" i="37"/>
  <c r="J44" i="37" s="1"/>
  <c r="G44" i="37"/>
  <c r="H44" i="37" s="1"/>
  <c r="E44" i="37"/>
  <c r="M43" i="37"/>
  <c r="I43" i="37"/>
  <c r="J43" i="37" s="1"/>
  <c r="G43" i="37"/>
  <c r="H43" i="37" s="1"/>
  <c r="E43" i="37"/>
  <c r="M42" i="37"/>
  <c r="I42" i="37"/>
  <c r="J42" i="37" s="1"/>
  <c r="G42" i="37"/>
  <c r="H42" i="37" s="1"/>
  <c r="E42" i="37"/>
  <c r="M41" i="37"/>
  <c r="I41" i="37"/>
  <c r="J41" i="37" s="1"/>
  <c r="G41" i="37"/>
  <c r="H41" i="37" s="1"/>
  <c r="F41" i="37"/>
  <c r="E41" i="37"/>
  <c r="M40" i="37"/>
  <c r="H40" i="37"/>
  <c r="G40" i="37"/>
  <c r="I40" i="37" s="1"/>
  <c r="J40" i="37" s="1"/>
  <c r="E40" i="37"/>
  <c r="M39" i="37"/>
  <c r="H39" i="37"/>
  <c r="G39" i="37"/>
  <c r="I39" i="37" s="1"/>
  <c r="J39" i="37" s="1"/>
  <c r="E39" i="37"/>
  <c r="M38" i="37"/>
  <c r="G38" i="37"/>
  <c r="I38" i="37" s="1"/>
  <c r="J38" i="37" s="1"/>
  <c r="F38" i="37"/>
  <c r="D38" i="37"/>
  <c r="H38" i="37" s="1"/>
  <c r="M37" i="37"/>
  <c r="G37" i="37"/>
  <c r="I37" i="37" s="1"/>
  <c r="J37" i="37" s="1"/>
  <c r="F37" i="37"/>
  <c r="E37" i="37" s="1"/>
  <c r="D37" i="37"/>
  <c r="M36" i="37"/>
  <c r="I36" i="37"/>
  <c r="J36" i="37" s="1"/>
  <c r="H36" i="37"/>
  <c r="G36" i="37"/>
  <c r="F36" i="37"/>
  <c r="E36" i="37" s="1"/>
  <c r="D36" i="37"/>
  <c r="M35" i="37"/>
  <c r="J35" i="37"/>
  <c r="I35" i="37"/>
  <c r="H35" i="37"/>
  <c r="G35" i="37"/>
  <c r="E35" i="37"/>
  <c r="M34" i="37"/>
  <c r="J34" i="37"/>
  <c r="I34" i="37"/>
  <c r="H34" i="37"/>
  <c r="G34" i="37"/>
  <c r="E34" i="37"/>
  <c r="M33" i="37"/>
  <c r="J33" i="37"/>
  <c r="I33" i="37"/>
  <c r="H33" i="37"/>
  <c r="G33" i="37"/>
  <c r="E33" i="37"/>
  <c r="M32" i="37"/>
  <c r="H32" i="37"/>
  <c r="G32" i="37"/>
  <c r="F32" i="37"/>
  <c r="I32" i="37" s="1"/>
  <c r="J32" i="37" s="1"/>
  <c r="E32" i="37"/>
  <c r="M31" i="37"/>
  <c r="G31" i="37"/>
  <c r="I31" i="37" s="1"/>
  <c r="J31" i="37" s="1"/>
  <c r="F31" i="37"/>
  <c r="E31" i="37"/>
  <c r="M30" i="37"/>
  <c r="J30" i="37"/>
  <c r="I30" i="37"/>
  <c r="H30" i="37"/>
  <c r="E30" i="37"/>
  <c r="M29" i="37"/>
  <c r="F29" i="37"/>
  <c r="I29" i="37" s="1"/>
  <c r="J29" i="37" s="1"/>
  <c r="D29" i="37"/>
  <c r="H29" i="37" s="1"/>
  <c r="M28" i="37"/>
  <c r="J28" i="37"/>
  <c r="I28" i="37"/>
  <c r="H28" i="37"/>
  <c r="E28" i="37"/>
  <c r="M27" i="37"/>
  <c r="I27" i="37"/>
  <c r="J27" i="37" s="1"/>
  <c r="H27" i="37"/>
  <c r="E27" i="37"/>
  <c r="M26" i="37"/>
  <c r="J26" i="37"/>
  <c r="I26" i="37"/>
  <c r="H26" i="37"/>
  <c r="E26" i="37"/>
  <c r="L22" i="37"/>
  <c r="V17" i="37"/>
  <c r="U17" i="37"/>
  <c r="T17" i="37"/>
  <c r="R17" i="37"/>
  <c r="L17" i="37"/>
  <c r="H17" i="37"/>
  <c r="Y17" i="37" s="1"/>
  <c r="F17" i="37"/>
  <c r="I17" i="37" s="1"/>
  <c r="M17" i="37" s="1"/>
  <c r="V16" i="37"/>
  <c r="U16" i="37"/>
  <c r="T16" i="37"/>
  <c r="R16" i="37"/>
  <c r="L16" i="37"/>
  <c r="I16" i="37"/>
  <c r="M16" i="37" s="1"/>
  <c r="H16" i="37"/>
  <c r="Y16" i="37" s="1"/>
  <c r="F16" i="37"/>
  <c r="W15" i="37"/>
  <c r="V15" i="37"/>
  <c r="U15" i="37"/>
  <c r="T15" i="37"/>
  <c r="R15" i="37"/>
  <c r="L15" i="37"/>
  <c r="J15" i="37"/>
  <c r="I15" i="37"/>
  <c r="M15" i="37" s="1"/>
  <c r="H15" i="37"/>
  <c r="Y15" i="37" s="1"/>
  <c r="F15" i="37"/>
  <c r="V14" i="37"/>
  <c r="U14" i="37"/>
  <c r="T14" i="37"/>
  <c r="R14" i="37"/>
  <c r="L14" i="37"/>
  <c r="H14" i="37"/>
  <c r="J14" i="37" s="1"/>
  <c r="F14" i="37"/>
  <c r="I14" i="37" s="1"/>
  <c r="M14" i="37" s="1"/>
  <c r="V13" i="37"/>
  <c r="U13" i="37"/>
  <c r="T13" i="37"/>
  <c r="R13" i="37"/>
  <c r="L13" i="37"/>
  <c r="H13" i="37"/>
  <c r="Y13" i="37" s="1"/>
  <c r="F13" i="37"/>
  <c r="I13" i="37" s="1"/>
  <c r="M13" i="37" s="1"/>
  <c r="Y12" i="37"/>
  <c r="V12" i="37"/>
  <c r="U12" i="37"/>
  <c r="T12" i="37"/>
  <c r="R12" i="37"/>
  <c r="L12" i="37"/>
  <c r="H12" i="37"/>
  <c r="W12" i="37" s="1"/>
  <c r="F12" i="37"/>
  <c r="V11" i="37"/>
  <c r="U11" i="37"/>
  <c r="T11" i="37"/>
  <c r="R11" i="37"/>
  <c r="L11" i="37"/>
  <c r="H11" i="37"/>
  <c r="Y11" i="37" s="1"/>
  <c r="F11" i="37"/>
  <c r="I11" i="37" s="1"/>
  <c r="M11" i="37" s="1"/>
  <c r="V10" i="37"/>
  <c r="U10" i="37"/>
  <c r="T10" i="37"/>
  <c r="R10" i="37"/>
  <c r="L10" i="37"/>
  <c r="H10" i="37"/>
  <c r="Y10" i="37" s="1"/>
  <c r="F10" i="37"/>
  <c r="I10" i="37" s="1"/>
  <c r="M10" i="37" s="1"/>
  <c r="V9" i="37"/>
  <c r="U9" i="37"/>
  <c r="T9" i="37"/>
  <c r="R9" i="37"/>
  <c r="L9" i="37"/>
  <c r="G9" i="37"/>
  <c r="H9" i="37" s="1"/>
  <c r="D9" i="37"/>
  <c r="F9" i="37" s="1"/>
  <c r="V8" i="37"/>
  <c r="U8" i="37"/>
  <c r="T8" i="37"/>
  <c r="R8" i="37"/>
  <c r="L8" i="37"/>
  <c r="G8" i="37"/>
  <c r="H8" i="37" s="1"/>
  <c r="F8" i="37"/>
  <c r="D8" i="37"/>
  <c r="V7" i="37"/>
  <c r="U7" i="37"/>
  <c r="T7" i="37"/>
  <c r="R7" i="37"/>
  <c r="L7" i="37"/>
  <c r="G7" i="37"/>
  <c r="H7" i="37" s="1"/>
  <c r="D7" i="37"/>
  <c r="F7" i="37" s="1"/>
  <c r="M57" i="36"/>
  <c r="H57" i="36"/>
  <c r="I57" i="36"/>
  <c r="J57" i="36" s="1"/>
  <c r="E57" i="36"/>
  <c r="I21" i="36"/>
  <c r="M56" i="36"/>
  <c r="F56" i="36"/>
  <c r="I56" i="36" s="1"/>
  <c r="J56" i="36" s="1"/>
  <c r="D56" i="36"/>
  <c r="E56" i="36" s="1"/>
  <c r="M55" i="36"/>
  <c r="F55" i="36"/>
  <c r="I55" i="36" s="1"/>
  <c r="J55" i="36" s="1"/>
  <c r="D55" i="36"/>
  <c r="E55" i="36" s="1"/>
  <c r="M54" i="36"/>
  <c r="F54" i="36"/>
  <c r="I54" i="36" s="1"/>
  <c r="J54" i="36" s="1"/>
  <c r="E54" i="36"/>
  <c r="D54" i="36"/>
  <c r="H54" i="36" s="1"/>
  <c r="M53" i="36"/>
  <c r="F53" i="36"/>
  <c r="I53" i="36" s="1"/>
  <c r="J53" i="36" s="1"/>
  <c r="D53" i="36"/>
  <c r="H53" i="36" s="1"/>
  <c r="M52" i="36"/>
  <c r="I52" i="36"/>
  <c r="J52" i="36" s="1"/>
  <c r="H52" i="36"/>
  <c r="E52" i="36"/>
  <c r="M51" i="36"/>
  <c r="J51" i="36"/>
  <c r="I51" i="36"/>
  <c r="H51" i="36"/>
  <c r="E51" i="36"/>
  <c r="M50" i="36"/>
  <c r="J50" i="36"/>
  <c r="I50" i="36"/>
  <c r="F50" i="36"/>
  <c r="D50" i="36"/>
  <c r="H50" i="36" s="1"/>
  <c r="M49" i="36"/>
  <c r="J49" i="36"/>
  <c r="I49" i="36"/>
  <c r="H49" i="36"/>
  <c r="E49" i="36"/>
  <c r="M48" i="36"/>
  <c r="J48" i="36"/>
  <c r="I48" i="36"/>
  <c r="F48" i="36"/>
  <c r="E48" i="36"/>
  <c r="D48" i="36"/>
  <c r="H48" i="36" s="1"/>
  <c r="M47" i="36"/>
  <c r="F47" i="36"/>
  <c r="I47" i="36" s="1"/>
  <c r="J47" i="36" s="1"/>
  <c r="D47" i="36"/>
  <c r="H47" i="36" s="1"/>
  <c r="M46" i="36"/>
  <c r="H46" i="36"/>
  <c r="G46" i="36"/>
  <c r="I46" i="36" s="1"/>
  <c r="J46" i="36" s="1"/>
  <c r="F46" i="36"/>
  <c r="E46" i="36" s="1"/>
  <c r="M45" i="36"/>
  <c r="I45" i="36"/>
  <c r="J45" i="36" s="1"/>
  <c r="H45" i="36"/>
  <c r="E45" i="36"/>
  <c r="M44" i="36"/>
  <c r="H44" i="36"/>
  <c r="G44" i="36"/>
  <c r="I44" i="36" s="1"/>
  <c r="J44" i="36" s="1"/>
  <c r="E44" i="36"/>
  <c r="M43" i="36"/>
  <c r="H43" i="36"/>
  <c r="G43" i="36"/>
  <c r="I43" i="36" s="1"/>
  <c r="J43" i="36" s="1"/>
  <c r="E43" i="36"/>
  <c r="M42" i="36"/>
  <c r="H42" i="36"/>
  <c r="G42" i="36"/>
  <c r="I42" i="36" s="1"/>
  <c r="J42" i="36" s="1"/>
  <c r="E42" i="36"/>
  <c r="M41" i="36"/>
  <c r="H41" i="36"/>
  <c r="G41" i="36"/>
  <c r="I41" i="36" s="1"/>
  <c r="J41" i="36" s="1"/>
  <c r="F41" i="36"/>
  <c r="E41" i="36" s="1"/>
  <c r="M40" i="36"/>
  <c r="G40" i="36"/>
  <c r="I40" i="36" s="1"/>
  <c r="J40" i="36" s="1"/>
  <c r="E40" i="36"/>
  <c r="M39" i="36"/>
  <c r="G39" i="36"/>
  <c r="I39" i="36" s="1"/>
  <c r="J39" i="36" s="1"/>
  <c r="E39" i="36"/>
  <c r="M38" i="36"/>
  <c r="G38" i="36"/>
  <c r="I38" i="36" s="1"/>
  <c r="J38" i="36" s="1"/>
  <c r="F38" i="36"/>
  <c r="E38" i="36" s="1"/>
  <c r="D38" i="36"/>
  <c r="M37" i="36"/>
  <c r="I37" i="36"/>
  <c r="J37" i="36" s="1"/>
  <c r="H37" i="36"/>
  <c r="G37" i="36"/>
  <c r="F37" i="36"/>
  <c r="E37" i="36"/>
  <c r="D37" i="36"/>
  <c r="M36" i="36"/>
  <c r="G36" i="36"/>
  <c r="I36" i="36" s="1"/>
  <c r="J36" i="36" s="1"/>
  <c r="F36" i="36"/>
  <c r="E36" i="36"/>
  <c r="D36" i="36"/>
  <c r="M35" i="36"/>
  <c r="G35" i="36"/>
  <c r="I35" i="36" s="1"/>
  <c r="J35" i="36" s="1"/>
  <c r="E35" i="36"/>
  <c r="M34" i="36"/>
  <c r="G34" i="36"/>
  <c r="I34" i="36" s="1"/>
  <c r="J34" i="36" s="1"/>
  <c r="E34" i="36"/>
  <c r="M33" i="36"/>
  <c r="G33" i="36"/>
  <c r="I33" i="36" s="1"/>
  <c r="J33" i="36" s="1"/>
  <c r="E33" i="36"/>
  <c r="M32" i="36"/>
  <c r="G32" i="36"/>
  <c r="I32" i="36" s="1"/>
  <c r="J32" i="36" s="1"/>
  <c r="F32" i="36"/>
  <c r="E32" i="36" s="1"/>
  <c r="M31" i="36"/>
  <c r="H31" i="36"/>
  <c r="G31" i="36"/>
  <c r="I31" i="36" s="1"/>
  <c r="J31" i="36" s="1"/>
  <c r="F31" i="36"/>
  <c r="E31" i="36" s="1"/>
  <c r="M30" i="36"/>
  <c r="I30" i="36"/>
  <c r="J30" i="36" s="1"/>
  <c r="H30" i="36"/>
  <c r="E30" i="36"/>
  <c r="M29" i="36"/>
  <c r="H29" i="36"/>
  <c r="F29" i="36"/>
  <c r="E29" i="36" s="1"/>
  <c r="D29" i="36"/>
  <c r="M28" i="36"/>
  <c r="I28" i="36"/>
  <c r="J28" i="36" s="1"/>
  <c r="H28" i="36"/>
  <c r="E28" i="36"/>
  <c r="M27" i="36"/>
  <c r="J27" i="36"/>
  <c r="I27" i="36"/>
  <c r="H27" i="36"/>
  <c r="E27" i="36"/>
  <c r="M26" i="36"/>
  <c r="I26" i="36"/>
  <c r="H26" i="36"/>
  <c r="E26" i="36"/>
  <c r="L22" i="36"/>
  <c r="V17" i="36"/>
  <c r="U17" i="36"/>
  <c r="T17" i="36"/>
  <c r="R17" i="36"/>
  <c r="L17" i="36"/>
  <c r="I17" i="36"/>
  <c r="M17" i="36" s="1"/>
  <c r="H17" i="36"/>
  <c r="Y17" i="36" s="1"/>
  <c r="F17" i="36"/>
  <c r="V16" i="36"/>
  <c r="U16" i="36"/>
  <c r="T16" i="36"/>
  <c r="R16" i="36"/>
  <c r="L16" i="36"/>
  <c r="I16" i="36"/>
  <c r="M16" i="36" s="1"/>
  <c r="H16" i="36"/>
  <c r="Y16" i="36" s="1"/>
  <c r="F16" i="36"/>
  <c r="V15" i="36"/>
  <c r="U15" i="36"/>
  <c r="T15" i="36"/>
  <c r="R15" i="36"/>
  <c r="L15" i="36"/>
  <c r="I15" i="36"/>
  <c r="M15" i="36" s="1"/>
  <c r="H15" i="36"/>
  <c r="Y15" i="36" s="1"/>
  <c r="F15" i="36"/>
  <c r="V13" i="36"/>
  <c r="U13" i="36"/>
  <c r="T13" i="36"/>
  <c r="R13" i="36"/>
  <c r="L13" i="36"/>
  <c r="H13" i="36"/>
  <c r="Y13" i="36" s="1"/>
  <c r="F13" i="36"/>
  <c r="I13" i="36" s="1"/>
  <c r="M13" i="36" s="1"/>
  <c r="V14" i="36"/>
  <c r="U14" i="36"/>
  <c r="T14" i="36"/>
  <c r="R14" i="36"/>
  <c r="L14" i="36"/>
  <c r="H14" i="36"/>
  <c r="Y14" i="36" s="1"/>
  <c r="F14" i="36"/>
  <c r="I14" i="36" s="1"/>
  <c r="M14" i="36" s="1"/>
  <c r="V12" i="36"/>
  <c r="U12" i="36"/>
  <c r="T12" i="36"/>
  <c r="R12" i="36"/>
  <c r="L12" i="36"/>
  <c r="H12" i="36"/>
  <c r="J12" i="36" s="1"/>
  <c r="F12" i="36"/>
  <c r="V11" i="36"/>
  <c r="U11" i="36"/>
  <c r="T11" i="36"/>
  <c r="R11" i="36"/>
  <c r="L11" i="36"/>
  <c r="H11" i="36"/>
  <c r="W11" i="36" s="1"/>
  <c r="F11" i="36"/>
  <c r="I11" i="36" s="1"/>
  <c r="M11" i="36" s="1"/>
  <c r="V10" i="36"/>
  <c r="U10" i="36"/>
  <c r="T10" i="36"/>
  <c r="R10" i="36"/>
  <c r="L10" i="36"/>
  <c r="H10" i="36"/>
  <c r="Y10" i="36" s="1"/>
  <c r="F10" i="36"/>
  <c r="V9" i="36"/>
  <c r="U9" i="36"/>
  <c r="T9" i="36"/>
  <c r="R9" i="36"/>
  <c r="L9" i="36"/>
  <c r="H9" i="36"/>
  <c r="J9" i="36" s="1"/>
  <c r="G9" i="36"/>
  <c r="F9" i="36"/>
  <c r="I9" i="36" s="1"/>
  <c r="M9" i="36" s="1"/>
  <c r="D9" i="36"/>
  <c r="V8" i="36"/>
  <c r="U8" i="36"/>
  <c r="T8" i="36"/>
  <c r="R8" i="36"/>
  <c r="L8" i="36"/>
  <c r="G8" i="36"/>
  <c r="H8" i="36" s="1"/>
  <c r="D8" i="36"/>
  <c r="F8" i="36" s="1"/>
  <c r="V7" i="36"/>
  <c r="U7" i="36"/>
  <c r="T7" i="36"/>
  <c r="R7" i="36"/>
  <c r="L7" i="36"/>
  <c r="H7" i="36"/>
  <c r="Y7" i="36" s="1"/>
  <c r="G7" i="36"/>
  <c r="G18" i="36" s="1"/>
  <c r="F7" i="36"/>
  <c r="I7" i="36" s="1"/>
  <c r="D7" i="36"/>
  <c r="I21" i="35"/>
  <c r="M56" i="35"/>
  <c r="H56" i="35"/>
  <c r="F56" i="35"/>
  <c r="I56" i="35" s="1"/>
  <c r="J56" i="35" s="1"/>
  <c r="E56" i="35"/>
  <c r="D56" i="35"/>
  <c r="M55" i="35"/>
  <c r="H55" i="35"/>
  <c r="F55" i="35"/>
  <c r="E55" i="35" s="1"/>
  <c r="D55" i="35"/>
  <c r="M54" i="35"/>
  <c r="I54" i="35"/>
  <c r="J54" i="35" s="1"/>
  <c r="H54" i="35"/>
  <c r="F54" i="35"/>
  <c r="E54" i="35"/>
  <c r="D54" i="35"/>
  <c r="M53" i="35"/>
  <c r="I53" i="35"/>
  <c r="J53" i="35" s="1"/>
  <c r="F53" i="35"/>
  <c r="E53" i="35" s="1"/>
  <c r="D53" i="35"/>
  <c r="H53" i="35" s="1"/>
  <c r="M52" i="35"/>
  <c r="J52" i="35"/>
  <c r="I52" i="35"/>
  <c r="H52" i="35"/>
  <c r="E52" i="35"/>
  <c r="M51" i="35"/>
  <c r="I51" i="35"/>
  <c r="J51" i="35" s="1"/>
  <c r="H51" i="35"/>
  <c r="E51" i="35"/>
  <c r="M50" i="35"/>
  <c r="I50" i="35"/>
  <c r="J50" i="35" s="1"/>
  <c r="H50" i="35"/>
  <c r="F50" i="35"/>
  <c r="E50" i="35"/>
  <c r="D50" i="35"/>
  <c r="M49" i="35"/>
  <c r="I49" i="35"/>
  <c r="J49" i="35" s="1"/>
  <c r="H49" i="35"/>
  <c r="E49" i="35"/>
  <c r="M48" i="35"/>
  <c r="I48" i="35"/>
  <c r="J48" i="35" s="1"/>
  <c r="H48" i="35"/>
  <c r="F48" i="35"/>
  <c r="E48" i="35"/>
  <c r="D48" i="35"/>
  <c r="M47" i="35"/>
  <c r="I47" i="35"/>
  <c r="J47" i="35" s="1"/>
  <c r="F47" i="35"/>
  <c r="E47" i="35" s="1"/>
  <c r="D47" i="35"/>
  <c r="H47" i="35" s="1"/>
  <c r="M46" i="35"/>
  <c r="H46" i="35"/>
  <c r="G46" i="35"/>
  <c r="I46" i="35" s="1"/>
  <c r="J46" i="35" s="1"/>
  <c r="F46" i="35"/>
  <c r="E46" i="35"/>
  <c r="M45" i="35"/>
  <c r="I45" i="35"/>
  <c r="J45" i="35" s="1"/>
  <c r="H45" i="35"/>
  <c r="E45" i="35"/>
  <c r="M44" i="35"/>
  <c r="H44" i="35"/>
  <c r="G44" i="35"/>
  <c r="I44" i="35" s="1"/>
  <c r="J44" i="35" s="1"/>
  <c r="E44" i="35"/>
  <c r="M43" i="35"/>
  <c r="H43" i="35"/>
  <c r="G43" i="35"/>
  <c r="I43" i="35" s="1"/>
  <c r="J43" i="35" s="1"/>
  <c r="E43" i="35"/>
  <c r="M42" i="35"/>
  <c r="H42" i="35"/>
  <c r="G42" i="35"/>
  <c r="I42" i="35" s="1"/>
  <c r="J42" i="35" s="1"/>
  <c r="E42" i="35"/>
  <c r="M41" i="35"/>
  <c r="H41" i="35"/>
  <c r="G41" i="35"/>
  <c r="I41" i="35" s="1"/>
  <c r="J41" i="35" s="1"/>
  <c r="F41" i="35"/>
  <c r="E41" i="35"/>
  <c r="M40" i="35"/>
  <c r="G40" i="35"/>
  <c r="I40" i="35" s="1"/>
  <c r="J40" i="35" s="1"/>
  <c r="E40" i="35"/>
  <c r="M39" i="35"/>
  <c r="G39" i="35"/>
  <c r="I39" i="35" s="1"/>
  <c r="J39" i="35" s="1"/>
  <c r="E39" i="35"/>
  <c r="M38" i="35"/>
  <c r="G38" i="35"/>
  <c r="I38" i="35" s="1"/>
  <c r="J38" i="35" s="1"/>
  <c r="F38" i="35"/>
  <c r="E38" i="35"/>
  <c r="D38" i="35"/>
  <c r="M37" i="35"/>
  <c r="G37" i="35"/>
  <c r="I37" i="35" s="1"/>
  <c r="J37" i="35" s="1"/>
  <c r="F37" i="35"/>
  <c r="E37" i="35"/>
  <c r="D37" i="35"/>
  <c r="M36" i="35"/>
  <c r="I36" i="35"/>
  <c r="J36" i="35" s="1"/>
  <c r="G36" i="35"/>
  <c r="H36" i="35" s="1"/>
  <c r="F36" i="35"/>
  <c r="D36" i="35"/>
  <c r="E36" i="35" s="1"/>
  <c r="M35" i="35"/>
  <c r="G35" i="35"/>
  <c r="I35" i="35" s="1"/>
  <c r="J35" i="35" s="1"/>
  <c r="E35" i="35"/>
  <c r="M34" i="35"/>
  <c r="G34" i="35"/>
  <c r="I34" i="35" s="1"/>
  <c r="J34" i="35" s="1"/>
  <c r="E34" i="35"/>
  <c r="M33" i="35"/>
  <c r="G33" i="35"/>
  <c r="I33" i="35" s="1"/>
  <c r="J33" i="35" s="1"/>
  <c r="E33" i="35"/>
  <c r="M32" i="35"/>
  <c r="G32" i="35"/>
  <c r="I32" i="35" s="1"/>
  <c r="J32" i="35" s="1"/>
  <c r="F32" i="35"/>
  <c r="E32" i="35"/>
  <c r="M31" i="35"/>
  <c r="G31" i="35"/>
  <c r="I31" i="35" s="1"/>
  <c r="J31" i="35" s="1"/>
  <c r="F31" i="35"/>
  <c r="E31" i="35" s="1"/>
  <c r="M30" i="35"/>
  <c r="I30" i="35"/>
  <c r="J30" i="35" s="1"/>
  <c r="H30" i="35"/>
  <c r="E30" i="35"/>
  <c r="M29" i="35"/>
  <c r="H29" i="35"/>
  <c r="F29" i="35"/>
  <c r="I29" i="35" s="1"/>
  <c r="E29" i="35"/>
  <c r="D29" i="35"/>
  <c r="M28" i="35"/>
  <c r="I28" i="35"/>
  <c r="J28" i="35" s="1"/>
  <c r="H28" i="35"/>
  <c r="E28" i="35"/>
  <c r="M27" i="35"/>
  <c r="J27" i="35"/>
  <c r="I27" i="35"/>
  <c r="H27" i="35"/>
  <c r="E27" i="35"/>
  <c r="M26" i="35"/>
  <c r="I26" i="35"/>
  <c r="J26" i="35" s="1"/>
  <c r="H26" i="35"/>
  <c r="E26" i="35"/>
  <c r="L22" i="35"/>
  <c r="G18" i="35"/>
  <c r="V17" i="35"/>
  <c r="U17" i="35"/>
  <c r="T17" i="35"/>
  <c r="R17" i="35"/>
  <c r="L17" i="35"/>
  <c r="I17" i="35"/>
  <c r="M17" i="35" s="1"/>
  <c r="H17" i="35"/>
  <c r="Y17" i="35" s="1"/>
  <c r="F17" i="35"/>
  <c r="W16" i="35"/>
  <c r="V16" i="35"/>
  <c r="U16" i="35"/>
  <c r="T16" i="35"/>
  <c r="R16" i="35"/>
  <c r="L16" i="35"/>
  <c r="J16" i="35"/>
  <c r="I16" i="35"/>
  <c r="M16" i="35" s="1"/>
  <c r="H16" i="35"/>
  <c r="Y16" i="35" s="1"/>
  <c r="F16" i="35"/>
  <c r="Y15" i="35"/>
  <c r="W15" i="35"/>
  <c r="V15" i="35"/>
  <c r="U15" i="35"/>
  <c r="T15" i="35"/>
  <c r="R15" i="35"/>
  <c r="M15" i="35"/>
  <c r="L15" i="35"/>
  <c r="J15" i="35"/>
  <c r="I15" i="35"/>
  <c r="H15" i="35"/>
  <c r="F15" i="35"/>
  <c r="V14" i="35"/>
  <c r="U14" i="35"/>
  <c r="T14" i="35"/>
  <c r="R14" i="35"/>
  <c r="L14" i="35"/>
  <c r="H14" i="35"/>
  <c r="J14" i="35" s="1"/>
  <c r="F14" i="35"/>
  <c r="I14" i="35" s="1"/>
  <c r="M14" i="35" s="1"/>
  <c r="V13" i="35"/>
  <c r="U13" i="35"/>
  <c r="T13" i="35"/>
  <c r="R13" i="35"/>
  <c r="L13" i="35"/>
  <c r="H13" i="35"/>
  <c r="W13" i="35" s="1"/>
  <c r="F13" i="35"/>
  <c r="I13" i="35" s="1"/>
  <c r="M13" i="35" s="1"/>
  <c r="V12" i="35"/>
  <c r="U12" i="35"/>
  <c r="T12" i="35"/>
  <c r="R12" i="35"/>
  <c r="L12" i="35"/>
  <c r="H12" i="35"/>
  <c r="Y12" i="35" s="1"/>
  <c r="F12" i="35"/>
  <c r="I12" i="35" s="1"/>
  <c r="M12" i="35" s="1"/>
  <c r="V11" i="35"/>
  <c r="U11" i="35"/>
  <c r="T11" i="35"/>
  <c r="R11" i="35"/>
  <c r="L11" i="35"/>
  <c r="H11" i="35"/>
  <c r="Y11" i="35" s="1"/>
  <c r="F11" i="35"/>
  <c r="I11" i="35" s="1"/>
  <c r="M11" i="35" s="1"/>
  <c r="Y10" i="35"/>
  <c r="W10" i="35"/>
  <c r="V10" i="35"/>
  <c r="U10" i="35"/>
  <c r="T10" i="35"/>
  <c r="R10" i="35"/>
  <c r="L10" i="35"/>
  <c r="J10" i="35"/>
  <c r="H10" i="35"/>
  <c r="F10" i="35"/>
  <c r="I10" i="35" s="1"/>
  <c r="M10" i="35" s="1"/>
  <c r="V9" i="35"/>
  <c r="U9" i="35"/>
  <c r="T9" i="35"/>
  <c r="R9" i="35"/>
  <c r="L9" i="35"/>
  <c r="G9" i="35"/>
  <c r="D9" i="35"/>
  <c r="H9" i="35" s="1"/>
  <c r="V8" i="35"/>
  <c r="U8" i="35"/>
  <c r="T8" i="35"/>
  <c r="R8" i="35"/>
  <c r="L8" i="35"/>
  <c r="G8" i="35"/>
  <c r="H8" i="35" s="1"/>
  <c r="D8" i="35"/>
  <c r="F8" i="35" s="1"/>
  <c r="V7" i="35"/>
  <c r="U7" i="35"/>
  <c r="T7" i="35"/>
  <c r="R7" i="35"/>
  <c r="L7" i="35"/>
  <c r="G7" i="35"/>
  <c r="D7" i="35"/>
  <c r="H7" i="35" s="1"/>
  <c r="I21" i="34"/>
  <c r="M56" i="34"/>
  <c r="F56" i="34"/>
  <c r="I56" i="34" s="1"/>
  <c r="J56" i="34" s="1"/>
  <c r="D56" i="34"/>
  <c r="E56" i="34" s="1"/>
  <c r="M55" i="34"/>
  <c r="F55" i="34"/>
  <c r="I55" i="34" s="1"/>
  <c r="J55" i="34" s="1"/>
  <c r="E55" i="34"/>
  <c r="D55" i="34"/>
  <c r="H55" i="34" s="1"/>
  <c r="M54" i="34"/>
  <c r="F54" i="34"/>
  <c r="E54" i="34" s="1"/>
  <c r="D54" i="34"/>
  <c r="H54" i="34" s="1"/>
  <c r="M53" i="34"/>
  <c r="F53" i="34"/>
  <c r="I53" i="34" s="1"/>
  <c r="J53" i="34" s="1"/>
  <c r="D53" i="34"/>
  <c r="H53" i="34" s="1"/>
  <c r="M52" i="34"/>
  <c r="I52" i="34"/>
  <c r="J52" i="34" s="1"/>
  <c r="H52" i="34"/>
  <c r="E52" i="34"/>
  <c r="M51" i="34"/>
  <c r="J51" i="34"/>
  <c r="I51" i="34"/>
  <c r="H51" i="34"/>
  <c r="E51" i="34"/>
  <c r="M50" i="34"/>
  <c r="F50" i="34"/>
  <c r="E50" i="34" s="1"/>
  <c r="D50" i="34"/>
  <c r="H50" i="34" s="1"/>
  <c r="M49" i="34"/>
  <c r="J49" i="34"/>
  <c r="I49" i="34"/>
  <c r="H49" i="34"/>
  <c r="E49" i="34"/>
  <c r="M48" i="34"/>
  <c r="J48" i="34"/>
  <c r="I48" i="34"/>
  <c r="F48" i="34"/>
  <c r="E48" i="34" s="1"/>
  <c r="D48" i="34"/>
  <c r="H48" i="34" s="1"/>
  <c r="M47" i="34"/>
  <c r="F47" i="34"/>
  <c r="I47" i="34" s="1"/>
  <c r="J47" i="34" s="1"/>
  <c r="D47" i="34"/>
  <c r="H47" i="34" s="1"/>
  <c r="M46" i="34"/>
  <c r="G46" i="34"/>
  <c r="I46" i="34" s="1"/>
  <c r="J46" i="34" s="1"/>
  <c r="F46" i="34"/>
  <c r="E46" i="34" s="1"/>
  <c r="M45" i="34"/>
  <c r="J45" i="34"/>
  <c r="I45" i="34"/>
  <c r="H45" i="34"/>
  <c r="E45" i="34"/>
  <c r="M44" i="34"/>
  <c r="G44" i="34"/>
  <c r="I44" i="34" s="1"/>
  <c r="J44" i="34" s="1"/>
  <c r="E44" i="34"/>
  <c r="M43" i="34"/>
  <c r="G43" i="34"/>
  <c r="I43" i="34" s="1"/>
  <c r="J43" i="34" s="1"/>
  <c r="E43" i="34"/>
  <c r="M42" i="34"/>
  <c r="G42" i="34"/>
  <c r="I42" i="34" s="1"/>
  <c r="J42" i="34" s="1"/>
  <c r="E42" i="34"/>
  <c r="M41" i="34"/>
  <c r="G41" i="34"/>
  <c r="I41" i="34" s="1"/>
  <c r="J41" i="34" s="1"/>
  <c r="F41" i="34"/>
  <c r="E41" i="34" s="1"/>
  <c r="M40" i="34"/>
  <c r="G40" i="34"/>
  <c r="I40" i="34" s="1"/>
  <c r="J40" i="34" s="1"/>
  <c r="E40" i="34"/>
  <c r="M39" i="34"/>
  <c r="G39" i="34"/>
  <c r="I39" i="34" s="1"/>
  <c r="J39" i="34" s="1"/>
  <c r="E39" i="34"/>
  <c r="M38" i="34"/>
  <c r="G38" i="34"/>
  <c r="I38" i="34" s="1"/>
  <c r="J38" i="34" s="1"/>
  <c r="F38" i="34"/>
  <c r="E38" i="34" s="1"/>
  <c r="D38" i="34"/>
  <c r="M37" i="34"/>
  <c r="I37" i="34"/>
  <c r="J37" i="34" s="1"/>
  <c r="H37" i="34"/>
  <c r="G37" i="34"/>
  <c r="F37" i="34"/>
  <c r="D37" i="34"/>
  <c r="E37" i="34" s="1"/>
  <c r="M36" i="34"/>
  <c r="G36" i="34"/>
  <c r="I36" i="34" s="1"/>
  <c r="J36" i="34" s="1"/>
  <c r="F36" i="34"/>
  <c r="E36" i="34"/>
  <c r="D36" i="34"/>
  <c r="M35" i="34"/>
  <c r="G35" i="34"/>
  <c r="I35" i="34" s="1"/>
  <c r="J35" i="34" s="1"/>
  <c r="E35" i="34"/>
  <c r="M34" i="34"/>
  <c r="G34" i="34"/>
  <c r="I34" i="34" s="1"/>
  <c r="J34" i="34" s="1"/>
  <c r="E34" i="34"/>
  <c r="M33" i="34"/>
  <c r="G33" i="34"/>
  <c r="I33" i="34" s="1"/>
  <c r="J33" i="34" s="1"/>
  <c r="E33" i="34"/>
  <c r="M32" i="34"/>
  <c r="G32" i="34"/>
  <c r="I32" i="34" s="1"/>
  <c r="J32" i="34" s="1"/>
  <c r="F32" i="34"/>
  <c r="E32" i="34" s="1"/>
  <c r="M31" i="34"/>
  <c r="H31" i="34"/>
  <c r="G31" i="34"/>
  <c r="I31" i="34" s="1"/>
  <c r="J31" i="34" s="1"/>
  <c r="F31" i="34"/>
  <c r="E31" i="34"/>
  <c r="M30" i="34"/>
  <c r="I30" i="34"/>
  <c r="J30" i="34" s="1"/>
  <c r="H30" i="34"/>
  <c r="E30" i="34"/>
  <c r="M29" i="34"/>
  <c r="H29" i="34"/>
  <c r="F29" i="34"/>
  <c r="E29" i="34" s="1"/>
  <c r="D29" i="34"/>
  <c r="M28" i="34"/>
  <c r="I28" i="34"/>
  <c r="J28" i="34" s="1"/>
  <c r="H28" i="34"/>
  <c r="E28" i="34"/>
  <c r="M27" i="34"/>
  <c r="I27" i="34"/>
  <c r="J27" i="34" s="1"/>
  <c r="H27" i="34"/>
  <c r="E27" i="34"/>
  <c r="M26" i="34"/>
  <c r="J26" i="34"/>
  <c r="I26" i="34"/>
  <c r="H26" i="34"/>
  <c r="E26" i="34"/>
  <c r="L22" i="34"/>
  <c r="V17" i="34"/>
  <c r="U17" i="34"/>
  <c r="T17" i="34"/>
  <c r="R17" i="34"/>
  <c r="L17" i="34"/>
  <c r="H17" i="34"/>
  <c r="Y17" i="34" s="1"/>
  <c r="F17" i="34"/>
  <c r="V16" i="34"/>
  <c r="U16" i="34"/>
  <c r="T16" i="34"/>
  <c r="R16" i="34"/>
  <c r="L16" i="34"/>
  <c r="I16" i="34"/>
  <c r="M16" i="34" s="1"/>
  <c r="H16" i="34"/>
  <c r="Y16" i="34" s="1"/>
  <c r="F16" i="34"/>
  <c r="V15" i="34"/>
  <c r="U15" i="34"/>
  <c r="T15" i="34"/>
  <c r="R15" i="34"/>
  <c r="L15" i="34"/>
  <c r="I15" i="34"/>
  <c r="M15" i="34" s="1"/>
  <c r="H15" i="34"/>
  <c r="J15" i="34" s="1"/>
  <c r="F15" i="34"/>
  <c r="W14" i="34"/>
  <c r="V14" i="34"/>
  <c r="U14" i="34"/>
  <c r="T14" i="34"/>
  <c r="R14" i="34"/>
  <c r="L14" i="34"/>
  <c r="J14" i="34"/>
  <c r="I14" i="34"/>
  <c r="M14" i="34" s="1"/>
  <c r="H14" i="34"/>
  <c r="Y14" i="34" s="1"/>
  <c r="F14" i="34"/>
  <c r="Y13" i="34"/>
  <c r="W13" i="34"/>
  <c r="V13" i="34"/>
  <c r="U13" i="34"/>
  <c r="T13" i="34"/>
  <c r="R13" i="34"/>
  <c r="M13" i="34"/>
  <c r="L13" i="34"/>
  <c r="J13" i="34"/>
  <c r="I13" i="34"/>
  <c r="H13" i="34"/>
  <c r="F13" i="34"/>
  <c r="Y12" i="34"/>
  <c r="V12" i="34"/>
  <c r="U12" i="34"/>
  <c r="T12" i="34"/>
  <c r="R12" i="34"/>
  <c r="L12" i="34"/>
  <c r="H12" i="34"/>
  <c r="W12" i="34" s="1"/>
  <c r="F12" i="34"/>
  <c r="Y11" i="34"/>
  <c r="V11" i="34"/>
  <c r="U11" i="34"/>
  <c r="T11" i="34"/>
  <c r="R11" i="34"/>
  <c r="L11" i="34"/>
  <c r="H11" i="34"/>
  <c r="W11" i="34" s="1"/>
  <c r="F11" i="34"/>
  <c r="V10" i="34"/>
  <c r="U10" i="34"/>
  <c r="T10" i="34"/>
  <c r="R10" i="34"/>
  <c r="L10" i="34"/>
  <c r="H10" i="34"/>
  <c r="Y10" i="34" s="1"/>
  <c r="F10" i="34"/>
  <c r="I10" i="34" s="1"/>
  <c r="M10" i="34" s="1"/>
  <c r="V9" i="34"/>
  <c r="U9" i="34"/>
  <c r="T9" i="34"/>
  <c r="R9" i="34"/>
  <c r="L9" i="34"/>
  <c r="G9" i="34"/>
  <c r="D9" i="34"/>
  <c r="H9" i="34" s="1"/>
  <c r="Y8" i="34"/>
  <c r="V8" i="34"/>
  <c r="U8" i="34"/>
  <c r="T8" i="34"/>
  <c r="R8" i="34"/>
  <c r="L8" i="34"/>
  <c r="H8" i="34"/>
  <c r="W8" i="34" s="1"/>
  <c r="G8" i="34"/>
  <c r="F8" i="34"/>
  <c r="D8" i="34"/>
  <c r="V7" i="34"/>
  <c r="U7" i="34"/>
  <c r="T7" i="34"/>
  <c r="R7" i="34"/>
  <c r="L7" i="34"/>
  <c r="G7" i="34"/>
  <c r="G18" i="34" s="1"/>
  <c r="D7" i="34"/>
  <c r="H7" i="34" s="1"/>
  <c r="F56" i="33"/>
  <c r="I56" i="33" s="1"/>
  <c r="M56" i="33"/>
  <c r="H56" i="33"/>
  <c r="E56" i="33"/>
  <c r="D56" i="33"/>
  <c r="L12" i="33"/>
  <c r="F55" i="33"/>
  <c r="I55" i="33" s="1"/>
  <c r="J55" i="33" s="1"/>
  <c r="M55" i="33"/>
  <c r="H55" i="33"/>
  <c r="E55" i="33"/>
  <c r="D55" i="33"/>
  <c r="W12" i="41" l="1"/>
  <c r="J9" i="41"/>
  <c r="Y9" i="41"/>
  <c r="I8" i="41"/>
  <c r="F18" i="41"/>
  <c r="F20" i="41" s="1"/>
  <c r="Z8" i="41" s="1"/>
  <c r="I65" i="41"/>
  <c r="Z14" i="40"/>
  <c r="Z9" i="40"/>
  <c r="Z12" i="40"/>
  <c r="Z15" i="40"/>
  <c r="Z10" i="40"/>
  <c r="Z11" i="40"/>
  <c r="Z17" i="40"/>
  <c r="Z13" i="40"/>
  <c r="I18" i="40"/>
  <c r="M7" i="40"/>
  <c r="I60" i="40"/>
  <c r="G19" i="40"/>
  <c r="Z8" i="40"/>
  <c r="I22" i="40"/>
  <c r="Y8" i="40"/>
  <c r="J8" i="40"/>
  <c r="W8" i="40"/>
  <c r="Z7" i="40"/>
  <c r="Z8" i="39"/>
  <c r="Z14" i="39"/>
  <c r="Z16" i="39"/>
  <c r="Z9" i="39"/>
  <c r="Z15" i="39"/>
  <c r="Z11" i="39"/>
  <c r="Z12" i="39"/>
  <c r="Z10" i="39"/>
  <c r="Z7" i="39"/>
  <c r="Z17" i="39"/>
  <c r="G19" i="39"/>
  <c r="I22" i="39"/>
  <c r="M7" i="39"/>
  <c r="I18" i="39"/>
  <c r="I60" i="39"/>
  <c r="Z11" i="38"/>
  <c r="Z14" i="38"/>
  <c r="Z10" i="38"/>
  <c r="Z15" i="38"/>
  <c r="Z17" i="38"/>
  <c r="G19" i="38"/>
  <c r="I22" i="38"/>
  <c r="Z16" i="38"/>
  <c r="Z12" i="38"/>
  <c r="Z7" i="38"/>
  <c r="Z9" i="38"/>
  <c r="I18" i="38"/>
  <c r="M7" i="38"/>
  <c r="Z8" i="38"/>
  <c r="J13" i="37"/>
  <c r="W13" i="37"/>
  <c r="W14" i="37"/>
  <c r="Y14" i="37"/>
  <c r="J7" i="37"/>
  <c r="Y7" i="37"/>
  <c r="W7" i="37"/>
  <c r="W8" i="37"/>
  <c r="J8" i="37"/>
  <c r="Y8" i="37"/>
  <c r="I9" i="37"/>
  <c r="M9" i="37" s="1"/>
  <c r="Y9" i="37"/>
  <c r="W9" i="37"/>
  <c r="J9" i="37"/>
  <c r="F18" i="37"/>
  <c r="F20" i="37" s="1"/>
  <c r="Z12" i="37" s="1"/>
  <c r="I7" i="37"/>
  <c r="E29" i="37"/>
  <c r="E38" i="37"/>
  <c r="J10" i="37"/>
  <c r="J16" i="37"/>
  <c r="G18" i="37"/>
  <c r="H37" i="37"/>
  <c r="I48" i="37"/>
  <c r="J48" i="37" s="1"/>
  <c r="I50" i="37"/>
  <c r="J50" i="37" s="1"/>
  <c r="I54" i="37"/>
  <c r="J54" i="37" s="1"/>
  <c r="I8" i="37"/>
  <c r="M8" i="37" s="1"/>
  <c r="W10" i="37"/>
  <c r="J11" i="37"/>
  <c r="I12" i="37"/>
  <c r="M12" i="37" s="1"/>
  <c r="W16" i="37"/>
  <c r="J17" i="37"/>
  <c r="H31" i="37"/>
  <c r="H56" i="37"/>
  <c r="W11" i="37"/>
  <c r="J12" i="37"/>
  <c r="W17" i="37"/>
  <c r="Y11" i="36"/>
  <c r="W12" i="36"/>
  <c r="J13" i="36"/>
  <c r="W13" i="36"/>
  <c r="Y12" i="36"/>
  <c r="J14" i="36"/>
  <c r="W14" i="36"/>
  <c r="F18" i="36"/>
  <c r="F20" i="36" s="1"/>
  <c r="Z13" i="36" s="1"/>
  <c r="I8" i="36"/>
  <c r="M8" i="36" s="1"/>
  <c r="I60" i="36"/>
  <c r="J8" i="36"/>
  <c r="W8" i="36"/>
  <c r="Y8" i="36"/>
  <c r="J7" i="36"/>
  <c r="I10" i="36"/>
  <c r="M10" i="36" s="1"/>
  <c r="W7" i="36"/>
  <c r="W9" i="36"/>
  <c r="J10" i="36"/>
  <c r="W15" i="36"/>
  <c r="J16" i="36"/>
  <c r="H55" i="36"/>
  <c r="J15" i="36"/>
  <c r="M7" i="36"/>
  <c r="Y9" i="36"/>
  <c r="W10" i="36"/>
  <c r="J11" i="36"/>
  <c r="I12" i="36"/>
  <c r="M12" i="36" s="1"/>
  <c r="W16" i="36"/>
  <c r="J17" i="36"/>
  <c r="H56" i="36"/>
  <c r="W17" i="36"/>
  <c r="I29" i="36"/>
  <c r="J29" i="36" s="1"/>
  <c r="H32" i="36"/>
  <c r="H33" i="36"/>
  <c r="H34" i="36"/>
  <c r="H35" i="36"/>
  <c r="H38" i="36"/>
  <c r="H39" i="36"/>
  <c r="H40" i="36"/>
  <c r="E47" i="36"/>
  <c r="E53" i="36"/>
  <c r="E50" i="36"/>
  <c r="J26" i="36"/>
  <c r="H36" i="36"/>
  <c r="Y14" i="35"/>
  <c r="W14" i="35"/>
  <c r="Y13" i="35"/>
  <c r="I60" i="35"/>
  <c r="J29" i="35"/>
  <c r="Y7" i="35"/>
  <c r="W7" i="35"/>
  <c r="J7" i="35"/>
  <c r="Y8" i="35"/>
  <c r="W8" i="35"/>
  <c r="J8" i="35"/>
  <c r="W9" i="35"/>
  <c r="Y9" i="35"/>
  <c r="J9" i="35"/>
  <c r="I8" i="35"/>
  <c r="M8" i="35" s="1"/>
  <c r="F7" i="35"/>
  <c r="F9" i="35"/>
  <c r="J11" i="35"/>
  <c r="H31" i="35"/>
  <c r="I55" i="35"/>
  <c r="J55" i="35" s="1"/>
  <c r="H37" i="35"/>
  <c r="J17" i="35"/>
  <c r="W11" i="35"/>
  <c r="J12" i="35"/>
  <c r="W17" i="35"/>
  <c r="H32" i="35"/>
  <c r="H33" i="35"/>
  <c r="H34" i="35"/>
  <c r="H35" i="35"/>
  <c r="H38" i="35"/>
  <c r="H39" i="35"/>
  <c r="H40" i="35"/>
  <c r="W12" i="35"/>
  <c r="J13" i="35"/>
  <c r="J9" i="34"/>
  <c r="Y9" i="34"/>
  <c r="W9" i="34"/>
  <c r="J7" i="34"/>
  <c r="W7" i="34"/>
  <c r="Y7" i="34"/>
  <c r="J10" i="34"/>
  <c r="I11" i="34"/>
  <c r="M11" i="34" s="1"/>
  <c r="W15" i="34"/>
  <c r="J16" i="34"/>
  <c r="I17" i="34"/>
  <c r="M17" i="34" s="1"/>
  <c r="I50" i="34"/>
  <c r="J50" i="34" s="1"/>
  <c r="I54" i="34"/>
  <c r="J54" i="34" s="1"/>
  <c r="F7" i="34"/>
  <c r="I8" i="34"/>
  <c r="M8" i="34" s="1"/>
  <c r="F9" i="34"/>
  <c r="W10" i="34"/>
  <c r="J11" i="34"/>
  <c r="I12" i="34"/>
  <c r="M12" i="34" s="1"/>
  <c r="Y15" i="34"/>
  <c r="W16" i="34"/>
  <c r="J17" i="34"/>
  <c r="H56" i="34"/>
  <c r="J8" i="34"/>
  <c r="J12" i="34"/>
  <c r="W17" i="34"/>
  <c r="I29" i="34"/>
  <c r="J29" i="34" s="1"/>
  <c r="H32" i="34"/>
  <c r="H33" i="34"/>
  <c r="H34" i="34"/>
  <c r="H35" i="34"/>
  <c r="H38" i="34"/>
  <c r="H39" i="34"/>
  <c r="H40" i="34"/>
  <c r="E47" i="34"/>
  <c r="E53" i="34"/>
  <c r="H41" i="34"/>
  <c r="H42" i="34"/>
  <c r="H43" i="34"/>
  <c r="H44" i="34"/>
  <c r="H46" i="34"/>
  <c r="H36" i="34"/>
  <c r="I60" i="33"/>
  <c r="J56" i="33"/>
  <c r="I21" i="33"/>
  <c r="F54" i="33"/>
  <c r="E54" i="33" s="1"/>
  <c r="M54" i="33"/>
  <c r="H54" i="33"/>
  <c r="I54" i="33"/>
  <c r="J54" i="33" s="1"/>
  <c r="D54" i="33"/>
  <c r="M53" i="33"/>
  <c r="F53" i="33"/>
  <c r="E53" i="33" s="1"/>
  <c r="D53" i="33"/>
  <c r="H53" i="33" s="1"/>
  <c r="M52" i="33"/>
  <c r="J52" i="33"/>
  <c r="I52" i="33"/>
  <c r="H52" i="33"/>
  <c r="E52" i="33"/>
  <c r="M51" i="33"/>
  <c r="J51" i="33"/>
  <c r="I51" i="33"/>
  <c r="H51" i="33"/>
  <c r="E51" i="33"/>
  <c r="M50" i="33"/>
  <c r="J50" i="33"/>
  <c r="I50" i="33"/>
  <c r="F50" i="33"/>
  <c r="D50" i="33"/>
  <c r="H50" i="33" s="1"/>
  <c r="M49" i="33"/>
  <c r="J49" i="33"/>
  <c r="I49" i="33"/>
  <c r="H49" i="33"/>
  <c r="E49" i="33"/>
  <c r="M48" i="33"/>
  <c r="J48" i="33"/>
  <c r="I48" i="33"/>
  <c r="F48" i="33"/>
  <c r="D48" i="33"/>
  <c r="H48" i="33" s="1"/>
  <c r="M47" i="33"/>
  <c r="F47" i="33"/>
  <c r="I47" i="33" s="1"/>
  <c r="J47" i="33" s="1"/>
  <c r="D47" i="33"/>
  <c r="E47" i="33" s="1"/>
  <c r="M46" i="33"/>
  <c r="G46" i="33"/>
  <c r="I46" i="33" s="1"/>
  <c r="J46" i="33" s="1"/>
  <c r="F46" i="33"/>
  <c r="E46" i="33" s="1"/>
  <c r="M45" i="33"/>
  <c r="I45" i="33"/>
  <c r="J45" i="33" s="1"/>
  <c r="H45" i="33"/>
  <c r="E45" i="33"/>
  <c r="M44" i="33"/>
  <c r="G44" i="33"/>
  <c r="I44" i="33" s="1"/>
  <c r="J44" i="33" s="1"/>
  <c r="E44" i="33"/>
  <c r="M43" i="33"/>
  <c r="G43" i="33"/>
  <c r="I43" i="33" s="1"/>
  <c r="J43" i="33" s="1"/>
  <c r="E43" i="33"/>
  <c r="M42" i="33"/>
  <c r="G42" i="33"/>
  <c r="I42" i="33" s="1"/>
  <c r="J42" i="33" s="1"/>
  <c r="E42" i="33"/>
  <c r="M41" i="33"/>
  <c r="G41" i="33"/>
  <c r="I41" i="33" s="1"/>
  <c r="J41" i="33" s="1"/>
  <c r="F41" i="33"/>
  <c r="E41" i="33" s="1"/>
  <c r="M40" i="33"/>
  <c r="G40" i="33"/>
  <c r="H40" i="33" s="1"/>
  <c r="E40" i="33"/>
  <c r="M39" i="33"/>
  <c r="G39" i="33"/>
  <c r="H39" i="33" s="1"/>
  <c r="E39" i="33"/>
  <c r="M38" i="33"/>
  <c r="G38" i="33"/>
  <c r="H38" i="33" s="1"/>
  <c r="F38" i="33"/>
  <c r="E38" i="33" s="1"/>
  <c r="D38" i="33"/>
  <c r="M37" i="33"/>
  <c r="I37" i="33"/>
  <c r="J37" i="33" s="1"/>
  <c r="H37" i="33"/>
  <c r="G37" i="33"/>
  <c r="F37" i="33"/>
  <c r="E37" i="33"/>
  <c r="D37" i="33"/>
  <c r="M36" i="33"/>
  <c r="G36" i="33"/>
  <c r="I36" i="33" s="1"/>
  <c r="J36" i="33" s="1"/>
  <c r="F36" i="33"/>
  <c r="E36" i="33"/>
  <c r="D36" i="33"/>
  <c r="M35" i="33"/>
  <c r="I35" i="33"/>
  <c r="J35" i="33" s="1"/>
  <c r="G35" i="33"/>
  <c r="H35" i="33" s="1"/>
  <c r="E35" i="33"/>
  <c r="M34" i="33"/>
  <c r="I34" i="33"/>
  <c r="J34" i="33" s="1"/>
  <c r="G34" i="33"/>
  <c r="H34" i="33" s="1"/>
  <c r="E34" i="33"/>
  <c r="M33" i="33"/>
  <c r="I33" i="33"/>
  <c r="J33" i="33" s="1"/>
  <c r="G33" i="33"/>
  <c r="H33" i="33" s="1"/>
  <c r="E33" i="33"/>
  <c r="M32" i="33"/>
  <c r="I32" i="33"/>
  <c r="J32" i="33" s="1"/>
  <c r="G32" i="33"/>
  <c r="H32" i="33" s="1"/>
  <c r="F32" i="33"/>
  <c r="E32" i="33"/>
  <c r="M31" i="33"/>
  <c r="H31" i="33"/>
  <c r="G31" i="33"/>
  <c r="I31" i="33" s="1"/>
  <c r="J31" i="33" s="1"/>
  <c r="F31" i="33"/>
  <c r="E31" i="33"/>
  <c r="M30" i="33"/>
  <c r="I30" i="33"/>
  <c r="J30" i="33" s="1"/>
  <c r="H30" i="33"/>
  <c r="E30" i="33"/>
  <c r="M29" i="33"/>
  <c r="H29" i="33"/>
  <c r="F29" i="33"/>
  <c r="I29" i="33" s="1"/>
  <c r="J29" i="33" s="1"/>
  <c r="D29" i="33"/>
  <c r="E29" i="33" s="1"/>
  <c r="M28" i="33"/>
  <c r="I28" i="33"/>
  <c r="J28" i="33" s="1"/>
  <c r="H28" i="33"/>
  <c r="E28" i="33"/>
  <c r="M27" i="33"/>
  <c r="J27" i="33"/>
  <c r="I27" i="33"/>
  <c r="H27" i="33"/>
  <c r="E27" i="33"/>
  <c r="M26" i="33"/>
  <c r="I26" i="33"/>
  <c r="H26" i="33"/>
  <c r="E26" i="33"/>
  <c r="L22" i="33"/>
  <c r="Y17" i="33"/>
  <c r="V17" i="33"/>
  <c r="U17" i="33"/>
  <c r="T17" i="33"/>
  <c r="R17" i="33"/>
  <c r="L17" i="33"/>
  <c r="J17" i="33"/>
  <c r="H17" i="33"/>
  <c r="W17" i="33" s="1"/>
  <c r="F17" i="33"/>
  <c r="I17" i="33" s="1"/>
  <c r="M17" i="33" s="1"/>
  <c r="W16" i="33"/>
  <c r="V16" i="33"/>
  <c r="U16" i="33"/>
  <c r="T16" i="33"/>
  <c r="R16" i="33"/>
  <c r="L16" i="33"/>
  <c r="H16" i="33"/>
  <c r="Y16" i="33" s="1"/>
  <c r="F16" i="33"/>
  <c r="V15" i="33"/>
  <c r="U15" i="33"/>
  <c r="T15" i="33"/>
  <c r="R15" i="33"/>
  <c r="M15" i="33"/>
  <c r="L15" i="33"/>
  <c r="I15" i="33"/>
  <c r="H15" i="33"/>
  <c r="Y15" i="33" s="1"/>
  <c r="F15" i="33"/>
  <c r="W14" i="33"/>
  <c r="V14" i="33"/>
  <c r="U14" i="33"/>
  <c r="T14" i="33"/>
  <c r="R14" i="33"/>
  <c r="L14" i="33"/>
  <c r="J14" i="33"/>
  <c r="I14" i="33"/>
  <c r="M14" i="33" s="1"/>
  <c r="H14" i="33"/>
  <c r="Y14" i="33" s="1"/>
  <c r="F14" i="33"/>
  <c r="V10" i="33"/>
  <c r="U10" i="33"/>
  <c r="T10" i="33"/>
  <c r="R10" i="33"/>
  <c r="L10" i="33"/>
  <c r="H10" i="33"/>
  <c r="Y10" i="33" s="1"/>
  <c r="F10" i="33"/>
  <c r="I10" i="33" s="1"/>
  <c r="M10" i="33" s="1"/>
  <c r="V9" i="33"/>
  <c r="U9" i="33"/>
  <c r="T9" i="33"/>
  <c r="R9" i="33"/>
  <c r="L9" i="33"/>
  <c r="G9" i="33"/>
  <c r="H9" i="33" s="1"/>
  <c r="D9" i="33"/>
  <c r="F9" i="33" s="1"/>
  <c r="V8" i="33"/>
  <c r="U8" i="33"/>
  <c r="T8" i="33"/>
  <c r="R8" i="33"/>
  <c r="L8" i="33"/>
  <c r="H8" i="33"/>
  <c r="Y8" i="33" s="1"/>
  <c r="G8" i="33"/>
  <c r="F8" i="33"/>
  <c r="D8" i="33"/>
  <c r="V7" i="33"/>
  <c r="U7" i="33"/>
  <c r="T7" i="33"/>
  <c r="R7" i="33"/>
  <c r="L7" i="33"/>
  <c r="G7" i="33"/>
  <c r="H7" i="33" s="1"/>
  <c r="D7" i="33"/>
  <c r="F7" i="33" s="1"/>
  <c r="V13" i="33"/>
  <c r="U13" i="33"/>
  <c r="T13" i="33"/>
  <c r="R13" i="33"/>
  <c r="L13" i="33"/>
  <c r="H13" i="33"/>
  <c r="Y13" i="33" s="1"/>
  <c r="F13" i="33"/>
  <c r="V12" i="33"/>
  <c r="U12" i="33"/>
  <c r="T12" i="33"/>
  <c r="R12" i="33"/>
  <c r="H12" i="33"/>
  <c r="F12" i="33"/>
  <c r="V11" i="33"/>
  <c r="U11" i="33"/>
  <c r="T11" i="33"/>
  <c r="R11" i="33"/>
  <c r="L11" i="33"/>
  <c r="H11" i="33"/>
  <c r="Y11" i="33" s="1"/>
  <c r="G18" i="33"/>
  <c r="F11" i="33"/>
  <c r="I21" i="32"/>
  <c r="M53" i="32"/>
  <c r="H53" i="32"/>
  <c r="F53" i="32"/>
  <c r="E53" i="32" s="1"/>
  <c r="D53" i="32"/>
  <c r="M52" i="32"/>
  <c r="I52" i="32"/>
  <c r="J52" i="32" s="1"/>
  <c r="H52" i="32"/>
  <c r="E52" i="32"/>
  <c r="M51" i="32"/>
  <c r="J51" i="32"/>
  <c r="I51" i="32"/>
  <c r="H51" i="32"/>
  <c r="E51" i="32"/>
  <c r="M50" i="32"/>
  <c r="F50" i="32"/>
  <c r="I50" i="32" s="1"/>
  <c r="J50" i="32" s="1"/>
  <c r="E50" i="32"/>
  <c r="D50" i="32"/>
  <c r="H50" i="32" s="1"/>
  <c r="M49" i="32"/>
  <c r="J49" i="32"/>
  <c r="I49" i="32"/>
  <c r="H49" i="32"/>
  <c r="E49" i="32"/>
  <c r="M48" i="32"/>
  <c r="F48" i="32"/>
  <c r="I48" i="32" s="1"/>
  <c r="J48" i="32" s="1"/>
  <c r="E48" i="32"/>
  <c r="D48" i="32"/>
  <c r="H48" i="32" s="1"/>
  <c r="M47" i="32"/>
  <c r="H47" i="32"/>
  <c r="F47" i="32"/>
  <c r="E47" i="32" s="1"/>
  <c r="D47" i="32"/>
  <c r="M46" i="32"/>
  <c r="I46" i="32"/>
  <c r="J46" i="32" s="1"/>
  <c r="H46" i="32"/>
  <c r="G46" i="32"/>
  <c r="F46" i="32"/>
  <c r="E46" i="32"/>
  <c r="M45" i="32"/>
  <c r="I45" i="32"/>
  <c r="J45" i="32" s="1"/>
  <c r="H45" i="32"/>
  <c r="E45" i="32"/>
  <c r="M44" i="32"/>
  <c r="I44" i="32"/>
  <c r="J44" i="32" s="1"/>
  <c r="H44" i="32"/>
  <c r="G44" i="32"/>
  <c r="E44" i="32"/>
  <c r="M43" i="32"/>
  <c r="I43" i="32"/>
  <c r="J43" i="32" s="1"/>
  <c r="H43" i="32"/>
  <c r="G43" i="32"/>
  <c r="E43" i="32"/>
  <c r="M42" i="32"/>
  <c r="I42" i="32"/>
  <c r="J42" i="32" s="1"/>
  <c r="H42" i="32"/>
  <c r="G42" i="32"/>
  <c r="E42" i="32"/>
  <c r="M41" i="32"/>
  <c r="I41" i="32"/>
  <c r="J41" i="32" s="1"/>
  <c r="H41" i="32"/>
  <c r="G41" i="32"/>
  <c r="F41" i="32"/>
  <c r="E41" i="32"/>
  <c r="M40" i="32"/>
  <c r="I40" i="32"/>
  <c r="J40" i="32" s="1"/>
  <c r="H40" i="32"/>
  <c r="G40" i="32"/>
  <c r="E40" i="32"/>
  <c r="M39" i="32"/>
  <c r="I39" i="32"/>
  <c r="J39" i="32" s="1"/>
  <c r="H39" i="32"/>
  <c r="G39" i="32"/>
  <c r="E39" i="32"/>
  <c r="M38" i="32"/>
  <c r="I38" i="32"/>
  <c r="J38" i="32" s="1"/>
  <c r="G38" i="32"/>
  <c r="F38" i="32"/>
  <c r="E38" i="32" s="1"/>
  <c r="D38" i="32"/>
  <c r="H38" i="32" s="1"/>
  <c r="M37" i="32"/>
  <c r="G37" i="32"/>
  <c r="I37" i="32" s="1"/>
  <c r="J37" i="32" s="1"/>
  <c r="F37" i="32"/>
  <c r="E37" i="32"/>
  <c r="D37" i="32"/>
  <c r="H37" i="32" s="1"/>
  <c r="M36" i="32"/>
  <c r="G36" i="32"/>
  <c r="H36" i="32" s="1"/>
  <c r="F36" i="32"/>
  <c r="E36" i="32" s="1"/>
  <c r="D36" i="32"/>
  <c r="M35" i="32"/>
  <c r="I35" i="32"/>
  <c r="J35" i="32" s="1"/>
  <c r="H35" i="32"/>
  <c r="G35" i="32"/>
  <c r="E35" i="32"/>
  <c r="M34" i="32"/>
  <c r="I34" i="32"/>
  <c r="J34" i="32" s="1"/>
  <c r="H34" i="32"/>
  <c r="G34" i="32"/>
  <c r="E34" i="32"/>
  <c r="M33" i="32"/>
  <c r="I33" i="32"/>
  <c r="J33" i="32" s="1"/>
  <c r="H33" i="32"/>
  <c r="G33" i="32"/>
  <c r="E33" i="32"/>
  <c r="M32" i="32"/>
  <c r="I32" i="32"/>
  <c r="J32" i="32" s="1"/>
  <c r="H32" i="32"/>
  <c r="G32" i="32"/>
  <c r="F32" i="32"/>
  <c r="E32" i="32" s="1"/>
  <c r="M31" i="32"/>
  <c r="J31" i="32"/>
  <c r="I31" i="32"/>
  <c r="G31" i="32"/>
  <c r="H31" i="32" s="1"/>
  <c r="F31" i="32"/>
  <c r="E31" i="32"/>
  <c r="M30" i="32"/>
  <c r="J30" i="32"/>
  <c r="I30" i="32"/>
  <c r="H30" i="32"/>
  <c r="E30" i="32"/>
  <c r="M29" i="32"/>
  <c r="J29" i="32"/>
  <c r="I29" i="32"/>
  <c r="F29" i="32"/>
  <c r="E29" i="32" s="1"/>
  <c r="D29" i="32"/>
  <c r="H29" i="32" s="1"/>
  <c r="M28" i="32"/>
  <c r="J28" i="32"/>
  <c r="I28" i="32"/>
  <c r="H28" i="32"/>
  <c r="E28" i="32"/>
  <c r="M27" i="32"/>
  <c r="J27" i="32"/>
  <c r="I27" i="32"/>
  <c r="H27" i="32"/>
  <c r="E27" i="32"/>
  <c r="M26" i="32"/>
  <c r="I26" i="32"/>
  <c r="H26" i="32"/>
  <c r="E26" i="32"/>
  <c r="L22" i="32"/>
  <c r="Y17" i="32"/>
  <c r="V17" i="32"/>
  <c r="U17" i="32"/>
  <c r="T17" i="32"/>
  <c r="R17" i="32"/>
  <c r="L17" i="32"/>
  <c r="H17" i="32"/>
  <c r="W17" i="32" s="1"/>
  <c r="F17" i="32"/>
  <c r="V16" i="32"/>
  <c r="U16" i="32"/>
  <c r="T16" i="32"/>
  <c r="R16" i="32"/>
  <c r="L16" i="32"/>
  <c r="H16" i="32"/>
  <c r="Y16" i="32" s="1"/>
  <c r="F16" i="32"/>
  <c r="I16" i="32" s="1"/>
  <c r="M16" i="32" s="1"/>
  <c r="V15" i="32"/>
  <c r="U15" i="32"/>
  <c r="T15" i="32"/>
  <c r="R15" i="32"/>
  <c r="L15" i="32"/>
  <c r="I15" i="32"/>
  <c r="M15" i="32" s="1"/>
  <c r="H15" i="32"/>
  <c r="Y15" i="32" s="1"/>
  <c r="F15" i="32"/>
  <c r="W14" i="32"/>
  <c r="V14" i="32"/>
  <c r="U14" i="32"/>
  <c r="T14" i="32"/>
  <c r="R14" i="32"/>
  <c r="L14" i="32"/>
  <c r="J14" i="32"/>
  <c r="I14" i="32"/>
  <c r="M14" i="32" s="1"/>
  <c r="H14" i="32"/>
  <c r="Y14" i="32" s="1"/>
  <c r="F14" i="32"/>
  <c r="Y13" i="32"/>
  <c r="W13" i="32"/>
  <c r="V13" i="32"/>
  <c r="U13" i="32"/>
  <c r="T13" i="32"/>
  <c r="R13" i="32"/>
  <c r="L13" i="32"/>
  <c r="J13" i="32"/>
  <c r="H13" i="32"/>
  <c r="F13" i="32"/>
  <c r="I13" i="32" s="1"/>
  <c r="M13" i="32" s="1"/>
  <c r="V12" i="32"/>
  <c r="U12" i="32"/>
  <c r="T12" i="32"/>
  <c r="R12" i="32"/>
  <c r="L12" i="32"/>
  <c r="G12" i="32"/>
  <c r="H12" i="32" s="1"/>
  <c r="D12" i="32"/>
  <c r="F12" i="32" s="1"/>
  <c r="V11" i="32"/>
  <c r="U11" i="32"/>
  <c r="T11" i="32"/>
  <c r="R11" i="32"/>
  <c r="L11" i="32"/>
  <c r="H11" i="32"/>
  <c r="Y11" i="32" s="1"/>
  <c r="G11" i="32"/>
  <c r="F11" i="32"/>
  <c r="I11" i="32" s="1"/>
  <c r="M11" i="32" s="1"/>
  <c r="D11" i="32"/>
  <c r="V10" i="32"/>
  <c r="U10" i="32"/>
  <c r="T10" i="32"/>
  <c r="R10" i="32"/>
  <c r="L10" i="32"/>
  <c r="G10" i="32"/>
  <c r="H10" i="32" s="1"/>
  <c r="D10" i="32"/>
  <c r="F10" i="32" s="1"/>
  <c r="V9" i="32"/>
  <c r="U9" i="32"/>
  <c r="T9" i="32"/>
  <c r="R9" i="32"/>
  <c r="L9" i="32"/>
  <c r="H9" i="32"/>
  <c r="Y9" i="32" s="1"/>
  <c r="G9" i="32"/>
  <c r="F9" i="32"/>
  <c r="I9" i="32" s="1"/>
  <c r="M9" i="32" s="1"/>
  <c r="D9" i="32"/>
  <c r="V8" i="32"/>
  <c r="U8" i="32"/>
  <c r="T8" i="32"/>
  <c r="R8" i="32"/>
  <c r="L8" i="32"/>
  <c r="G8" i="32"/>
  <c r="H8" i="32" s="1"/>
  <c r="D8" i="32"/>
  <c r="F8" i="32" s="1"/>
  <c r="V7" i="32"/>
  <c r="U7" i="32"/>
  <c r="T7" i="32"/>
  <c r="R7" i="32"/>
  <c r="L7" i="32"/>
  <c r="H7" i="32"/>
  <c r="Y7" i="32" s="1"/>
  <c r="G7" i="32"/>
  <c r="G18" i="32" s="1"/>
  <c r="F7" i="32"/>
  <c r="I7" i="32" s="1"/>
  <c r="M7" i="32" s="1"/>
  <c r="D7" i="32"/>
  <c r="F53" i="31"/>
  <c r="I53" i="31" s="1"/>
  <c r="J53" i="31" s="1"/>
  <c r="M53" i="31"/>
  <c r="D53" i="31"/>
  <c r="H53" i="31" s="1"/>
  <c r="M52" i="31"/>
  <c r="H52" i="31"/>
  <c r="I52" i="31"/>
  <c r="J52" i="31" s="1"/>
  <c r="E52" i="31"/>
  <c r="G9" i="31"/>
  <c r="D9" i="31"/>
  <c r="H9" i="31" s="1"/>
  <c r="I21" i="31"/>
  <c r="M51" i="31"/>
  <c r="I51" i="31"/>
  <c r="J51" i="31" s="1"/>
  <c r="H51" i="31"/>
  <c r="E51" i="31"/>
  <c r="M50" i="31"/>
  <c r="F50" i="31"/>
  <c r="I50" i="31" s="1"/>
  <c r="J50" i="31" s="1"/>
  <c r="D50" i="31"/>
  <c r="H50" i="31" s="1"/>
  <c r="M49" i="31"/>
  <c r="I49" i="31"/>
  <c r="J49" i="31" s="1"/>
  <c r="H49" i="31"/>
  <c r="E49" i="31"/>
  <c r="M48" i="31"/>
  <c r="F48" i="31"/>
  <c r="I48" i="31" s="1"/>
  <c r="J48" i="31" s="1"/>
  <c r="D48" i="31"/>
  <c r="H48" i="31" s="1"/>
  <c r="M47" i="31"/>
  <c r="F47" i="31"/>
  <c r="I47" i="31" s="1"/>
  <c r="J47" i="31" s="1"/>
  <c r="D47" i="31"/>
  <c r="M46" i="31"/>
  <c r="G46" i="31"/>
  <c r="I46" i="31" s="1"/>
  <c r="J46" i="31" s="1"/>
  <c r="F46" i="31"/>
  <c r="E46" i="31" s="1"/>
  <c r="M45" i="31"/>
  <c r="J45" i="31"/>
  <c r="I45" i="31"/>
  <c r="H45" i="31"/>
  <c r="E45" i="31"/>
  <c r="M44" i="31"/>
  <c r="G44" i="31"/>
  <c r="I44" i="31" s="1"/>
  <c r="J44" i="31" s="1"/>
  <c r="E44" i="31"/>
  <c r="M43" i="31"/>
  <c r="G43" i="31"/>
  <c r="I43" i="31" s="1"/>
  <c r="J43" i="31" s="1"/>
  <c r="E43" i="31"/>
  <c r="M42" i="31"/>
  <c r="G42" i="31"/>
  <c r="I42" i="31" s="1"/>
  <c r="J42" i="31" s="1"/>
  <c r="E42" i="31"/>
  <c r="M41" i="31"/>
  <c r="G41" i="31"/>
  <c r="F41" i="31"/>
  <c r="E41" i="31" s="1"/>
  <c r="M40" i="31"/>
  <c r="G40" i="31"/>
  <c r="H40" i="31" s="1"/>
  <c r="E40" i="31"/>
  <c r="M39" i="31"/>
  <c r="G39" i="31"/>
  <c r="H39" i="31" s="1"/>
  <c r="E39" i="31"/>
  <c r="M38" i="31"/>
  <c r="G38" i="31"/>
  <c r="H38" i="31" s="1"/>
  <c r="F38" i="31"/>
  <c r="E38" i="31" s="1"/>
  <c r="D38" i="31"/>
  <c r="M37" i="31"/>
  <c r="G37" i="31"/>
  <c r="H37" i="31" s="1"/>
  <c r="F37" i="31"/>
  <c r="E37" i="31" s="1"/>
  <c r="D37" i="31"/>
  <c r="M36" i="31"/>
  <c r="G36" i="31"/>
  <c r="F36" i="31"/>
  <c r="E36" i="31"/>
  <c r="D36" i="31"/>
  <c r="M35" i="31"/>
  <c r="I35" i="31"/>
  <c r="J35" i="31" s="1"/>
  <c r="G35" i="31"/>
  <c r="H35" i="31" s="1"/>
  <c r="E35" i="31"/>
  <c r="M34" i="31"/>
  <c r="G34" i="31"/>
  <c r="H34" i="31" s="1"/>
  <c r="E34" i="31"/>
  <c r="M33" i="31"/>
  <c r="G33" i="31"/>
  <c r="H33" i="31" s="1"/>
  <c r="E33" i="31"/>
  <c r="M32" i="31"/>
  <c r="I32" i="31"/>
  <c r="J32" i="31" s="1"/>
  <c r="G32" i="31"/>
  <c r="H32" i="31" s="1"/>
  <c r="F32" i="31"/>
  <c r="E32" i="31"/>
  <c r="M31" i="31"/>
  <c r="G31" i="31"/>
  <c r="H31" i="31" s="1"/>
  <c r="F31" i="31"/>
  <c r="I31" i="31" s="1"/>
  <c r="J31" i="31" s="1"/>
  <c r="M30" i="31"/>
  <c r="I30" i="31"/>
  <c r="J30" i="31" s="1"/>
  <c r="H30" i="31"/>
  <c r="E30" i="31"/>
  <c r="M29" i="31"/>
  <c r="I29" i="31"/>
  <c r="J29" i="31" s="1"/>
  <c r="H29" i="31"/>
  <c r="F29" i="31"/>
  <c r="D29" i="31"/>
  <c r="E29" i="31" s="1"/>
  <c r="M28" i="31"/>
  <c r="I28" i="31"/>
  <c r="J28" i="31" s="1"/>
  <c r="H28" i="31"/>
  <c r="E28" i="31"/>
  <c r="M27" i="31"/>
  <c r="I27" i="31"/>
  <c r="J27" i="31" s="1"/>
  <c r="H27" i="31"/>
  <c r="E27" i="31"/>
  <c r="M26" i="31"/>
  <c r="I26" i="31"/>
  <c r="H26" i="31"/>
  <c r="E26" i="31"/>
  <c r="L22" i="31"/>
  <c r="Y17" i="31"/>
  <c r="W17" i="31"/>
  <c r="V17" i="31"/>
  <c r="U17" i="31"/>
  <c r="T17" i="31"/>
  <c r="R17" i="31"/>
  <c r="L17" i="31"/>
  <c r="J17" i="31"/>
  <c r="H17" i="31"/>
  <c r="F17" i="31"/>
  <c r="I17" i="31" s="1"/>
  <c r="M17" i="31" s="1"/>
  <c r="V16" i="31"/>
  <c r="U16" i="31"/>
  <c r="T16" i="31"/>
  <c r="R16" i="31"/>
  <c r="L16" i="31"/>
  <c r="H16" i="31"/>
  <c r="Y16" i="31" s="1"/>
  <c r="F16" i="31"/>
  <c r="V15" i="31"/>
  <c r="U15" i="31"/>
  <c r="T15" i="31"/>
  <c r="R15" i="31"/>
  <c r="L15" i="31"/>
  <c r="H15" i="31"/>
  <c r="Y15" i="31" s="1"/>
  <c r="F15" i="31"/>
  <c r="I15" i="31" s="1"/>
  <c r="M15" i="31" s="1"/>
  <c r="V13" i="31"/>
  <c r="U13" i="31"/>
  <c r="T13" i="31"/>
  <c r="R13" i="31"/>
  <c r="L13" i="31"/>
  <c r="H13" i="31"/>
  <c r="Y13" i="31" s="1"/>
  <c r="F13" i="31"/>
  <c r="I13" i="31" s="1"/>
  <c r="M13" i="31" s="1"/>
  <c r="V12" i="31"/>
  <c r="U12" i="31"/>
  <c r="T12" i="31"/>
  <c r="R12" i="31"/>
  <c r="L12" i="31"/>
  <c r="G12" i="31"/>
  <c r="H12" i="31" s="1"/>
  <c r="D12" i="31"/>
  <c r="F12" i="31" s="1"/>
  <c r="V11" i="31"/>
  <c r="U11" i="31"/>
  <c r="T11" i="31"/>
  <c r="R11" i="31"/>
  <c r="L11" i="31"/>
  <c r="G11" i="31"/>
  <c r="D11" i="31"/>
  <c r="F11" i="31" s="1"/>
  <c r="V10" i="31"/>
  <c r="U10" i="31"/>
  <c r="T10" i="31"/>
  <c r="R10" i="31"/>
  <c r="L10" i="31"/>
  <c r="H10" i="31"/>
  <c r="Y10" i="31" s="1"/>
  <c r="G10" i="31"/>
  <c r="D10" i="31"/>
  <c r="F10" i="31" s="1"/>
  <c r="V9" i="31"/>
  <c r="U9" i="31"/>
  <c r="T9" i="31"/>
  <c r="R9" i="31"/>
  <c r="L9" i="31"/>
  <c r="F9" i="31"/>
  <c r="V8" i="31"/>
  <c r="U8" i="31"/>
  <c r="T8" i="31"/>
  <c r="R8" i="31"/>
  <c r="L8" i="31"/>
  <c r="G8" i="31"/>
  <c r="H8" i="31" s="1"/>
  <c r="D8" i="31"/>
  <c r="F8" i="31" s="1"/>
  <c r="V14" i="31"/>
  <c r="U14" i="31"/>
  <c r="T14" i="31"/>
  <c r="R14" i="31"/>
  <c r="L14" i="31"/>
  <c r="H14" i="31"/>
  <c r="F14" i="31"/>
  <c r="V7" i="31"/>
  <c r="U7" i="31"/>
  <c r="T7" i="31"/>
  <c r="R7" i="31"/>
  <c r="L7" i="31"/>
  <c r="G7" i="31"/>
  <c r="H7" i="31" s="1"/>
  <c r="D7" i="31"/>
  <c r="F7" i="31" s="1"/>
  <c r="G12" i="30"/>
  <c r="D12" i="30"/>
  <c r="F12" i="30" s="1"/>
  <c r="I12" i="30" s="1"/>
  <c r="M12" i="30" s="1"/>
  <c r="M51" i="30"/>
  <c r="H51" i="30"/>
  <c r="I51" i="30"/>
  <c r="J51" i="30" s="1"/>
  <c r="E51" i="30"/>
  <c r="I21" i="30"/>
  <c r="M50" i="30"/>
  <c r="F50" i="30"/>
  <c r="I50" i="30" s="1"/>
  <c r="J50" i="30" s="1"/>
  <c r="D50" i="30"/>
  <c r="E50" i="30" s="1"/>
  <c r="M49" i="30"/>
  <c r="J49" i="30"/>
  <c r="I49" i="30"/>
  <c r="H49" i="30"/>
  <c r="E49" i="30"/>
  <c r="M48" i="30"/>
  <c r="F48" i="30"/>
  <c r="I48" i="30" s="1"/>
  <c r="J48" i="30" s="1"/>
  <c r="D48" i="30"/>
  <c r="E48" i="30" s="1"/>
  <c r="M47" i="30"/>
  <c r="F47" i="30"/>
  <c r="I47" i="30" s="1"/>
  <c r="J47" i="30" s="1"/>
  <c r="E47" i="30"/>
  <c r="D47" i="30"/>
  <c r="H47" i="30" s="1"/>
  <c r="M46" i="30"/>
  <c r="G46" i="30"/>
  <c r="H46" i="30" s="1"/>
  <c r="F46" i="30"/>
  <c r="E46" i="30" s="1"/>
  <c r="M45" i="30"/>
  <c r="I45" i="30"/>
  <c r="J45" i="30" s="1"/>
  <c r="H45" i="30"/>
  <c r="E45" i="30"/>
  <c r="M44" i="30"/>
  <c r="G44" i="30"/>
  <c r="H44" i="30" s="1"/>
  <c r="E44" i="30"/>
  <c r="M43" i="30"/>
  <c r="G43" i="30"/>
  <c r="H43" i="30" s="1"/>
  <c r="E43" i="30"/>
  <c r="M42" i="30"/>
  <c r="G42" i="30"/>
  <c r="H42" i="30" s="1"/>
  <c r="E42" i="30"/>
  <c r="M41" i="30"/>
  <c r="G41" i="30"/>
  <c r="H41" i="30" s="1"/>
  <c r="F41" i="30"/>
  <c r="E41" i="30" s="1"/>
  <c r="M40" i="30"/>
  <c r="H40" i="30"/>
  <c r="G40" i="30"/>
  <c r="I40" i="30" s="1"/>
  <c r="J40" i="30" s="1"/>
  <c r="E40" i="30"/>
  <c r="M39" i="30"/>
  <c r="H39" i="30"/>
  <c r="G39" i="30"/>
  <c r="I39" i="30" s="1"/>
  <c r="J39" i="30" s="1"/>
  <c r="E39" i="30"/>
  <c r="M38" i="30"/>
  <c r="H38" i="30"/>
  <c r="G38" i="30"/>
  <c r="I38" i="30" s="1"/>
  <c r="J38" i="30" s="1"/>
  <c r="F38" i="30"/>
  <c r="E38" i="30" s="1"/>
  <c r="D38" i="30"/>
  <c r="M37" i="30"/>
  <c r="J37" i="30"/>
  <c r="I37" i="30"/>
  <c r="G37" i="30"/>
  <c r="F37" i="30"/>
  <c r="D37" i="30"/>
  <c r="E37" i="30" s="1"/>
  <c r="M36" i="30"/>
  <c r="G36" i="30"/>
  <c r="H36" i="30" s="1"/>
  <c r="F36" i="30"/>
  <c r="E36" i="30" s="1"/>
  <c r="D36" i="30"/>
  <c r="M35" i="30"/>
  <c r="H35" i="30"/>
  <c r="G35" i="30"/>
  <c r="I35" i="30" s="1"/>
  <c r="J35" i="30" s="1"/>
  <c r="E35" i="30"/>
  <c r="M34" i="30"/>
  <c r="H34" i="30"/>
  <c r="G34" i="30"/>
  <c r="I34" i="30" s="1"/>
  <c r="J34" i="30" s="1"/>
  <c r="E34" i="30"/>
  <c r="M33" i="30"/>
  <c r="H33" i="30"/>
  <c r="G33" i="30"/>
  <c r="I33" i="30" s="1"/>
  <c r="J33" i="30" s="1"/>
  <c r="E33" i="30"/>
  <c r="M32" i="30"/>
  <c r="H32" i="30"/>
  <c r="G32" i="30"/>
  <c r="I32" i="30" s="1"/>
  <c r="J32" i="30" s="1"/>
  <c r="F32" i="30"/>
  <c r="E32" i="30" s="1"/>
  <c r="M31" i="30"/>
  <c r="I31" i="30"/>
  <c r="J31" i="30" s="1"/>
  <c r="H31" i="30"/>
  <c r="G31" i="30"/>
  <c r="F31" i="30"/>
  <c r="E31" i="30" s="1"/>
  <c r="M30" i="30"/>
  <c r="J30" i="30"/>
  <c r="I30" i="30"/>
  <c r="H30" i="30"/>
  <c r="E30" i="30"/>
  <c r="M29" i="30"/>
  <c r="I29" i="30"/>
  <c r="J29" i="30" s="1"/>
  <c r="H29" i="30"/>
  <c r="F29" i="30"/>
  <c r="E29" i="30" s="1"/>
  <c r="D29" i="30"/>
  <c r="M28" i="30"/>
  <c r="J28" i="30"/>
  <c r="I28" i="30"/>
  <c r="H28" i="30"/>
  <c r="E28" i="30"/>
  <c r="M27" i="30"/>
  <c r="I27" i="30"/>
  <c r="J27" i="30" s="1"/>
  <c r="H27" i="30"/>
  <c r="E27" i="30"/>
  <c r="M26" i="30"/>
  <c r="I26" i="30"/>
  <c r="H26" i="30"/>
  <c r="E26" i="30"/>
  <c r="L22" i="30"/>
  <c r="W17" i="30"/>
  <c r="V17" i="30"/>
  <c r="U17" i="30"/>
  <c r="T17" i="30"/>
  <c r="R17" i="30"/>
  <c r="L17" i="30"/>
  <c r="H17" i="30"/>
  <c r="Y17" i="30" s="1"/>
  <c r="F17" i="30"/>
  <c r="I17" i="30" s="1"/>
  <c r="M17" i="30" s="1"/>
  <c r="Y16" i="30"/>
  <c r="V16" i="30"/>
  <c r="U16" i="30"/>
  <c r="T16" i="30"/>
  <c r="R16" i="30"/>
  <c r="M16" i="30"/>
  <c r="L16" i="30"/>
  <c r="I16" i="30"/>
  <c r="H16" i="30"/>
  <c r="W16" i="30" s="1"/>
  <c r="F16" i="30"/>
  <c r="V15" i="30"/>
  <c r="U15" i="30"/>
  <c r="T15" i="30"/>
  <c r="R15" i="30"/>
  <c r="L15" i="30"/>
  <c r="H15" i="30"/>
  <c r="Y15" i="30" s="1"/>
  <c r="F15" i="30"/>
  <c r="I15" i="30" s="1"/>
  <c r="M15" i="30" s="1"/>
  <c r="V14" i="30"/>
  <c r="U14" i="30"/>
  <c r="T14" i="30"/>
  <c r="R14" i="30"/>
  <c r="L14" i="30"/>
  <c r="H14" i="30"/>
  <c r="Y14" i="30" s="1"/>
  <c r="F14" i="30"/>
  <c r="I14" i="30" s="1"/>
  <c r="M14" i="30" s="1"/>
  <c r="V13" i="30"/>
  <c r="U13" i="30"/>
  <c r="T13" i="30"/>
  <c r="R13" i="30"/>
  <c r="L13" i="30"/>
  <c r="G13" i="30"/>
  <c r="H13" i="30" s="1"/>
  <c r="D13" i="30"/>
  <c r="F13" i="30" s="1"/>
  <c r="V12" i="30"/>
  <c r="U12" i="30"/>
  <c r="T12" i="30"/>
  <c r="R12" i="30"/>
  <c r="L12" i="30"/>
  <c r="H12" i="30"/>
  <c r="W12" i="30" s="1"/>
  <c r="V11" i="30"/>
  <c r="U11" i="30"/>
  <c r="T11" i="30"/>
  <c r="R11" i="30"/>
  <c r="L11" i="30"/>
  <c r="G11" i="30"/>
  <c r="H11" i="30" s="1"/>
  <c r="F11" i="30"/>
  <c r="D11" i="30"/>
  <c r="V10" i="30"/>
  <c r="U10" i="30"/>
  <c r="T10" i="30"/>
  <c r="R10" i="30"/>
  <c r="L10" i="30"/>
  <c r="G10" i="30"/>
  <c r="H10" i="30" s="1"/>
  <c r="F10" i="30"/>
  <c r="I10" i="30" s="1"/>
  <c r="M10" i="30" s="1"/>
  <c r="D10" i="30"/>
  <c r="V9" i="30"/>
  <c r="U9" i="30"/>
  <c r="T9" i="30"/>
  <c r="R9" i="30"/>
  <c r="L9" i="30"/>
  <c r="G9" i="30"/>
  <c r="H9" i="30" s="1"/>
  <c r="D9" i="30"/>
  <c r="F9" i="30" s="1"/>
  <c r="V8" i="30"/>
  <c r="U8" i="30"/>
  <c r="T8" i="30"/>
  <c r="R8" i="30"/>
  <c r="L8" i="30"/>
  <c r="G8" i="30"/>
  <c r="H8" i="30" s="1"/>
  <c r="F8" i="30"/>
  <c r="I8" i="30" s="1"/>
  <c r="M8" i="30" s="1"/>
  <c r="D8" i="30"/>
  <c r="V7" i="30"/>
  <c r="U7" i="30"/>
  <c r="T7" i="30"/>
  <c r="R7" i="30"/>
  <c r="L7" i="30"/>
  <c r="G7" i="30"/>
  <c r="H7" i="30" s="1"/>
  <c r="D7" i="30"/>
  <c r="F7" i="30" s="1"/>
  <c r="F50" i="29"/>
  <c r="E50" i="29" s="1"/>
  <c r="M50" i="29"/>
  <c r="H50" i="29"/>
  <c r="I50" i="29"/>
  <c r="J50" i="29" s="1"/>
  <c r="D50" i="29"/>
  <c r="G19" i="41" l="1"/>
  <c r="I22" i="41"/>
  <c r="Z9" i="41"/>
  <c r="Z15" i="41"/>
  <c r="Z10" i="41"/>
  <c r="Z14" i="41"/>
  <c r="Z7" i="41"/>
  <c r="Z16" i="41"/>
  <c r="Z13" i="41"/>
  <c r="Z17" i="41"/>
  <c r="Z12" i="41"/>
  <c r="Z11" i="41"/>
  <c r="M8" i="41"/>
  <c r="I18" i="41"/>
  <c r="Z13" i="37"/>
  <c r="Z15" i="37"/>
  <c r="Z17" i="37"/>
  <c r="Z14" i="37"/>
  <c r="Z7" i="37"/>
  <c r="Z9" i="37"/>
  <c r="Z16" i="37"/>
  <c r="Z11" i="37"/>
  <c r="Z10" i="37"/>
  <c r="I60" i="37"/>
  <c r="I18" i="37"/>
  <c r="M7" i="37"/>
  <c r="G19" i="37"/>
  <c r="I22" i="37"/>
  <c r="Z8" i="37"/>
  <c r="Z10" i="36"/>
  <c r="Z7" i="36"/>
  <c r="Z17" i="36"/>
  <c r="I22" i="36"/>
  <c r="G19" i="36"/>
  <c r="Z15" i="36"/>
  <c r="Z14" i="36"/>
  <c r="Z8" i="36"/>
  <c r="I18" i="36"/>
  <c r="Z12" i="36"/>
  <c r="Z11" i="36"/>
  <c r="Z16" i="36"/>
  <c r="Z9" i="36"/>
  <c r="I9" i="35"/>
  <c r="M9" i="35" s="1"/>
  <c r="I7" i="35"/>
  <c r="F18" i="35"/>
  <c r="F20" i="35" s="1"/>
  <c r="Z7" i="35" s="1"/>
  <c r="I60" i="34"/>
  <c r="F18" i="34"/>
  <c r="F20" i="34" s="1"/>
  <c r="Z7" i="34" s="1"/>
  <c r="I7" i="34"/>
  <c r="I9" i="34"/>
  <c r="M9" i="34" s="1"/>
  <c r="J10" i="33"/>
  <c r="I12" i="33"/>
  <c r="M12" i="33" s="1"/>
  <c r="J7" i="33"/>
  <c r="W7" i="33"/>
  <c r="Y7" i="33"/>
  <c r="J12" i="33"/>
  <c r="W12" i="33"/>
  <c r="Y12" i="33"/>
  <c r="J9" i="33"/>
  <c r="W9" i="33"/>
  <c r="Y9" i="33"/>
  <c r="I7" i="33"/>
  <c r="M7" i="33" s="1"/>
  <c r="I9" i="33"/>
  <c r="M9" i="33" s="1"/>
  <c r="I38" i="33"/>
  <c r="J38" i="33" s="1"/>
  <c r="I39" i="33"/>
  <c r="J39" i="33" s="1"/>
  <c r="I40" i="33"/>
  <c r="J40" i="33" s="1"/>
  <c r="H41" i="33"/>
  <c r="H42" i="33"/>
  <c r="H43" i="33"/>
  <c r="H44" i="33"/>
  <c r="H46" i="33"/>
  <c r="E48" i="33"/>
  <c r="E50" i="33"/>
  <c r="H36" i="33"/>
  <c r="H47" i="33"/>
  <c r="I13" i="33"/>
  <c r="M13" i="33" s="1"/>
  <c r="W10" i="33"/>
  <c r="J26" i="33"/>
  <c r="J11" i="33"/>
  <c r="J13" i="33"/>
  <c r="J8" i="33"/>
  <c r="J15" i="33"/>
  <c r="I16" i="33"/>
  <c r="M16" i="33" s="1"/>
  <c r="F18" i="33"/>
  <c r="F20" i="33" s="1"/>
  <c r="Z11" i="33" s="1"/>
  <c r="I53" i="33"/>
  <c r="J53" i="33" s="1"/>
  <c r="I11" i="33"/>
  <c r="I8" i="33"/>
  <c r="M8" i="33" s="1"/>
  <c r="W11" i="33"/>
  <c r="W13" i="33"/>
  <c r="W8" i="33"/>
  <c r="W15" i="33"/>
  <c r="J16" i="33"/>
  <c r="I12" i="32"/>
  <c r="M12" i="32" s="1"/>
  <c r="I10" i="32"/>
  <c r="M10" i="32" s="1"/>
  <c r="J12" i="32"/>
  <c r="Y12" i="32"/>
  <c r="W12" i="32"/>
  <c r="J8" i="32"/>
  <c r="Y8" i="32"/>
  <c r="W8" i="32"/>
  <c r="I8" i="32"/>
  <c r="F18" i="32"/>
  <c r="F20" i="32" s="1"/>
  <c r="Z10" i="32" s="1"/>
  <c r="J10" i="32"/>
  <c r="Y10" i="32"/>
  <c r="W10" i="32"/>
  <c r="I60" i="32"/>
  <c r="I36" i="32"/>
  <c r="J36" i="32" s="1"/>
  <c r="I47" i="32"/>
  <c r="J47" i="32" s="1"/>
  <c r="I53" i="32"/>
  <c r="J53" i="32" s="1"/>
  <c r="J26" i="32"/>
  <c r="J11" i="32"/>
  <c r="J15" i="32"/>
  <c r="W7" i="32"/>
  <c r="W9" i="32"/>
  <c r="W11" i="32"/>
  <c r="W15" i="32"/>
  <c r="J16" i="32"/>
  <c r="I17" i="32"/>
  <c r="M17" i="32" s="1"/>
  <c r="J7" i="32"/>
  <c r="J9" i="32"/>
  <c r="W16" i="32"/>
  <c r="J17" i="32"/>
  <c r="Y7" i="31"/>
  <c r="J7" i="31"/>
  <c r="Y8" i="31"/>
  <c r="J8" i="31"/>
  <c r="Y12" i="31"/>
  <c r="J12" i="31"/>
  <c r="J13" i="31"/>
  <c r="J10" i="31"/>
  <c r="I41" i="31"/>
  <c r="J41" i="31" s="1"/>
  <c r="H11" i="31"/>
  <c r="Y11" i="31" s="1"/>
  <c r="E31" i="31"/>
  <c r="I34" i="31"/>
  <c r="J34" i="31" s="1"/>
  <c r="E47" i="31"/>
  <c r="W16" i="31"/>
  <c r="I33" i="31"/>
  <c r="J33" i="31" s="1"/>
  <c r="E53" i="31"/>
  <c r="I36" i="31"/>
  <c r="J36" i="31" s="1"/>
  <c r="I37" i="31"/>
  <c r="J37" i="31" s="1"/>
  <c r="G18" i="31"/>
  <c r="Y9" i="31"/>
  <c r="W9" i="31"/>
  <c r="J9" i="31"/>
  <c r="I14" i="31"/>
  <c r="M14" i="31" s="1"/>
  <c r="Y14" i="31"/>
  <c r="W14" i="31"/>
  <c r="J14" i="31"/>
  <c r="I8" i="31"/>
  <c r="M8" i="31" s="1"/>
  <c r="I11" i="31"/>
  <c r="M11" i="31" s="1"/>
  <c r="I7" i="31"/>
  <c r="F18" i="31"/>
  <c r="F20" i="31" s="1"/>
  <c r="Z16" i="31" s="1"/>
  <c r="I12" i="31"/>
  <c r="M12" i="31" s="1"/>
  <c r="I9" i="31"/>
  <c r="M9" i="31" s="1"/>
  <c r="I10" i="31"/>
  <c r="M10" i="31" s="1"/>
  <c r="I38" i="31"/>
  <c r="J38" i="31" s="1"/>
  <c r="I39" i="31"/>
  <c r="J39" i="31" s="1"/>
  <c r="I40" i="31"/>
  <c r="J40" i="31" s="1"/>
  <c r="H41" i="31"/>
  <c r="H42" i="31"/>
  <c r="H43" i="31"/>
  <c r="H44" i="31"/>
  <c r="H46" i="31"/>
  <c r="E48" i="31"/>
  <c r="E50" i="31"/>
  <c r="H36" i="31"/>
  <c r="H47" i="31"/>
  <c r="W7" i="31"/>
  <c r="W8" i="31"/>
  <c r="W10" i="31"/>
  <c r="W12" i="31"/>
  <c r="J26" i="31"/>
  <c r="W13" i="31"/>
  <c r="J15" i="31"/>
  <c r="I16" i="31"/>
  <c r="M16" i="31" s="1"/>
  <c r="W15" i="31"/>
  <c r="J16" i="31"/>
  <c r="Y12" i="30"/>
  <c r="J15" i="30"/>
  <c r="W8" i="30"/>
  <c r="J8" i="30"/>
  <c r="Y8" i="30"/>
  <c r="I7" i="30"/>
  <c r="F18" i="30"/>
  <c r="F20" i="30" s="1"/>
  <c r="Z16" i="30" s="1"/>
  <c r="W10" i="30"/>
  <c r="Y10" i="30"/>
  <c r="J10" i="30"/>
  <c r="I13" i="30"/>
  <c r="M13" i="30" s="1"/>
  <c r="Y7" i="30"/>
  <c r="W7" i="30"/>
  <c r="J7" i="30"/>
  <c r="J13" i="30"/>
  <c r="Y13" i="30"/>
  <c r="W13" i="30"/>
  <c r="Y11" i="30"/>
  <c r="W11" i="30"/>
  <c r="J11" i="30"/>
  <c r="I9" i="30"/>
  <c r="M9" i="30" s="1"/>
  <c r="Y9" i="30"/>
  <c r="W9" i="30"/>
  <c r="J9" i="30"/>
  <c r="I11" i="30"/>
  <c r="M11" i="30" s="1"/>
  <c r="J14" i="30"/>
  <c r="J26" i="30"/>
  <c r="I41" i="30"/>
  <c r="J41" i="30" s="1"/>
  <c r="I42" i="30"/>
  <c r="J42" i="30" s="1"/>
  <c r="I43" i="30"/>
  <c r="J43" i="30" s="1"/>
  <c r="I44" i="30"/>
  <c r="J44" i="30" s="1"/>
  <c r="I46" i="30"/>
  <c r="J46" i="30" s="1"/>
  <c r="W14" i="30"/>
  <c r="I36" i="30"/>
  <c r="J36" i="30" s="1"/>
  <c r="H48" i="30"/>
  <c r="H50" i="30"/>
  <c r="J12" i="30"/>
  <c r="W15" i="30"/>
  <c r="J16" i="30"/>
  <c r="G18" i="30"/>
  <c r="H37" i="30"/>
  <c r="J17" i="30"/>
  <c r="G13" i="29"/>
  <c r="D13" i="29"/>
  <c r="G19" i="35" l="1"/>
  <c r="I22" i="35"/>
  <c r="Z15" i="35"/>
  <c r="Z11" i="35"/>
  <c r="Z12" i="35"/>
  <c r="Z16" i="35"/>
  <c r="Z14" i="35"/>
  <c r="Z8" i="35"/>
  <c r="Z17" i="35"/>
  <c r="Z13" i="35"/>
  <c r="Z10" i="35"/>
  <c r="I18" i="35"/>
  <c r="M7" i="35"/>
  <c r="Z9" i="35"/>
  <c r="I22" i="34"/>
  <c r="G19" i="34"/>
  <c r="Z12" i="34"/>
  <c r="Z13" i="34"/>
  <c r="Z15" i="34"/>
  <c r="Z14" i="34"/>
  <c r="Z10" i="34"/>
  <c r="Z8" i="34"/>
  <c r="Z17" i="34"/>
  <c r="Z16" i="34"/>
  <c r="Z11" i="34"/>
  <c r="Z9" i="34"/>
  <c r="I18" i="34"/>
  <c r="M7" i="34"/>
  <c r="Z7" i="33"/>
  <c r="Z16" i="33"/>
  <c r="Z14" i="33"/>
  <c r="Z9" i="33"/>
  <c r="G19" i="33"/>
  <c r="I22" i="33"/>
  <c r="Z10" i="33"/>
  <c r="Z8" i="33"/>
  <c r="I18" i="33"/>
  <c r="M11" i="33"/>
  <c r="Z17" i="33"/>
  <c r="Z13" i="33"/>
  <c r="Z12" i="33"/>
  <c r="Z15" i="33"/>
  <c r="Z15" i="32"/>
  <c r="Z8" i="32"/>
  <c r="Z9" i="32"/>
  <c r="Z16" i="32"/>
  <c r="Z13" i="32"/>
  <c r="Z7" i="32"/>
  <c r="Z17" i="32"/>
  <c r="Z12" i="32"/>
  <c r="M8" i="32"/>
  <c r="I18" i="32"/>
  <c r="G19" i="32"/>
  <c r="I22" i="32"/>
  <c r="Z14" i="32"/>
  <c r="Z11" i="32"/>
  <c r="W11" i="31"/>
  <c r="J11" i="31"/>
  <c r="Z7" i="31"/>
  <c r="Z11" i="31"/>
  <c r="Z13" i="31"/>
  <c r="Z9" i="31"/>
  <c r="Z8" i="31"/>
  <c r="Z15" i="31"/>
  <c r="Z12" i="31"/>
  <c r="G19" i="31"/>
  <c r="I22" i="31"/>
  <c r="Z14" i="31"/>
  <c r="Z17" i="31"/>
  <c r="Z10" i="31"/>
  <c r="I18" i="31"/>
  <c r="M7" i="31"/>
  <c r="I60" i="31"/>
  <c r="Z8" i="30"/>
  <c r="Z10" i="30"/>
  <c r="Z7" i="30"/>
  <c r="Z14" i="30"/>
  <c r="Z17" i="30"/>
  <c r="Z13" i="30"/>
  <c r="I54" i="30"/>
  <c r="G19" i="30"/>
  <c r="I22" i="30"/>
  <c r="Z11" i="30"/>
  <c r="Z12" i="30"/>
  <c r="Z9" i="30"/>
  <c r="I18" i="30"/>
  <c r="M7" i="30"/>
  <c r="Z15" i="30"/>
  <c r="I21" i="29"/>
  <c r="M49" i="29"/>
  <c r="I49" i="29"/>
  <c r="J49" i="29" s="1"/>
  <c r="H49" i="29"/>
  <c r="E49" i="29"/>
  <c r="M48" i="29"/>
  <c r="F48" i="29"/>
  <c r="I48" i="29" s="1"/>
  <c r="J48" i="29" s="1"/>
  <c r="D48" i="29"/>
  <c r="H48" i="29" s="1"/>
  <c r="M47" i="29"/>
  <c r="F47" i="29"/>
  <c r="I47" i="29" s="1"/>
  <c r="J47" i="29" s="1"/>
  <c r="D47" i="29"/>
  <c r="M46" i="29"/>
  <c r="G46" i="29"/>
  <c r="I46" i="29" s="1"/>
  <c r="J46" i="29" s="1"/>
  <c r="F46" i="29"/>
  <c r="E46" i="29"/>
  <c r="M45" i="29"/>
  <c r="I45" i="29"/>
  <c r="J45" i="29" s="1"/>
  <c r="H45" i="29"/>
  <c r="E45" i="29"/>
  <c r="M44" i="29"/>
  <c r="G44" i="29"/>
  <c r="I44" i="29" s="1"/>
  <c r="J44" i="29" s="1"/>
  <c r="E44" i="29"/>
  <c r="M43" i="29"/>
  <c r="G43" i="29"/>
  <c r="I43" i="29" s="1"/>
  <c r="J43" i="29" s="1"/>
  <c r="E43" i="29"/>
  <c r="M42" i="29"/>
  <c r="G42" i="29"/>
  <c r="I42" i="29" s="1"/>
  <c r="J42" i="29" s="1"/>
  <c r="E42" i="29"/>
  <c r="M41" i="29"/>
  <c r="G41" i="29"/>
  <c r="F41" i="29"/>
  <c r="E41" i="29" s="1"/>
  <c r="M40" i="29"/>
  <c r="G40" i="29"/>
  <c r="H40" i="29" s="1"/>
  <c r="E40" i="29"/>
  <c r="M39" i="29"/>
  <c r="G39" i="29"/>
  <c r="H39" i="29" s="1"/>
  <c r="E39" i="29"/>
  <c r="M38" i="29"/>
  <c r="G38" i="29"/>
  <c r="F38" i="29"/>
  <c r="D38" i="29"/>
  <c r="M37" i="29"/>
  <c r="G37" i="29"/>
  <c r="I37" i="29" s="1"/>
  <c r="J37" i="29" s="1"/>
  <c r="F37" i="29"/>
  <c r="D37" i="29"/>
  <c r="M36" i="29"/>
  <c r="G36" i="29"/>
  <c r="F36" i="29"/>
  <c r="D36" i="29"/>
  <c r="M35" i="29"/>
  <c r="G35" i="29"/>
  <c r="H35" i="29" s="1"/>
  <c r="E35" i="29"/>
  <c r="M34" i="29"/>
  <c r="G34" i="29"/>
  <c r="H34" i="29" s="1"/>
  <c r="E34" i="29"/>
  <c r="M33" i="29"/>
  <c r="G33" i="29"/>
  <c r="H33" i="29" s="1"/>
  <c r="E33" i="29"/>
  <c r="M32" i="29"/>
  <c r="G32" i="29"/>
  <c r="H32" i="29" s="1"/>
  <c r="F32" i="29"/>
  <c r="E32" i="29" s="1"/>
  <c r="M31" i="29"/>
  <c r="G31" i="29"/>
  <c r="F31" i="29"/>
  <c r="E31" i="29" s="1"/>
  <c r="M30" i="29"/>
  <c r="I30" i="29"/>
  <c r="J30" i="29" s="1"/>
  <c r="H30" i="29"/>
  <c r="E30" i="29"/>
  <c r="M29" i="29"/>
  <c r="F29" i="29"/>
  <c r="I29" i="29" s="1"/>
  <c r="J29" i="29" s="1"/>
  <c r="D29" i="29"/>
  <c r="H29" i="29" s="1"/>
  <c r="M28" i="29"/>
  <c r="I28" i="29"/>
  <c r="J28" i="29" s="1"/>
  <c r="H28" i="29"/>
  <c r="E28" i="29"/>
  <c r="M27" i="29"/>
  <c r="I27" i="29"/>
  <c r="J27" i="29" s="1"/>
  <c r="H27" i="29"/>
  <c r="E27" i="29"/>
  <c r="M26" i="29"/>
  <c r="I26" i="29"/>
  <c r="H26" i="29"/>
  <c r="E26" i="29"/>
  <c r="L22" i="29"/>
  <c r="V17" i="29"/>
  <c r="U17" i="29"/>
  <c r="T17" i="29"/>
  <c r="R17" i="29"/>
  <c r="L17" i="29"/>
  <c r="H17" i="29"/>
  <c r="Y17" i="29" s="1"/>
  <c r="F17" i="29"/>
  <c r="I17" i="29" s="1"/>
  <c r="M17" i="29" s="1"/>
  <c r="V16" i="29"/>
  <c r="U16" i="29"/>
  <c r="T16" i="29"/>
  <c r="R16" i="29"/>
  <c r="L16" i="29"/>
  <c r="H16" i="29"/>
  <c r="W16" i="29" s="1"/>
  <c r="F16" i="29"/>
  <c r="I16" i="29" s="1"/>
  <c r="M16" i="29" s="1"/>
  <c r="V14" i="29"/>
  <c r="U14" i="29"/>
  <c r="T14" i="29"/>
  <c r="R14" i="29"/>
  <c r="L14" i="29"/>
  <c r="H14" i="29"/>
  <c r="J14" i="29" s="1"/>
  <c r="F14" i="29"/>
  <c r="V13" i="29"/>
  <c r="U13" i="29"/>
  <c r="T13" i="29"/>
  <c r="R13" i="29"/>
  <c r="L13" i="29"/>
  <c r="H13" i="29"/>
  <c r="W13" i="29" s="1"/>
  <c r="F13" i="29"/>
  <c r="V12" i="29"/>
  <c r="U12" i="29"/>
  <c r="T12" i="29"/>
  <c r="R12" i="29"/>
  <c r="L12" i="29"/>
  <c r="H12" i="29"/>
  <c r="Y12" i="29" s="1"/>
  <c r="F12" i="29"/>
  <c r="I12" i="29" s="1"/>
  <c r="M12" i="29" s="1"/>
  <c r="V11" i="29"/>
  <c r="U11" i="29"/>
  <c r="T11" i="29"/>
  <c r="R11" i="29"/>
  <c r="L11" i="29"/>
  <c r="G11" i="29"/>
  <c r="D11" i="29"/>
  <c r="F11" i="29" s="1"/>
  <c r="V10" i="29"/>
  <c r="U10" i="29"/>
  <c r="T10" i="29"/>
  <c r="R10" i="29"/>
  <c r="L10" i="29"/>
  <c r="G10" i="29"/>
  <c r="D10" i="29"/>
  <c r="F10" i="29" s="1"/>
  <c r="V9" i="29"/>
  <c r="U9" i="29"/>
  <c r="T9" i="29"/>
  <c r="R9" i="29"/>
  <c r="L9" i="29"/>
  <c r="G9" i="29"/>
  <c r="D9" i="29"/>
  <c r="F9" i="29" s="1"/>
  <c r="V15" i="29"/>
  <c r="U15" i="29"/>
  <c r="T15" i="29"/>
  <c r="R15" i="29"/>
  <c r="L15" i="29"/>
  <c r="F15" i="29"/>
  <c r="V8" i="29"/>
  <c r="U8" i="29"/>
  <c r="T8" i="29"/>
  <c r="R8" i="29"/>
  <c r="L8" i="29"/>
  <c r="G8" i="29"/>
  <c r="D8" i="29"/>
  <c r="F8" i="29" s="1"/>
  <c r="V7" i="29"/>
  <c r="U7" i="29"/>
  <c r="T7" i="29"/>
  <c r="R7" i="29"/>
  <c r="L7" i="29"/>
  <c r="G7" i="29"/>
  <c r="D7" i="29"/>
  <c r="F7" i="29" s="1"/>
  <c r="I21" i="28"/>
  <c r="M49" i="28"/>
  <c r="J49" i="28"/>
  <c r="I49" i="28"/>
  <c r="H49" i="28"/>
  <c r="E49" i="28"/>
  <c r="M48" i="28"/>
  <c r="J48" i="28"/>
  <c r="I48" i="28"/>
  <c r="F48" i="28"/>
  <c r="D48" i="28"/>
  <c r="H48" i="28" s="1"/>
  <c r="M47" i="28"/>
  <c r="F47" i="28"/>
  <c r="E47" i="28" s="1"/>
  <c r="D47" i="28"/>
  <c r="H47" i="28" s="1"/>
  <c r="M46" i="28"/>
  <c r="I46" i="28"/>
  <c r="J46" i="28" s="1"/>
  <c r="H46" i="28"/>
  <c r="G46" i="28"/>
  <c r="F46" i="28"/>
  <c r="E46" i="28"/>
  <c r="M45" i="28"/>
  <c r="I45" i="28"/>
  <c r="J45" i="28" s="1"/>
  <c r="H45" i="28"/>
  <c r="E45" i="28"/>
  <c r="M44" i="28"/>
  <c r="I44" i="28"/>
  <c r="J44" i="28" s="1"/>
  <c r="H44" i="28"/>
  <c r="G44" i="28"/>
  <c r="E44" i="28"/>
  <c r="M43" i="28"/>
  <c r="I43" i="28"/>
  <c r="J43" i="28" s="1"/>
  <c r="H43" i="28"/>
  <c r="G43" i="28"/>
  <c r="E43" i="28"/>
  <c r="M42" i="28"/>
  <c r="I42" i="28"/>
  <c r="J42" i="28" s="1"/>
  <c r="H42" i="28"/>
  <c r="G42" i="28"/>
  <c r="E42" i="28"/>
  <c r="M41" i="28"/>
  <c r="I41" i="28"/>
  <c r="J41" i="28" s="1"/>
  <c r="H41" i="28"/>
  <c r="G41" i="28"/>
  <c r="F41" i="28"/>
  <c r="E41" i="28"/>
  <c r="M40" i="28"/>
  <c r="I40" i="28"/>
  <c r="J40" i="28" s="1"/>
  <c r="G40" i="28"/>
  <c r="H40" i="28" s="1"/>
  <c r="E40" i="28"/>
  <c r="M39" i="28"/>
  <c r="I39" i="28"/>
  <c r="J39" i="28" s="1"/>
  <c r="G39" i="28"/>
  <c r="H39" i="28" s="1"/>
  <c r="E39" i="28"/>
  <c r="M38" i="28"/>
  <c r="I38" i="28"/>
  <c r="J38" i="28" s="1"/>
  <c r="G38" i="28"/>
  <c r="H38" i="28" s="1"/>
  <c r="F38" i="28"/>
  <c r="E38" i="28" s="1"/>
  <c r="D38" i="28"/>
  <c r="M37" i="28"/>
  <c r="H37" i="28"/>
  <c r="G37" i="28"/>
  <c r="F37" i="28"/>
  <c r="I37" i="28" s="1"/>
  <c r="J37" i="28" s="1"/>
  <c r="E37" i="28"/>
  <c r="D37" i="28"/>
  <c r="M36" i="28"/>
  <c r="G36" i="28"/>
  <c r="I36" i="28" s="1"/>
  <c r="J36" i="28" s="1"/>
  <c r="F36" i="28"/>
  <c r="D36" i="28"/>
  <c r="E36" i="28" s="1"/>
  <c r="M35" i="28"/>
  <c r="I35" i="28"/>
  <c r="J35" i="28" s="1"/>
  <c r="G35" i="28"/>
  <c r="H35" i="28" s="1"/>
  <c r="E35" i="28"/>
  <c r="M34" i="28"/>
  <c r="I34" i="28"/>
  <c r="J34" i="28" s="1"/>
  <c r="G34" i="28"/>
  <c r="H34" i="28" s="1"/>
  <c r="E34" i="28"/>
  <c r="M33" i="28"/>
  <c r="I33" i="28"/>
  <c r="J33" i="28" s="1"/>
  <c r="G33" i="28"/>
  <c r="H33" i="28" s="1"/>
  <c r="E33" i="28"/>
  <c r="M32" i="28"/>
  <c r="I32" i="28"/>
  <c r="J32" i="28" s="1"/>
  <c r="G32" i="28"/>
  <c r="H32" i="28" s="1"/>
  <c r="F32" i="28"/>
  <c r="E32" i="28" s="1"/>
  <c r="M31" i="28"/>
  <c r="G31" i="28"/>
  <c r="I31" i="28" s="1"/>
  <c r="J31" i="28" s="1"/>
  <c r="F31" i="28"/>
  <c r="E31" i="28"/>
  <c r="M30" i="28"/>
  <c r="I30" i="28"/>
  <c r="J30" i="28" s="1"/>
  <c r="H30" i="28"/>
  <c r="E30" i="28"/>
  <c r="M29" i="28"/>
  <c r="F29" i="28"/>
  <c r="I29" i="28" s="1"/>
  <c r="J29" i="28" s="1"/>
  <c r="D29" i="28"/>
  <c r="H29" i="28" s="1"/>
  <c r="M28" i="28"/>
  <c r="I28" i="28"/>
  <c r="J28" i="28" s="1"/>
  <c r="H28" i="28"/>
  <c r="E28" i="28"/>
  <c r="M27" i="28"/>
  <c r="J27" i="28"/>
  <c r="I27" i="28"/>
  <c r="H27" i="28"/>
  <c r="E27" i="28"/>
  <c r="M26" i="28"/>
  <c r="I26" i="28"/>
  <c r="H26" i="28"/>
  <c r="E26" i="28"/>
  <c r="L22" i="28"/>
  <c r="G18" i="28"/>
  <c r="Y17" i="28"/>
  <c r="V17" i="28"/>
  <c r="U17" i="28"/>
  <c r="T17" i="28"/>
  <c r="R17" i="28"/>
  <c r="L17" i="28"/>
  <c r="H17" i="28"/>
  <c r="W17" i="28" s="1"/>
  <c r="F17" i="28"/>
  <c r="I17" i="28" s="1"/>
  <c r="M17" i="28" s="1"/>
  <c r="V16" i="28"/>
  <c r="U16" i="28"/>
  <c r="T16" i="28"/>
  <c r="R16" i="28"/>
  <c r="L16" i="28"/>
  <c r="H16" i="28"/>
  <c r="Y16" i="28" s="1"/>
  <c r="F16" i="28"/>
  <c r="V15" i="28"/>
  <c r="U15" i="28"/>
  <c r="T15" i="28"/>
  <c r="R15" i="28"/>
  <c r="L15" i="28"/>
  <c r="I15" i="28"/>
  <c r="M15" i="28" s="1"/>
  <c r="H15" i="28"/>
  <c r="Y15" i="28" s="1"/>
  <c r="F15" i="28"/>
  <c r="Y14" i="28"/>
  <c r="W14" i="28"/>
  <c r="V14" i="28"/>
  <c r="U14" i="28"/>
  <c r="T14" i="28"/>
  <c r="R14" i="28"/>
  <c r="L14" i="28"/>
  <c r="J14" i="28"/>
  <c r="H14" i="28"/>
  <c r="F14" i="28"/>
  <c r="I14" i="28" s="1"/>
  <c r="M14" i="28" s="1"/>
  <c r="Y13" i="28"/>
  <c r="W13" i="28"/>
  <c r="V13" i="28"/>
  <c r="U13" i="28"/>
  <c r="T13" i="28"/>
  <c r="R13" i="28"/>
  <c r="L13" i="28"/>
  <c r="J13" i="28"/>
  <c r="H13" i="28"/>
  <c r="F13" i="28"/>
  <c r="I13" i="28" s="1"/>
  <c r="M13" i="28" s="1"/>
  <c r="V12" i="28"/>
  <c r="U12" i="28"/>
  <c r="T12" i="28"/>
  <c r="R12" i="28"/>
  <c r="L12" i="28"/>
  <c r="G12" i="28"/>
  <c r="D12" i="28"/>
  <c r="F12" i="28" s="1"/>
  <c r="V11" i="28"/>
  <c r="U11" i="28"/>
  <c r="T11" i="28"/>
  <c r="R11" i="28"/>
  <c r="L11" i="28"/>
  <c r="H11" i="28"/>
  <c r="W11" i="28" s="1"/>
  <c r="G11" i="28"/>
  <c r="D11" i="28"/>
  <c r="F11" i="28" s="1"/>
  <c r="V10" i="28"/>
  <c r="U10" i="28"/>
  <c r="T10" i="28"/>
  <c r="R10" i="28"/>
  <c r="L10" i="28"/>
  <c r="G10" i="28"/>
  <c r="D10" i="28"/>
  <c r="H10" i="28" s="1"/>
  <c r="V9" i="28"/>
  <c r="U9" i="28"/>
  <c r="T9" i="28"/>
  <c r="R9" i="28"/>
  <c r="L9" i="28"/>
  <c r="H9" i="28"/>
  <c r="W9" i="28" s="1"/>
  <c r="G9" i="28"/>
  <c r="D9" i="28"/>
  <c r="F9" i="28" s="1"/>
  <c r="V8" i="28"/>
  <c r="U8" i="28"/>
  <c r="T8" i="28"/>
  <c r="R8" i="28"/>
  <c r="L8" i="28"/>
  <c r="G8" i="28"/>
  <c r="D8" i="28"/>
  <c r="H8" i="28" s="1"/>
  <c r="V7" i="28"/>
  <c r="U7" i="28"/>
  <c r="T7" i="28"/>
  <c r="R7" i="28"/>
  <c r="L7" i="28"/>
  <c r="H7" i="28"/>
  <c r="W7" i="28" s="1"/>
  <c r="G7" i="28"/>
  <c r="D7" i="28"/>
  <c r="F7" i="28" s="1"/>
  <c r="M49" i="27"/>
  <c r="H49" i="27"/>
  <c r="I49" i="27"/>
  <c r="J49" i="27" s="1"/>
  <c r="E49" i="27"/>
  <c r="F48" i="27"/>
  <c r="I48" i="27" s="1"/>
  <c r="J48" i="27" s="1"/>
  <c r="M48" i="27"/>
  <c r="H48" i="27"/>
  <c r="E48" i="27"/>
  <c r="D48" i="27"/>
  <c r="G11" i="27"/>
  <c r="D11" i="27"/>
  <c r="I21" i="27"/>
  <c r="M47" i="27"/>
  <c r="I47" i="27"/>
  <c r="J47" i="27" s="1"/>
  <c r="F47" i="27"/>
  <c r="E47" i="27"/>
  <c r="D47" i="27"/>
  <c r="H47" i="27" s="1"/>
  <c r="M46" i="27"/>
  <c r="I46" i="27"/>
  <c r="J46" i="27" s="1"/>
  <c r="G46" i="27"/>
  <c r="H46" i="27" s="1"/>
  <c r="F46" i="27"/>
  <c r="E46" i="27"/>
  <c r="M45" i="27"/>
  <c r="J45" i="27"/>
  <c r="I45" i="27"/>
  <c r="H45" i="27"/>
  <c r="E45" i="27"/>
  <c r="M44" i="27"/>
  <c r="J44" i="27"/>
  <c r="I44" i="27"/>
  <c r="H44" i="27"/>
  <c r="G44" i="27"/>
  <c r="E44" i="27"/>
  <c r="M43" i="27"/>
  <c r="J43" i="27"/>
  <c r="I43" i="27"/>
  <c r="H43" i="27"/>
  <c r="G43" i="27"/>
  <c r="E43" i="27"/>
  <c r="M42" i="27"/>
  <c r="J42" i="27"/>
  <c r="I42" i="27"/>
  <c r="H42" i="27"/>
  <c r="G42" i="27"/>
  <c r="E42" i="27"/>
  <c r="M41" i="27"/>
  <c r="J41" i="27"/>
  <c r="I41" i="27"/>
  <c r="H41" i="27"/>
  <c r="G41" i="27"/>
  <c r="F41" i="27"/>
  <c r="E41" i="27"/>
  <c r="M40" i="27"/>
  <c r="J40" i="27"/>
  <c r="I40" i="27"/>
  <c r="H40" i="27"/>
  <c r="G40" i="27"/>
  <c r="E40" i="27"/>
  <c r="M39" i="27"/>
  <c r="J39" i="27"/>
  <c r="I39" i="27"/>
  <c r="H39" i="27"/>
  <c r="G39" i="27"/>
  <c r="E39" i="27"/>
  <c r="M38" i="27"/>
  <c r="G38" i="27"/>
  <c r="F38" i="27"/>
  <c r="I38" i="27" s="1"/>
  <c r="J38" i="27" s="1"/>
  <c r="E38" i="27"/>
  <c r="D38" i="27"/>
  <c r="H38" i="27" s="1"/>
  <c r="M37" i="27"/>
  <c r="G37" i="27"/>
  <c r="I37" i="27" s="1"/>
  <c r="J37" i="27" s="1"/>
  <c r="F37" i="27"/>
  <c r="E37" i="27"/>
  <c r="D37" i="27"/>
  <c r="M36" i="27"/>
  <c r="I36" i="27"/>
  <c r="J36" i="27" s="1"/>
  <c r="G36" i="27"/>
  <c r="H36" i="27" s="1"/>
  <c r="F36" i="27"/>
  <c r="D36" i="27"/>
  <c r="E36" i="27" s="1"/>
  <c r="M35" i="27"/>
  <c r="G35" i="27"/>
  <c r="H35" i="27" s="1"/>
  <c r="E35" i="27"/>
  <c r="M34" i="27"/>
  <c r="G34" i="27"/>
  <c r="H34" i="27" s="1"/>
  <c r="E34" i="27"/>
  <c r="M33" i="27"/>
  <c r="G33" i="27"/>
  <c r="H33" i="27" s="1"/>
  <c r="E33" i="27"/>
  <c r="M32" i="27"/>
  <c r="G32" i="27"/>
  <c r="H32" i="27" s="1"/>
  <c r="F32" i="27"/>
  <c r="E32" i="27"/>
  <c r="M31" i="27"/>
  <c r="G31" i="27"/>
  <c r="I31" i="27" s="1"/>
  <c r="J31" i="27" s="1"/>
  <c r="F31" i="27"/>
  <c r="E31" i="27" s="1"/>
  <c r="M30" i="27"/>
  <c r="I30" i="27"/>
  <c r="J30" i="27" s="1"/>
  <c r="H30" i="27"/>
  <c r="E30" i="27"/>
  <c r="M29" i="27"/>
  <c r="H29" i="27"/>
  <c r="F29" i="27"/>
  <c r="I29" i="27" s="1"/>
  <c r="J29" i="27" s="1"/>
  <c r="E29" i="27"/>
  <c r="D29" i="27"/>
  <c r="M28" i="27"/>
  <c r="I28" i="27"/>
  <c r="J28" i="27" s="1"/>
  <c r="H28" i="27"/>
  <c r="E28" i="27"/>
  <c r="M27" i="27"/>
  <c r="J27" i="27"/>
  <c r="I27" i="27"/>
  <c r="H27" i="27"/>
  <c r="E27" i="27"/>
  <c r="M26" i="27"/>
  <c r="J26" i="27"/>
  <c r="I26" i="27"/>
  <c r="H26" i="27"/>
  <c r="E26" i="27"/>
  <c r="L22" i="27"/>
  <c r="V17" i="27"/>
  <c r="U17" i="27"/>
  <c r="T17" i="27"/>
  <c r="R17" i="27"/>
  <c r="L17" i="27"/>
  <c r="H17" i="27"/>
  <c r="W17" i="27" s="1"/>
  <c r="F17" i="27"/>
  <c r="I17" i="27" s="1"/>
  <c r="M17" i="27" s="1"/>
  <c r="V16" i="27"/>
  <c r="U16" i="27"/>
  <c r="T16" i="27"/>
  <c r="R16" i="27"/>
  <c r="L16" i="27"/>
  <c r="I16" i="27"/>
  <c r="M16" i="27" s="1"/>
  <c r="H16" i="27"/>
  <c r="Y16" i="27" s="1"/>
  <c r="F16" i="27"/>
  <c r="V15" i="27"/>
  <c r="U15" i="27"/>
  <c r="T15" i="27"/>
  <c r="R15" i="27"/>
  <c r="L15" i="27"/>
  <c r="J15" i="27"/>
  <c r="I15" i="27"/>
  <c r="M15" i="27" s="1"/>
  <c r="H15" i="27"/>
  <c r="Y15" i="27" s="1"/>
  <c r="F15" i="27"/>
  <c r="V12" i="27"/>
  <c r="U12" i="27"/>
  <c r="T12" i="27"/>
  <c r="R12" i="27"/>
  <c r="L12" i="27"/>
  <c r="G12" i="27"/>
  <c r="H12" i="27" s="1"/>
  <c r="D12" i="27"/>
  <c r="F12" i="27" s="1"/>
  <c r="V11" i="27"/>
  <c r="U11" i="27"/>
  <c r="T11" i="27"/>
  <c r="R11" i="27"/>
  <c r="L11" i="27"/>
  <c r="H11" i="27"/>
  <c r="W11" i="27" s="1"/>
  <c r="F11" i="27"/>
  <c r="V10" i="27"/>
  <c r="U10" i="27"/>
  <c r="T10" i="27"/>
  <c r="R10" i="27"/>
  <c r="L10" i="27"/>
  <c r="G10" i="27"/>
  <c r="H10" i="27" s="1"/>
  <c r="D10" i="27"/>
  <c r="F10" i="27" s="1"/>
  <c r="V13" i="27"/>
  <c r="U13" i="27"/>
  <c r="T13" i="27"/>
  <c r="R13" i="27"/>
  <c r="L13" i="27"/>
  <c r="H13" i="27"/>
  <c r="W13" i="27" s="1"/>
  <c r="F13" i="27"/>
  <c r="I13" i="27" s="1"/>
  <c r="M13" i="27" s="1"/>
  <c r="V9" i="27"/>
  <c r="U9" i="27"/>
  <c r="T9" i="27"/>
  <c r="R9" i="27"/>
  <c r="L9" i="27"/>
  <c r="H9" i="27"/>
  <c r="W9" i="27" s="1"/>
  <c r="G9" i="27"/>
  <c r="D9" i="27"/>
  <c r="F9" i="27" s="1"/>
  <c r="V8" i="27"/>
  <c r="U8" i="27"/>
  <c r="T8" i="27"/>
  <c r="R8" i="27"/>
  <c r="L8" i="27"/>
  <c r="G8" i="27"/>
  <c r="H8" i="27" s="1"/>
  <c r="D8" i="27"/>
  <c r="F8" i="27" s="1"/>
  <c r="V14" i="27"/>
  <c r="U14" i="27"/>
  <c r="T14" i="27"/>
  <c r="R14" i="27"/>
  <c r="L14" i="27"/>
  <c r="H14" i="27"/>
  <c r="W14" i="27" s="1"/>
  <c r="F14" i="27"/>
  <c r="V7" i="27"/>
  <c r="U7" i="27"/>
  <c r="T7" i="27"/>
  <c r="R7" i="27"/>
  <c r="L7" i="27"/>
  <c r="G7" i="27"/>
  <c r="H7" i="27" s="1"/>
  <c r="D7" i="27"/>
  <c r="F7" i="27" s="1"/>
  <c r="G14" i="26"/>
  <c r="D14" i="26"/>
  <c r="I21" i="26"/>
  <c r="M47" i="26"/>
  <c r="J47" i="26"/>
  <c r="I47" i="26"/>
  <c r="F47" i="26"/>
  <c r="E47" i="26"/>
  <c r="D47" i="26"/>
  <c r="H47" i="26" s="1"/>
  <c r="M46" i="26"/>
  <c r="G46" i="26"/>
  <c r="I46" i="26" s="1"/>
  <c r="J46" i="26" s="1"/>
  <c r="F46" i="26"/>
  <c r="E46" i="26" s="1"/>
  <c r="M45" i="26"/>
  <c r="I45" i="26"/>
  <c r="J45" i="26" s="1"/>
  <c r="H45" i="26"/>
  <c r="E45" i="26"/>
  <c r="M44" i="26"/>
  <c r="G44" i="26"/>
  <c r="I44" i="26" s="1"/>
  <c r="J44" i="26" s="1"/>
  <c r="E44" i="26"/>
  <c r="M43" i="26"/>
  <c r="G43" i="26"/>
  <c r="I43" i="26" s="1"/>
  <c r="J43" i="26" s="1"/>
  <c r="E43" i="26"/>
  <c r="M42" i="26"/>
  <c r="G42" i="26"/>
  <c r="I42" i="26" s="1"/>
  <c r="J42" i="26" s="1"/>
  <c r="E42" i="26"/>
  <c r="M41" i="26"/>
  <c r="G41" i="26"/>
  <c r="I41" i="26" s="1"/>
  <c r="J41" i="26" s="1"/>
  <c r="F41" i="26"/>
  <c r="E41" i="26"/>
  <c r="M40" i="26"/>
  <c r="I40" i="26"/>
  <c r="J40" i="26" s="1"/>
  <c r="H40" i="26"/>
  <c r="G40" i="26"/>
  <c r="E40" i="26"/>
  <c r="M39" i="26"/>
  <c r="I39" i="26"/>
  <c r="J39" i="26" s="1"/>
  <c r="H39" i="26"/>
  <c r="G39" i="26"/>
  <c r="E39" i="26"/>
  <c r="M38" i="26"/>
  <c r="H38" i="26"/>
  <c r="G38" i="26"/>
  <c r="F38" i="26"/>
  <c r="I38" i="26" s="1"/>
  <c r="J38" i="26" s="1"/>
  <c r="E38" i="26"/>
  <c r="D38" i="26"/>
  <c r="M37" i="26"/>
  <c r="G37" i="26"/>
  <c r="I37" i="26" s="1"/>
  <c r="J37" i="26" s="1"/>
  <c r="F37" i="26"/>
  <c r="D37" i="26"/>
  <c r="E37" i="26" s="1"/>
  <c r="M36" i="26"/>
  <c r="I36" i="26"/>
  <c r="J36" i="26" s="1"/>
  <c r="G36" i="26"/>
  <c r="H36" i="26" s="1"/>
  <c r="F36" i="26"/>
  <c r="E36" i="26"/>
  <c r="D36" i="26"/>
  <c r="M35" i="26"/>
  <c r="G35" i="26"/>
  <c r="I35" i="26" s="1"/>
  <c r="J35" i="26" s="1"/>
  <c r="E35" i="26"/>
  <c r="M34" i="26"/>
  <c r="G34" i="26"/>
  <c r="I34" i="26" s="1"/>
  <c r="J34" i="26" s="1"/>
  <c r="E34" i="26"/>
  <c r="M33" i="26"/>
  <c r="G33" i="26"/>
  <c r="H33" i="26" s="1"/>
  <c r="E33" i="26"/>
  <c r="M32" i="26"/>
  <c r="G32" i="26"/>
  <c r="I32" i="26" s="1"/>
  <c r="J32" i="26" s="1"/>
  <c r="F32" i="26"/>
  <c r="E32" i="26"/>
  <c r="M31" i="26"/>
  <c r="H31" i="26"/>
  <c r="G31" i="26"/>
  <c r="F31" i="26"/>
  <c r="E31" i="26" s="1"/>
  <c r="M30" i="26"/>
  <c r="I30" i="26"/>
  <c r="J30" i="26" s="1"/>
  <c r="H30" i="26"/>
  <c r="E30" i="26"/>
  <c r="M29" i="26"/>
  <c r="I29" i="26"/>
  <c r="J29" i="26" s="1"/>
  <c r="H29" i="26"/>
  <c r="F29" i="26"/>
  <c r="E29" i="26"/>
  <c r="D29" i="26"/>
  <c r="M28" i="26"/>
  <c r="I28" i="26"/>
  <c r="J28" i="26" s="1"/>
  <c r="H28" i="26"/>
  <c r="E28" i="26"/>
  <c r="M27" i="26"/>
  <c r="I27" i="26"/>
  <c r="J27" i="26" s="1"/>
  <c r="H27" i="26"/>
  <c r="E27" i="26"/>
  <c r="M26" i="26"/>
  <c r="I26" i="26"/>
  <c r="H26" i="26"/>
  <c r="E26" i="26"/>
  <c r="L22" i="26"/>
  <c r="V17" i="26"/>
  <c r="U17" i="26"/>
  <c r="T17" i="26"/>
  <c r="R17" i="26"/>
  <c r="L17" i="26"/>
  <c r="J17" i="26"/>
  <c r="H17" i="26"/>
  <c r="Y17" i="26" s="1"/>
  <c r="F17" i="26"/>
  <c r="I17" i="26" s="1"/>
  <c r="M17" i="26" s="1"/>
  <c r="Y16" i="26"/>
  <c r="W16" i="26"/>
  <c r="V16" i="26"/>
  <c r="U16" i="26"/>
  <c r="T16" i="26"/>
  <c r="R16" i="26"/>
  <c r="L16" i="26"/>
  <c r="I16" i="26"/>
  <c r="M16" i="26" s="1"/>
  <c r="H16" i="26"/>
  <c r="J16" i="26" s="1"/>
  <c r="F16" i="26"/>
  <c r="Y15" i="26"/>
  <c r="V15" i="26"/>
  <c r="U15" i="26"/>
  <c r="T15" i="26"/>
  <c r="R15" i="26"/>
  <c r="L15" i="26"/>
  <c r="J15" i="26"/>
  <c r="H15" i="26"/>
  <c r="W15" i="26" s="1"/>
  <c r="F15" i="26"/>
  <c r="I15" i="26" s="1"/>
  <c r="M15" i="26" s="1"/>
  <c r="V14" i="26"/>
  <c r="U14" i="26"/>
  <c r="T14" i="26"/>
  <c r="R14" i="26"/>
  <c r="L14" i="26"/>
  <c r="H14" i="26"/>
  <c r="F14" i="26"/>
  <c r="I14" i="26" s="1"/>
  <c r="M14" i="26" s="1"/>
  <c r="V13" i="26"/>
  <c r="U13" i="26"/>
  <c r="T13" i="26"/>
  <c r="R13" i="26"/>
  <c r="L13" i="26"/>
  <c r="G13" i="26"/>
  <c r="H13" i="26" s="1"/>
  <c r="F13" i="26"/>
  <c r="I13" i="26" s="1"/>
  <c r="M13" i="26" s="1"/>
  <c r="V12" i="26"/>
  <c r="U12" i="26"/>
  <c r="T12" i="26"/>
  <c r="R12" i="26"/>
  <c r="L12" i="26"/>
  <c r="G12" i="26"/>
  <c r="H12" i="26" s="1"/>
  <c r="D12" i="26"/>
  <c r="F12" i="26" s="1"/>
  <c r="V11" i="26"/>
  <c r="U11" i="26"/>
  <c r="T11" i="26"/>
  <c r="R11" i="26"/>
  <c r="L11" i="26"/>
  <c r="H11" i="26"/>
  <c r="Y11" i="26" s="1"/>
  <c r="F11" i="26"/>
  <c r="I11" i="26" s="1"/>
  <c r="M11" i="26" s="1"/>
  <c r="V10" i="26"/>
  <c r="U10" i="26"/>
  <c r="T10" i="26"/>
  <c r="R10" i="26"/>
  <c r="L10" i="26"/>
  <c r="G10" i="26"/>
  <c r="H10" i="26" s="1"/>
  <c r="D10" i="26"/>
  <c r="F10" i="26" s="1"/>
  <c r="V9" i="26"/>
  <c r="U9" i="26"/>
  <c r="T9" i="26"/>
  <c r="R9" i="26"/>
  <c r="L9" i="26"/>
  <c r="G9" i="26"/>
  <c r="H9" i="26" s="1"/>
  <c r="F9" i="26"/>
  <c r="I9" i="26" s="1"/>
  <c r="M9" i="26" s="1"/>
  <c r="D9" i="26"/>
  <c r="V8" i="26"/>
  <c r="U8" i="26"/>
  <c r="T8" i="26"/>
  <c r="R8" i="26"/>
  <c r="L8" i="26"/>
  <c r="G8" i="26"/>
  <c r="H8" i="26" s="1"/>
  <c r="D8" i="26"/>
  <c r="F8" i="26" s="1"/>
  <c r="V7" i="26"/>
  <c r="U7" i="26"/>
  <c r="T7" i="26"/>
  <c r="R7" i="26"/>
  <c r="L7" i="26"/>
  <c r="G7" i="26"/>
  <c r="G18" i="26" s="1"/>
  <c r="F7" i="26"/>
  <c r="D7" i="26"/>
  <c r="M47" i="25"/>
  <c r="H47" i="25"/>
  <c r="I47" i="25"/>
  <c r="J47" i="25" s="1"/>
  <c r="E47" i="25"/>
  <c r="F47" i="25"/>
  <c r="D47" i="25"/>
  <c r="I21" i="25"/>
  <c r="M46" i="25"/>
  <c r="H46" i="25"/>
  <c r="G46" i="25"/>
  <c r="F46" i="25"/>
  <c r="E46" i="25" s="1"/>
  <c r="M45" i="25"/>
  <c r="J45" i="25"/>
  <c r="I45" i="25"/>
  <c r="H45" i="25"/>
  <c r="E45" i="25"/>
  <c r="M44" i="25"/>
  <c r="J44" i="25"/>
  <c r="I44" i="25"/>
  <c r="H44" i="25"/>
  <c r="G44" i="25"/>
  <c r="E44" i="25"/>
  <c r="M43" i="25"/>
  <c r="J43" i="25"/>
  <c r="I43" i="25"/>
  <c r="H43" i="25"/>
  <c r="G43" i="25"/>
  <c r="E43" i="25"/>
  <c r="M42" i="25"/>
  <c r="J42" i="25"/>
  <c r="I42" i="25"/>
  <c r="H42" i="25"/>
  <c r="G42" i="25"/>
  <c r="E42" i="25"/>
  <c r="M41" i="25"/>
  <c r="H41" i="25"/>
  <c r="G41" i="25"/>
  <c r="F41" i="25"/>
  <c r="E41" i="25" s="1"/>
  <c r="M40" i="25"/>
  <c r="G40" i="25"/>
  <c r="I40" i="25" s="1"/>
  <c r="J40" i="25" s="1"/>
  <c r="E40" i="25"/>
  <c r="M39" i="25"/>
  <c r="G39" i="25"/>
  <c r="I39" i="25" s="1"/>
  <c r="J39" i="25" s="1"/>
  <c r="E39" i="25"/>
  <c r="M38" i="25"/>
  <c r="G38" i="25"/>
  <c r="I38" i="25" s="1"/>
  <c r="J38" i="25" s="1"/>
  <c r="F38" i="25"/>
  <c r="E38" i="25"/>
  <c r="D38" i="25"/>
  <c r="M37" i="25"/>
  <c r="G37" i="25"/>
  <c r="H37" i="25" s="1"/>
  <c r="F37" i="25"/>
  <c r="E37" i="25"/>
  <c r="D37" i="25"/>
  <c r="M36" i="25"/>
  <c r="I36" i="25"/>
  <c r="J36" i="25" s="1"/>
  <c r="G36" i="25"/>
  <c r="H36" i="25" s="1"/>
  <c r="F36" i="25"/>
  <c r="E36" i="25"/>
  <c r="D36" i="25"/>
  <c r="M35" i="25"/>
  <c r="G35" i="25"/>
  <c r="I35" i="25" s="1"/>
  <c r="J35" i="25" s="1"/>
  <c r="E35" i="25"/>
  <c r="M34" i="25"/>
  <c r="G34" i="25"/>
  <c r="I34" i="25" s="1"/>
  <c r="J34" i="25" s="1"/>
  <c r="E34" i="25"/>
  <c r="M33" i="25"/>
  <c r="G33" i="25"/>
  <c r="I33" i="25" s="1"/>
  <c r="J33" i="25" s="1"/>
  <c r="E33" i="25"/>
  <c r="M32" i="25"/>
  <c r="G32" i="25"/>
  <c r="I32" i="25" s="1"/>
  <c r="J32" i="25" s="1"/>
  <c r="F32" i="25"/>
  <c r="E32" i="25"/>
  <c r="M31" i="25"/>
  <c r="H31" i="25"/>
  <c r="G31" i="25"/>
  <c r="I31" i="25" s="1"/>
  <c r="J31" i="25" s="1"/>
  <c r="F31" i="25"/>
  <c r="E31" i="25" s="1"/>
  <c r="M30" i="25"/>
  <c r="I30" i="25"/>
  <c r="J30" i="25" s="1"/>
  <c r="H30" i="25"/>
  <c r="E30" i="25"/>
  <c r="M29" i="25"/>
  <c r="H29" i="25"/>
  <c r="F29" i="25"/>
  <c r="I29" i="25" s="1"/>
  <c r="J29" i="25" s="1"/>
  <c r="E29" i="25"/>
  <c r="D29" i="25"/>
  <c r="M28" i="25"/>
  <c r="I28" i="25"/>
  <c r="J28" i="25" s="1"/>
  <c r="H28" i="25"/>
  <c r="E28" i="25"/>
  <c r="M27" i="25"/>
  <c r="J27" i="25"/>
  <c r="I27" i="25"/>
  <c r="H27" i="25"/>
  <c r="E27" i="25"/>
  <c r="M26" i="25"/>
  <c r="I26" i="25"/>
  <c r="H26" i="25"/>
  <c r="E26" i="25"/>
  <c r="L22" i="25"/>
  <c r="V17" i="25"/>
  <c r="U17" i="25"/>
  <c r="T17" i="25"/>
  <c r="R17" i="25"/>
  <c r="L17" i="25"/>
  <c r="I17" i="25"/>
  <c r="M17" i="25" s="1"/>
  <c r="H17" i="25"/>
  <c r="J17" i="25" s="1"/>
  <c r="F17" i="25"/>
  <c r="W16" i="25"/>
  <c r="V16" i="25"/>
  <c r="U16" i="25"/>
  <c r="T16" i="25"/>
  <c r="R16" i="25"/>
  <c r="L16" i="25"/>
  <c r="J16" i="25"/>
  <c r="I16" i="25"/>
  <c r="M16" i="25" s="1"/>
  <c r="H16" i="25"/>
  <c r="Y16" i="25" s="1"/>
  <c r="F16" i="25"/>
  <c r="Y14" i="25"/>
  <c r="W14" i="25"/>
  <c r="V14" i="25"/>
  <c r="U14" i="25"/>
  <c r="T14" i="25"/>
  <c r="R14" i="25"/>
  <c r="L14" i="25"/>
  <c r="J14" i="25"/>
  <c r="H14" i="25"/>
  <c r="G14" i="25"/>
  <c r="F14" i="25"/>
  <c r="I14" i="25" s="1"/>
  <c r="M14" i="25" s="1"/>
  <c r="V13" i="25"/>
  <c r="U13" i="25"/>
  <c r="T13" i="25"/>
  <c r="R13" i="25"/>
  <c r="L13" i="25"/>
  <c r="H13" i="25"/>
  <c r="W13" i="25" s="1"/>
  <c r="G13" i="25"/>
  <c r="F13" i="25"/>
  <c r="V12" i="25"/>
  <c r="U12" i="25"/>
  <c r="T12" i="25"/>
  <c r="R12" i="25"/>
  <c r="L12" i="25"/>
  <c r="H12" i="25"/>
  <c r="Y12" i="25" s="1"/>
  <c r="G12" i="25"/>
  <c r="D12" i="25"/>
  <c r="F12" i="25" s="1"/>
  <c r="V11" i="25"/>
  <c r="U11" i="25"/>
  <c r="T11" i="25"/>
  <c r="R11" i="25"/>
  <c r="L11" i="25"/>
  <c r="H11" i="25"/>
  <c r="J11" i="25" s="1"/>
  <c r="F11" i="25"/>
  <c r="V10" i="25"/>
  <c r="U10" i="25"/>
  <c r="T10" i="25"/>
  <c r="R10" i="25"/>
  <c r="L10" i="25"/>
  <c r="H10" i="25"/>
  <c r="W10" i="25" s="1"/>
  <c r="G10" i="25"/>
  <c r="F10" i="25"/>
  <c r="D10" i="25"/>
  <c r="V9" i="25"/>
  <c r="U9" i="25"/>
  <c r="T9" i="25"/>
  <c r="R9" i="25"/>
  <c r="L9" i="25"/>
  <c r="G9" i="25"/>
  <c r="H9" i="25" s="1"/>
  <c r="D9" i="25"/>
  <c r="F9" i="25" s="1"/>
  <c r="V15" i="25"/>
  <c r="U15" i="25"/>
  <c r="T15" i="25"/>
  <c r="R15" i="25"/>
  <c r="L15" i="25"/>
  <c r="H15" i="25"/>
  <c r="W15" i="25" s="1"/>
  <c r="F15" i="25"/>
  <c r="V8" i="25"/>
  <c r="U8" i="25"/>
  <c r="T8" i="25"/>
  <c r="R8" i="25"/>
  <c r="L8" i="25"/>
  <c r="G8" i="25"/>
  <c r="H8" i="25" s="1"/>
  <c r="D8" i="25"/>
  <c r="F8" i="25" s="1"/>
  <c r="V7" i="25"/>
  <c r="U7" i="25"/>
  <c r="T7" i="25"/>
  <c r="R7" i="25"/>
  <c r="L7" i="25"/>
  <c r="H7" i="25"/>
  <c r="W7" i="25" s="1"/>
  <c r="G7" i="25"/>
  <c r="G18" i="25" s="1"/>
  <c r="F7" i="25"/>
  <c r="D7" i="25"/>
  <c r="G46" i="24"/>
  <c r="H46" i="24" s="1"/>
  <c r="F46" i="24"/>
  <c r="E46" i="24" s="1"/>
  <c r="M46" i="24"/>
  <c r="G15" i="24"/>
  <c r="H8" i="29" l="1"/>
  <c r="J8" i="29" s="1"/>
  <c r="E37" i="29"/>
  <c r="H11" i="29"/>
  <c r="J11" i="29" s="1"/>
  <c r="H36" i="29"/>
  <c r="I36" i="29"/>
  <c r="J36" i="29" s="1"/>
  <c r="H37" i="29"/>
  <c r="G18" i="29"/>
  <c r="I31" i="29"/>
  <c r="J31" i="29" s="1"/>
  <c r="I41" i="29"/>
  <c r="J41" i="29" s="1"/>
  <c r="H9" i="29"/>
  <c r="J9" i="29" s="1"/>
  <c r="Y16" i="29"/>
  <c r="J16" i="29"/>
  <c r="J17" i="29"/>
  <c r="W17" i="29"/>
  <c r="E38" i="29"/>
  <c r="E36" i="29"/>
  <c r="H38" i="29"/>
  <c r="E47" i="29"/>
  <c r="H10" i="29"/>
  <c r="J10" i="29" s="1"/>
  <c r="W14" i="29"/>
  <c r="Y14" i="29"/>
  <c r="Y13" i="29"/>
  <c r="F18" i="29"/>
  <c r="F20" i="29" s="1"/>
  <c r="Z14" i="29" s="1"/>
  <c r="I7" i="29"/>
  <c r="I8" i="29"/>
  <c r="M8" i="29" s="1"/>
  <c r="I11" i="29"/>
  <c r="M11" i="29" s="1"/>
  <c r="I15" i="29"/>
  <c r="M15" i="29" s="1"/>
  <c r="I10" i="29"/>
  <c r="M10" i="29" s="1"/>
  <c r="I9" i="29"/>
  <c r="M9" i="29" s="1"/>
  <c r="H31" i="29"/>
  <c r="H7" i="29"/>
  <c r="W8" i="29"/>
  <c r="H15" i="29"/>
  <c r="W9" i="29"/>
  <c r="W11" i="29"/>
  <c r="J12" i="29"/>
  <c r="I13" i="29"/>
  <c r="M13" i="29" s="1"/>
  <c r="I32" i="29"/>
  <c r="J32" i="29" s="1"/>
  <c r="I33" i="29"/>
  <c r="J33" i="29" s="1"/>
  <c r="I34" i="29"/>
  <c r="J34" i="29" s="1"/>
  <c r="I35" i="29"/>
  <c r="J35" i="29" s="1"/>
  <c r="I38" i="29"/>
  <c r="J38" i="29" s="1"/>
  <c r="I39" i="29"/>
  <c r="J39" i="29" s="1"/>
  <c r="I40" i="29"/>
  <c r="J40" i="29" s="1"/>
  <c r="H41" i="29"/>
  <c r="H42" i="29"/>
  <c r="H43" i="29"/>
  <c r="H44" i="29"/>
  <c r="H46" i="29"/>
  <c r="E48" i="29"/>
  <c r="Y9" i="29"/>
  <c r="Y11" i="29"/>
  <c r="W12" i="29"/>
  <c r="J13" i="29"/>
  <c r="I14" i="29"/>
  <c r="M14" i="29" s="1"/>
  <c r="J26" i="29"/>
  <c r="H47" i="29"/>
  <c r="E29" i="29"/>
  <c r="I9" i="28"/>
  <c r="M9" i="28" s="1"/>
  <c r="J8" i="28"/>
  <c r="Y8" i="28"/>
  <c r="W8" i="28"/>
  <c r="I12" i="28"/>
  <c r="M12" i="28" s="1"/>
  <c r="J10" i="28"/>
  <c r="Y10" i="28"/>
  <c r="W10" i="28"/>
  <c r="I7" i="28"/>
  <c r="I11" i="28"/>
  <c r="M11" i="28" s="1"/>
  <c r="E48" i="28"/>
  <c r="J26" i="28"/>
  <c r="H36" i="28"/>
  <c r="J7" i="28"/>
  <c r="J9" i="28"/>
  <c r="J11" i="28"/>
  <c r="J15" i="28"/>
  <c r="I16" i="28"/>
  <c r="M16" i="28" s="1"/>
  <c r="E29" i="28"/>
  <c r="I47" i="28"/>
  <c r="J47" i="28" s="1"/>
  <c r="F8" i="28"/>
  <c r="F10" i="28"/>
  <c r="H12" i="28"/>
  <c r="W15" i="28"/>
  <c r="Y7" i="28"/>
  <c r="Y9" i="28"/>
  <c r="Y11" i="28"/>
  <c r="W16" i="28"/>
  <c r="J17" i="28"/>
  <c r="H31" i="28"/>
  <c r="J16" i="28"/>
  <c r="J13" i="27"/>
  <c r="Y13" i="27"/>
  <c r="I11" i="27"/>
  <c r="M11" i="27" s="1"/>
  <c r="W8" i="27"/>
  <c r="Y8" i="27"/>
  <c r="J8" i="27"/>
  <c r="W7" i="27"/>
  <c r="Y7" i="27"/>
  <c r="J7" i="27"/>
  <c r="I14" i="27"/>
  <c r="M14" i="27" s="1"/>
  <c r="Y12" i="27"/>
  <c r="J12" i="27"/>
  <c r="W12" i="27"/>
  <c r="I9" i="27"/>
  <c r="M9" i="27" s="1"/>
  <c r="I8" i="27"/>
  <c r="M8" i="27" s="1"/>
  <c r="I10" i="27"/>
  <c r="M10" i="27" s="1"/>
  <c r="Y10" i="27"/>
  <c r="J10" i="27"/>
  <c r="W10" i="27"/>
  <c r="F18" i="27"/>
  <c r="F20" i="27" s="1"/>
  <c r="Z16" i="27" s="1"/>
  <c r="I7" i="27"/>
  <c r="I12" i="27"/>
  <c r="M12" i="27" s="1"/>
  <c r="Y14" i="27"/>
  <c r="Y9" i="27"/>
  <c r="Y11" i="27"/>
  <c r="Y17" i="27"/>
  <c r="I32" i="27"/>
  <c r="J32" i="27" s="1"/>
  <c r="I33" i="27"/>
  <c r="J33" i="27" s="1"/>
  <c r="I34" i="27"/>
  <c r="J34" i="27" s="1"/>
  <c r="I35" i="27"/>
  <c r="J35" i="27" s="1"/>
  <c r="W15" i="27"/>
  <c r="J16" i="27"/>
  <c r="G18" i="27"/>
  <c r="H37" i="27"/>
  <c r="J14" i="27"/>
  <c r="J9" i="27"/>
  <c r="J11" i="27"/>
  <c r="W16" i="27"/>
  <c r="J17" i="27"/>
  <c r="H31" i="27"/>
  <c r="F18" i="26"/>
  <c r="F20" i="26" s="1"/>
  <c r="Z13" i="26" s="1"/>
  <c r="Y10" i="26"/>
  <c r="W10" i="26"/>
  <c r="J10" i="26"/>
  <c r="Y14" i="26"/>
  <c r="W14" i="26"/>
  <c r="J14" i="26"/>
  <c r="I8" i="26"/>
  <c r="M8" i="26" s="1"/>
  <c r="J12" i="26"/>
  <c r="W12" i="26"/>
  <c r="Y12" i="26"/>
  <c r="Y8" i="26"/>
  <c r="W8" i="26"/>
  <c r="J8" i="26"/>
  <c r="I12" i="26"/>
  <c r="M12" i="26" s="1"/>
  <c r="W9" i="26"/>
  <c r="J9" i="26"/>
  <c r="Y9" i="26"/>
  <c r="I10" i="26"/>
  <c r="M10" i="26" s="1"/>
  <c r="Y13" i="26"/>
  <c r="J13" i="26"/>
  <c r="W13" i="26"/>
  <c r="W17" i="26"/>
  <c r="I31" i="26"/>
  <c r="J31" i="26" s="1"/>
  <c r="H32" i="26"/>
  <c r="H34" i="26"/>
  <c r="H35" i="26"/>
  <c r="H7" i="26"/>
  <c r="J11" i="26"/>
  <c r="I33" i="26"/>
  <c r="J33" i="26" s="1"/>
  <c r="H41" i="26"/>
  <c r="H42" i="26"/>
  <c r="H43" i="26"/>
  <c r="H44" i="26"/>
  <c r="H46" i="26"/>
  <c r="I7" i="26"/>
  <c r="W11" i="26"/>
  <c r="J26" i="26"/>
  <c r="H37" i="26"/>
  <c r="Y10" i="25"/>
  <c r="W11" i="25"/>
  <c r="Y13" i="25"/>
  <c r="Y11" i="25"/>
  <c r="Y7" i="25"/>
  <c r="Y15" i="25"/>
  <c r="I9" i="25"/>
  <c r="M9" i="25" s="1"/>
  <c r="I8" i="25"/>
  <c r="M8" i="25" s="1"/>
  <c r="J9" i="25"/>
  <c r="W9" i="25"/>
  <c r="Y9" i="25"/>
  <c r="J8" i="25"/>
  <c r="W8" i="25"/>
  <c r="Y8" i="25"/>
  <c r="I12" i="25"/>
  <c r="M12" i="25" s="1"/>
  <c r="J12" i="25"/>
  <c r="I7" i="25"/>
  <c r="I15" i="25"/>
  <c r="M15" i="25" s="1"/>
  <c r="I10" i="25"/>
  <c r="M10" i="25" s="1"/>
  <c r="W12" i="25"/>
  <c r="I13" i="25"/>
  <c r="M13" i="25" s="1"/>
  <c r="W17" i="25"/>
  <c r="H32" i="25"/>
  <c r="H33" i="25"/>
  <c r="H34" i="25"/>
  <c r="H35" i="25"/>
  <c r="H38" i="25"/>
  <c r="H39" i="25"/>
  <c r="H40" i="25"/>
  <c r="F18" i="25"/>
  <c r="F20" i="25" s="1"/>
  <c r="Z9" i="25" s="1"/>
  <c r="I37" i="25"/>
  <c r="J37" i="25" s="1"/>
  <c r="J7" i="25"/>
  <c r="J15" i="25"/>
  <c r="J10" i="25"/>
  <c r="I11" i="25"/>
  <c r="M11" i="25" s="1"/>
  <c r="J13" i="25"/>
  <c r="Y17" i="25"/>
  <c r="J26" i="25"/>
  <c r="I41" i="25"/>
  <c r="J41" i="25" s="1"/>
  <c r="I46" i="25"/>
  <c r="J46" i="25" s="1"/>
  <c r="I46" i="24"/>
  <c r="J46" i="24" s="1"/>
  <c r="I21" i="24"/>
  <c r="M45" i="24"/>
  <c r="I45" i="24"/>
  <c r="J45" i="24" s="1"/>
  <c r="H45" i="24"/>
  <c r="E45" i="24"/>
  <c r="M44" i="24"/>
  <c r="G44" i="24"/>
  <c r="I44" i="24" s="1"/>
  <c r="J44" i="24" s="1"/>
  <c r="E44" i="24"/>
  <c r="M43" i="24"/>
  <c r="G43" i="24"/>
  <c r="I43" i="24" s="1"/>
  <c r="J43" i="24" s="1"/>
  <c r="E43" i="24"/>
  <c r="M42" i="24"/>
  <c r="G42" i="24"/>
  <c r="I42" i="24" s="1"/>
  <c r="J42" i="24" s="1"/>
  <c r="E42" i="24"/>
  <c r="M41" i="24"/>
  <c r="G41" i="24"/>
  <c r="I41" i="24" s="1"/>
  <c r="J41" i="24" s="1"/>
  <c r="F41" i="24"/>
  <c r="E41" i="24"/>
  <c r="M40" i="24"/>
  <c r="G40" i="24"/>
  <c r="I40" i="24" s="1"/>
  <c r="J40" i="24" s="1"/>
  <c r="E40" i="24"/>
  <c r="M39" i="24"/>
  <c r="G39" i="24"/>
  <c r="I39" i="24" s="1"/>
  <c r="J39" i="24" s="1"/>
  <c r="E39" i="24"/>
  <c r="M38" i="24"/>
  <c r="G38" i="24"/>
  <c r="F38" i="24"/>
  <c r="D38" i="24"/>
  <c r="H38" i="24" s="1"/>
  <c r="M37" i="24"/>
  <c r="G37" i="24"/>
  <c r="H37" i="24" s="1"/>
  <c r="F37" i="24"/>
  <c r="D37" i="24"/>
  <c r="M36" i="24"/>
  <c r="G36" i="24"/>
  <c r="F36" i="24"/>
  <c r="E36" i="24" s="1"/>
  <c r="D36" i="24"/>
  <c r="M35" i="24"/>
  <c r="G35" i="24"/>
  <c r="I35" i="24" s="1"/>
  <c r="J35" i="24" s="1"/>
  <c r="E35" i="24"/>
  <c r="M34" i="24"/>
  <c r="G34" i="24"/>
  <c r="I34" i="24" s="1"/>
  <c r="J34" i="24" s="1"/>
  <c r="E34" i="24"/>
  <c r="M33" i="24"/>
  <c r="G33" i="24"/>
  <c r="I33" i="24" s="1"/>
  <c r="J33" i="24" s="1"/>
  <c r="E33" i="24"/>
  <c r="M32" i="24"/>
  <c r="G32" i="24"/>
  <c r="I32" i="24" s="1"/>
  <c r="J32" i="24" s="1"/>
  <c r="F32" i="24"/>
  <c r="E32" i="24"/>
  <c r="M31" i="24"/>
  <c r="G31" i="24"/>
  <c r="I31" i="24" s="1"/>
  <c r="J31" i="24" s="1"/>
  <c r="F31" i="24"/>
  <c r="E31" i="24"/>
  <c r="M30" i="24"/>
  <c r="I30" i="24"/>
  <c r="J30" i="24" s="1"/>
  <c r="H30" i="24"/>
  <c r="E30" i="24"/>
  <c r="M29" i="24"/>
  <c r="F29" i="24"/>
  <c r="I29" i="24" s="1"/>
  <c r="J29" i="24" s="1"/>
  <c r="D29" i="24"/>
  <c r="E29" i="24" s="1"/>
  <c r="M28" i="24"/>
  <c r="I28" i="24"/>
  <c r="J28" i="24" s="1"/>
  <c r="H28" i="24"/>
  <c r="E28" i="24"/>
  <c r="M27" i="24"/>
  <c r="I27" i="24"/>
  <c r="J27" i="24" s="1"/>
  <c r="H27" i="24"/>
  <c r="E27" i="24"/>
  <c r="M26" i="24"/>
  <c r="I26" i="24"/>
  <c r="J26" i="24" s="1"/>
  <c r="H26" i="24"/>
  <c r="E26" i="24"/>
  <c r="L22" i="24"/>
  <c r="V17" i="24"/>
  <c r="U17" i="24"/>
  <c r="T17" i="24"/>
  <c r="R17" i="24"/>
  <c r="L17" i="24"/>
  <c r="H17" i="24"/>
  <c r="Y17" i="24" s="1"/>
  <c r="F17" i="24"/>
  <c r="I17" i="24" s="1"/>
  <c r="M17" i="24" s="1"/>
  <c r="V15" i="24"/>
  <c r="U15" i="24"/>
  <c r="T15" i="24"/>
  <c r="R15" i="24"/>
  <c r="L15" i="24"/>
  <c r="H15" i="24"/>
  <c r="J15" i="24" s="1"/>
  <c r="F15" i="24"/>
  <c r="I15" i="24" s="1"/>
  <c r="M15" i="24" s="1"/>
  <c r="V14" i="24"/>
  <c r="U14" i="24"/>
  <c r="T14" i="24"/>
  <c r="R14" i="24"/>
  <c r="L14" i="24"/>
  <c r="G14" i="24"/>
  <c r="F14" i="24"/>
  <c r="V13" i="24"/>
  <c r="U13" i="24"/>
  <c r="T13" i="24"/>
  <c r="R13" i="24"/>
  <c r="L13" i="24"/>
  <c r="G13" i="24"/>
  <c r="D13" i="24"/>
  <c r="F13" i="24" s="1"/>
  <c r="V12" i="24"/>
  <c r="U12" i="24"/>
  <c r="T12" i="24"/>
  <c r="R12" i="24"/>
  <c r="L12" i="24"/>
  <c r="H12" i="24"/>
  <c r="J12" i="24" s="1"/>
  <c r="F12" i="24"/>
  <c r="I12" i="24" s="1"/>
  <c r="M12" i="24" s="1"/>
  <c r="V11" i="24"/>
  <c r="U11" i="24"/>
  <c r="T11" i="24"/>
  <c r="R11" i="24"/>
  <c r="L11" i="24"/>
  <c r="G11" i="24"/>
  <c r="H11" i="24" s="1"/>
  <c r="F11" i="24"/>
  <c r="D11" i="24"/>
  <c r="V10" i="24"/>
  <c r="U10" i="24"/>
  <c r="T10" i="24"/>
  <c r="R10" i="24"/>
  <c r="L10" i="24"/>
  <c r="G10" i="24"/>
  <c r="D10" i="24"/>
  <c r="F10" i="24" s="1"/>
  <c r="V9" i="24"/>
  <c r="U9" i="24"/>
  <c r="T9" i="24"/>
  <c r="R9" i="24"/>
  <c r="L9" i="24"/>
  <c r="G9" i="24"/>
  <c r="D9" i="24"/>
  <c r="F9" i="24" s="1"/>
  <c r="V8" i="24"/>
  <c r="U8" i="24"/>
  <c r="T8" i="24"/>
  <c r="R8" i="24"/>
  <c r="L8" i="24"/>
  <c r="G8" i="24"/>
  <c r="H8" i="24" s="1"/>
  <c r="F8" i="24"/>
  <c r="D8" i="24"/>
  <c r="V16" i="24"/>
  <c r="U16" i="24"/>
  <c r="T16" i="24"/>
  <c r="R16" i="24"/>
  <c r="L16" i="24"/>
  <c r="H16" i="24"/>
  <c r="F16" i="24"/>
  <c r="V7" i="24"/>
  <c r="U7" i="24"/>
  <c r="T7" i="24"/>
  <c r="R7" i="24"/>
  <c r="L7" i="24"/>
  <c r="G7" i="24"/>
  <c r="D7" i="24"/>
  <c r="F7" i="24" s="1"/>
  <c r="G15" i="23"/>
  <c r="M45" i="23"/>
  <c r="H45" i="23"/>
  <c r="I45" i="23"/>
  <c r="J45" i="23" s="1"/>
  <c r="E45" i="23"/>
  <c r="I21" i="23"/>
  <c r="G14" i="23"/>
  <c r="D14" i="23"/>
  <c r="F14" i="23" s="1"/>
  <c r="I14" i="23" s="1"/>
  <c r="M14" i="23" s="1"/>
  <c r="M44" i="23"/>
  <c r="J44" i="23"/>
  <c r="I44" i="23"/>
  <c r="H44" i="23"/>
  <c r="G44" i="23"/>
  <c r="E44" i="23"/>
  <c r="M43" i="23"/>
  <c r="J43" i="23"/>
  <c r="I43" i="23"/>
  <c r="H43" i="23"/>
  <c r="G43" i="23"/>
  <c r="E43" i="23"/>
  <c r="M42" i="23"/>
  <c r="J42" i="23"/>
  <c r="I42" i="23"/>
  <c r="H42" i="23"/>
  <c r="G42" i="23"/>
  <c r="E42" i="23"/>
  <c r="M41" i="23"/>
  <c r="H41" i="23"/>
  <c r="G41" i="23"/>
  <c r="F41" i="23"/>
  <c r="I41" i="23" s="1"/>
  <c r="J41" i="23" s="1"/>
  <c r="E41" i="23"/>
  <c r="M40" i="23"/>
  <c r="G40" i="23"/>
  <c r="I40" i="23" s="1"/>
  <c r="J40" i="23" s="1"/>
  <c r="E40" i="23"/>
  <c r="M39" i="23"/>
  <c r="G39" i="23"/>
  <c r="I39" i="23" s="1"/>
  <c r="J39" i="23" s="1"/>
  <c r="E39" i="23"/>
  <c r="M38" i="23"/>
  <c r="G38" i="23"/>
  <c r="I38" i="23" s="1"/>
  <c r="J38" i="23" s="1"/>
  <c r="F38" i="23"/>
  <c r="E38" i="23" s="1"/>
  <c r="D38" i="23"/>
  <c r="M37" i="23"/>
  <c r="H37" i="23"/>
  <c r="G37" i="23"/>
  <c r="I37" i="23" s="1"/>
  <c r="J37" i="23" s="1"/>
  <c r="F37" i="23"/>
  <c r="E37" i="23"/>
  <c r="D37" i="23"/>
  <c r="M36" i="23"/>
  <c r="J36" i="23"/>
  <c r="I36" i="23"/>
  <c r="G36" i="23"/>
  <c r="H36" i="23" s="1"/>
  <c r="F36" i="23"/>
  <c r="D36" i="23"/>
  <c r="E36" i="23" s="1"/>
  <c r="M35" i="23"/>
  <c r="G35" i="23"/>
  <c r="I35" i="23" s="1"/>
  <c r="J35" i="23" s="1"/>
  <c r="E35" i="23"/>
  <c r="M34" i="23"/>
  <c r="G34" i="23"/>
  <c r="I34" i="23" s="1"/>
  <c r="J34" i="23" s="1"/>
  <c r="E34" i="23"/>
  <c r="M33" i="23"/>
  <c r="G33" i="23"/>
  <c r="I33" i="23" s="1"/>
  <c r="J33" i="23" s="1"/>
  <c r="E33" i="23"/>
  <c r="M32" i="23"/>
  <c r="G32" i="23"/>
  <c r="I32" i="23" s="1"/>
  <c r="J32" i="23" s="1"/>
  <c r="F32" i="23"/>
  <c r="E32" i="23" s="1"/>
  <c r="M31" i="23"/>
  <c r="G31" i="23"/>
  <c r="H31" i="23" s="1"/>
  <c r="F31" i="23"/>
  <c r="E31" i="23" s="1"/>
  <c r="M30" i="23"/>
  <c r="I30" i="23"/>
  <c r="J30" i="23" s="1"/>
  <c r="H30" i="23"/>
  <c r="E30" i="23"/>
  <c r="M29" i="23"/>
  <c r="H29" i="23"/>
  <c r="F29" i="23"/>
  <c r="E29" i="23" s="1"/>
  <c r="D29" i="23"/>
  <c r="M28" i="23"/>
  <c r="I28" i="23"/>
  <c r="J28" i="23" s="1"/>
  <c r="H28" i="23"/>
  <c r="E28" i="23"/>
  <c r="M27" i="23"/>
  <c r="J27" i="23"/>
  <c r="I27" i="23"/>
  <c r="H27" i="23"/>
  <c r="E27" i="23"/>
  <c r="M26" i="23"/>
  <c r="I26" i="23"/>
  <c r="H26" i="23"/>
  <c r="E26" i="23"/>
  <c r="L22" i="23"/>
  <c r="V17" i="23"/>
  <c r="U17" i="23"/>
  <c r="T17" i="23"/>
  <c r="R17" i="23"/>
  <c r="L17" i="23"/>
  <c r="I17" i="23"/>
  <c r="M17" i="23" s="1"/>
  <c r="H17" i="23"/>
  <c r="Y17" i="23" s="1"/>
  <c r="F17" i="23"/>
  <c r="Y16" i="23"/>
  <c r="W16" i="23"/>
  <c r="V16" i="23"/>
  <c r="U16" i="23"/>
  <c r="T16" i="23"/>
  <c r="R16" i="23"/>
  <c r="L16" i="23"/>
  <c r="J16" i="23"/>
  <c r="I16" i="23"/>
  <c r="M16" i="23" s="1"/>
  <c r="H16" i="23"/>
  <c r="F16" i="23"/>
  <c r="V14" i="23"/>
  <c r="U14" i="23"/>
  <c r="T14" i="23"/>
  <c r="R14" i="23"/>
  <c r="L14" i="23"/>
  <c r="V13" i="23"/>
  <c r="U13" i="23"/>
  <c r="T13" i="23"/>
  <c r="R13" i="23"/>
  <c r="L13" i="23"/>
  <c r="H13" i="23"/>
  <c r="W13" i="23" s="1"/>
  <c r="F13" i="23"/>
  <c r="I13" i="23" s="1"/>
  <c r="M13" i="23" s="1"/>
  <c r="V12" i="23"/>
  <c r="U12" i="23"/>
  <c r="T12" i="23"/>
  <c r="R12" i="23"/>
  <c r="L12" i="23"/>
  <c r="H12" i="23"/>
  <c r="Y12" i="23" s="1"/>
  <c r="G12" i="23"/>
  <c r="D12" i="23"/>
  <c r="F12" i="23" s="1"/>
  <c r="V11" i="23"/>
  <c r="U11" i="23"/>
  <c r="T11" i="23"/>
  <c r="R11" i="23"/>
  <c r="L11" i="23"/>
  <c r="G11" i="23"/>
  <c r="H11" i="23" s="1"/>
  <c r="D11" i="23"/>
  <c r="F11" i="23" s="1"/>
  <c r="V10" i="23"/>
  <c r="U10" i="23"/>
  <c r="T10" i="23"/>
  <c r="R10" i="23"/>
  <c r="L10" i="23"/>
  <c r="G10" i="23"/>
  <c r="H10" i="23" s="1"/>
  <c r="D10" i="23"/>
  <c r="F10" i="23" s="1"/>
  <c r="V9" i="23"/>
  <c r="U9" i="23"/>
  <c r="T9" i="23"/>
  <c r="R9" i="23"/>
  <c r="L9" i="23"/>
  <c r="G9" i="23"/>
  <c r="H9" i="23" s="1"/>
  <c r="D9" i="23"/>
  <c r="F9" i="23" s="1"/>
  <c r="V8" i="23"/>
  <c r="U8" i="23"/>
  <c r="T8" i="23"/>
  <c r="R8" i="23"/>
  <c r="L8" i="23"/>
  <c r="G8" i="23"/>
  <c r="H8" i="23" s="1"/>
  <c r="F8" i="23"/>
  <c r="V15" i="23"/>
  <c r="U15" i="23"/>
  <c r="T15" i="23"/>
  <c r="R15" i="23"/>
  <c r="L15" i="23"/>
  <c r="H15" i="23"/>
  <c r="F15" i="23"/>
  <c r="I15" i="23" s="1"/>
  <c r="M15" i="23" s="1"/>
  <c r="V7" i="23"/>
  <c r="U7" i="23"/>
  <c r="T7" i="23"/>
  <c r="R7" i="23"/>
  <c r="L7" i="23"/>
  <c r="G7" i="23"/>
  <c r="H7" i="23" s="1"/>
  <c r="D7" i="23"/>
  <c r="F7" i="23" s="1"/>
  <c r="I21" i="22"/>
  <c r="M44" i="22"/>
  <c r="G44" i="22"/>
  <c r="I44" i="22" s="1"/>
  <c r="J44" i="22" s="1"/>
  <c r="E44" i="22"/>
  <c r="M43" i="22"/>
  <c r="J43" i="22"/>
  <c r="I43" i="22"/>
  <c r="H43" i="22"/>
  <c r="G43" i="22"/>
  <c r="E43" i="22"/>
  <c r="M42" i="22"/>
  <c r="G42" i="22"/>
  <c r="I42" i="22" s="1"/>
  <c r="J42" i="22" s="1"/>
  <c r="E42" i="22"/>
  <c r="M41" i="22"/>
  <c r="G41" i="22"/>
  <c r="I41" i="22" s="1"/>
  <c r="J41" i="22" s="1"/>
  <c r="F41" i="22"/>
  <c r="E41" i="22" s="1"/>
  <c r="M40" i="22"/>
  <c r="I40" i="22"/>
  <c r="J40" i="22" s="1"/>
  <c r="H40" i="22"/>
  <c r="G40" i="22"/>
  <c r="E40" i="22"/>
  <c r="M39" i="22"/>
  <c r="I39" i="22"/>
  <c r="J39" i="22" s="1"/>
  <c r="H39" i="22"/>
  <c r="G39" i="22"/>
  <c r="E39" i="22"/>
  <c r="M38" i="22"/>
  <c r="G38" i="22"/>
  <c r="H38" i="22" s="1"/>
  <c r="F38" i="22"/>
  <c r="D38" i="22"/>
  <c r="E38" i="22" s="1"/>
  <c r="M37" i="22"/>
  <c r="G37" i="22"/>
  <c r="I37" i="22" s="1"/>
  <c r="J37" i="22" s="1"/>
  <c r="F37" i="22"/>
  <c r="E37" i="22" s="1"/>
  <c r="D37" i="22"/>
  <c r="M36" i="22"/>
  <c r="G36" i="22"/>
  <c r="H36" i="22" s="1"/>
  <c r="F36" i="22"/>
  <c r="D36" i="22"/>
  <c r="E36" i="22" s="1"/>
  <c r="M35" i="22"/>
  <c r="G35" i="22"/>
  <c r="I35" i="22" s="1"/>
  <c r="J35" i="22" s="1"/>
  <c r="E35" i="22"/>
  <c r="M34" i="22"/>
  <c r="I34" i="22"/>
  <c r="J34" i="22" s="1"/>
  <c r="H34" i="22"/>
  <c r="G34" i="22"/>
  <c r="E34" i="22"/>
  <c r="M33" i="22"/>
  <c r="I33" i="22"/>
  <c r="J33" i="22" s="1"/>
  <c r="G33" i="22"/>
  <c r="H33" i="22" s="1"/>
  <c r="E33" i="22"/>
  <c r="M32" i="22"/>
  <c r="G32" i="22"/>
  <c r="H32" i="22" s="1"/>
  <c r="F32" i="22"/>
  <c r="E32" i="22"/>
  <c r="M31" i="22"/>
  <c r="G31" i="22"/>
  <c r="I31" i="22" s="1"/>
  <c r="J31" i="22" s="1"/>
  <c r="F31" i="22"/>
  <c r="E31" i="22" s="1"/>
  <c r="M30" i="22"/>
  <c r="I30" i="22"/>
  <c r="J30" i="22" s="1"/>
  <c r="H30" i="22"/>
  <c r="E30" i="22"/>
  <c r="M29" i="22"/>
  <c r="I29" i="22"/>
  <c r="J29" i="22" s="1"/>
  <c r="H29" i="22"/>
  <c r="F29" i="22"/>
  <c r="E29" i="22" s="1"/>
  <c r="D29" i="22"/>
  <c r="M28" i="22"/>
  <c r="J28" i="22"/>
  <c r="I28" i="22"/>
  <c r="H28" i="22"/>
  <c r="E28" i="22"/>
  <c r="M27" i="22"/>
  <c r="J27" i="22"/>
  <c r="I27" i="22"/>
  <c r="H27" i="22"/>
  <c r="E27" i="22"/>
  <c r="M26" i="22"/>
  <c r="J26" i="22"/>
  <c r="I26" i="22"/>
  <c r="H26" i="22"/>
  <c r="E26" i="22"/>
  <c r="L22" i="22"/>
  <c r="V17" i="22"/>
  <c r="U17" i="22"/>
  <c r="T17" i="22"/>
  <c r="R17" i="22"/>
  <c r="L17" i="22"/>
  <c r="H17" i="22"/>
  <c r="W17" i="22" s="1"/>
  <c r="F17" i="22"/>
  <c r="I17" i="22" s="1"/>
  <c r="M17" i="22" s="1"/>
  <c r="V16" i="22"/>
  <c r="U16" i="22"/>
  <c r="T16" i="22"/>
  <c r="R16" i="22"/>
  <c r="L16" i="22"/>
  <c r="I16" i="22"/>
  <c r="M16" i="22" s="1"/>
  <c r="H16" i="22"/>
  <c r="Y16" i="22" s="1"/>
  <c r="F16" i="22"/>
  <c r="Y15" i="22"/>
  <c r="W15" i="22"/>
  <c r="V15" i="22"/>
  <c r="U15" i="22"/>
  <c r="T15" i="22"/>
  <c r="R15" i="22"/>
  <c r="L15" i="22"/>
  <c r="J15" i="22"/>
  <c r="H15" i="22"/>
  <c r="G15" i="22"/>
  <c r="F15" i="22"/>
  <c r="I15" i="22" s="1"/>
  <c r="M15" i="22" s="1"/>
  <c r="Y14" i="22"/>
  <c r="W14" i="22"/>
  <c r="V14" i="22"/>
  <c r="U14" i="22"/>
  <c r="T14" i="22"/>
  <c r="R14" i="22"/>
  <c r="L14" i="22"/>
  <c r="H14" i="22"/>
  <c r="J14" i="22" s="1"/>
  <c r="F14" i="22"/>
  <c r="I14" i="22" s="1"/>
  <c r="M14" i="22" s="1"/>
  <c r="V13" i="22"/>
  <c r="U13" i="22"/>
  <c r="T13" i="22"/>
  <c r="R13" i="22"/>
  <c r="L13" i="22"/>
  <c r="G13" i="22"/>
  <c r="H13" i="22" s="1"/>
  <c r="F13" i="22"/>
  <c r="D13" i="22"/>
  <c r="V12" i="22"/>
  <c r="U12" i="22"/>
  <c r="T12" i="22"/>
  <c r="R12" i="22"/>
  <c r="L12" i="22"/>
  <c r="G12" i="22"/>
  <c r="D12" i="22"/>
  <c r="F12" i="22" s="1"/>
  <c r="V11" i="22"/>
  <c r="U11" i="22"/>
  <c r="T11" i="22"/>
  <c r="R11" i="22"/>
  <c r="L11" i="22"/>
  <c r="G11" i="22"/>
  <c r="H11" i="22" s="1"/>
  <c r="F11" i="22"/>
  <c r="I11" i="22" s="1"/>
  <c r="M11" i="22" s="1"/>
  <c r="D11" i="22"/>
  <c r="V10" i="22"/>
  <c r="U10" i="22"/>
  <c r="T10" i="22"/>
  <c r="R10" i="22"/>
  <c r="L10" i="22"/>
  <c r="G10" i="22"/>
  <c r="D10" i="22"/>
  <c r="F10" i="22" s="1"/>
  <c r="V9" i="22"/>
  <c r="U9" i="22"/>
  <c r="T9" i="22"/>
  <c r="R9" i="22"/>
  <c r="L9" i="22"/>
  <c r="G9" i="22"/>
  <c r="H9" i="22" s="1"/>
  <c r="F9" i="22"/>
  <c r="I9" i="22" s="1"/>
  <c r="M9" i="22" s="1"/>
  <c r="V8" i="22"/>
  <c r="U8" i="22"/>
  <c r="T8" i="22"/>
  <c r="R8" i="22"/>
  <c r="L8" i="22"/>
  <c r="H8" i="22"/>
  <c r="Y8" i="22" s="1"/>
  <c r="G8" i="22"/>
  <c r="F8" i="22"/>
  <c r="I8" i="22" s="1"/>
  <c r="M8" i="22" s="1"/>
  <c r="V7" i="22"/>
  <c r="U7" i="22"/>
  <c r="T7" i="22"/>
  <c r="R7" i="22"/>
  <c r="L7" i="22"/>
  <c r="G7" i="22"/>
  <c r="H7" i="22" s="1"/>
  <c r="D7" i="22"/>
  <c r="F7" i="22" s="1"/>
  <c r="G13" i="21"/>
  <c r="H13" i="21" s="1"/>
  <c r="W13" i="21" s="1"/>
  <c r="D13" i="21"/>
  <c r="G15" i="21"/>
  <c r="I21" i="21"/>
  <c r="G7" i="21"/>
  <c r="D7" i="21"/>
  <c r="M44" i="21"/>
  <c r="G44" i="21"/>
  <c r="I44" i="21" s="1"/>
  <c r="J44" i="21" s="1"/>
  <c r="E44" i="21"/>
  <c r="S43" i="21"/>
  <c r="M43" i="21"/>
  <c r="H43" i="21"/>
  <c r="G43" i="21"/>
  <c r="I43" i="21" s="1"/>
  <c r="J43" i="21" s="1"/>
  <c r="E43" i="21"/>
  <c r="M42" i="21"/>
  <c r="G42" i="21"/>
  <c r="I42" i="21" s="1"/>
  <c r="J42" i="21" s="1"/>
  <c r="E42" i="21"/>
  <c r="M41" i="21"/>
  <c r="G41" i="21"/>
  <c r="I41" i="21" s="1"/>
  <c r="J41" i="21" s="1"/>
  <c r="F41" i="21"/>
  <c r="E41" i="21" s="1"/>
  <c r="M40" i="21"/>
  <c r="I40" i="21"/>
  <c r="J40" i="21" s="1"/>
  <c r="G40" i="21"/>
  <c r="H40" i="21" s="1"/>
  <c r="S40" i="21" s="1"/>
  <c r="E40" i="21"/>
  <c r="S39" i="21"/>
  <c r="M39" i="21"/>
  <c r="J39" i="21"/>
  <c r="I39" i="21"/>
  <c r="H39" i="21"/>
  <c r="G39" i="21"/>
  <c r="E39" i="21"/>
  <c r="M38" i="21"/>
  <c r="G38" i="21"/>
  <c r="H38" i="21" s="1"/>
  <c r="S38" i="21" s="1"/>
  <c r="F38" i="21"/>
  <c r="E38" i="21"/>
  <c r="D38" i="21"/>
  <c r="M37" i="21"/>
  <c r="I37" i="21"/>
  <c r="J37" i="21" s="1"/>
  <c r="H37" i="21"/>
  <c r="S37" i="21" s="1"/>
  <c r="G37" i="21"/>
  <c r="F37" i="21"/>
  <c r="D37" i="21"/>
  <c r="E37" i="21" s="1"/>
  <c r="M36" i="21"/>
  <c r="G36" i="21"/>
  <c r="H36" i="21" s="1"/>
  <c r="S36" i="21" s="1"/>
  <c r="F36" i="21"/>
  <c r="E36" i="21"/>
  <c r="D36" i="21"/>
  <c r="M35" i="21"/>
  <c r="I35" i="21"/>
  <c r="J35" i="21" s="1"/>
  <c r="H35" i="21"/>
  <c r="S35" i="21" s="1"/>
  <c r="G35" i="21"/>
  <c r="E35" i="21"/>
  <c r="M34" i="21"/>
  <c r="I34" i="21"/>
  <c r="J34" i="21" s="1"/>
  <c r="G34" i="21"/>
  <c r="H34" i="21" s="1"/>
  <c r="S34" i="21" s="1"/>
  <c r="E34" i="21"/>
  <c r="M33" i="21"/>
  <c r="G33" i="21"/>
  <c r="I33" i="21" s="1"/>
  <c r="J33" i="21" s="1"/>
  <c r="E33" i="21"/>
  <c r="M32" i="21"/>
  <c r="G32" i="21"/>
  <c r="H32" i="21" s="1"/>
  <c r="S32" i="21" s="1"/>
  <c r="F32" i="21"/>
  <c r="E32" i="21"/>
  <c r="M31" i="21"/>
  <c r="G31" i="21"/>
  <c r="H31" i="21" s="1"/>
  <c r="S31" i="21" s="1"/>
  <c r="F31" i="21"/>
  <c r="E31" i="21"/>
  <c r="S30" i="21"/>
  <c r="M30" i="21"/>
  <c r="I30" i="21"/>
  <c r="J30" i="21" s="1"/>
  <c r="H30" i="21"/>
  <c r="E30" i="21"/>
  <c r="M29" i="21"/>
  <c r="I29" i="21"/>
  <c r="J29" i="21" s="1"/>
  <c r="F29" i="21"/>
  <c r="D29" i="21"/>
  <c r="H29" i="21" s="1"/>
  <c r="S29" i="21" s="1"/>
  <c r="S28" i="21"/>
  <c r="M28" i="21"/>
  <c r="I28" i="21"/>
  <c r="J28" i="21" s="1"/>
  <c r="H28" i="21"/>
  <c r="E28" i="21"/>
  <c r="S27" i="21"/>
  <c r="M27" i="21"/>
  <c r="I27" i="21"/>
  <c r="J27" i="21" s="1"/>
  <c r="H27" i="21"/>
  <c r="E27" i="21"/>
  <c r="S26" i="21"/>
  <c r="M26" i="21"/>
  <c r="I26" i="21"/>
  <c r="H26" i="21"/>
  <c r="E26" i="21"/>
  <c r="L22" i="21"/>
  <c r="V17" i="21"/>
  <c r="U17" i="21"/>
  <c r="T17" i="21"/>
  <c r="R17" i="21"/>
  <c r="L17" i="21"/>
  <c r="I17" i="21"/>
  <c r="M17" i="21" s="1"/>
  <c r="H17" i="21"/>
  <c r="W17" i="21" s="1"/>
  <c r="F17" i="21"/>
  <c r="Y16" i="21"/>
  <c r="W16" i="21"/>
  <c r="V16" i="21"/>
  <c r="U16" i="21"/>
  <c r="T16" i="21"/>
  <c r="R16" i="21"/>
  <c r="L16" i="21"/>
  <c r="J16" i="21"/>
  <c r="I16" i="21"/>
  <c r="M16" i="21" s="1"/>
  <c r="H16" i="21"/>
  <c r="F16" i="21"/>
  <c r="V15" i="21"/>
  <c r="U15" i="21"/>
  <c r="T15" i="21"/>
  <c r="R15" i="21"/>
  <c r="L15" i="21"/>
  <c r="H15" i="21"/>
  <c r="J15" i="21" s="1"/>
  <c r="F15" i="21"/>
  <c r="V14" i="21"/>
  <c r="U14" i="21"/>
  <c r="T14" i="21"/>
  <c r="R14" i="21"/>
  <c r="L14" i="21"/>
  <c r="H14" i="21"/>
  <c r="J14" i="21" s="1"/>
  <c r="F14" i="21"/>
  <c r="V13" i="21"/>
  <c r="U13" i="21"/>
  <c r="T13" i="21"/>
  <c r="R13" i="21"/>
  <c r="L13" i="21"/>
  <c r="F13" i="21"/>
  <c r="V12" i="21"/>
  <c r="U12" i="21"/>
  <c r="T12" i="21"/>
  <c r="R12" i="21"/>
  <c r="L12" i="21"/>
  <c r="G12" i="21"/>
  <c r="F12" i="21"/>
  <c r="D12" i="21"/>
  <c r="V11" i="21"/>
  <c r="U11" i="21"/>
  <c r="T11" i="21"/>
  <c r="R11" i="21"/>
  <c r="L11" i="21"/>
  <c r="G11" i="21"/>
  <c r="H11" i="21" s="1"/>
  <c r="D11" i="21"/>
  <c r="F11" i="21" s="1"/>
  <c r="V10" i="21"/>
  <c r="U10" i="21"/>
  <c r="T10" i="21"/>
  <c r="R10" i="21"/>
  <c r="L10" i="21"/>
  <c r="G10" i="21"/>
  <c r="F10" i="21"/>
  <c r="D10" i="21"/>
  <c r="V9" i="21"/>
  <c r="U9" i="21"/>
  <c r="T9" i="21"/>
  <c r="R9" i="21"/>
  <c r="L9" i="21"/>
  <c r="G9" i="21"/>
  <c r="H9" i="21" s="1"/>
  <c r="F9" i="21"/>
  <c r="I9" i="21" s="1"/>
  <c r="M9" i="21" s="1"/>
  <c r="V8" i="21"/>
  <c r="U8" i="21"/>
  <c r="T8" i="21"/>
  <c r="R8" i="21"/>
  <c r="L8" i="21"/>
  <c r="G8" i="21"/>
  <c r="H8" i="21" s="1"/>
  <c r="F8" i="21"/>
  <c r="V7" i="21"/>
  <c r="U7" i="21"/>
  <c r="T7" i="21"/>
  <c r="R7" i="21"/>
  <c r="L7" i="21"/>
  <c r="F7" i="21"/>
  <c r="Y8" i="29" l="1"/>
  <c r="W10" i="29"/>
  <c r="Y10" i="29"/>
  <c r="I54" i="29"/>
  <c r="Z13" i="29"/>
  <c r="Z10" i="29"/>
  <c r="Z16" i="29"/>
  <c r="Z8" i="29"/>
  <c r="Z12" i="29"/>
  <c r="Z17" i="29"/>
  <c r="Z11" i="29"/>
  <c r="I18" i="29"/>
  <c r="M7" i="29"/>
  <c r="Y15" i="29"/>
  <c r="J15" i="29"/>
  <c r="W15" i="29"/>
  <c r="G19" i="29"/>
  <c r="I22" i="29"/>
  <c r="W7" i="29"/>
  <c r="J7" i="29"/>
  <c r="Y7" i="29"/>
  <c r="Z9" i="29"/>
  <c r="Z15" i="29"/>
  <c r="Z7" i="29"/>
  <c r="F18" i="28"/>
  <c r="F20" i="28" s="1"/>
  <c r="G19" i="28" s="1"/>
  <c r="I8" i="28"/>
  <c r="M8" i="28" s="1"/>
  <c r="M7" i="28"/>
  <c r="J12" i="28"/>
  <c r="Y12" i="28"/>
  <c r="W12" i="28"/>
  <c r="I51" i="28"/>
  <c r="I10" i="28"/>
  <c r="M10" i="28" s="1"/>
  <c r="Z11" i="27"/>
  <c r="Z9" i="27"/>
  <c r="Z13" i="27"/>
  <c r="Z17" i="27"/>
  <c r="Z12" i="27"/>
  <c r="Z8" i="27"/>
  <c r="Z14" i="27"/>
  <c r="I18" i="27"/>
  <c r="M7" i="27"/>
  <c r="Z7" i="27"/>
  <c r="I51" i="27"/>
  <c r="G19" i="27"/>
  <c r="I22" i="27"/>
  <c r="Z10" i="27"/>
  <c r="Z15" i="27"/>
  <c r="Z9" i="26"/>
  <c r="Z15" i="26"/>
  <c r="I22" i="26"/>
  <c r="Z17" i="26"/>
  <c r="Z8" i="26"/>
  <c r="Z14" i="26"/>
  <c r="Z12" i="26"/>
  <c r="G19" i="26"/>
  <c r="Z10" i="26"/>
  <c r="Z16" i="26"/>
  <c r="Z11" i="26"/>
  <c r="Z7" i="26"/>
  <c r="I18" i="26"/>
  <c r="M7" i="26"/>
  <c r="I51" i="26"/>
  <c r="W7" i="26"/>
  <c r="J7" i="26"/>
  <c r="Y7" i="26"/>
  <c r="Z16" i="25"/>
  <c r="Z7" i="25"/>
  <c r="Z8" i="25"/>
  <c r="Z11" i="25"/>
  <c r="Z14" i="25"/>
  <c r="Z15" i="25"/>
  <c r="Z12" i="25"/>
  <c r="I51" i="25"/>
  <c r="I22" i="25"/>
  <c r="G19" i="25"/>
  <c r="Z17" i="25"/>
  <c r="Z10" i="25"/>
  <c r="Z13" i="25"/>
  <c r="M7" i="25"/>
  <c r="I18" i="25"/>
  <c r="H31" i="24"/>
  <c r="H32" i="24"/>
  <c r="H33" i="24"/>
  <c r="H34" i="24"/>
  <c r="H35" i="24"/>
  <c r="I36" i="24"/>
  <c r="J36" i="24" s="1"/>
  <c r="Y12" i="24"/>
  <c r="J17" i="24"/>
  <c r="W17" i="24"/>
  <c r="H36" i="24"/>
  <c r="H39" i="24"/>
  <c r="H40" i="24"/>
  <c r="H9" i="24"/>
  <c r="J9" i="24" s="1"/>
  <c r="E38" i="24"/>
  <c r="H41" i="24"/>
  <c r="H42" i="24"/>
  <c r="H43" i="24"/>
  <c r="H44" i="24"/>
  <c r="G18" i="24"/>
  <c r="H10" i="24"/>
  <c r="W10" i="24" s="1"/>
  <c r="I14" i="24"/>
  <c r="M14" i="24" s="1"/>
  <c r="E37" i="24"/>
  <c r="Y15" i="24"/>
  <c r="F18" i="24"/>
  <c r="F20" i="24" s="1"/>
  <c r="Z17" i="24" s="1"/>
  <c r="I7" i="24"/>
  <c r="W9" i="24"/>
  <c r="I13" i="24"/>
  <c r="M13" i="24" s="1"/>
  <c r="I51" i="24"/>
  <c r="W16" i="24"/>
  <c r="J16" i="24"/>
  <c r="Y16" i="24"/>
  <c r="Y8" i="24"/>
  <c r="W8" i="24"/>
  <c r="J8" i="24"/>
  <c r="W11" i="24"/>
  <c r="J11" i="24"/>
  <c r="Y11" i="24"/>
  <c r="I16" i="24"/>
  <c r="M16" i="24" s="1"/>
  <c r="I9" i="24"/>
  <c r="M9" i="24" s="1"/>
  <c r="I11" i="24"/>
  <c r="M11" i="24" s="1"/>
  <c r="H7" i="24"/>
  <c r="I8" i="24"/>
  <c r="M8" i="24" s="1"/>
  <c r="I10" i="24"/>
  <c r="M10" i="24" s="1"/>
  <c r="W12" i="24"/>
  <c r="H13" i="24"/>
  <c r="W15" i="24"/>
  <c r="H29" i="24"/>
  <c r="I37" i="24"/>
  <c r="J37" i="24" s="1"/>
  <c r="H14" i="24"/>
  <c r="I38" i="24"/>
  <c r="J38" i="24" s="1"/>
  <c r="Y13" i="23"/>
  <c r="H14" i="23"/>
  <c r="J14" i="23" s="1"/>
  <c r="F18" i="23"/>
  <c r="F20" i="23" s="1"/>
  <c r="Z7" i="23" s="1"/>
  <c r="I7" i="23"/>
  <c r="Y10" i="23"/>
  <c r="W10" i="23"/>
  <c r="J10" i="23"/>
  <c r="W7" i="23"/>
  <c r="J7" i="23"/>
  <c r="Y7" i="23"/>
  <c r="J11" i="23"/>
  <c r="Y11" i="23"/>
  <c r="W11" i="23"/>
  <c r="I12" i="23"/>
  <c r="M12" i="23" s="1"/>
  <c r="J15" i="23"/>
  <c r="Y15" i="23"/>
  <c r="W15" i="23"/>
  <c r="Y8" i="23"/>
  <c r="W8" i="23"/>
  <c r="J8" i="23"/>
  <c r="I9" i="23"/>
  <c r="M9" i="23" s="1"/>
  <c r="I11" i="23"/>
  <c r="M11" i="23" s="1"/>
  <c r="W9" i="23"/>
  <c r="J9" i="23"/>
  <c r="Y9" i="23"/>
  <c r="I10" i="23"/>
  <c r="M10" i="23" s="1"/>
  <c r="I47" i="23"/>
  <c r="W17" i="23"/>
  <c r="I29" i="23"/>
  <c r="J29" i="23" s="1"/>
  <c r="I31" i="23"/>
  <c r="J31" i="23" s="1"/>
  <c r="H32" i="23"/>
  <c r="H33" i="23"/>
  <c r="H34" i="23"/>
  <c r="H35" i="23"/>
  <c r="H38" i="23"/>
  <c r="H39" i="23"/>
  <c r="H40" i="23"/>
  <c r="G18" i="23"/>
  <c r="I8" i="23"/>
  <c r="M8" i="23" s="1"/>
  <c r="J17" i="23"/>
  <c r="J12" i="23"/>
  <c r="W12" i="23"/>
  <c r="J13" i="23"/>
  <c r="J26" i="23"/>
  <c r="I12" i="22"/>
  <c r="M12" i="22" s="1"/>
  <c r="J11" i="22"/>
  <c r="W11" i="22"/>
  <c r="Y11" i="22"/>
  <c r="J7" i="22"/>
  <c r="Y7" i="22"/>
  <c r="W7" i="22"/>
  <c r="J9" i="22"/>
  <c r="Y9" i="22"/>
  <c r="W9" i="22"/>
  <c r="I10" i="22"/>
  <c r="M10" i="22" s="1"/>
  <c r="J13" i="22"/>
  <c r="W13" i="22"/>
  <c r="Y13" i="22"/>
  <c r="F18" i="22"/>
  <c r="F20" i="22" s="1"/>
  <c r="Z7" i="22" s="1"/>
  <c r="I7" i="22"/>
  <c r="H10" i="22"/>
  <c r="H12" i="22"/>
  <c r="Y17" i="22"/>
  <c r="I32" i="22"/>
  <c r="J32" i="22" s="1"/>
  <c r="I36" i="22"/>
  <c r="J36" i="22" s="1"/>
  <c r="I38" i="22"/>
  <c r="J38" i="22" s="1"/>
  <c r="H44" i="22"/>
  <c r="H35" i="22"/>
  <c r="H37" i="22"/>
  <c r="J8" i="22"/>
  <c r="J16" i="22"/>
  <c r="G18" i="22"/>
  <c r="H31" i="22"/>
  <c r="H41" i="22"/>
  <c r="W8" i="22"/>
  <c r="I13" i="22"/>
  <c r="M13" i="22" s="1"/>
  <c r="W16" i="22"/>
  <c r="J17" i="22"/>
  <c r="H42" i="22"/>
  <c r="Y13" i="21"/>
  <c r="I15" i="21"/>
  <c r="M15" i="21" s="1"/>
  <c r="Y15" i="21"/>
  <c r="W15" i="21"/>
  <c r="Y14" i="21"/>
  <c r="W14" i="21"/>
  <c r="I12" i="21"/>
  <c r="M12" i="21" s="1"/>
  <c r="I10" i="21"/>
  <c r="M10" i="21" s="1"/>
  <c r="I7" i="21"/>
  <c r="M7" i="21" s="1"/>
  <c r="H7" i="21"/>
  <c r="J7" i="21" s="1"/>
  <c r="I11" i="21"/>
  <c r="M11" i="21" s="1"/>
  <c r="W11" i="21"/>
  <c r="Y11" i="21"/>
  <c r="J11" i="21"/>
  <c r="W9" i="21"/>
  <c r="J9" i="21"/>
  <c r="Y9" i="21"/>
  <c r="I47" i="21"/>
  <c r="W8" i="21"/>
  <c r="J8" i="21"/>
  <c r="Y8" i="21"/>
  <c r="H10" i="21"/>
  <c r="H12" i="21"/>
  <c r="J17" i="21"/>
  <c r="I31" i="21"/>
  <c r="J31" i="21" s="1"/>
  <c r="W7" i="21"/>
  <c r="I8" i="21"/>
  <c r="M8" i="21" s="1"/>
  <c r="I13" i="21"/>
  <c r="M13" i="21" s="1"/>
  <c r="E29" i="21"/>
  <c r="J13" i="21"/>
  <c r="I14" i="21"/>
  <c r="M14" i="21" s="1"/>
  <c r="Y17" i="21"/>
  <c r="I32" i="21"/>
  <c r="J32" i="21" s="1"/>
  <c r="H33" i="21"/>
  <c r="S33" i="21" s="1"/>
  <c r="I36" i="21"/>
  <c r="J36" i="21" s="1"/>
  <c r="I38" i="21"/>
  <c r="J38" i="21" s="1"/>
  <c r="H44" i="21"/>
  <c r="S44" i="21" s="1"/>
  <c r="J26" i="21"/>
  <c r="F18" i="21"/>
  <c r="F20" i="21" s="1"/>
  <c r="Z16" i="21" s="1"/>
  <c r="G18" i="21"/>
  <c r="H41" i="21"/>
  <c r="S41" i="21" s="1"/>
  <c r="H42" i="21"/>
  <c r="S42" i="21" s="1"/>
  <c r="Z15" i="28" l="1"/>
  <c r="Z14" i="28"/>
  <c r="I22" i="28"/>
  <c r="Z16" i="28"/>
  <c r="Z13" i="28"/>
  <c r="Z12" i="28"/>
  <c r="Z17" i="28"/>
  <c r="Z9" i="28"/>
  <c r="Z10" i="28"/>
  <c r="Z7" i="28"/>
  <c r="Z8" i="28"/>
  <c r="Z11" i="28"/>
  <c r="I18" i="28"/>
  <c r="Y10" i="24"/>
  <c r="Y9" i="24"/>
  <c r="J10" i="24"/>
  <c r="Z8" i="24"/>
  <c r="M7" i="24"/>
  <c r="I18" i="24"/>
  <c r="I22" i="24"/>
  <c r="G19" i="24"/>
  <c r="Z14" i="24"/>
  <c r="Z11" i="24"/>
  <c r="Z9" i="24"/>
  <c r="Z16" i="24"/>
  <c r="Z15" i="24"/>
  <c r="Y13" i="24"/>
  <c r="J13" i="24"/>
  <c r="W13" i="24"/>
  <c r="Z13" i="24"/>
  <c r="W14" i="24"/>
  <c r="J14" i="24"/>
  <c r="Y14" i="24"/>
  <c r="Z12" i="24"/>
  <c r="Z10" i="24"/>
  <c r="W7" i="24"/>
  <c r="Y7" i="24"/>
  <c r="J7" i="24"/>
  <c r="Z7" i="24"/>
  <c r="Y14" i="23"/>
  <c r="W14" i="23"/>
  <c r="Z15" i="23"/>
  <c r="Z16" i="23"/>
  <c r="Z11" i="23"/>
  <c r="Z17" i="23"/>
  <c r="Z13" i="23"/>
  <c r="Z14" i="23"/>
  <c r="Z12" i="23"/>
  <c r="Z10" i="23"/>
  <c r="Z9" i="23"/>
  <c r="I18" i="23"/>
  <c r="M7" i="23"/>
  <c r="I22" i="23"/>
  <c r="Z8" i="23"/>
  <c r="G19" i="23"/>
  <c r="Z9" i="22"/>
  <c r="Z17" i="22"/>
  <c r="Z14" i="22"/>
  <c r="Z13" i="22"/>
  <c r="G19" i="22"/>
  <c r="Z8" i="22"/>
  <c r="I22" i="22"/>
  <c r="Z10" i="22"/>
  <c r="Y10" i="22"/>
  <c r="W10" i="22"/>
  <c r="J10" i="22"/>
  <c r="Z16" i="22"/>
  <c r="I18" i="22"/>
  <c r="M7" i="22"/>
  <c r="Y12" i="22"/>
  <c r="W12" i="22"/>
  <c r="J12" i="22"/>
  <c r="I47" i="22"/>
  <c r="Z11" i="22"/>
  <c r="Z15" i="22"/>
  <c r="Z12" i="22"/>
  <c r="Y7" i="21"/>
  <c r="Z13" i="21"/>
  <c r="Z17" i="21"/>
  <c r="Z9" i="21"/>
  <c r="Z8" i="21"/>
  <c r="Z14" i="21"/>
  <c r="Y10" i="21"/>
  <c r="W10" i="21"/>
  <c r="J10" i="21"/>
  <c r="Z12" i="21"/>
  <c r="I22" i="21"/>
  <c r="Z7" i="21"/>
  <c r="G19" i="21"/>
  <c r="Z10" i="21"/>
  <c r="Z15" i="21"/>
  <c r="I18" i="21"/>
  <c r="Z11" i="21"/>
  <c r="Y12" i="21"/>
  <c r="W12" i="21"/>
  <c r="J12" i="21"/>
  <c r="S44" i="20" l="1"/>
  <c r="G10" i="20"/>
  <c r="D10" i="20"/>
  <c r="M44" i="20"/>
  <c r="H44" i="20"/>
  <c r="I44" i="20"/>
  <c r="J44" i="20" s="1"/>
  <c r="G44" i="20"/>
  <c r="E44" i="20"/>
  <c r="G12" i="20"/>
  <c r="H12" i="20" s="1"/>
  <c r="W12" i="20" s="1"/>
  <c r="D12" i="20"/>
  <c r="F12" i="20" s="1"/>
  <c r="G11" i="20"/>
  <c r="H11" i="20" s="1"/>
  <c r="Y11" i="20" s="1"/>
  <c r="D11" i="20"/>
  <c r="I21" i="20"/>
  <c r="F10" i="20"/>
  <c r="M43" i="20"/>
  <c r="I43" i="20"/>
  <c r="J43" i="20" s="1"/>
  <c r="G43" i="20"/>
  <c r="H43" i="20" s="1"/>
  <c r="S43" i="20" s="1"/>
  <c r="E43" i="20"/>
  <c r="M42" i="20"/>
  <c r="G42" i="20"/>
  <c r="H42" i="20" s="1"/>
  <c r="S42" i="20" s="1"/>
  <c r="E42" i="20"/>
  <c r="M41" i="20"/>
  <c r="G41" i="20"/>
  <c r="I41" i="20" s="1"/>
  <c r="J41" i="20" s="1"/>
  <c r="F41" i="20"/>
  <c r="E41" i="20" s="1"/>
  <c r="M40" i="20"/>
  <c r="I40" i="20"/>
  <c r="J40" i="20" s="1"/>
  <c r="H40" i="20"/>
  <c r="S40" i="20" s="1"/>
  <c r="G40" i="20"/>
  <c r="E40" i="20"/>
  <c r="S39" i="20"/>
  <c r="M39" i="20"/>
  <c r="I39" i="20"/>
  <c r="J39" i="20" s="1"/>
  <c r="H39" i="20"/>
  <c r="G39" i="20"/>
  <c r="E39" i="20"/>
  <c r="M38" i="20"/>
  <c r="G38" i="20"/>
  <c r="I38" i="20" s="1"/>
  <c r="J38" i="20" s="1"/>
  <c r="F38" i="20"/>
  <c r="D38" i="20"/>
  <c r="E38" i="20" s="1"/>
  <c r="M37" i="20"/>
  <c r="G37" i="20"/>
  <c r="I37" i="20" s="1"/>
  <c r="J37" i="20" s="1"/>
  <c r="F37" i="20"/>
  <c r="D37" i="20"/>
  <c r="E37" i="20" s="1"/>
  <c r="M36" i="20"/>
  <c r="G36" i="20"/>
  <c r="I36" i="20" s="1"/>
  <c r="J36" i="20" s="1"/>
  <c r="F36" i="20"/>
  <c r="D36" i="20"/>
  <c r="E36" i="20" s="1"/>
  <c r="M35" i="20"/>
  <c r="G35" i="20"/>
  <c r="I35" i="20" s="1"/>
  <c r="J35" i="20" s="1"/>
  <c r="E35" i="20"/>
  <c r="M34" i="20"/>
  <c r="I34" i="20"/>
  <c r="J34" i="20" s="1"/>
  <c r="H34" i="20"/>
  <c r="S34" i="20" s="1"/>
  <c r="G34" i="20"/>
  <c r="E34" i="20"/>
  <c r="M33" i="20"/>
  <c r="I33" i="20"/>
  <c r="J33" i="20" s="1"/>
  <c r="G33" i="20"/>
  <c r="H33" i="20" s="1"/>
  <c r="S33" i="20" s="1"/>
  <c r="E33" i="20"/>
  <c r="M32" i="20"/>
  <c r="G32" i="20"/>
  <c r="I32" i="20" s="1"/>
  <c r="J32" i="20" s="1"/>
  <c r="F32" i="20"/>
  <c r="E32" i="20" s="1"/>
  <c r="S31" i="20"/>
  <c r="M31" i="20"/>
  <c r="H31" i="20"/>
  <c r="G31" i="20"/>
  <c r="F31" i="20"/>
  <c r="E31" i="20" s="1"/>
  <c r="M30" i="20"/>
  <c r="J30" i="20"/>
  <c r="I30" i="20"/>
  <c r="H30" i="20"/>
  <c r="S30" i="20" s="1"/>
  <c r="E30" i="20"/>
  <c r="M29" i="20"/>
  <c r="J29" i="20"/>
  <c r="I29" i="20"/>
  <c r="H29" i="20"/>
  <c r="S29" i="20" s="1"/>
  <c r="F29" i="20"/>
  <c r="D29" i="20"/>
  <c r="E29" i="20" s="1"/>
  <c r="S28" i="20"/>
  <c r="M28" i="20"/>
  <c r="J28" i="20"/>
  <c r="I28" i="20"/>
  <c r="H28" i="20"/>
  <c r="E28" i="20"/>
  <c r="S27" i="20"/>
  <c r="M27" i="20"/>
  <c r="J27" i="20"/>
  <c r="I27" i="20"/>
  <c r="H27" i="20"/>
  <c r="E27" i="20"/>
  <c r="S26" i="20"/>
  <c r="M26" i="20"/>
  <c r="J26" i="20"/>
  <c r="I26" i="20"/>
  <c r="H26" i="20"/>
  <c r="E26" i="20"/>
  <c r="L22" i="20"/>
  <c r="V17" i="20"/>
  <c r="U17" i="20"/>
  <c r="T17" i="20"/>
  <c r="R17" i="20"/>
  <c r="L17" i="20"/>
  <c r="J17" i="20"/>
  <c r="H17" i="20"/>
  <c r="Y17" i="20" s="1"/>
  <c r="F17" i="20"/>
  <c r="I17" i="20" s="1"/>
  <c r="M17" i="20" s="1"/>
  <c r="V16" i="20"/>
  <c r="U16" i="20"/>
  <c r="T16" i="20"/>
  <c r="R16" i="20"/>
  <c r="L16" i="20"/>
  <c r="I16" i="20"/>
  <c r="M16" i="20" s="1"/>
  <c r="H16" i="20"/>
  <c r="J16" i="20" s="1"/>
  <c r="F16" i="20"/>
  <c r="V13" i="20"/>
  <c r="U13" i="20"/>
  <c r="T13" i="20"/>
  <c r="R13" i="20"/>
  <c r="L13" i="20"/>
  <c r="H13" i="20"/>
  <c r="J13" i="20" s="1"/>
  <c r="F13" i="20"/>
  <c r="I13" i="20" s="1"/>
  <c r="M13" i="20" s="1"/>
  <c r="V12" i="20"/>
  <c r="U12" i="20"/>
  <c r="T12" i="20"/>
  <c r="R12" i="20"/>
  <c r="L12" i="20"/>
  <c r="V11" i="20"/>
  <c r="U11" i="20"/>
  <c r="T11" i="20"/>
  <c r="R11" i="20"/>
  <c r="L11" i="20"/>
  <c r="F11" i="20"/>
  <c r="V10" i="20"/>
  <c r="U10" i="20"/>
  <c r="T10" i="20"/>
  <c r="R10" i="20"/>
  <c r="L10" i="20"/>
  <c r="V9" i="20"/>
  <c r="U9" i="20"/>
  <c r="T9" i="20"/>
  <c r="R9" i="20"/>
  <c r="L9" i="20"/>
  <c r="H9" i="20"/>
  <c r="J9" i="20" s="1"/>
  <c r="G9" i="20"/>
  <c r="F9" i="20"/>
  <c r="I9" i="20" s="1"/>
  <c r="M9" i="20" s="1"/>
  <c r="V8" i="20"/>
  <c r="U8" i="20"/>
  <c r="T8" i="20"/>
  <c r="R8" i="20"/>
  <c r="L8" i="20"/>
  <c r="H8" i="20"/>
  <c r="Y8" i="20" s="1"/>
  <c r="G8" i="20"/>
  <c r="F8" i="20"/>
  <c r="I8" i="20" s="1"/>
  <c r="M8" i="20" s="1"/>
  <c r="V7" i="20"/>
  <c r="U7" i="20"/>
  <c r="T7" i="20"/>
  <c r="R7" i="20"/>
  <c r="L7" i="20"/>
  <c r="G7" i="20"/>
  <c r="F7" i="20"/>
  <c r="V15" i="20"/>
  <c r="U15" i="20"/>
  <c r="T15" i="20"/>
  <c r="R15" i="20"/>
  <c r="L15" i="20"/>
  <c r="F15" i="20"/>
  <c r="I15" i="20" s="1"/>
  <c r="M15" i="20" s="1"/>
  <c r="V14" i="20"/>
  <c r="U14" i="20"/>
  <c r="T14" i="20"/>
  <c r="R14" i="20"/>
  <c r="L14" i="20"/>
  <c r="H14" i="20"/>
  <c r="Y14" i="20" s="1"/>
  <c r="F14" i="20"/>
  <c r="G13" i="19"/>
  <c r="H13" i="19" s="1"/>
  <c r="W13" i="19" s="1"/>
  <c r="G12" i="19"/>
  <c r="H12" i="19" s="1"/>
  <c r="Y12" i="19" s="1"/>
  <c r="G11" i="19"/>
  <c r="G10" i="19"/>
  <c r="G9" i="19"/>
  <c r="H9" i="19" s="1"/>
  <c r="J9" i="19" s="1"/>
  <c r="G8" i="19"/>
  <c r="S43" i="19"/>
  <c r="G43" i="19"/>
  <c r="H43" i="19" s="1"/>
  <c r="M43" i="19"/>
  <c r="E43" i="19"/>
  <c r="I21" i="19"/>
  <c r="M42" i="19"/>
  <c r="G42" i="19"/>
  <c r="I42" i="19" s="1"/>
  <c r="J42" i="19" s="1"/>
  <c r="E42" i="19"/>
  <c r="S41" i="19"/>
  <c r="M41" i="19"/>
  <c r="H41" i="19"/>
  <c r="G41" i="19"/>
  <c r="I41" i="19" s="1"/>
  <c r="J41" i="19" s="1"/>
  <c r="F41" i="19"/>
  <c r="E41" i="19"/>
  <c r="M40" i="19"/>
  <c r="G40" i="19"/>
  <c r="I40" i="19" s="1"/>
  <c r="J40" i="19" s="1"/>
  <c r="E40" i="19"/>
  <c r="M39" i="19"/>
  <c r="I39" i="19"/>
  <c r="J39" i="19" s="1"/>
  <c r="H39" i="19"/>
  <c r="S39" i="19" s="1"/>
  <c r="G39" i="19"/>
  <c r="E39" i="19"/>
  <c r="M38" i="19"/>
  <c r="G38" i="19"/>
  <c r="H38" i="19" s="1"/>
  <c r="S38" i="19" s="1"/>
  <c r="F38" i="19"/>
  <c r="I38" i="19" s="1"/>
  <c r="J38" i="19" s="1"/>
  <c r="E38" i="19"/>
  <c r="D38" i="19"/>
  <c r="M37" i="19"/>
  <c r="I37" i="19"/>
  <c r="J37" i="19" s="1"/>
  <c r="H37" i="19"/>
  <c r="S37" i="19" s="1"/>
  <c r="G37" i="19"/>
  <c r="F37" i="19"/>
  <c r="E37" i="19"/>
  <c r="D37" i="19"/>
  <c r="M36" i="19"/>
  <c r="H36" i="19"/>
  <c r="S36" i="19" s="1"/>
  <c r="G36" i="19"/>
  <c r="F36" i="19"/>
  <c r="I36" i="19" s="1"/>
  <c r="J36" i="19" s="1"/>
  <c r="E36" i="19"/>
  <c r="D36" i="19"/>
  <c r="M35" i="19"/>
  <c r="I35" i="19"/>
  <c r="J35" i="19" s="1"/>
  <c r="H35" i="19"/>
  <c r="S35" i="19" s="1"/>
  <c r="G35" i="19"/>
  <c r="E35" i="19"/>
  <c r="M34" i="19"/>
  <c r="I34" i="19"/>
  <c r="J34" i="19" s="1"/>
  <c r="G34" i="19"/>
  <c r="H34" i="19" s="1"/>
  <c r="S34" i="19" s="1"/>
  <c r="E34" i="19"/>
  <c r="M33" i="19"/>
  <c r="G33" i="19"/>
  <c r="I33" i="19" s="1"/>
  <c r="J33" i="19" s="1"/>
  <c r="E33" i="19"/>
  <c r="M32" i="19"/>
  <c r="H32" i="19"/>
  <c r="S32" i="19" s="1"/>
  <c r="G32" i="19"/>
  <c r="F32" i="19"/>
  <c r="I32" i="19" s="1"/>
  <c r="J32" i="19" s="1"/>
  <c r="E32" i="19"/>
  <c r="M31" i="19"/>
  <c r="G31" i="19"/>
  <c r="H31" i="19" s="1"/>
  <c r="S31" i="19" s="1"/>
  <c r="F31" i="19"/>
  <c r="E31" i="19"/>
  <c r="S30" i="19"/>
  <c r="M30" i="19"/>
  <c r="I30" i="19"/>
  <c r="J30" i="19" s="1"/>
  <c r="H30" i="19"/>
  <c r="E30" i="19"/>
  <c r="M29" i="19"/>
  <c r="I29" i="19"/>
  <c r="J29" i="19" s="1"/>
  <c r="F29" i="19"/>
  <c r="E29" i="19"/>
  <c r="D29" i="19"/>
  <c r="H29" i="19" s="1"/>
  <c r="S29" i="19" s="1"/>
  <c r="M28" i="19"/>
  <c r="I28" i="19"/>
  <c r="J28" i="19" s="1"/>
  <c r="H28" i="19"/>
  <c r="S28" i="19" s="1"/>
  <c r="E28" i="19"/>
  <c r="M27" i="19"/>
  <c r="I27" i="19"/>
  <c r="J27" i="19" s="1"/>
  <c r="H27" i="19"/>
  <c r="S27" i="19" s="1"/>
  <c r="E27" i="19"/>
  <c r="M26" i="19"/>
  <c r="I26" i="19"/>
  <c r="H26" i="19"/>
  <c r="S26" i="19" s="1"/>
  <c r="E26" i="19"/>
  <c r="L22" i="19"/>
  <c r="V17" i="19"/>
  <c r="U17" i="19"/>
  <c r="T17" i="19"/>
  <c r="R17" i="19"/>
  <c r="L17" i="19"/>
  <c r="I17" i="19"/>
  <c r="M17" i="19" s="1"/>
  <c r="H17" i="19"/>
  <c r="W17" i="19" s="1"/>
  <c r="F17" i="19"/>
  <c r="Y16" i="19"/>
  <c r="V16" i="19"/>
  <c r="U16" i="19"/>
  <c r="T16" i="19"/>
  <c r="R16" i="19"/>
  <c r="L16" i="19"/>
  <c r="J16" i="19"/>
  <c r="I16" i="19"/>
  <c r="M16" i="19" s="1"/>
  <c r="H16" i="19"/>
  <c r="W16" i="19" s="1"/>
  <c r="F16" i="19"/>
  <c r="W15" i="19"/>
  <c r="V15" i="19"/>
  <c r="U15" i="19"/>
  <c r="T15" i="19"/>
  <c r="R15" i="19"/>
  <c r="L15" i="19"/>
  <c r="J15" i="19"/>
  <c r="H15" i="19"/>
  <c r="Y15" i="19" s="1"/>
  <c r="F15" i="19"/>
  <c r="I15" i="19" s="1"/>
  <c r="M15" i="19" s="1"/>
  <c r="W14" i="19"/>
  <c r="V14" i="19"/>
  <c r="U14" i="19"/>
  <c r="T14" i="19"/>
  <c r="R14" i="19"/>
  <c r="M14" i="19"/>
  <c r="L14" i="19"/>
  <c r="I14" i="19"/>
  <c r="H14" i="19"/>
  <c r="Y14" i="19" s="1"/>
  <c r="F14" i="19"/>
  <c r="V13" i="19"/>
  <c r="U13" i="19"/>
  <c r="T13" i="19"/>
  <c r="R13" i="19"/>
  <c r="L13" i="19"/>
  <c r="F13" i="19"/>
  <c r="V12" i="19"/>
  <c r="U12" i="19"/>
  <c r="T12" i="19"/>
  <c r="R12" i="19"/>
  <c r="L12" i="19"/>
  <c r="F12" i="19"/>
  <c r="V11" i="19"/>
  <c r="U11" i="19"/>
  <c r="T11" i="19"/>
  <c r="R11" i="19"/>
  <c r="L11" i="19"/>
  <c r="H11" i="19"/>
  <c r="Y11" i="19" s="1"/>
  <c r="F11" i="19"/>
  <c r="I11" i="19" s="1"/>
  <c r="M11" i="19" s="1"/>
  <c r="V10" i="19"/>
  <c r="U10" i="19"/>
  <c r="T10" i="19"/>
  <c r="R10" i="19"/>
  <c r="L10" i="19"/>
  <c r="H10" i="19"/>
  <c r="F10" i="19"/>
  <c r="I10" i="19" s="1"/>
  <c r="M10" i="19" s="1"/>
  <c r="V9" i="19"/>
  <c r="U9" i="19"/>
  <c r="T9" i="19"/>
  <c r="R9" i="19"/>
  <c r="L9" i="19"/>
  <c r="F9" i="19"/>
  <c r="V8" i="19"/>
  <c r="U8" i="19"/>
  <c r="T8" i="19"/>
  <c r="R8" i="19"/>
  <c r="L8" i="19"/>
  <c r="F8" i="19"/>
  <c r="V7" i="19"/>
  <c r="U7" i="19"/>
  <c r="T7" i="19"/>
  <c r="R7" i="19"/>
  <c r="L7" i="19"/>
  <c r="H7" i="19"/>
  <c r="W7" i="19" s="1"/>
  <c r="F7" i="19"/>
  <c r="I7" i="19" s="1"/>
  <c r="M7" i="19" s="1"/>
  <c r="I21" i="18"/>
  <c r="G10" i="18"/>
  <c r="M42" i="18"/>
  <c r="G42" i="18"/>
  <c r="I42" i="18" s="1"/>
  <c r="J42" i="18" s="1"/>
  <c r="E42" i="18"/>
  <c r="M41" i="18"/>
  <c r="G41" i="18"/>
  <c r="H41" i="18" s="1"/>
  <c r="S41" i="18" s="1"/>
  <c r="F41" i="18"/>
  <c r="E41" i="18"/>
  <c r="M40" i="18"/>
  <c r="G40" i="18"/>
  <c r="I40" i="18" s="1"/>
  <c r="J40" i="18" s="1"/>
  <c r="E40" i="18"/>
  <c r="M39" i="18"/>
  <c r="I39" i="18"/>
  <c r="J39" i="18" s="1"/>
  <c r="H39" i="18"/>
  <c r="S39" i="18" s="1"/>
  <c r="G39" i="18"/>
  <c r="E39" i="18"/>
  <c r="M38" i="18"/>
  <c r="I38" i="18"/>
  <c r="J38" i="18" s="1"/>
  <c r="G38" i="18"/>
  <c r="H38" i="18" s="1"/>
  <c r="S38" i="18" s="1"/>
  <c r="F38" i="18"/>
  <c r="E38" i="18" s="1"/>
  <c r="D38" i="18"/>
  <c r="M37" i="18"/>
  <c r="G37" i="18"/>
  <c r="F37" i="18"/>
  <c r="E37" i="18" s="1"/>
  <c r="D37" i="18"/>
  <c r="H37" i="18" s="1"/>
  <c r="S37" i="18" s="1"/>
  <c r="M36" i="18"/>
  <c r="I36" i="18"/>
  <c r="J36" i="18" s="1"/>
  <c r="G36" i="18"/>
  <c r="H36" i="18" s="1"/>
  <c r="S36" i="18" s="1"/>
  <c r="F36" i="18"/>
  <c r="E36" i="18" s="1"/>
  <c r="D36" i="18"/>
  <c r="S35" i="18"/>
  <c r="M35" i="18"/>
  <c r="I35" i="18"/>
  <c r="J35" i="18" s="1"/>
  <c r="H35" i="18"/>
  <c r="G35" i="18"/>
  <c r="E35" i="18"/>
  <c r="M34" i="18"/>
  <c r="G34" i="18"/>
  <c r="I34" i="18" s="1"/>
  <c r="J34" i="18" s="1"/>
  <c r="E34" i="18"/>
  <c r="M33" i="18"/>
  <c r="J33" i="18"/>
  <c r="I33" i="18"/>
  <c r="H33" i="18"/>
  <c r="S33" i="18" s="1"/>
  <c r="G33" i="18"/>
  <c r="E33" i="18"/>
  <c r="M32" i="18"/>
  <c r="I32" i="18"/>
  <c r="J32" i="18" s="1"/>
  <c r="G32" i="18"/>
  <c r="H32" i="18" s="1"/>
  <c r="S32" i="18" s="1"/>
  <c r="F32" i="18"/>
  <c r="E32" i="18" s="1"/>
  <c r="M31" i="18"/>
  <c r="I31" i="18"/>
  <c r="J31" i="18" s="1"/>
  <c r="H31" i="18"/>
  <c r="S31" i="18" s="1"/>
  <c r="G31" i="18"/>
  <c r="F31" i="18"/>
  <c r="E31" i="18"/>
  <c r="M30" i="18"/>
  <c r="J30" i="18"/>
  <c r="I30" i="18"/>
  <c r="H30" i="18"/>
  <c r="S30" i="18" s="1"/>
  <c r="E30" i="18"/>
  <c r="M29" i="18"/>
  <c r="F29" i="18"/>
  <c r="I29" i="18" s="1"/>
  <c r="J29" i="18" s="1"/>
  <c r="D29" i="18"/>
  <c r="H29" i="18" s="1"/>
  <c r="S29" i="18" s="1"/>
  <c r="S28" i="18"/>
  <c r="M28" i="18"/>
  <c r="I28" i="18"/>
  <c r="J28" i="18" s="1"/>
  <c r="H28" i="18"/>
  <c r="E28" i="18"/>
  <c r="S27" i="18"/>
  <c r="M27" i="18"/>
  <c r="I27" i="18"/>
  <c r="J27" i="18" s="1"/>
  <c r="H27" i="18"/>
  <c r="E27" i="18"/>
  <c r="S26" i="18"/>
  <c r="M26" i="18"/>
  <c r="I26" i="18"/>
  <c r="H26" i="18"/>
  <c r="E26" i="18"/>
  <c r="L22" i="18"/>
  <c r="Y17" i="18"/>
  <c r="V17" i="18"/>
  <c r="U17" i="18"/>
  <c r="T17" i="18"/>
  <c r="R17" i="18"/>
  <c r="L17" i="18"/>
  <c r="I17" i="18"/>
  <c r="M17" i="18" s="1"/>
  <c r="H17" i="18"/>
  <c r="W17" i="18" s="1"/>
  <c r="F17" i="18"/>
  <c r="W16" i="18"/>
  <c r="V16" i="18"/>
  <c r="U16" i="18"/>
  <c r="T16" i="18"/>
  <c r="R16" i="18"/>
  <c r="L16" i="18"/>
  <c r="J16" i="18"/>
  <c r="H16" i="18"/>
  <c r="Y16" i="18" s="1"/>
  <c r="F16" i="18"/>
  <c r="I16" i="18" s="1"/>
  <c r="M16" i="18" s="1"/>
  <c r="V15" i="18"/>
  <c r="U15" i="18"/>
  <c r="T15" i="18"/>
  <c r="R15" i="18"/>
  <c r="M15" i="18"/>
  <c r="L15" i="18"/>
  <c r="I15" i="18"/>
  <c r="H15" i="18"/>
  <c r="J15" i="18" s="1"/>
  <c r="F15" i="18"/>
  <c r="Y14" i="18"/>
  <c r="W14" i="18"/>
  <c r="V14" i="18"/>
  <c r="U14" i="18"/>
  <c r="T14" i="18"/>
  <c r="R14" i="18"/>
  <c r="M14" i="18"/>
  <c r="L14" i="18"/>
  <c r="J14" i="18"/>
  <c r="I14" i="18"/>
  <c r="H14" i="18"/>
  <c r="F14" i="18"/>
  <c r="V13" i="18"/>
  <c r="U13" i="18"/>
  <c r="T13" i="18"/>
  <c r="R13" i="18"/>
  <c r="L13" i="18"/>
  <c r="J13" i="18"/>
  <c r="H13" i="18"/>
  <c r="Y13" i="18" s="1"/>
  <c r="F13" i="18"/>
  <c r="I13" i="18" s="1"/>
  <c r="M13" i="18" s="1"/>
  <c r="V12" i="18"/>
  <c r="U12" i="18"/>
  <c r="T12" i="18"/>
  <c r="R12" i="18"/>
  <c r="L12" i="18"/>
  <c r="I12" i="18"/>
  <c r="M12" i="18" s="1"/>
  <c r="H12" i="18"/>
  <c r="Y12" i="18" s="1"/>
  <c r="F12" i="18"/>
  <c r="Y11" i="18"/>
  <c r="V11" i="18"/>
  <c r="U11" i="18"/>
  <c r="T11" i="18"/>
  <c r="R11" i="18"/>
  <c r="L11" i="18"/>
  <c r="J11" i="18"/>
  <c r="I11" i="18"/>
  <c r="M11" i="18" s="1"/>
  <c r="H11" i="18"/>
  <c r="W11" i="18" s="1"/>
  <c r="F11" i="18"/>
  <c r="V10" i="18"/>
  <c r="U10" i="18"/>
  <c r="T10" i="18"/>
  <c r="R10" i="18"/>
  <c r="L10" i="18"/>
  <c r="H10" i="18"/>
  <c r="Y10" i="18" s="1"/>
  <c r="F10" i="18"/>
  <c r="I10" i="18" s="1"/>
  <c r="M10" i="18" s="1"/>
  <c r="W9" i="18"/>
  <c r="V9" i="18"/>
  <c r="U9" i="18"/>
  <c r="T9" i="18"/>
  <c r="R9" i="18"/>
  <c r="L9" i="18"/>
  <c r="H9" i="18"/>
  <c r="J9" i="18" s="1"/>
  <c r="G9" i="18"/>
  <c r="F9" i="18"/>
  <c r="I9" i="18" s="1"/>
  <c r="M9" i="18" s="1"/>
  <c r="V8" i="18"/>
  <c r="U8" i="18"/>
  <c r="T8" i="18"/>
  <c r="R8" i="18"/>
  <c r="L8" i="18"/>
  <c r="G8" i="18"/>
  <c r="G18" i="18" s="1"/>
  <c r="F8" i="18"/>
  <c r="I8" i="18" s="1"/>
  <c r="M8" i="18" s="1"/>
  <c r="Y7" i="18"/>
  <c r="V7" i="18"/>
  <c r="U7" i="18"/>
  <c r="T7" i="18"/>
  <c r="R7" i="18"/>
  <c r="L7" i="18"/>
  <c r="J7" i="18"/>
  <c r="H7" i="18"/>
  <c r="W7" i="18" s="1"/>
  <c r="F7" i="18"/>
  <c r="I7" i="18" s="1"/>
  <c r="M7" i="18" s="1"/>
  <c r="S42" i="17"/>
  <c r="S41" i="17"/>
  <c r="W9" i="20" l="1"/>
  <c r="Y9" i="20"/>
  <c r="W8" i="20"/>
  <c r="W14" i="20"/>
  <c r="W13" i="20"/>
  <c r="Y13" i="20"/>
  <c r="I12" i="20"/>
  <c r="M12" i="20" s="1"/>
  <c r="G18" i="20"/>
  <c r="J12" i="20"/>
  <c r="Y12" i="20"/>
  <c r="I11" i="20"/>
  <c r="M11" i="20" s="1"/>
  <c r="W11" i="20"/>
  <c r="I7" i="20"/>
  <c r="M7" i="20" s="1"/>
  <c r="I10" i="20"/>
  <c r="M10" i="20" s="1"/>
  <c r="W16" i="20"/>
  <c r="I14" i="20"/>
  <c r="Y16" i="20"/>
  <c r="W17" i="20"/>
  <c r="H32" i="20"/>
  <c r="S32" i="20" s="1"/>
  <c r="H36" i="20"/>
  <c r="S36" i="20" s="1"/>
  <c r="H38" i="20"/>
  <c r="S38" i="20" s="1"/>
  <c r="I42" i="20"/>
  <c r="J42" i="20" s="1"/>
  <c r="I31" i="20"/>
  <c r="J31" i="20" s="1"/>
  <c r="J14" i="20"/>
  <c r="H15" i="20"/>
  <c r="J8" i="20"/>
  <c r="J11" i="20"/>
  <c r="H7" i="20"/>
  <c r="H10" i="20"/>
  <c r="F18" i="20"/>
  <c r="F20" i="20" s="1"/>
  <c r="H35" i="20"/>
  <c r="S35" i="20" s="1"/>
  <c r="H37" i="20"/>
  <c r="S37" i="20" s="1"/>
  <c r="H41" i="20"/>
  <c r="S41" i="20" s="1"/>
  <c r="I13" i="19"/>
  <c r="M13" i="19" s="1"/>
  <c r="I9" i="19"/>
  <c r="M9" i="19" s="1"/>
  <c r="W9" i="19"/>
  <c r="I8" i="19"/>
  <c r="M8" i="19" s="1"/>
  <c r="J7" i="19"/>
  <c r="Y7" i="19"/>
  <c r="I43" i="19"/>
  <c r="J43" i="19" s="1"/>
  <c r="Y13" i="19"/>
  <c r="J13" i="19"/>
  <c r="G18" i="19"/>
  <c r="J12" i="19"/>
  <c r="F18" i="19"/>
  <c r="Y10" i="19"/>
  <c r="W10" i="19"/>
  <c r="J10" i="19"/>
  <c r="H8" i="19"/>
  <c r="Y9" i="19"/>
  <c r="J11" i="19"/>
  <c r="I12" i="19"/>
  <c r="M12" i="19" s="1"/>
  <c r="J17" i="19"/>
  <c r="I31" i="19"/>
  <c r="J31" i="19" s="1"/>
  <c r="H42" i="19"/>
  <c r="S42" i="19" s="1"/>
  <c r="W11" i="19"/>
  <c r="W12" i="19"/>
  <c r="Y17" i="19"/>
  <c r="H33" i="19"/>
  <c r="S33" i="19" s="1"/>
  <c r="J14" i="19"/>
  <c r="J26" i="19"/>
  <c r="H40" i="19"/>
  <c r="S40" i="19" s="1"/>
  <c r="F18" i="18"/>
  <c r="F20" i="18" s="1"/>
  <c r="Z17" i="18" s="1"/>
  <c r="J10" i="18"/>
  <c r="W10" i="18"/>
  <c r="I47" i="18"/>
  <c r="I37" i="18"/>
  <c r="J37" i="18" s="1"/>
  <c r="H8" i="18"/>
  <c r="Y9" i="18"/>
  <c r="Y15" i="18"/>
  <c r="J17" i="18"/>
  <c r="I18" i="18"/>
  <c r="I41" i="18"/>
  <c r="J41" i="18" s="1"/>
  <c r="H42" i="18"/>
  <c r="S42" i="18" s="1"/>
  <c r="W15" i="18"/>
  <c r="J12" i="18"/>
  <c r="E29" i="18"/>
  <c r="W12" i="18"/>
  <c r="W13" i="18"/>
  <c r="J26" i="18"/>
  <c r="H34" i="18"/>
  <c r="S34" i="18" s="1"/>
  <c r="H40" i="18"/>
  <c r="S40" i="18" s="1"/>
  <c r="I10" i="17"/>
  <c r="G9" i="17"/>
  <c r="H9" i="17" s="1"/>
  <c r="I21" i="17"/>
  <c r="I47" i="17"/>
  <c r="M42" i="17"/>
  <c r="G42" i="17"/>
  <c r="I42" i="17" s="1"/>
  <c r="J42" i="17" s="1"/>
  <c r="E42" i="17"/>
  <c r="M41" i="17"/>
  <c r="G41" i="17"/>
  <c r="F41" i="17"/>
  <c r="E41" i="17" s="1"/>
  <c r="M40" i="17"/>
  <c r="G40" i="17"/>
  <c r="H40" i="17" s="1"/>
  <c r="S40" i="17" s="1"/>
  <c r="E40" i="17"/>
  <c r="M39" i="17"/>
  <c r="H39" i="17"/>
  <c r="S39" i="17" s="1"/>
  <c r="G39" i="17"/>
  <c r="I39" i="17" s="1"/>
  <c r="J39" i="17" s="1"/>
  <c r="E39" i="17"/>
  <c r="M38" i="17"/>
  <c r="G38" i="17"/>
  <c r="I38" i="17" s="1"/>
  <c r="J38" i="17" s="1"/>
  <c r="F38" i="17"/>
  <c r="D38" i="17"/>
  <c r="E38" i="17" s="1"/>
  <c r="M37" i="17"/>
  <c r="G37" i="17"/>
  <c r="I37" i="17" s="1"/>
  <c r="J37" i="17" s="1"/>
  <c r="F37" i="17"/>
  <c r="D37" i="17"/>
  <c r="M36" i="17"/>
  <c r="G36" i="17"/>
  <c r="I36" i="17" s="1"/>
  <c r="J36" i="17" s="1"/>
  <c r="F36" i="17"/>
  <c r="D36" i="17"/>
  <c r="E36" i="17" s="1"/>
  <c r="M35" i="17"/>
  <c r="G35" i="17"/>
  <c r="I35" i="17" s="1"/>
  <c r="J35" i="17" s="1"/>
  <c r="E35" i="17"/>
  <c r="M34" i="17"/>
  <c r="G34" i="17"/>
  <c r="H34" i="17" s="1"/>
  <c r="S34" i="17" s="1"/>
  <c r="E34" i="17"/>
  <c r="M33" i="17"/>
  <c r="G33" i="17"/>
  <c r="I33" i="17" s="1"/>
  <c r="J33" i="17" s="1"/>
  <c r="E33" i="17"/>
  <c r="M32" i="17"/>
  <c r="G32" i="17"/>
  <c r="I32" i="17" s="1"/>
  <c r="J32" i="17" s="1"/>
  <c r="F32" i="17"/>
  <c r="E32" i="17" s="1"/>
  <c r="M31" i="17"/>
  <c r="G31" i="17"/>
  <c r="I31" i="17" s="1"/>
  <c r="J31" i="17" s="1"/>
  <c r="F31" i="17"/>
  <c r="E31" i="17"/>
  <c r="S30" i="17"/>
  <c r="M30" i="17"/>
  <c r="I30" i="17"/>
  <c r="J30" i="17" s="1"/>
  <c r="H30" i="17"/>
  <c r="E30" i="17"/>
  <c r="M29" i="17"/>
  <c r="F29" i="17"/>
  <c r="D29" i="17"/>
  <c r="H29" i="17" s="1"/>
  <c r="S29" i="17" s="1"/>
  <c r="M28" i="17"/>
  <c r="I28" i="17"/>
  <c r="J28" i="17" s="1"/>
  <c r="H28" i="17"/>
  <c r="S28" i="17" s="1"/>
  <c r="E28" i="17"/>
  <c r="M27" i="17"/>
  <c r="I27" i="17"/>
  <c r="J27" i="17" s="1"/>
  <c r="H27" i="17"/>
  <c r="S27" i="17" s="1"/>
  <c r="E27" i="17"/>
  <c r="M26" i="17"/>
  <c r="I26" i="17"/>
  <c r="H26" i="17"/>
  <c r="S26" i="17" s="1"/>
  <c r="E26" i="17"/>
  <c r="L22" i="17"/>
  <c r="V17" i="17"/>
  <c r="U17" i="17"/>
  <c r="T17" i="17"/>
  <c r="R17" i="17"/>
  <c r="L17" i="17"/>
  <c r="H17" i="17"/>
  <c r="W17" i="17" s="1"/>
  <c r="F17" i="17"/>
  <c r="V16" i="17"/>
  <c r="U16" i="17"/>
  <c r="T16" i="17"/>
  <c r="R16" i="17"/>
  <c r="L16" i="17"/>
  <c r="H16" i="17"/>
  <c r="W16" i="17" s="1"/>
  <c r="F16" i="17"/>
  <c r="V15" i="17"/>
  <c r="U15" i="17"/>
  <c r="T15" i="17"/>
  <c r="R15" i="17"/>
  <c r="L15" i="17"/>
  <c r="H15" i="17"/>
  <c r="J15" i="17" s="1"/>
  <c r="F15" i="17"/>
  <c r="I15" i="17" s="1"/>
  <c r="M15" i="17" s="1"/>
  <c r="V14" i="17"/>
  <c r="U14" i="17"/>
  <c r="T14" i="17"/>
  <c r="R14" i="17"/>
  <c r="L14" i="17"/>
  <c r="I14" i="17"/>
  <c r="M14" i="17" s="1"/>
  <c r="H14" i="17"/>
  <c r="J14" i="17" s="1"/>
  <c r="F14" i="17"/>
  <c r="V13" i="17"/>
  <c r="U13" i="17"/>
  <c r="T13" i="17"/>
  <c r="R13" i="17"/>
  <c r="L13" i="17"/>
  <c r="I13" i="17"/>
  <c r="M13" i="17" s="1"/>
  <c r="H13" i="17"/>
  <c r="Y13" i="17" s="1"/>
  <c r="F13" i="17"/>
  <c r="Y12" i="17"/>
  <c r="W12" i="17"/>
  <c r="V12" i="17"/>
  <c r="U12" i="17"/>
  <c r="T12" i="17"/>
  <c r="R12" i="17"/>
  <c r="L12" i="17"/>
  <c r="J12" i="17"/>
  <c r="H12" i="17"/>
  <c r="F12" i="17"/>
  <c r="V11" i="17"/>
  <c r="U11" i="17"/>
  <c r="T11" i="17"/>
  <c r="R11" i="17"/>
  <c r="L11" i="17"/>
  <c r="H11" i="17"/>
  <c r="W11" i="17" s="1"/>
  <c r="F11" i="17"/>
  <c r="V10" i="17"/>
  <c r="U10" i="17"/>
  <c r="T10" i="17"/>
  <c r="R10" i="17"/>
  <c r="L10" i="17"/>
  <c r="H10" i="17"/>
  <c r="F10" i="17"/>
  <c r="V9" i="17"/>
  <c r="U9" i="17"/>
  <c r="T9" i="17"/>
  <c r="R9" i="17"/>
  <c r="L9" i="17"/>
  <c r="F9" i="17"/>
  <c r="V8" i="17"/>
  <c r="U8" i="17"/>
  <c r="T8" i="17"/>
  <c r="R8" i="17"/>
  <c r="L8" i="17"/>
  <c r="G8" i="17"/>
  <c r="G18" i="17" s="1"/>
  <c r="F8" i="17"/>
  <c r="V7" i="17"/>
  <c r="U7" i="17"/>
  <c r="T7" i="17"/>
  <c r="R7" i="17"/>
  <c r="L7" i="17"/>
  <c r="H7" i="17"/>
  <c r="W7" i="17" s="1"/>
  <c r="F7" i="17"/>
  <c r="I21" i="16"/>
  <c r="G10" i="16"/>
  <c r="G9" i="16"/>
  <c r="G8" i="16"/>
  <c r="H8" i="16" s="1"/>
  <c r="Y8" i="16" s="1"/>
  <c r="M40" i="16"/>
  <c r="G40" i="16"/>
  <c r="I40" i="16" s="1"/>
  <c r="J40" i="16" s="1"/>
  <c r="E40" i="16"/>
  <c r="M39" i="16"/>
  <c r="G39" i="16"/>
  <c r="H39" i="16" s="1"/>
  <c r="S39" i="16" s="1"/>
  <c r="E39" i="16"/>
  <c r="M38" i="16"/>
  <c r="H38" i="16"/>
  <c r="S38" i="16" s="1"/>
  <c r="G38" i="16"/>
  <c r="F38" i="16"/>
  <c r="I38" i="16" s="1"/>
  <c r="J38" i="16" s="1"/>
  <c r="D38" i="16"/>
  <c r="M37" i="16"/>
  <c r="I37" i="16"/>
  <c r="J37" i="16" s="1"/>
  <c r="H37" i="16"/>
  <c r="S37" i="16" s="1"/>
  <c r="G37" i="16"/>
  <c r="F37" i="16"/>
  <c r="E37" i="16"/>
  <c r="D37" i="16"/>
  <c r="M36" i="16"/>
  <c r="H36" i="16"/>
  <c r="S36" i="16" s="1"/>
  <c r="G36" i="16"/>
  <c r="F36" i="16"/>
  <c r="I36" i="16" s="1"/>
  <c r="J36" i="16" s="1"/>
  <c r="D36" i="16"/>
  <c r="M35" i="16"/>
  <c r="I35" i="16"/>
  <c r="J35" i="16" s="1"/>
  <c r="H35" i="16"/>
  <c r="S35" i="16" s="1"/>
  <c r="G35" i="16"/>
  <c r="E35" i="16"/>
  <c r="M34" i="16"/>
  <c r="J34" i="16"/>
  <c r="I34" i="16"/>
  <c r="G34" i="16"/>
  <c r="H34" i="16" s="1"/>
  <c r="S34" i="16" s="1"/>
  <c r="E34" i="16"/>
  <c r="M33" i="16"/>
  <c r="G33" i="16"/>
  <c r="H33" i="16" s="1"/>
  <c r="S33" i="16" s="1"/>
  <c r="E33" i="16"/>
  <c r="M32" i="16"/>
  <c r="H32" i="16"/>
  <c r="S32" i="16" s="1"/>
  <c r="G32" i="16"/>
  <c r="F32" i="16"/>
  <c r="I32" i="16" s="1"/>
  <c r="J32" i="16" s="1"/>
  <c r="M31" i="16"/>
  <c r="H31" i="16"/>
  <c r="S31" i="16" s="1"/>
  <c r="G31" i="16"/>
  <c r="I31" i="16" s="1"/>
  <c r="J31" i="16" s="1"/>
  <c r="F31" i="16"/>
  <c r="E31" i="16"/>
  <c r="S30" i="16"/>
  <c r="M30" i="16"/>
  <c r="J30" i="16"/>
  <c r="I30" i="16"/>
  <c r="H30" i="16"/>
  <c r="E30" i="16"/>
  <c r="M29" i="16"/>
  <c r="J29" i="16"/>
  <c r="I29" i="16"/>
  <c r="F29" i="16"/>
  <c r="E29" i="16"/>
  <c r="D29" i="16"/>
  <c r="H29" i="16" s="1"/>
  <c r="S29" i="16" s="1"/>
  <c r="M28" i="16"/>
  <c r="I28" i="16"/>
  <c r="J28" i="16" s="1"/>
  <c r="H28" i="16"/>
  <c r="S28" i="16" s="1"/>
  <c r="E28" i="16"/>
  <c r="M27" i="16"/>
  <c r="I27" i="16"/>
  <c r="J27" i="16" s="1"/>
  <c r="H27" i="16"/>
  <c r="S27" i="16" s="1"/>
  <c r="E27" i="16"/>
  <c r="M26" i="16"/>
  <c r="I26" i="16"/>
  <c r="H26" i="16"/>
  <c r="S26" i="16" s="1"/>
  <c r="E26" i="16"/>
  <c r="L22" i="16"/>
  <c r="G18" i="16"/>
  <c r="W17" i="16"/>
  <c r="V17" i="16"/>
  <c r="U17" i="16"/>
  <c r="T17" i="16"/>
  <c r="R17" i="16"/>
  <c r="L17" i="16"/>
  <c r="I17" i="16"/>
  <c r="M17" i="16" s="1"/>
  <c r="H17" i="16"/>
  <c r="J17" i="16" s="1"/>
  <c r="F17" i="16"/>
  <c r="Y16" i="16"/>
  <c r="W16" i="16"/>
  <c r="V16" i="16"/>
  <c r="U16" i="16"/>
  <c r="T16" i="16"/>
  <c r="R16" i="16"/>
  <c r="M16" i="16"/>
  <c r="L16" i="16"/>
  <c r="J16" i="16"/>
  <c r="I16" i="16"/>
  <c r="H16" i="16"/>
  <c r="F16" i="16"/>
  <c r="W15" i="16"/>
  <c r="V15" i="16"/>
  <c r="U15" i="16"/>
  <c r="T15" i="16"/>
  <c r="R15" i="16"/>
  <c r="L15" i="16"/>
  <c r="J15" i="16"/>
  <c r="H15" i="16"/>
  <c r="Y15" i="16" s="1"/>
  <c r="F15" i="16"/>
  <c r="V14" i="16"/>
  <c r="U14" i="16"/>
  <c r="T14" i="16"/>
  <c r="R14" i="16"/>
  <c r="M14" i="16"/>
  <c r="L14" i="16"/>
  <c r="I14" i="16"/>
  <c r="H14" i="16"/>
  <c r="Y14" i="16" s="1"/>
  <c r="F14" i="16"/>
  <c r="Y13" i="16"/>
  <c r="V13" i="16"/>
  <c r="U13" i="16"/>
  <c r="T13" i="16"/>
  <c r="R13" i="16"/>
  <c r="L13" i="16"/>
  <c r="J13" i="16"/>
  <c r="I13" i="16"/>
  <c r="M13" i="16" s="1"/>
  <c r="H13" i="16"/>
  <c r="W13" i="16" s="1"/>
  <c r="F13" i="16"/>
  <c r="V12" i="16"/>
  <c r="U12" i="16"/>
  <c r="T12" i="16"/>
  <c r="R12" i="16"/>
  <c r="L12" i="16"/>
  <c r="J12" i="16"/>
  <c r="H12" i="16"/>
  <c r="W12" i="16" s="1"/>
  <c r="F12" i="16"/>
  <c r="I12" i="16" s="1"/>
  <c r="M12" i="16" s="1"/>
  <c r="W11" i="16"/>
  <c r="V11" i="16"/>
  <c r="U11" i="16"/>
  <c r="T11" i="16"/>
  <c r="R11" i="16"/>
  <c r="L11" i="16"/>
  <c r="I11" i="16"/>
  <c r="M11" i="16" s="1"/>
  <c r="H11" i="16"/>
  <c r="J11" i="16" s="1"/>
  <c r="F11" i="16"/>
  <c r="V10" i="16"/>
  <c r="U10" i="16"/>
  <c r="T10" i="16"/>
  <c r="R10" i="16"/>
  <c r="L10" i="16"/>
  <c r="H10" i="16"/>
  <c r="J10" i="16" s="1"/>
  <c r="F10" i="16"/>
  <c r="I10" i="16" s="1"/>
  <c r="M10" i="16" s="1"/>
  <c r="V9" i="16"/>
  <c r="U9" i="16"/>
  <c r="T9" i="16"/>
  <c r="R9" i="16"/>
  <c r="L9" i="16"/>
  <c r="H9" i="16"/>
  <c r="Y9" i="16" s="1"/>
  <c r="F9" i="16"/>
  <c r="V8" i="16"/>
  <c r="U8" i="16"/>
  <c r="T8" i="16"/>
  <c r="R8" i="16"/>
  <c r="L8" i="16"/>
  <c r="F8" i="16"/>
  <c r="Y7" i="16"/>
  <c r="V7" i="16"/>
  <c r="U7" i="16"/>
  <c r="T7" i="16"/>
  <c r="R7" i="16"/>
  <c r="L7" i="16"/>
  <c r="J7" i="16"/>
  <c r="H7" i="16"/>
  <c r="W7" i="16" s="1"/>
  <c r="F7" i="16"/>
  <c r="I7" i="16" s="1"/>
  <c r="I21" i="15"/>
  <c r="M40" i="15"/>
  <c r="I40" i="15"/>
  <c r="J40" i="15" s="1"/>
  <c r="H40" i="15"/>
  <c r="S40" i="15" s="1"/>
  <c r="G40" i="15"/>
  <c r="E40" i="15"/>
  <c r="S39" i="15"/>
  <c r="M39" i="15"/>
  <c r="I39" i="15"/>
  <c r="J39" i="15" s="1"/>
  <c r="H39" i="15"/>
  <c r="G39" i="15"/>
  <c r="E39" i="15"/>
  <c r="M38" i="15"/>
  <c r="G38" i="15"/>
  <c r="I38" i="15" s="1"/>
  <c r="J38" i="15" s="1"/>
  <c r="F38" i="15"/>
  <c r="E38" i="15"/>
  <c r="D38" i="15"/>
  <c r="M37" i="15"/>
  <c r="I37" i="15"/>
  <c r="J37" i="15" s="1"/>
  <c r="H37" i="15"/>
  <c r="S37" i="15" s="1"/>
  <c r="G37" i="15"/>
  <c r="F37" i="15"/>
  <c r="D37" i="15"/>
  <c r="E37" i="15" s="1"/>
  <c r="M36" i="15"/>
  <c r="G36" i="15"/>
  <c r="I36" i="15" s="1"/>
  <c r="J36" i="15" s="1"/>
  <c r="F36" i="15"/>
  <c r="E36" i="15"/>
  <c r="D36" i="15"/>
  <c r="M35" i="15"/>
  <c r="I35" i="15"/>
  <c r="J35" i="15" s="1"/>
  <c r="H35" i="15"/>
  <c r="S35" i="15" s="1"/>
  <c r="G35" i="15"/>
  <c r="E35" i="15"/>
  <c r="S34" i="15"/>
  <c r="M34" i="15"/>
  <c r="I34" i="15"/>
  <c r="J34" i="15" s="1"/>
  <c r="H34" i="15"/>
  <c r="G34" i="15"/>
  <c r="E34" i="15"/>
  <c r="M33" i="15"/>
  <c r="G33" i="15"/>
  <c r="H33" i="15" s="1"/>
  <c r="S33" i="15" s="1"/>
  <c r="E33" i="15"/>
  <c r="M32" i="15"/>
  <c r="G32" i="15"/>
  <c r="I32" i="15" s="1"/>
  <c r="J32" i="15" s="1"/>
  <c r="F32" i="15"/>
  <c r="E32" i="15"/>
  <c r="M31" i="15"/>
  <c r="G31" i="15"/>
  <c r="H31" i="15" s="1"/>
  <c r="S31" i="15" s="1"/>
  <c r="F31" i="15"/>
  <c r="E31" i="15"/>
  <c r="S30" i="15"/>
  <c r="M30" i="15"/>
  <c r="I30" i="15"/>
  <c r="J30" i="15" s="1"/>
  <c r="H30" i="15"/>
  <c r="E30" i="15"/>
  <c r="M29" i="15"/>
  <c r="I29" i="15"/>
  <c r="J29" i="15" s="1"/>
  <c r="F29" i="15"/>
  <c r="E29" i="15" s="1"/>
  <c r="D29" i="15"/>
  <c r="H29" i="15" s="1"/>
  <c r="S29" i="15" s="1"/>
  <c r="S28" i="15"/>
  <c r="M28" i="15"/>
  <c r="I28" i="15"/>
  <c r="J28" i="15" s="1"/>
  <c r="H28" i="15"/>
  <c r="E28" i="15"/>
  <c r="S27" i="15"/>
  <c r="M27" i="15"/>
  <c r="I27" i="15"/>
  <c r="J27" i="15" s="1"/>
  <c r="H27" i="15"/>
  <c r="E27" i="15"/>
  <c r="S26" i="15"/>
  <c r="M26" i="15"/>
  <c r="I26" i="15"/>
  <c r="H26" i="15"/>
  <c r="E26" i="15"/>
  <c r="L22" i="15"/>
  <c r="G18" i="15"/>
  <c r="V17" i="15"/>
  <c r="U17" i="15"/>
  <c r="T17" i="15"/>
  <c r="R17" i="15"/>
  <c r="L17" i="15"/>
  <c r="I17" i="15"/>
  <c r="M17" i="15" s="1"/>
  <c r="H17" i="15"/>
  <c r="Y17" i="15" s="1"/>
  <c r="F17" i="15"/>
  <c r="Y16" i="15"/>
  <c r="W16" i="15"/>
  <c r="V16" i="15"/>
  <c r="U16" i="15"/>
  <c r="T16" i="15"/>
  <c r="R16" i="15"/>
  <c r="L16" i="15"/>
  <c r="J16" i="15"/>
  <c r="I16" i="15"/>
  <c r="M16" i="15" s="1"/>
  <c r="H16" i="15"/>
  <c r="F16" i="15"/>
  <c r="Y15" i="15"/>
  <c r="W15" i="15"/>
  <c r="V15" i="15"/>
  <c r="U15" i="15"/>
  <c r="T15" i="15"/>
  <c r="R15" i="15"/>
  <c r="L15" i="15"/>
  <c r="J15" i="15"/>
  <c r="H15" i="15"/>
  <c r="F15" i="15"/>
  <c r="Y14" i="15"/>
  <c r="W14" i="15"/>
  <c r="V14" i="15"/>
  <c r="U14" i="15"/>
  <c r="T14" i="15"/>
  <c r="R14" i="15"/>
  <c r="L14" i="15"/>
  <c r="H14" i="15"/>
  <c r="J14" i="15" s="1"/>
  <c r="F14" i="15"/>
  <c r="I14" i="15" s="1"/>
  <c r="M14" i="15" s="1"/>
  <c r="Y13" i="15"/>
  <c r="V13" i="15"/>
  <c r="U13" i="15"/>
  <c r="T13" i="15"/>
  <c r="R13" i="15"/>
  <c r="L13" i="15"/>
  <c r="H13" i="15"/>
  <c r="J13" i="15" s="1"/>
  <c r="F13" i="15"/>
  <c r="V12" i="15"/>
  <c r="U12" i="15"/>
  <c r="T12" i="15"/>
  <c r="R12" i="15"/>
  <c r="L12" i="15"/>
  <c r="H12" i="15"/>
  <c r="W12" i="15" s="1"/>
  <c r="F12" i="15"/>
  <c r="V11" i="15"/>
  <c r="U11" i="15"/>
  <c r="T11" i="15"/>
  <c r="R11" i="15"/>
  <c r="L11" i="15"/>
  <c r="I11" i="15"/>
  <c r="M11" i="15" s="1"/>
  <c r="H11" i="15"/>
  <c r="Y11" i="15" s="1"/>
  <c r="F11" i="15"/>
  <c r="W10" i="15"/>
  <c r="V10" i="15"/>
  <c r="U10" i="15"/>
  <c r="T10" i="15"/>
  <c r="R10" i="15"/>
  <c r="L10" i="15"/>
  <c r="J10" i="15"/>
  <c r="I10" i="15"/>
  <c r="M10" i="15" s="1"/>
  <c r="H10" i="15"/>
  <c r="Y10" i="15" s="1"/>
  <c r="F10" i="15"/>
  <c r="Y9" i="15"/>
  <c r="W9" i="15"/>
  <c r="V9" i="15"/>
  <c r="U9" i="15"/>
  <c r="T9" i="15"/>
  <c r="R9" i="15"/>
  <c r="M9" i="15"/>
  <c r="L9" i="15"/>
  <c r="J9" i="15"/>
  <c r="I9" i="15"/>
  <c r="H9" i="15"/>
  <c r="F9" i="15"/>
  <c r="Y8" i="15"/>
  <c r="W8" i="15"/>
  <c r="V8" i="15"/>
  <c r="U8" i="15"/>
  <c r="T8" i="15"/>
  <c r="R8" i="15"/>
  <c r="L8" i="15"/>
  <c r="J8" i="15"/>
  <c r="H8" i="15"/>
  <c r="F8" i="15"/>
  <c r="I8" i="15" s="1"/>
  <c r="M8" i="15" s="1"/>
  <c r="Y7" i="15"/>
  <c r="V7" i="15"/>
  <c r="U7" i="15"/>
  <c r="T7" i="15"/>
  <c r="R7" i="15"/>
  <c r="L7" i="15"/>
  <c r="H7" i="15"/>
  <c r="J7" i="15" s="1"/>
  <c r="F7" i="15"/>
  <c r="I7" i="15" s="1"/>
  <c r="I21" i="14"/>
  <c r="M40" i="14"/>
  <c r="G40" i="14"/>
  <c r="I40" i="14" s="1"/>
  <c r="J40" i="14" s="1"/>
  <c r="E40" i="14"/>
  <c r="M39" i="14"/>
  <c r="G39" i="14"/>
  <c r="H39" i="14" s="1"/>
  <c r="S39" i="14" s="1"/>
  <c r="E39" i="14"/>
  <c r="M38" i="14"/>
  <c r="I38" i="14"/>
  <c r="J38" i="14" s="1"/>
  <c r="H38" i="14"/>
  <c r="S38" i="14" s="1"/>
  <c r="G38" i="14"/>
  <c r="F38" i="14"/>
  <c r="E38" i="14"/>
  <c r="D38" i="14"/>
  <c r="S37" i="14"/>
  <c r="M37" i="14"/>
  <c r="H37" i="14"/>
  <c r="G37" i="14"/>
  <c r="F37" i="14"/>
  <c r="I37" i="14" s="1"/>
  <c r="J37" i="14" s="1"/>
  <c r="E37" i="14"/>
  <c r="D37" i="14"/>
  <c r="M36" i="14"/>
  <c r="I36" i="14"/>
  <c r="J36" i="14" s="1"/>
  <c r="H36" i="14"/>
  <c r="S36" i="14" s="1"/>
  <c r="G36" i="14"/>
  <c r="F36" i="14"/>
  <c r="E36" i="14"/>
  <c r="D36" i="14"/>
  <c r="S35" i="14"/>
  <c r="M35" i="14"/>
  <c r="I35" i="14"/>
  <c r="J35" i="14" s="1"/>
  <c r="H35" i="14"/>
  <c r="G35" i="14"/>
  <c r="E35" i="14"/>
  <c r="M34" i="14"/>
  <c r="G34" i="14"/>
  <c r="I34" i="14" s="1"/>
  <c r="J34" i="14" s="1"/>
  <c r="E34" i="14"/>
  <c r="M33" i="14"/>
  <c r="G33" i="14"/>
  <c r="H33" i="14" s="1"/>
  <c r="S33" i="14" s="1"/>
  <c r="E33" i="14"/>
  <c r="M32" i="14"/>
  <c r="I32" i="14"/>
  <c r="J32" i="14" s="1"/>
  <c r="H32" i="14"/>
  <c r="S32" i="14" s="1"/>
  <c r="G32" i="14"/>
  <c r="F32" i="14"/>
  <c r="E32" i="14"/>
  <c r="M31" i="14"/>
  <c r="G31" i="14"/>
  <c r="I31" i="14" s="1"/>
  <c r="J31" i="14" s="1"/>
  <c r="F31" i="14"/>
  <c r="E31" i="14"/>
  <c r="S30" i="14"/>
  <c r="M30" i="14"/>
  <c r="I30" i="14"/>
  <c r="J30" i="14" s="1"/>
  <c r="H30" i="14"/>
  <c r="E30" i="14"/>
  <c r="S29" i="14"/>
  <c r="M29" i="14"/>
  <c r="H29" i="14"/>
  <c r="F29" i="14"/>
  <c r="I29" i="14" s="1"/>
  <c r="J29" i="14" s="1"/>
  <c r="E29" i="14"/>
  <c r="D29" i="14"/>
  <c r="M28" i="14"/>
  <c r="I28" i="14"/>
  <c r="J28" i="14" s="1"/>
  <c r="H28" i="14"/>
  <c r="S28" i="14" s="1"/>
  <c r="E28" i="14"/>
  <c r="M27" i="14"/>
  <c r="I27" i="14"/>
  <c r="J27" i="14" s="1"/>
  <c r="H27" i="14"/>
  <c r="S27" i="14" s="1"/>
  <c r="E27" i="14"/>
  <c r="M26" i="14"/>
  <c r="I26" i="14"/>
  <c r="H26" i="14"/>
  <c r="S26" i="14" s="1"/>
  <c r="E26" i="14"/>
  <c r="L22" i="14"/>
  <c r="G18" i="14"/>
  <c r="Y17" i="14"/>
  <c r="W17" i="14"/>
  <c r="V17" i="14"/>
  <c r="U17" i="14"/>
  <c r="T17" i="14"/>
  <c r="R17" i="14"/>
  <c r="M17" i="14"/>
  <c r="L17" i="14"/>
  <c r="I17" i="14"/>
  <c r="H17" i="14"/>
  <c r="J17" i="14" s="1"/>
  <c r="F17" i="14"/>
  <c r="Y16" i="14"/>
  <c r="V16" i="14"/>
  <c r="U16" i="14"/>
  <c r="T16" i="14"/>
  <c r="R16" i="14"/>
  <c r="L16" i="14"/>
  <c r="J16" i="14"/>
  <c r="H16" i="14"/>
  <c r="W16" i="14" s="1"/>
  <c r="F16" i="14"/>
  <c r="I16" i="14" s="1"/>
  <c r="M16" i="14" s="1"/>
  <c r="V15" i="14"/>
  <c r="U15" i="14"/>
  <c r="T15" i="14"/>
  <c r="R15" i="14"/>
  <c r="L15" i="14"/>
  <c r="H15" i="14"/>
  <c r="Y15" i="14" s="1"/>
  <c r="F15" i="14"/>
  <c r="V14" i="14"/>
  <c r="U14" i="14"/>
  <c r="T14" i="14"/>
  <c r="R14" i="14"/>
  <c r="L14" i="14"/>
  <c r="I14" i="14"/>
  <c r="M14" i="14" s="1"/>
  <c r="H14" i="14"/>
  <c r="Y14" i="14" s="1"/>
  <c r="F14" i="14"/>
  <c r="Y13" i="14"/>
  <c r="W13" i="14"/>
  <c r="V13" i="14"/>
  <c r="U13" i="14"/>
  <c r="T13" i="14"/>
  <c r="R13" i="14"/>
  <c r="L13" i="14"/>
  <c r="J13" i="14"/>
  <c r="I13" i="14"/>
  <c r="M13" i="14" s="1"/>
  <c r="H13" i="14"/>
  <c r="F13" i="14"/>
  <c r="Y12" i="14"/>
  <c r="W12" i="14"/>
  <c r="V12" i="14"/>
  <c r="U12" i="14"/>
  <c r="T12" i="14"/>
  <c r="R12" i="14"/>
  <c r="L12" i="14"/>
  <c r="J12" i="14"/>
  <c r="H12" i="14"/>
  <c r="F12" i="14"/>
  <c r="I12" i="14" s="1"/>
  <c r="M12" i="14" s="1"/>
  <c r="Y11" i="14"/>
  <c r="W11" i="14"/>
  <c r="V11" i="14"/>
  <c r="U11" i="14"/>
  <c r="T11" i="14"/>
  <c r="R11" i="14"/>
  <c r="L11" i="14"/>
  <c r="H11" i="14"/>
  <c r="J11" i="14" s="1"/>
  <c r="F11" i="14"/>
  <c r="I11" i="14" s="1"/>
  <c r="M11" i="14" s="1"/>
  <c r="Y10" i="14"/>
  <c r="V10" i="14"/>
  <c r="U10" i="14"/>
  <c r="T10" i="14"/>
  <c r="R10" i="14"/>
  <c r="L10" i="14"/>
  <c r="H10" i="14"/>
  <c r="W10" i="14" s="1"/>
  <c r="F10" i="14"/>
  <c r="I10" i="14" s="1"/>
  <c r="M10" i="14" s="1"/>
  <c r="V9" i="14"/>
  <c r="U9" i="14"/>
  <c r="T9" i="14"/>
  <c r="R9" i="14"/>
  <c r="L9" i="14"/>
  <c r="H9" i="14"/>
  <c r="Y9" i="14" s="1"/>
  <c r="F9" i="14"/>
  <c r="V8" i="14"/>
  <c r="U8" i="14"/>
  <c r="T8" i="14"/>
  <c r="R8" i="14"/>
  <c r="L8" i="14"/>
  <c r="I8" i="14"/>
  <c r="M8" i="14" s="1"/>
  <c r="H8" i="14"/>
  <c r="Y8" i="14" s="1"/>
  <c r="F8" i="14"/>
  <c r="Y7" i="14"/>
  <c r="W7" i="14"/>
  <c r="V7" i="14"/>
  <c r="U7" i="14"/>
  <c r="T7" i="14"/>
  <c r="R7" i="14"/>
  <c r="L7" i="14"/>
  <c r="J7" i="14"/>
  <c r="I7" i="14"/>
  <c r="H7" i="14"/>
  <c r="F7" i="14"/>
  <c r="I21" i="13"/>
  <c r="M40" i="13"/>
  <c r="G40" i="13"/>
  <c r="I40" i="13" s="1"/>
  <c r="J40" i="13" s="1"/>
  <c r="E40" i="13"/>
  <c r="S39" i="13"/>
  <c r="M39" i="13"/>
  <c r="H39" i="13"/>
  <c r="G39" i="13"/>
  <c r="I39" i="13" s="1"/>
  <c r="J39" i="13" s="1"/>
  <c r="E39" i="13"/>
  <c r="M38" i="13"/>
  <c r="G38" i="13"/>
  <c r="I38" i="13" s="1"/>
  <c r="J38" i="13" s="1"/>
  <c r="F38" i="13"/>
  <c r="E38" i="13" s="1"/>
  <c r="D38" i="13"/>
  <c r="M37" i="13"/>
  <c r="I37" i="13"/>
  <c r="J37" i="13" s="1"/>
  <c r="H37" i="13"/>
  <c r="S37" i="13" s="1"/>
  <c r="G37" i="13"/>
  <c r="F37" i="13"/>
  <c r="E37" i="13"/>
  <c r="D37" i="13"/>
  <c r="S36" i="13"/>
  <c r="M36" i="13"/>
  <c r="H36" i="13"/>
  <c r="G36" i="13"/>
  <c r="I36" i="13" s="1"/>
  <c r="J36" i="13" s="1"/>
  <c r="F36" i="13"/>
  <c r="E36" i="13" s="1"/>
  <c r="D36" i="13"/>
  <c r="M35" i="13"/>
  <c r="I35" i="13"/>
  <c r="J35" i="13" s="1"/>
  <c r="H35" i="13"/>
  <c r="S35" i="13" s="1"/>
  <c r="G35" i="13"/>
  <c r="E35" i="13"/>
  <c r="M34" i="13"/>
  <c r="J34" i="13"/>
  <c r="I34" i="13"/>
  <c r="G34" i="13"/>
  <c r="H34" i="13" s="1"/>
  <c r="S34" i="13" s="1"/>
  <c r="E34" i="13"/>
  <c r="M33" i="13"/>
  <c r="G33" i="13"/>
  <c r="H33" i="13" s="1"/>
  <c r="S33" i="13" s="1"/>
  <c r="E33" i="13"/>
  <c r="S32" i="13"/>
  <c r="M32" i="13"/>
  <c r="H32" i="13"/>
  <c r="G32" i="13"/>
  <c r="I32" i="13" s="1"/>
  <c r="J32" i="13" s="1"/>
  <c r="F32" i="13"/>
  <c r="E32" i="13" s="1"/>
  <c r="M31" i="13"/>
  <c r="H31" i="13"/>
  <c r="S31" i="13" s="1"/>
  <c r="G31" i="13"/>
  <c r="I31" i="13" s="1"/>
  <c r="J31" i="13" s="1"/>
  <c r="F31" i="13"/>
  <c r="E31" i="13"/>
  <c r="S30" i="13"/>
  <c r="M30" i="13"/>
  <c r="J30" i="13"/>
  <c r="I30" i="13"/>
  <c r="H30" i="13"/>
  <c r="E30" i="13"/>
  <c r="M29" i="13"/>
  <c r="J29" i="13"/>
  <c r="I29" i="13"/>
  <c r="F29" i="13"/>
  <c r="E29" i="13"/>
  <c r="D29" i="13"/>
  <c r="H29" i="13" s="1"/>
  <c r="S29" i="13" s="1"/>
  <c r="S28" i="13"/>
  <c r="M28" i="13"/>
  <c r="I28" i="13"/>
  <c r="J28" i="13" s="1"/>
  <c r="H28" i="13"/>
  <c r="E28" i="13"/>
  <c r="S27" i="13"/>
  <c r="M27" i="13"/>
  <c r="I27" i="13"/>
  <c r="J27" i="13" s="1"/>
  <c r="H27" i="13"/>
  <c r="E27" i="13"/>
  <c r="S26" i="13"/>
  <c r="M26" i="13"/>
  <c r="I26" i="13"/>
  <c r="H26" i="13"/>
  <c r="E26" i="13"/>
  <c r="L22" i="13"/>
  <c r="G18" i="13"/>
  <c r="W17" i="13"/>
  <c r="V17" i="13"/>
  <c r="U17" i="13"/>
  <c r="T17" i="13"/>
  <c r="R17" i="13"/>
  <c r="L17" i="13"/>
  <c r="I17" i="13"/>
  <c r="M17" i="13" s="1"/>
  <c r="H17" i="13"/>
  <c r="Y17" i="13" s="1"/>
  <c r="F17" i="13"/>
  <c r="Y16" i="13"/>
  <c r="W16" i="13"/>
  <c r="V16" i="13"/>
  <c r="U16" i="13"/>
  <c r="T16" i="13"/>
  <c r="R16" i="13"/>
  <c r="M16" i="13"/>
  <c r="L16" i="13"/>
  <c r="J16" i="13"/>
  <c r="I16" i="13"/>
  <c r="H16" i="13"/>
  <c r="F16" i="13"/>
  <c r="Y15" i="13"/>
  <c r="W15" i="13"/>
  <c r="V15" i="13"/>
  <c r="U15" i="13"/>
  <c r="T15" i="13"/>
  <c r="R15" i="13"/>
  <c r="L15" i="13"/>
  <c r="J15" i="13"/>
  <c r="H15" i="13"/>
  <c r="F15" i="13"/>
  <c r="Y14" i="13"/>
  <c r="V14" i="13"/>
  <c r="U14" i="13"/>
  <c r="T14" i="13"/>
  <c r="R14" i="13"/>
  <c r="L14" i="13"/>
  <c r="H14" i="13"/>
  <c r="W14" i="13" s="1"/>
  <c r="F14" i="13"/>
  <c r="I14" i="13" s="1"/>
  <c r="M14" i="13" s="1"/>
  <c r="Y13" i="13"/>
  <c r="V13" i="13"/>
  <c r="U13" i="13"/>
  <c r="T13" i="13"/>
  <c r="R13" i="13"/>
  <c r="L13" i="13"/>
  <c r="H13" i="13"/>
  <c r="J13" i="13" s="1"/>
  <c r="F13" i="13"/>
  <c r="I13" i="13" s="1"/>
  <c r="M13" i="13" s="1"/>
  <c r="V12" i="13"/>
  <c r="U12" i="13"/>
  <c r="T12" i="13"/>
  <c r="R12" i="13"/>
  <c r="L12" i="13"/>
  <c r="H12" i="13"/>
  <c r="W12" i="13" s="1"/>
  <c r="F12" i="13"/>
  <c r="I12" i="13" s="1"/>
  <c r="M12" i="13" s="1"/>
  <c r="W11" i="13"/>
  <c r="V11" i="13"/>
  <c r="U11" i="13"/>
  <c r="T11" i="13"/>
  <c r="R11" i="13"/>
  <c r="L11" i="13"/>
  <c r="I11" i="13"/>
  <c r="M11" i="13" s="1"/>
  <c r="H11" i="13"/>
  <c r="Y11" i="13" s="1"/>
  <c r="F11" i="13"/>
  <c r="Y10" i="13"/>
  <c r="V10" i="13"/>
  <c r="U10" i="13"/>
  <c r="T10" i="13"/>
  <c r="R10" i="13"/>
  <c r="M10" i="13"/>
  <c r="L10" i="13"/>
  <c r="J10" i="13"/>
  <c r="I10" i="13"/>
  <c r="H10" i="13"/>
  <c r="W10" i="13" s="1"/>
  <c r="F10" i="13"/>
  <c r="W9" i="13"/>
  <c r="V9" i="13"/>
  <c r="U9" i="13"/>
  <c r="T9" i="13"/>
  <c r="R9" i="13"/>
  <c r="L9" i="13"/>
  <c r="J9" i="13"/>
  <c r="H9" i="13"/>
  <c r="Y9" i="13" s="1"/>
  <c r="F9" i="13"/>
  <c r="Y8" i="13"/>
  <c r="V8" i="13"/>
  <c r="U8" i="13"/>
  <c r="T8" i="13"/>
  <c r="R8" i="13"/>
  <c r="L8" i="13"/>
  <c r="H8" i="13"/>
  <c r="W8" i="13" s="1"/>
  <c r="F8" i="13"/>
  <c r="I8" i="13" s="1"/>
  <c r="M8" i="13" s="1"/>
  <c r="Y7" i="13"/>
  <c r="W7" i="13"/>
  <c r="V7" i="13"/>
  <c r="U7" i="13"/>
  <c r="T7" i="13"/>
  <c r="R7" i="13"/>
  <c r="L7" i="13"/>
  <c r="H7" i="13"/>
  <c r="J7" i="13" s="1"/>
  <c r="F7" i="13"/>
  <c r="S40" i="12"/>
  <c r="I21" i="12"/>
  <c r="M40" i="12"/>
  <c r="G40" i="12"/>
  <c r="I40" i="12" s="1"/>
  <c r="J40" i="12" s="1"/>
  <c r="E40" i="12"/>
  <c r="S39" i="12"/>
  <c r="M39" i="12"/>
  <c r="I39" i="12"/>
  <c r="J39" i="12" s="1"/>
  <c r="H39" i="12"/>
  <c r="G39" i="12"/>
  <c r="E39" i="12"/>
  <c r="M38" i="12"/>
  <c r="G38" i="12"/>
  <c r="H38" i="12" s="1"/>
  <c r="S38" i="12" s="1"/>
  <c r="F38" i="12"/>
  <c r="E38" i="12" s="1"/>
  <c r="D38" i="12"/>
  <c r="M37" i="12"/>
  <c r="I37" i="12"/>
  <c r="J37" i="12" s="1"/>
  <c r="G37" i="12"/>
  <c r="H37" i="12" s="1"/>
  <c r="S37" i="12" s="1"/>
  <c r="F37" i="12"/>
  <c r="E37" i="12" s="1"/>
  <c r="D37" i="12"/>
  <c r="M36" i="12"/>
  <c r="G36" i="12"/>
  <c r="H36" i="12" s="1"/>
  <c r="S36" i="12" s="1"/>
  <c r="F36" i="12"/>
  <c r="E36" i="12" s="1"/>
  <c r="D36" i="12"/>
  <c r="M35" i="12"/>
  <c r="I35" i="12"/>
  <c r="J35" i="12" s="1"/>
  <c r="G35" i="12"/>
  <c r="H35" i="12" s="1"/>
  <c r="S35" i="12" s="1"/>
  <c r="E35" i="12"/>
  <c r="M34" i="12"/>
  <c r="G34" i="12"/>
  <c r="I34" i="12" s="1"/>
  <c r="J34" i="12" s="1"/>
  <c r="E34" i="12"/>
  <c r="S33" i="12"/>
  <c r="M33" i="12"/>
  <c r="I33" i="12"/>
  <c r="J33" i="12" s="1"/>
  <c r="H33" i="12"/>
  <c r="G33" i="12"/>
  <c r="E33" i="12"/>
  <c r="M32" i="12"/>
  <c r="G32" i="12"/>
  <c r="H32" i="12" s="1"/>
  <c r="S32" i="12" s="1"/>
  <c r="F32" i="12"/>
  <c r="E32" i="12" s="1"/>
  <c r="M31" i="12"/>
  <c r="I31" i="12"/>
  <c r="J31" i="12" s="1"/>
  <c r="H31" i="12"/>
  <c r="S31" i="12" s="1"/>
  <c r="G31" i="12"/>
  <c r="F31" i="12"/>
  <c r="E31" i="12"/>
  <c r="M30" i="12"/>
  <c r="J30" i="12"/>
  <c r="I30" i="12"/>
  <c r="H30" i="12"/>
  <c r="S30" i="12" s="1"/>
  <c r="E30" i="12"/>
  <c r="M29" i="12"/>
  <c r="F29" i="12"/>
  <c r="E29" i="12" s="1"/>
  <c r="D29" i="12"/>
  <c r="H29" i="12" s="1"/>
  <c r="S29" i="12" s="1"/>
  <c r="S28" i="12"/>
  <c r="M28" i="12"/>
  <c r="I28" i="12"/>
  <c r="J28" i="12" s="1"/>
  <c r="H28" i="12"/>
  <c r="E28" i="12"/>
  <c r="S27" i="12"/>
  <c r="M27" i="12"/>
  <c r="I27" i="12"/>
  <c r="J27" i="12" s="1"/>
  <c r="H27" i="12"/>
  <c r="E27" i="12"/>
  <c r="S26" i="12"/>
  <c r="M26" i="12"/>
  <c r="I26" i="12"/>
  <c r="H26" i="12"/>
  <c r="E26" i="12"/>
  <c r="L22" i="12"/>
  <c r="G18" i="12"/>
  <c r="W17" i="12"/>
  <c r="V17" i="12"/>
  <c r="U17" i="12"/>
  <c r="T17" i="12"/>
  <c r="R17" i="12"/>
  <c r="L17" i="12"/>
  <c r="J17" i="12"/>
  <c r="H17" i="12"/>
  <c r="Y17" i="12" s="1"/>
  <c r="F17" i="12"/>
  <c r="I17" i="12" s="1"/>
  <c r="M17" i="12" s="1"/>
  <c r="Y16" i="12"/>
  <c r="W16" i="12"/>
  <c r="V16" i="12"/>
  <c r="U16" i="12"/>
  <c r="T16" i="12"/>
  <c r="R16" i="12"/>
  <c r="M16" i="12"/>
  <c r="L16" i="12"/>
  <c r="I16" i="12"/>
  <c r="H16" i="12"/>
  <c r="J16" i="12" s="1"/>
  <c r="F16" i="12"/>
  <c r="Y15" i="12"/>
  <c r="W15" i="12"/>
  <c r="V15" i="12"/>
  <c r="U15" i="12"/>
  <c r="T15" i="12"/>
  <c r="R15" i="12"/>
  <c r="L15" i="12"/>
  <c r="J15" i="12"/>
  <c r="H15" i="12"/>
  <c r="F15" i="12"/>
  <c r="I15" i="12" s="1"/>
  <c r="M15" i="12" s="1"/>
  <c r="V14" i="12"/>
  <c r="U14" i="12"/>
  <c r="T14" i="12"/>
  <c r="R14" i="12"/>
  <c r="L14" i="12"/>
  <c r="H14" i="12"/>
  <c r="Y14" i="12" s="1"/>
  <c r="F14" i="12"/>
  <c r="I14" i="12" s="1"/>
  <c r="M14" i="12" s="1"/>
  <c r="V13" i="12"/>
  <c r="U13" i="12"/>
  <c r="T13" i="12"/>
  <c r="R13" i="12"/>
  <c r="L13" i="12"/>
  <c r="I13" i="12"/>
  <c r="M13" i="12" s="1"/>
  <c r="H13" i="12"/>
  <c r="J13" i="12" s="1"/>
  <c r="F13" i="12"/>
  <c r="Y12" i="12"/>
  <c r="V12" i="12"/>
  <c r="U12" i="12"/>
  <c r="T12" i="12"/>
  <c r="R12" i="12"/>
  <c r="L12" i="12"/>
  <c r="J12" i="12"/>
  <c r="I12" i="12"/>
  <c r="M12" i="12" s="1"/>
  <c r="H12" i="12"/>
  <c r="W12" i="12" s="1"/>
  <c r="F12" i="12"/>
  <c r="W11" i="12"/>
  <c r="V11" i="12"/>
  <c r="U11" i="12"/>
  <c r="T11" i="12"/>
  <c r="R11" i="12"/>
  <c r="L11" i="12"/>
  <c r="J11" i="12"/>
  <c r="H11" i="12"/>
  <c r="Y11" i="12" s="1"/>
  <c r="F11" i="12"/>
  <c r="I11" i="12" s="1"/>
  <c r="M11" i="12" s="1"/>
  <c r="Y10" i="12"/>
  <c r="W10" i="12"/>
  <c r="V10" i="12"/>
  <c r="U10" i="12"/>
  <c r="T10" i="12"/>
  <c r="R10" i="12"/>
  <c r="M10" i="12"/>
  <c r="L10" i="12"/>
  <c r="I10" i="12"/>
  <c r="H10" i="12"/>
  <c r="J10" i="12" s="1"/>
  <c r="F10" i="12"/>
  <c r="Y9" i="12"/>
  <c r="W9" i="12"/>
  <c r="V9" i="12"/>
  <c r="U9" i="12"/>
  <c r="T9" i="12"/>
  <c r="R9" i="12"/>
  <c r="L9" i="12"/>
  <c r="J9" i="12"/>
  <c r="H9" i="12"/>
  <c r="F9" i="12"/>
  <c r="V8" i="12"/>
  <c r="U8" i="12"/>
  <c r="T8" i="12"/>
  <c r="R8" i="12"/>
  <c r="L8" i="12"/>
  <c r="H8" i="12"/>
  <c r="Y8" i="12" s="1"/>
  <c r="F8" i="12"/>
  <c r="I8" i="12" s="1"/>
  <c r="V7" i="12"/>
  <c r="U7" i="12"/>
  <c r="T7" i="12"/>
  <c r="R7" i="12"/>
  <c r="L7" i="12"/>
  <c r="H7" i="12"/>
  <c r="J7" i="12" s="1"/>
  <c r="F7" i="12"/>
  <c r="I7" i="12" s="1"/>
  <c r="M7" i="12" s="1"/>
  <c r="F19" i="11"/>
  <c r="G40" i="11"/>
  <c r="I40" i="11" s="1"/>
  <c r="J40" i="11" s="1"/>
  <c r="M40" i="11"/>
  <c r="H40" i="11"/>
  <c r="E40" i="11"/>
  <c r="I21" i="11"/>
  <c r="M39" i="11"/>
  <c r="I39" i="11"/>
  <c r="J39" i="11" s="1"/>
  <c r="H39" i="11"/>
  <c r="S39" i="11" s="1"/>
  <c r="G39" i="11"/>
  <c r="E39" i="11"/>
  <c r="M38" i="11"/>
  <c r="G38" i="11"/>
  <c r="F38" i="11"/>
  <c r="E38" i="11" s="1"/>
  <c r="D38" i="11"/>
  <c r="M37" i="11"/>
  <c r="G37" i="11"/>
  <c r="H37" i="11" s="1"/>
  <c r="S37" i="11" s="1"/>
  <c r="F37" i="11"/>
  <c r="E37" i="11" s="1"/>
  <c r="D37" i="11"/>
  <c r="M36" i="11"/>
  <c r="H36" i="11"/>
  <c r="S36" i="11" s="1"/>
  <c r="G36" i="11"/>
  <c r="F36" i="11"/>
  <c r="D36" i="11"/>
  <c r="M35" i="11"/>
  <c r="I35" i="11"/>
  <c r="J35" i="11" s="1"/>
  <c r="H35" i="11"/>
  <c r="S35" i="11" s="1"/>
  <c r="G35" i="11"/>
  <c r="E35" i="11"/>
  <c r="M34" i="11"/>
  <c r="G34" i="11"/>
  <c r="H34" i="11" s="1"/>
  <c r="S34" i="11" s="1"/>
  <c r="E34" i="11"/>
  <c r="M33" i="11"/>
  <c r="G33" i="11"/>
  <c r="I33" i="11" s="1"/>
  <c r="J33" i="11" s="1"/>
  <c r="E33" i="11"/>
  <c r="M32" i="11"/>
  <c r="G32" i="11"/>
  <c r="I32" i="11" s="1"/>
  <c r="J32" i="11" s="1"/>
  <c r="F32" i="11"/>
  <c r="E32" i="11" s="1"/>
  <c r="M31" i="11"/>
  <c r="G31" i="11"/>
  <c r="I31" i="11" s="1"/>
  <c r="J31" i="11" s="1"/>
  <c r="F31" i="11"/>
  <c r="E31" i="11"/>
  <c r="S30" i="11"/>
  <c r="M30" i="11"/>
  <c r="I30" i="11"/>
  <c r="J30" i="11" s="1"/>
  <c r="H30" i="11"/>
  <c r="E30" i="11"/>
  <c r="M29" i="11"/>
  <c r="F29" i="11"/>
  <c r="E29" i="11" s="1"/>
  <c r="D29" i="11"/>
  <c r="H29" i="11" s="1"/>
  <c r="S29" i="11" s="1"/>
  <c r="M28" i="11"/>
  <c r="I28" i="11"/>
  <c r="J28" i="11" s="1"/>
  <c r="H28" i="11"/>
  <c r="S28" i="11" s="1"/>
  <c r="E28" i="11"/>
  <c r="S27" i="11"/>
  <c r="M27" i="11"/>
  <c r="I27" i="11"/>
  <c r="J27" i="11" s="1"/>
  <c r="H27" i="11"/>
  <c r="E27" i="11"/>
  <c r="M26" i="11"/>
  <c r="I26" i="11"/>
  <c r="H26" i="11"/>
  <c r="S26" i="11" s="1"/>
  <c r="E26" i="11"/>
  <c r="L22" i="11"/>
  <c r="G18" i="11"/>
  <c r="W17" i="11"/>
  <c r="V17" i="11"/>
  <c r="U17" i="11"/>
  <c r="T17" i="11"/>
  <c r="R17" i="11"/>
  <c r="L17" i="11"/>
  <c r="I17" i="11"/>
  <c r="M17" i="11" s="1"/>
  <c r="H17" i="11"/>
  <c r="J17" i="11" s="1"/>
  <c r="F17" i="11"/>
  <c r="Y16" i="11"/>
  <c r="W16" i="11"/>
  <c r="V16" i="11"/>
  <c r="U16" i="11"/>
  <c r="T16" i="11"/>
  <c r="R16" i="11"/>
  <c r="L16" i="11"/>
  <c r="J16" i="11"/>
  <c r="I16" i="11"/>
  <c r="M16" i="11" s="1"/>
  <c r="H16" i="11"/>
  <c r="F16" i="11"/>
  <c r="Y15" i="11"/>
  <c r="W15" i="11"/>
  <c r="V15" i="11"/>
  <c r="U15" i="11"/>
  <c r="T15" i="11"/>
  <c r="R15" i="11"/>
  <c r="L15" i="11"/>
  <c r="J15" i="11"/>
  <c r="H15" i="11"/>
  <c r="F15" i="11"/>
  <c r="I15" i="11" s="1"/>
  <c r="M15" i="11" s="1"/>
  <c r="V14" i="11"/>
  <c r="U14" i="11"/>
  <c r="T14" i="11"/>
  <c r="R14" i="11"/>
  <c r="L14" i="11"/>
  <c r="H14" i="11"/>
  <c r="W14" i="11" s="1"/>
  <c r="F14" i="11"/>
  <c r="Y13" i="11"/>
  <c r="V13" i="11"/>
  <c r="U13" i="11"/>
  <c r="T13" i="11"/>
  <c r="R13" i="11"/>
  <c r="L13" i="11"/>
  <c r="H13" i="11"/>
  <c r="W13" i="11" s="1"/>
  <c r="F13" i="11"/>
  <c r="I13" i="11" s="1"/>
  <c r="M13" i="11" s="1"/>
  <c r="V12" i="11"/>
  <c r="U12" i="11"/>
  <c r="T12" i="11"/>
  <c r="R12" i="11"/>
  <c r="L12" i="11"/>
  <c r="H12" i="11"/>
  <c r="Y12" i="11" s="1"/>
  <c r="F12" i="11"/>
  <c r="I12" i="11" s="1"/>
  <c r="M12" i="11" s="1"/>
  <c r="W11" i="11"/>
  <c r="V11" i="11"/>
  <c r="U11" i="11"/>
  <c r="T11" i="11"/>
  <c r="R11" i="11"/>
  <c r="L11" i="11"/>
  <c r="I11" i="11"/>
  <c r="M11" i="11" s="1"/>
  <c r="H11" i="11"/>
  <c r="J11" i="11" s="1"/>
  <c r="F11" i="11"/>
  <c r="Y10" i="11"/>
  <c r="W10" i="11"/>
  <c r="V10" i="11"/>
  <c r="U10" i="11"/>
  <c r="T10" i="11"/>
  <c r="R10" i="11"/>
  <c r="L10" i="11"/>
  <c r="J10" i="11"/>
  <c r="I10" i="11"/>
  <c r="M10" i="11" s="1"/>
  <c r="H10" i="11"/>
  <c r="F10" i="11"/>
  <c r="Y9" i="11"/>
  <c r="W9" i="11"/>
  <c r="V9" i="11"/>
  <c r="U9" i="11"/>
  <c r="T9" i="11"/>
  <c r="R9" i="11"/>
  <c r="L9" i="11"/>
  <c r="J9" i="11"/>
  <c r="H9" i="11"/>
  <c r="F9" i="11"/>
  <c r="I9" i="11" s="1"/>
  <c r="M9" i="11" s="1"/>
  <c r="V8" i="11"/>
  <c r="U8" i="11"/>
  <c r="T8" i="11"/>
  <c r="R8" i="11"/>
  <c r="L8" i="11"/>
  <c r="H8" i="11"/>
  <c r="W8" i="11" s="1"/>
  <c r="F8" i="11"/>
  <c r="V7" i="11"/>
  <c r="U7" i="11"/>
  <c r="T7" i="11"/>
  <c r="R7" i="11"/>
  <c r="L7" i="11"/>
  <c r="H7" i="11"/>
  <c r="W7" i="11" s="1"/>
  <c r="F7" i="11"/>
  <c r="I21" i="10"/>
  <c r="M39" i="10"/>
  <c r="J39" i="10"/>
  <c r="I39" i="10"/>
  <c r="G39" i="10"/>
  <c r="H39" i="10" s="1"/>
  <c r="S39" i="10" s="1"/>
  <c r="E39" i="10"/>
  <c r="M38" i="10"/>
  <c r="G38" i="10"/>
  <c r="H38" i="10" s="1"/>
  <c r="S38" i="10" s="1"/>
  <c r="F38" i="10"/>
  <c r="E38" i="10"/>
  <c r="D38" i="10"/>
  <c r="M37" i="10"/>
  <c r="I37" i="10"/>
  <c r="J37" i="10" s="1"/>
  <c r="H37" i="10"/>
  <c r="S37" i="10" s="1"/>
  <c r="G37" i="10"/>
  <c r="F37" i="10"/>
  <c r="E37" i="10"/>
  <c r="D37" i="10"/>
  <c r="M36" i="10"/>
  <c r="H36" i="10"/>
  <c r="S36" i="10" s="1"/>
  <c r="G36" i="10"/>
  <c r="I36" i="10" s="1"/>
  <c r="J36" i="10" s="1"/>
  <c r="F36" i="10"/>
  <c r="E36" i="10"/>
  <c r="D36" i="10"/>
  <c r="M35" i="10"/>
  <c r="I35" i="10"/>
  <c r="J35" i="10" s="1"/>
  <c r="H35" i="10"/>
  <c r="S35" i="10" s="1"/>
  <c r="G35" i="10"/>
  <c r="E35" i="10"/>
  <c r="S34" i="10"/>
  <c r="M34" i="10"/>
  <c r="I34" i="10"/>
  <c r="J34" i="10" s="1"/>
  <c r="H34" i="10"/>
  <c r="G34" i="10"/>
  <c r="E34" i="10"/>
  <c r="M33" i="10"/>
  <c r="G33" i="10"/>
  <c r="I33" i="10" s="1"/>
  <c r="J33" i="10" s="1"/>
  <c r="E33" i="10"/>
  <c r="M32" i="10"/>
  <c r="H32" i="10"/>
  <c r="S32" i="10" s="1"/>
  <c r="G32" i="10"/>
  <c r="I32" i="10" s="1"/>
  <c r="J32" i="10" s="1"/>
  <c r="F32" i="10"/>
  <c r="E32" i="10"/>
  <c r="M31" i="10"/>
  <c r="G31" i="10"/>
  <c r="I31" i="10" s="1"/>
  <c r="J31" i="10" s="1"/>
  <c r="F31" i="10"/>
  <c r="E31" i="10"/>
  <c r="S30" i="10"/>
  <c r="M30" i="10"/>
  <c r="I30" i="10"/>
  <c r="J30" i="10" s="1"/>
  <c r="H30" i="10"/>
  <c r="E30" i="10"/>
  <c r="M29" i="10"/>
  <c r="I29" i="10"/>
  <c r="J29" i="10" s="1"/>
  <c r="F29" i="10"/>
  <c r="E29" i="10"/>
  <c r="D29" i="10"/>
  <c r="H29" i="10" s="1"/>
  <c r="S29" i="10" s="1"/>
  <c r="M28" i="10"/>
  <c r="I28" i="10"/>
  <c r="J28" i="10" s="1"/>
  <c r="H28" i="10"/>
  <c r="S28" i="10" s="1"/>
  <c r="E28" i="10"/>
  <c r="M27" i="10"/>
  <c r="I27" i="10"/>
  <c r="J27" i="10" s="1"/>
  <c r="H27" i="10"/>
  <c r="S27" i="10" s="1"/>
  <c r="E27" i="10"/>
  <c r="M26" i="10"/>
  <c r="I26" i="10"/>
  <c r="H26" i="10"/>
  <c r="S26" i="10" s="1"/>
  <c r="E26" i="10"/>
  <c r="L22" i="10"/>
  <c r="G18" i="10"/>
  <c r="W17" i="10"/>
  <c r="V17" i="10"/>
  <c r="U17" i="10"/>
  <c r="T17" i="10"/>
  <c r="R17" i="10"/>
  <c r="M17" i="10"/>
  <c r="L17" i="10"/>
  <c r="I17" i="10"/>
  <c r="H17" i="10"/>
  <c r="J17" i="10" s="1"/>
  <c r="F17" i="10"/>
  <c r="Y16" i="10"/>
  <c r="W16" i="10"/>
  <c r="V16" i="10"/>
  <c r="U16" i="10"/>
  <c r="T16" i="10"/>
  <c r="R16" i="10"/>
  <c r="M16" i="10"/>
  <c r="L16" i="10"/>
  <c r="J16" i="10"/>
  <c r="I16" i="10"/>
  <c r="H16" i="10"/>
  <c r="F16" i="10"/>
  <c r="V15" i="10"/>
  <c r="U15" i="10"/>
  <c r="T15" i="10"/>
  <c r="R15" i="10"/>
  <c r="L15" i="10"/>
  <c r="J15" i="10"/>
  <c r="H15" i="10"/>
  <c r="Y15" i="10" s="1"/>
  <c r="F15" i="10"/>
  <c r="V14" i="10"/>
  <c r="U14" i="10"/>
  <c r="T14" i="10"/>
  <c r="R14" i="10"/>
  <c r="L14" i="10"/>
  <c r="I14" i="10"/>
  <c r="M14" i="10" s="1"/>
  <c r="H14" i="10"/>
  <c r="W14" i="10" s="1"/>
  <c r="F14" i="10"/>
  <c r="Y13" i="10"/>
  <c r="V13" i="10"/>
  <c r="U13" i="10"/>
  <c r="T13" i="10"/>
  <c r="R13" i="10"/>
  <c r="L13" i="10"/>
  <c r="J13" i="10"/>
  <c r="I13" i="10"/>
  <c r="M13" i="10" s="1"/>
  <c r="H13" i="10"/>
  <c r="W13" i="10" s="1"/>
  <c r="F13" i="10"/>
  <c r="Y12" i="10"/>
  <c r="W12" i="10"/>
  <c r="V12" i="10"/>
  <c r="U12" i="10"/>
  <c r="T12" i="10"/>
  <c r="R12" i="10"/>
  <c r="L12" i="10"/>
  <c r="J12" i="10"/>
  <c r="H12" i="10"/>
  <c r="F12" i="10"/>
  <c r="I12" i="10" s="1"/>
  <c r="M12" i="10" s="1"/>
  <c r="Y11" i="10"/>
  <c r="W11" i="10"/>
  <c r="V11" i="10"/>
  <c r="U11" i="10"/>
  <c r="T11" i="10"/>
  <c r="R11" i="10"/>
  <c r="L11" i="10"/>
  <c r="H11" i="10"/>
  <c r="J11" i="10" s="1"/>
  <c r="F11" i="10"/>
  <c r="I11" i="10" s="1"/>
  <c r="M11" i="10" s="1"/>
  <c r="Y10" i="10"/>
  <c r="V10" i="10"/>
  <c r="U10" i="10"/>
  <c r="T10" i="10"/>
  <c r="R10" i="10"/>
  <c r="L10" i="10"/>
  <c r="H10" i="10"/>
  <c r="W10" i="10" s="1"/>
  <c r="F10" i="10"/>
  <c r="I10" i="10" s="1"/>
  <c r="M10" i="10" s="1"/>
  <c r="V9" i="10"/>
  <c r="U9" i="10"/>
  <c r="T9" i="10"/>
  <c r="R9" i="10"/>
  <c r="L9" i="10"/>
  <c r="H9" i="10"/>
  <c r="Y9" i="10" s="1"/>
  <c r="F9" i="10"/>
  <c r="V8" i="10"/>
  <c r="U8" i="10"/>
  <c r="T8" i="10"/>
  <c r="R8" i="10"/>
  <c r="L8" i="10"/>
  <c r="H8" i="10"/>
  <c r="W8" i="10" s="1"/>
  <c r="F8" i="10"/>
  <c r="I8" i="10" s="1"/>
  <c r="M8" i="10" s="1"/>
  <c r="Y7" i="10"/>
  <c r="W7" i="10"/>
  <c r="V7" i="10"/>
  <c r="U7" i="10"/>
  <c r="T7" i="10"/>
  <c r="R7" i="10"/>
  <c r="L7" i="10"/>
  <c r="J7" i="10"/>
  <c r="H7" i="10"/>
  <c r="F7" i="10"/>
  <c r="I7" i="10" s="1"/>
  <c r="S36" i="9"/>
  <c r="S37" i="9"/>
  <c r="S38" i="9"/>
  <c r="S39" i="9"/>
  <c r="Z11" i="20" l="1"/>
  <c r="Z8" i="20"/>
  <c r="Z10" i="20"/>
  <c r="Z7" i="20"/>
  <c r="I22" i="20"/>
  <c r="G19" i="20"/>
  <c r="Z13" i="20"/>
  <c r="Y10" i="20"/>
  <c r="J10" i="20"/>
  <c r="W10" i="20"/>
  <c r="Z9" i="20"/>
  <c r="Y7" i="20"/>
  <c r="W7" i="20"/>
  <c r="J7" i="20"/>
  <c r="Z14" i="20"/>
  <c r="Z17" i="20"/>
  <c r="Z12" i="20"/>
  <c r="I47" i="20"/>
  <c r="W15" i="20"/>
  <c r="J15" i="20"/>
  <c r="Y15" i="20"/>
  <c r="M14" i="20"/>
  <c r="I18" i="20"/>
  <c r="Z16" i="20"/>
  <c r="Z15" i="20"/>
  <c r="I18" i="19"/>
  <c r="F20" i="19"/>
  <c r="Z16" i="19" s="1"/>
  <c r="Y8" i="19"/>
  <c r="W8" i="19"/>
  <c r="J8" i="19"/>
  <c r="I47" i="19"/>
  <c r="Z10" i="18"/>
  <c r="Z12" i="18"/>
  <c r="Z9" i="18"/>
  <c r="Z14" i="18"/>
  <c r="Z16" i="18"/>
  <c r="Z7" i="18"/>
  <c r="G19" i="18"/>
  <c r="Z13" i="18"/>
  <c r="Z15" i="18"/>
  <c r="Z8" i="18"/>
  <c r="I22" i="18"/>
  <c r="Z11" i="18"/>
  <c r="Y8" i="18"/>
  <c r="W8" i="18"/>
  <c r="J8" i="18"/>
  <c r="I9" i="17"/>
  <c r="M9" i="17" s="1"/>
  <c r="J9" i="17"/>
  <c r="W9" i="17"/>
  <c r="H33" i="17"/>
  <c r="S33" i="17" s="1"/>
  <c r="I41" i="17"/>
  <c r="J41" i="17" s="1"/>
  <c r="J13" i="17"/>
  <c r="H32" i="17"/>
  <c r="S32" i="17" s="1"/>
  <c r="H35" i="17"/>
  <c r="S35" i="17" s="1"/>
  <c r="E37" i="17"/>
  <c r="I40" i="17"/>
  <c r="J40" i="17" s="1"/>
  <c r="W13" i="17"/>
  <c r="Y11" i="17"/>
  <c r="Y17" i="17"/>
  <c r="W14" i="17"/>
  <c r="Y7" i="17"/>
  <c r="Y16" i="17"/>
  <c r="E29" i="17"/>
  <c r="H36" i="17"/>
  <c r="S36" i="17" s="1"/>
  <c r="H37" i="17"/>
  <c r="S37" i="17" s="1"/>
  <c r="H38" i="17"/>
  <c r="S38" i="17" s="1"/>
  <c r="I8" i="17"/>
  <c r="M8" i="17" s="1"/>
  <c r="Y10" i="17"/>
  <c r="W10" i="17"/>
  <c r="J10" i="17"/>
  <c r="J7" i="17"/>
  <c r="H8" i="17"/>
  <c r="Y9" i="17"/>
  <c r="I11" i="17"/>
  <c r="M11" i="17" s="1"/>
  <c r="Y14" i="17"/>
  <c r="W15" i="17"/>
  <c r="J16" i="17"/>
  <c r="I17" i="17"/>
  <c r="M17" i="17" s="1"/>
  <c r="H31" i="17"/>
  <c r="S31" i="17" s="1"/>
  <c r="H41" i="17"/>
  <c r="H42" i="17"/>
  <c r="F18" i="17"/>
  <c r="F20" i="17" s="1"/>
  <c r="I29" i="17"/>
  <c r="J29" i="17" s="1"/>
  <c r="I34" i="17"/>
  <c r="J34" i="17" s="1"/>
  <c r="J11" i="17"/>
  <c r="I12" i="17"/>
  <c r="M12" i="17" s="1"/>
  <c r="Y15" i="17"/>
  <c r="J17" i="17"/>
  <c r="I7" i="17"/>
  <c r="M10" i="17"/>
  <c r="I16" i="17"/>
  <c r="M16" i="17" s="1"/>
  <c r="J26" i="17"/>
  <c r="W10" i="16"/>
  <c r="Y10" i="16"/>
  <c r="W9" i="16"/>
  <c r="J9" i="16"/>
  <c r="I8" i="16"/>
  <c r="M8" i="16" s="1"/>
  <c r="I43" i="16"/>
  <c r="Y11" i="16"/>
  <c r="Y17" i="16"/>
  <c r="J8" i="16"/>
  <c r="I9" i="16"/>
  <c r="M9" i="16" s="1"/>
  <c r="Y12" i="16"/>
  <c r="J14" i="16"/>
  <c r="I15" i="16"/>
  <c r="M15" i="16" s="1"/>
  <c r="J26" i="16"/>
  <c r="I33" i="16"/>
  <c r="J33" i="16" s="1"/>
  <c r="I39" i="16"/>
  <c r="J39" i="16" s="1"/>
  <c r="H40" i="16"/>
  <c r="S40" i="16" s="1"/>
  <c r="M7" i="16"/>
  <c r="W8" i="16"/>
  <c r="W14" i="16"/>
  <c r="F18" i="16"/>
  <c r="F20" i="16" s="1"/>
  <c r="Z14" i="16" s="1"/>
  <c r="E32" i="16"/>
  <c r="E36" i="16"/>
  <c r="E38" i="16"/>
  <c r="F18" i="15"/>
  <c r="F20" i="15" s="1"/>
  <c r="Z11" i="15" s="1"/>
  <c r="I18" i="15"/>
  <c r="M7" i="15"/>
  <c r="W7" i="15"/>
  <c r="Y12" i="15"/>
  <c r="W13" i="15"/>
  <c r="I15" i="15"/>
  <c r="M15" i="15" s="1"/>
  <c r="J26" i="15"/>
  <c r="I33" i="15"/>
  <c r="J33" i="15" s="1"/>
  <c r="J11" i="15"/>
  <c r="I12" i="15"/>
  <c r="M12" i="15" s="1"/>
  <c r="J17" i="15"/>
  <c r="I31" i="15"/>
  <c r="J31" i="15" s="1"/>
  <c r="W11" i="15"/>
  <c r="J12" i="15"/>
  <c r="I13" i="15"/>
  <c r="M13" i="15" s="1"/>
  <c r="W17" i="15"/>
  <c r="H32" i="15"/>
  <c r="S32" i="15" s="1"/>
  <c r="H36" i="15"/>
  <c r="S36" i="15" s="1"/>
  <c r="H38" i="15"/>
  <c r="S38" i="15" s="1"/>
  <c r="Z7" i="14"/>
  <c r="Z15" i="14"/>
  <c r="F18" i="14"/>
  <c r="F20" i="14" s="1"/>
  <c r="I22" i="14"/>
  <c r="G19" i="14"/>
  <c r="Z14" i="14"/>
  <c r="Z17" i="14"/>
  <c r="Z8" i="14"/>
  <c r="Z13" i="14"/>
  <c r="J14" i="14"/>
  <c r="I15" i="14"/>
  <c r="M15" i="14" s="1"/>
  <c r="J26" i="14"/>
  <c r="I33" i="14"/>
  <c r="J33" i="14" s="1"/>
  <c r="H34" i="14"/>
  <c r="S34" i="14" s="1"/>
  <c r="I39" i="14"/>
  <c r="J39" i="14" s="1"/>
  <c r="H40" i="14"/>
  <c r="S40" i="14" s="1"/>
  <c r="Z9" i="14"/>
  <c r="Z10" i="14"/>
  <c r="Z16" i="14"/>
  <c r="J8" i="14"/>
  <c r="I9" i="14"/>
  <c r="M9" i="14" s="1"/>
  <c r="Z11" i="14"/>
  <c r="M7" i="14"/>
  <c r="W8" i="14"/>
  <c r="J9" i="14"/>
  <c r="Z12" i="14"/>
  <c r="W14" i="14"/>
  <c r="J15" i="14"/>
  <c r="W9" i="14"/>
  <c r="J10" i="14"/>
  <c r="W15" i="14"/>
  <c r="H31" i="14"/>
  <c r="S31" i="14" s="1"/>
  <c r="Z7" i="13"/>
  <c r="Z16" i="13"/>
  <c r="Z15" i="13"/>
  <c r="J12" i="13"/>
  <c r="J8" i="13"/>
  <c r="I9" i="13"/>
  <c r="M9" i="13" s="1"/>
  <c r="Y12" i="13"/>
  <c r="W13" i="13"/>
  <c r="J14" i="13"/>
  <c r="I15" i="13"/>
  <c r="M15" i="13" s="1"/>
  <c r="J26" i="13"/>
  <c r="I33" i="13"/>
  <c r="J33" i="13" s="1"/>
  <c r="H40" i="13"/>
  <c r="S40" i="13" s="1"/>
  <c r="Z13" i="13"/>
  <c r="I7" i="13"/>
  <c r="Z12" i="13"/>
  <c r="F18" i="13"/>
  <c r="F20" i="13" s="1"/>
  <c r="Z9" i="13" s="1"/>
  <c r="Z8" i="13"/>
  <c r="J11" i="13"/>
  <c r="Z14" i="13"/>
  <c r="J17" i="13"/>
  <c r="H38" i="13"/>
  <c r="S38" i="13" s="1"/>
  <c r="M8" i="12"/>
  <c r="W7" i="12"/>
  <c r="J8" i="12"/>
  <c r="I9" i="12"/>
  <c r="M9" i="12" s="1"/>
  <c r="W13" i="12"/>
  <c r="J14" i="12"/>
  <c r="I32" i="12"/>
  <c r="J32" i="12" s="1"/>
  <c r="I36" i="12"/>
  <c r="J36" i="12" s="1"/>
  <c r="I38" i="12"/>
  <c r="J38" i="12" s="1"/>
  <c r="Y7" i="12"/>
  <c r="W8" i="12"/>
  <c r="Y13" i="12"/>
  <c r="W14" i="12"/>
  <c r="F18" i="12"/>
  <c r="F20" i="12" s="1"/>
  <c r="I22" i="12" s="1"/>
  <c r="J26" i="12"/>
  <c r="H34" i="12"/>
  <c r="S34" i="12" s="1"/>
  <c r="H40" i="12"/>
  <c r="I29" i="12"/>
  <c r="J29" i="12" s="1"/>
  <c r="I37" i="11"/>
  <c r="J37" i="11" s="1"/>
  <c r="Y7" i="11"/>
  <c r="I29" i="11"/>
  <c r="J29" i="11" s="1"/>
  <c r="H31" i="11"/>
  <c r="S31" i="11" s="1"/>
  <c r="I34" i="11"/>
  <c r="J34" i="11" s="1"/>
  <c r="Y8" i="11"/>
  <c r="Y14" i="11"/>
  <c r="E36" i="11"/>
  <c r="H38" i="11"/>
  <c r="S38" i="11" s="1"/>
  <c r="H32" i="11"/>
  <c r="S32" i="11" s="1"/>
  <c r="F18" i="11"/>
  <c r="F20" i="11" s="1"/>
  <c r="Z8" i="11" s="1"/>
  <c r="I22" i="11"/>
  <c r="I7" i="11"/>
  <c r="J7" i="11"/>
  <c r="I8" i="11"/>
  <c r="M8" i="11" s="1"/>
  <c r="Y11" i="11"/>
  <c r="W12" i="11"/>
  <c r="J13" i="11"/>
  <c r="I14" i="11"/>
  <c r="M14" i="11" s="1"/>
  <c r="Y17" i="11"/>
  <c r="H33" i="11"/>
  <c r="S33" i="11" s="1"/>
  <c r="I36" i="11"/>
  <c r="J36" i="11" s="1"/>
  <c r="I38" i="11"/>
  <c r="J38" i="11" s="1"/>
  <c r="J12" i="11"/>
  <c r="J8" i="11"/>
  <c r="J14" i="11"/>
  <c r="J26" i="11"/>
  <c r="F18" i="10"/>
  <c r="F20" i="10" s="1"/>
  <c r="Z17" i="10" s="1"/>
  <c r="I43" i="10"/>
  <c r="Y17" i="10"/>
  <c r="H33" i="10"/>
  <c r="S33" i="10" s="1"/>
  <c r="I38" i="10"/>
  <c r="J38" i="10" s="1"/>
  <c r="J14" i="10"/>
  <c r="I15" i="10"/>
  <c r="M15" i="10" s="1"/>
  <c r="J26" i="10"/>
  <c r="M7" i="10"/>
  <c r="Y8" i="10"/>
  <c r="W9" i="10"/>
  <c r="J10" i="10"/>
  <c r="Y14" i="10"/>
  <c r="W15" i="10"/>
  <c r="H31" i="10"/>
  <c r="S31" i="10" s="1"/>
  <c r="J8" i="10"/>
  <c r="I9" i="10"/>
  <c r="M9" i="10" s="1"/>
  <c r="J9" i="10"/>
  <c r="M39" i="9"/>
  <c r="G39" i="9"/>
  <c r="H39" i="9"/>
  <c r="I39" i="9"/>
  <c r="J39" i="9" s="1"/>
  <c r="E39" i="9"/>
  <c r="G38" i="9"/>
  <c r="F38" i="9"/>
  <c r="M38" i="9"/>
  <c r="D38" i="9"/>
  <c r="I21" i="9"/>
  <c r="R12" i="9"/>
  <c r="G37" i="9"/>
  <c r="G36" i="9"/>
  <c r="F37" i="9"/>
  <c r="F36" i="9"/>
  <c r="M36" i="9"/>
  <c r="M37" i="9"/>
  <c r="D37" i="9"/>
  <c r="H37" i="9" s="1"/>
  <c r="D36" i="9"/>
  <c r="M35" i="9"/>
  <c r="G35" i="9"/>
  <c r="I35" i="9" s="1"/>
  <c r="J35" i="9" s="1"/>
  <c r="E35" i="9"/>
  <c r="M34" i="9"/>
  <c r="G34" i="9"/>
  <c r="H34" i="9" s="1"/>
  <c r="S34" i="9" s="1"/>
  <c r="E34" i="9"/>
  <c r="M33" i="9"/>
  <c r="G33" i="9"/>
  <c r="I33" i="9" s="1"/>
  <c r="J33" i="9" s="1"/>
  <c r="E33" i="9"/>
  <c r="M32" i="9"/>
  <c r="G32" i="9"/>
  <c r="F32" i="9"/>
  <c r="E32" i="9"/>
  <c r="M31" i="9"/>
  <c r="G31" i="9"/>
  <c r="H31" i="9" s="1"/>
  <c r="S31" i="9" s="1"/>
  <c r="F31" i="9"/>
  <c r="E31" i="9" s="1"/>
  <c r="M30" i="9"/>
  <c r="I30" i="9"/>
  <c r="J30" i="9" s="1"/>
  <c r="H30" i="9"/>
  <c r="S30" i="9" s="1"/>
  <c r="E30" i="9"/>
  <c r="M29" i="9"/>
  <c r="F29" i="9"/>
  <c r="D29" i="9"/>
  <c r="H29" i="9" s="1"/>
  <c r="S29" i="9" s="1"/>
  <c r="M28" i="9"/>
  <c r="I28" i="9"/>
  <c r="J28" i="9" s="1"/>
  <c r="H28" i="9"/>
  <c r="S28" i="9" s="1"/>
  <c r="E28" i="9"/>
  <c r="M27" i="9"/>
  <c r="I27" i="9"/>
  <c r="J27" i="9" s="1"/>
  <c r="H27" i="9"/>
  <c r="S27" i="9" s="1"/>
  <c r="E27" i="9"/>
  <c r="M26" i="9"/>
  <c r="I26" i="9"/>
  <c r="H26" i="9"/>
  <c r="S26" i="9" s="1"/>
  <c r="E26" i="9"/>
  <c r="L22" i="9"/>
  <c r="V17" i="9"/>
  <c r="U17" i="9"/>
  <c r="T17" i="9"/>
  <c r="R17" i="9"/>
  <c r="L17" i="9"/>
  <c r="H17" i="9"/>
  <c r="W17" i="9" s="1"/>
  <c r="F17" i="9"/>
  <c r="I17" i="9" s="1"/>
  <c r="M17" i="9" s="1"/>
  <c r="V16" i="9"/>
  <c r="U16" i="9"/>
  <c r="T16" i="9"/>
  <c r="R16" i="9"/>
  <c r="L16" i="9"/>
  <c r="H16" i="9"/>
  <c r="Y16" i="9" s="1"/>
  <c r="F16" i="9"/>
  <c r="V15" i="9"/>
  <c r="U15" i="9"/>
  <c r="T15" i="9"/>
  <c r="R15" i="9"/>
  <c r="L15" i="9"/>
  <c r="H15" i="9"/>
  <c r="Y15" i="9" s="1"/>
  <c r="F15" i="9"/>
  <c r="I15" i="9" s="1"/>
  <c r="M15" i="9" s="1"/>
  <c r="V14" i="9"/>
  <c r="U14" i="9"/>
  <c r="T14" i="9"/>
  <c r="R14" i="9"/>
  <c r="L14" i="9"/>
  <c r="H14" i="9"/>
  <c r="J14" i="9" s="1"/>
  <c r="F14" i="9"/>
  <c r="I14" i="9" s="1"/>
  <c r="M14" i="9" s="1"/>
  <c r="V13" i="9"/>
  <c r="U13" i="9"/>
  <c r="T13" i="9"/>
  <c r="R13" i="9"/>
  <c r="L13" i="9"/>
  <c r="H13" i="9"/>
  <c r="W13" i="9" s="1"/>
  <c r="F13" i="9"/>
  <c r="I13" i="9" s="1"/>
  <c r="M13" i="9" s="1"/>
  <c r="V8" i="9"/>
  <c r="U8" i="9"/>
  <c r="T8" i="9"/>
  <c r="R8" i="9"/>
  <c r="L8" i="9"/>
  <c r="H8" i="9"/>
  <c r="Y8" i="9" s="1"/>
  <c r="F8" i="9"/>
  <c r="I8" i="9" s="1"/>
  <c r="M8" i="9" s="1"/>
  <c r="V10" i="9"/>
  <c r="U10" i="9"/>
  <c r="T10" i="9"/>
  <c r="R10" i="9"/>
  <c r="L10" i="9"/>
  <c r="H10" i="9"/>
  <c r="W10" i="9" s="1"/>
  <c r="F10" i="9"/>
  <c r="I10" i="9" s="1"/>
  <c r="M10" i="9" s="1"/>
  <c r="V12" i="9"/>
  <c r="U12" i="9"/>
  <c r="T12" i="9"/>
  <c r="L12" i="9"/>
  <c r="H12" i="9"/>
  <c r="F12" i="9"/>
  <c r="V7" i="9"/>
  <c r="U7" i="9"/>
  <c r="T7" i="9"/>
  <c r="R7" i="9"/>
  <c r="L7" i="9"/>
  <c r="H7" i="9"/>
  <c r="W7" i="9" s="1"/>
  <c r="F7" i="9"/>
  <c r="I7" i="9" s="1"/>
  <c r="M7" i="9" s="1"/>
  <c r="V9" i="9"/>
  <c r="U9" i="9"/>
  <c r="T9" i="9"/>
  <c r="R9" i="9"/>
  <c r="L9" i="9"/>
  <c r="G18" i="9"/>
  <c r="F9" i="9"/>
  <c r="V11" i="9"/>
  <c r="U11" i="9"/>
  <c r="T11" i="9"/>
  <c r="R11" i="9"/>
  <c r="L11" i="9"/>
  <c r="H11" i="9"/>
  <c r="Y11" i="9" s="1"/>
  <c r="F11" i="9"/>
  <c r="I11" i="9" s="1"/>
  <c r="S27" i="8"/>
  <c r="S28" i="8"/>
  <c r="S29" i="8"/>
  <c r="S30" i="8"/>
  <c r="S31" i="8"/>
  <c r="S32" i="8"/>
  <c r="S33" i="8"/>
  <c r="S34" i="8"/>
  <c r="S35" i="8"/>
  <c r="S26" i="8"/>
  <c r="G35" i="8"/>
  <c r="H35" i="8" s="1"/>
  <c r="G34" i="8"/>
  <c r="I34" i="8" s="1"/>
  <c r="J34" i="8" s="1"/>
  <c r="M34" i="8"/>
  <c r="M35" i="8"/>
  <c r="H34" i="8"/>
  <c r="I35" i="8"/>
  <c r="J35" i="8"/>
  <c r="E34" i="8"/>
  <c r="E35" i="8"/>
  <c r="M33" i="8"/>
  <c r="M32" i="8"/>
  <c r="M31" i="8"/>
  <c r="G33" i="8"/>
  <c r="H33" i="8" s="1"/>
  <c r="G32" i="8"/>
  <c r="G31" i="8"/>
  <c r="H31" i="8" s="1"/>
  <c r="F32" i="8"/>
  <c r="E32" i="8" s="1"/>
  <c r="F31" i="8"/>
  <c r="I31" i="8" s="1"/>
  <c r="J31" i="8" s="1"/>
  <c r="E31" i="8"/>
  <c r="E33" i="8"/>
  <c r="H32" i="8"/>
  <c r="I21" i="8"/>
  <c r="H17" i="8"/>
  <c r="Y17" i="8" s="1"/>
  <c r="R16" i="8"/>
  <c r="H16" i="8"/>
  <c r="W16" i="8" s="1"/>
  <c r="T16" i="8"/>
  <c r="U16" i="8"/>
  <c r="V16" i="8"/>
  <c r="L16" i="8"/>
  <c r="F16" i="8"/>
  <c r="M30" i="8"/>
  <c r="I30" i="8"/>
  <c r="J30" i="8" s="1"/>
  <c r="H30" i="8"/>
  <c r="E30" i="8"/>
  <c r="M29" i="8"/>
  <c r="F29" i="8"/>
  <c r="I29" i="8" s="1"/>
  <c r="J29" i="8" s="1"/>
  <c r="D29" i="8"/>
  <c r="H29" i="8" s="1"/>
  <c r="M28" i="8"/>
  <c r="I28" i="8"/>
  <c r="J28" i="8" s="1"/>
  <c r="H28" i="8"/>
  <c r="E28" i="8"/>
  <c r="M27" i="8"/>
  <c r="I27" i="8"/>
  <c r="J27" i="8" s="1"/>
  <c r="H27" i="8"/>
  <c r="E27" i="8"/>
  <c r="M26" i="8"/>
  <c r="I26" i="8"/>
  <c r="H26" i="8"/>
  <c r="E26" i="8"/>
  <c r="L22" i="8"/>
  <c r="V17" i="8"/>
  <c r="U17" i="8"/>
  <c r="T17" i="8"/>
  <c r="R17" i="8"/>
  <c r="L17" i="8"/>
  <c r="F17" i="8"/>
  <c r="V14" i="8"/>
  <c r="U14" i="8"/>
  <c r="T14" i="8"/>
  <c r="R14" i="8"/>
  <c r="L14" i="8"/>
  <c r="H14" i="8"/>
  <c r="Y14" i="8" s="1"/>
  <c r="F14" i="8"/>
  <c r="I14" i="8" s="1"/>
  <c r="M14" i="8" s="1"/>
  <c r="V12" i="8"/>
  <c r="U12" i="8"/>
  <c r="T12" i="8"/>
  <c r="R12" i="8"/>
  <c r="L12" i="8"/>
  <c r="H12" i="8"/>
  <c r="Y12" i="8" s="1"/>
  <c r="F12" i="8"/>
  <c r="I12" i="8" s="1"/>
  <c r="M12" i="8" s="1"/>
  <c r="V11" i="8"/>
  <c r="U11" i="8"/>
  <c r="T11" i="8"/>
  <c r="R11" i="8"/>
  <c r="L11" i="8"/>
  <c r="H11" i="8"/>
  <c r="Y11" i="8" s="1"/>
  <c r="F11" i="8"/>
  <c r="I11" i="8" s="1"/>
  <c r="M11" i="8" s="1"/>
  <c r="V10" i="8"/>
  <c r="U10" i="8"/>
  <c r="T10" i="8"/>
  <c r="R10" i="8"/>
  <c r="L10" i="8"/>
  <c r="G10" i="8"/>
  <c r="D10" i="8"/>
  <c r="F10" i="8" s="1"/>
  <c r="I10" i="8" s="1"/>
  <c r="M10" i="8" s="1"/>
  <c r="V15" i="8"/>
  <c r="U15" i="8"/>
  <c r="T15" i="8"/>
  <c r="R15" i="8"/>
  <c r="L15" i="8"/>
  <c r="H15" i="8"/>
  <c r="Y15" i="8" s="1"/>
  <c r="F15" i="8"/>
  <c r="I15" i="8" s="1"/>
  <c r="M15" i="8" s="1"/>
  <c r="V13" i="8"/>
  <c r="U13" i="8"/>
  <c r="T13" i="8"/>
  <c r="R13" i="8"/>
  <c r="L13" i="8"/>
  <c r="H13" i="8"/>
  <c r="Y13" i="8" s="1"/>
  <c r="F13" i="8"/>
  <c r="I13" i="8" s="1"/>
  <c r="M13" i="8" s="1"/>
  <c r="V9" i="8"/>
  <c r="U9" i="8"/>
  <c r="T9" i="8"/>
  <c r="R9" i="8"/>
  <c r="L9" i="8"/>
  <c r="H9" i="8"/>
  <c r="Y9" i="8" s="1"/>
  <c r="F9" i="8"/>
  <c r="I9" i="8" s="1"/>
  <c r="M9" i="8" s="1"/>
  <c r="V8" i="8"/>
  <c r="U8" i="8"/>
  <c r="T8" i="8"/>
  <c r="R8" i="8"/>
  <c r="L8" i="8"/>
  <c r="G8" i="8"/>
  <c r="D8" i="8"/>
  <c r="V7" i="8"/>
  <c r="U7" i="8"/>
  <c r="T7" i="8"/>
  <c r="R7" i="8"/>
  <c r="L7" i="8"/>
  <c r="G7" i="8"/>
  <c r="D7" i="8"/>
  <c r="F7" i="8" s="1"/>
  <c r="I20" i="7"/>
  <c r="M29" i="7"/>
  <c r="J29" i="7"/>
  <c r="I29" i="7"/>
  <c r="H29" i="7"/>
  <c r="E29" i="7"/>
  <c r="M28" i="7"/>
  <c r="J28" i="7"/>
  <c r="I28" i="7"/>
  <c r="F28" i="7"/>
  <c r="D28" i="7"/>
  <c r="H28" i="7" s="1"/>
  <c r="M27" i="7"/>
  <c r="I27" i="7"/>
  <c r="J27" i="7" s="1"/>
  <c r="H27" i="7"/>
  <c r="E27" i="7"/>
  <c r="M26" i="7"/>
  <c r="J26" i="7"/>
  <c r="I26" i="7"/>
  <c r="H26" i="7"/>
  <c r="E26" i="7"/>
  <c r="M25" i="7"/>
  <c r="J25" i="7"/>
  <c r="I25" i="7"/>
  <c r="I35" i="7" s="1"/>
  <c r="H25" i="7"/>
  <c r="E25" i="7"/>
  <c r="L21" i="7"/>
  <c r="Y16" i="7"/>
  <c r="V16" i="7"/>
  <c r="U16" i="7"/>
  <c r="T16" i="7"/>
  <c r="R16" i="7"/>
  <c r="L16" i="7"/>
  <c r="H16" i="7"/>
  <c r="W16" i="7" s="1"/>
  <c r="F16" i="7"/>
  <c r="I16" i="7" s="1"/>
  <c r="M16" i="7" s="1"/>
  <c r="V15" i="7"/>
  <c r="U15" i="7"/>
  <c r="T15" i="7"/>
  <c r="R15" i="7"/>
  <c r="L15" i="7"/>
  <c r="H15" i="7"/>
  <c r="Y15" i="7" s="1"/>
  <c r="F15" i="7"/>
  <c r="V14" i="7"/>
  <c r="U14" i="7"/>
  <c r="T14" i="7"/>
  <c r="R14" i="7"/>
  <c r="L14" i="7"/>
  <c r="H14" i="7"/>
  <c r="Y14" i="7" s="1"/>
  <c r="F14" i="7"/>
  <c r="I14" i="7" s="1"/>
  <c r="M14" i="7" s="1"/>
  <c r="Y13" i="7"/>
  <c r="W13" i="7"/>
  <c r="V13" i="7"/>
  <c r="U13" i="7"/>
  <c r="T13" i="7"/>
  <c r="R13" i="7"/>
  <c r="L13" i="7"/>
  <c r="J13" i="7"/>
  <c r="H13" i="7"/>
  <c r="F13" i="7"/>
  <c r="I13" i="7" s="1"/>
  <c r="M13" i="7" s="1"/>
  <c r="V12" i="7"/>
  <c r="U12" i="7"/>
  <c r="T12" i="7"/>
  <c r="R12" i="7"/>
  <c r="L12" i="7"/>
  <c r="G12" i="7"/>
  <c r="H12" i="7" s="1"/>
  <c r="D12" i="7"/>
  <c r="F12" i="7" s="1"/>
  <c r="V11" i="7"/>
  <c r="U11" i="7"/>
  <c r="T11" i="7"/>
  <c r="R11" i="7"/>
  <c r="L11" i="7"/>
  <c r="H11" i="7"/>
  <c r="Y11" i="7" s="1"/>
  <c r="F11" i="7"/>
  <c r="V10" i="7"/>
  <c r="U10" i="7"/>
  <c r="T10" i="7"/>
  <c r="R10" i="7"/>
  <c r="L10" i="7"/>
  <c r="H10" i="7"/>
  <c r="Y10" i="7" s="1"/>
  <c r="F10" i="7"/>
  <c r="I10" i="7" s="1"/>
  <c r="M10" i="7" s="1"/>
  <c r="Y9" i="7"/>
  <c r="W9" i="7"/>
  <c r="V9" i="7"/>
  <c r="U9" i="7"/>
  <c r="T9" i="7"/>
  <c r="R9" i="7"/>
  <c r="L9" i="7"/>
  <c r="J9" i="7"/>
  <c r="H9" i="7"/>
  <c r="F9" i="7"/>
  <c r="I9" i="7" s="1"/>
  <c r="M9" i="7" s="1"/>
  <c r="V8" i="7"/>
  <c r="U8" i="7"/>
  <c r="T8" i="7"/>
  <c r="R8" i="7"/>
  <c r="L8" i="7"/>
  <c r="G8" i="7"/>
  <c r="H8" i="7" s="1"/>
  <c r="D8" i="7"/>
  <c r="F8" i="7" s="1"/>
  <c r="V7" i="7"/>
  <c r="U7" i="7"/>
  <c r="T7" i="7"/>
  <c r="R7" i="7"/>
  <c r="L7" i="7"/>
  <c r="H7" i="7"/>
  <c r="Y7" i="7" s="1"/>
  <c r="G7" i="7"/>
  <c r="G17" i="7" s="1"/>
  <c r="D7" i="7"/>
  <c r="F7" i="7" s="1"/>
  <c r="I20" i="6"/>
  <c r="Z15" i="19" l="1"/>
  <c r="I22" i="19"/>
  <c r="Z17" i="19"/>
  <c r="Z8" i="19"/>
  <c r="Z11" i="19"/>
  <c r="Z12" i="19"/>
  <c r="G19" i="19"/>
  <c r="Z14" i="19"/>
  <c r="Z7" i="19"/>
  <c r="Z13" i="19"/>
  <c r="Z10" i="19"/>
  <c r="Z9" i="19"/>
  <c r="Z10" i="17"/>
  <c r="G19" i="17"/>
  <c r="I22" i="17"/>
  <c r="Z8" i="17"/>
  <c r="Z9" i="17"/>
  <c r="Z13" i="17"/>
  <c r="Z7" i="17"/>
  <c r="Z11" i="17"/>
  <c r="Z15" i="17"/>
  <c r="Z12" i="17"/>
  <c r="Y8" i="17"/>
  <c r="W8" i="17"/>
  <c r="J8" i="17"/>
  <c r="Z17" i="17"/>
  <c r="M7" i="17"/>
  <c r="I18" i="17"/>
  <c r="Z14" i="17"/>
  <c r="Z16" i="17"/>
  <c r="I18" i="16"/>
  <c r="Z12" i="16"/>
  <c r="Z10" i="16"/>
  <c r="Z7" i="16"/>
  <c r="Z11" i="16"/>
  <c r="Z17" i="16"/>
  <c r="Z16" i="16"/>
  <c r="Z15" i="16"/>
  <c r="Z13" i="16"/>
  <c r="G19" i="16"/>
  <c r="I22" i="16"/>
  <c r="Z8" i="16"/>
  <c r="Z9" i="16"/>
  <c r="Z12" i="15"/>
  <c r="Z17" i="15"/>
  <c r="Z15" i="15"/>
  <c r="Z14" i="15"/>
  <c r="I22" i="15"/>
  <c r="Z10" i="15"/>
  <c r="G19" i="15"/>
  <c r="Z9" i="15"/>
  <c r="Z13" i="15"/>
  <c r="Z8" i="15"/>
  <c r="Z16" i="15"/>
  <c r="Z7" i="15"/>
  <c r="I43" i="15"/>
  <c r="I43" i="14"/>
  <c r="I18" i="14"/>
  <c r="Z11" i="13"/>
  <c r="G19" i="13"/>
  <c r="I22" i="13"/>
  <c r="Z10" i="13"/>
  <c r="Z17" i="13"/>
  <c r="I18" i="13"/>
  <c r="M7" i="13"/>
  <c r="I43" i="13"/>
  <c r="Z15" i="12"/>
  <c r="Z10" i="12"/>
  <c r="Z14" i="12"/>
  <c r="Z7" i="12"/>
  <c r="Z11" i="12"/>
  <c r="Z16" i="12"/>
  <c r="Z12" i="12"/>
  <c r="I18" i="12"/>
  <c r="Z9" i="12"/>
  <c r="Z8" i="12"/>
  <c r="G19" i="12"/>
  <c r="Z17" i="12"/>
  <c r="Z13" i="12"/>
  <c r="I43" i="12"/>
  <c r="Z17" i="11"/>
  <c r="G19" i="11"/>
  <c r="Z15" i="11"/>
  <c r="Z9" i="11"/>
  <c r="Z16" i="11"/>
  <c r="Z14" i="11"/>
  <c r="Z11" i="11"/>
  <c r="Z12" i="11"/>
  <c r="Z13" i="11"/>
  <c r="Z10" i="11"/>
  <c r="Z7" i="11"/>
  <c r="I43" i="11"/>
  <c r="I18" i="11"/>
  <c r="M7" i="11"/>
  <c r="Z13" i="10"/>
  <c r="Z14" i="10"/>
  <c r="Z9" i="10"/>
  <c r="Z12" i="10"/>
  <c r="G19" i="10"/>
  <c r="Z16" i="10"/>
  <c r="Z11" i="10"/>
  <c r="Z15" i="10"/>
  <c r="Z10" i="10"/>
  <c r="Z8" i="10"/>
  <c r="I22" i="10"/>
  <c r="Z7" i="10"/>
  <c r="I18" i="10"/>
  <c r="E36" i="9"/>
  <c r="J17" i="9"/>
  <c r="Y17" i="9"/>
  <c r="I34" i="9"/>
  <c r="J34" i="9" s="1"/>
  <c r="E37" i="9"/>
  <c r="I32" i="9"/>
  <c r="J32" i="9" s="1"/>
  <c r="H35" i="9"/>
  <c r="S35" i="9" s="1"/>
  <c r="H36" i="9"/>
  <c r="E38" i="9"/>
  <c r="I37" i="9"/>
  <c r="J37" i="9" s="1"/>
  <c r="H38" i="9"/>
  <c r="I38" i="9"/>
  <c r="J38" i="9" s="1"/>
  <c r="W8" i="9"/>
  <c r="I31" i="9"/>
  <c r="J31" i="9" s="1"/>
  <c r="E29" i="9"/>
  <c r="Y14" i="9"/>
  <c r="J10" i="9"/>
  <c r="J16" i="9"/>
  <c r="W16" i="9"/>
  <c r="Y10" i="9"/>
  <c r="W14" i="9"/>
  <c r="J7" i="9"/>
  <c r="I36" i="9"/>
  <c r="J36" i="9" s="1"/>
  <c r="M11" i="9"/>
  <c r="Y12" i="9"/>
  <c r="W12" i="9"/>
  <c r="J12" i="9"/>
  <c r="I12" i="9"/>
  <c r="M12" i="9" s="1"/>
  <c r="I9" i="9"/>
  <c r="M9" i="9" s="1"/>
  <c r="J11" i="9"/>
  <c r="Y7" i="9"/>
  <c r="Y13" i="9"/>
  <c r="J15" i="9"/>
  <c r="I16" i="9"/>
  <c r="M16" i="9" s="1"/>
  <c r="F18" i="9"/>
  <c r="F20" i="9" s="1"/>
  <c r="Z12" i="9" s="1"/>
  <c r="I29" i="9"/>
  <c r="J29" i="9" s="1"/>
  <c r="W11" i="9"/>
  <c r="H9" i="9"/>
  <c r="W15" i="9"/>
  <c r="J8" i="9"/>
  <c r="H32" i="9"/>
  <c r="S32" i="9" s="1"/>
  <c r="H33" i="9"/>
  <c r="S33" i="9" s="1"/>
  <c r="J13" i="9"/>
  <c r="J26" i="9"/>
  <c r="I32" i="8"/>
  <c r="J32" i="8" s="1"/>
  <c r="J11" i="8"/>
  <c r="W11" i="8"/>
  <c r="J13" i="8"/>
  <c r="I33" i="8"/>
  <c r="J33" i="8" s="1"/>
  <c r="J16" i="8"/>
  <c r="I16" i="8"/>
  <c r="M16" i="8" s="1"/>
  <c r="Y16" i="8"/>
  <c r="W9" i="8"/>
  <c r="H7" i="8"/>
  <c r="Y7" i="8" s="1"/>
  <c r="H8" i="8"/>
  <c r="J8" i="8" s="1"/>
  <c r="H10" i="8"/>
  <c r="W10" i="8" s="1"/>
  <c r="F8" i="8"/>
  <c r="I8" i="8" s="1"/>
  <c r="M8" i="8" s="1"/>
  <c r="J12" i="8"/>
  <c r="E29" i="8"/>
  <c r="J9" i="8"/>
  <c r="G18" i="8"/>
  <c r="I7" i="8"/>
  <c r="W13" i="8"/>
  <c r="J15" i="8"/>
  <c r="W12" i="8"/>
  <c r="J14" i="8"/>
  <c r="I17" i="8"/>
  <c r="M17" i="8" s="1"/>
  <c r="W15" i="8"/>
  <c r="W14" i="8"/>
  <c r="J17" i="8"/>
  <c r="W17" i="8"/>
  <c r="J26" i="8"/>
  <c r="J8" i="7"/>
  <c r="Y8" i="7"/>
  <c r="W8" i="7"/>
  <c r="I12" i="7"/>
  <c r="M12" i="7" s="1"/>
  <c r="F17" i="7"/>
  <c r="F19" i="7" s="1"/>
  <c r="Z14" i="7" s="1"/>
  <c r="I7" i="7"/>
  <c r="J12" i="7"/>
  <c r="Y12" i="7"/>
  <c r="W12" i="7"/>
  <c r="I8" i="7"/>
  <c r="M8" i="7" s="1"/>
  <c r="E28" i="7"/>
  <c r="W14" i="7"/>
  <c r="J15" i="7"/>
  <c r="W15" i="7"/>
  <c r="J16" i="7"/>
  <c r="J10" i="7"/>
  <c r="I11" i="7"/>
  <c r="M11" i="7" s="1"/>
  <c r="J14" i="7"/>
  <c r="I15" i="7"/>
  <c r="M15" i="7" s="1"/>
  <c r="J7" i="7"/>
  <c r="W10" i="7"/>
  <c r="J11" i="7"/>
  <c r="W7" i="7"/>
  <c r="W11" i="7"/>
  <c r="M29" i="6"/>
  <c r="H29" i="6"/>
  <c r="I29" i="6"/>
  <c r="J29" i="6" s="1"/>
  <c r="E29" i="6"/>
  <c r="M28" i="6"/>
  <c r="I28" i="6"/>
  <c r="J28" i="6" s="1"/>
  <c r="F28" i="6"/>
  <c r="E28" i="6"/>
  <c r="D28" i="6"/>
  <c r="H28" i="6" s="1"/>
  <c r="M27" i="6"/>
  <c r="I27" i="6"/>
  <c r="J27" i="6" s="1"/>
  <c r="H27" i="6"/>
  <c r="E27" i="6"/>
  <c r="M26" i="6"/>
  <c r="I26" i="6"/>
  <c r="J26" i="6" s="1"/>
  <c r="H26" i="6"/>
  <c r="E26" i="6"/>
  <c r="M25" i="6"/>
  <c r="I25" i="6"/>
  <c r="H25" i="6"/>
  <c r="E25" i="6"/>
  <c r="L21" i="6"/>
  <c r="W16" i="6"/>
  <c r="V16" i="6"/>
  <c r="U16" i="6"/>
  <c r="T16" i="6"/>
  <c r="R16" i="6"/>
  <c r="L16" i="6"/>
  <c r="J16" i="6"/>
  <c r="I16" i="6"/>
  <c r="M16" i="6" s="1"/>
  <c r="H16" i="6"/>
  <c r="Y16" i="6" s="1"/>
  <c r="F16" i="6"/>
  <c r="W15" i="6"/>
  <c r="V15" i="6"/>
  <c r="U15" i="6"/>
  <c r="T15" i="6"/>
  <c r="R15" i="6"/>
  <c r="L15" i="6"/>
  <c r="J15" i="6"/>
  <c r="I15" i="6"/>
  <c r="M15" i="6" s="1"/>
  <c r="H15" i="6"/>
  <c r="Y15" i="6" s="1"/>
  <c r="F15" i="6"/>
  <c r="V13" i="6"/>
  <c r="U13" i="6"/>
  <c r="T13" i="6"/>
  <c r="R13" i="6"/>
  <c r="L13" i="6"/>
  <c r="H13" i="6"/>
  <c r="Y13" i="6" s="1"/>
  <c r="F13" i="6"/>
  <c r="I13" i="6" s="1"/>
  <c r="M13" i="6" s="1"/>
  <c r="V12" i="6"/>
  <c r="U12" i="6"/>
  <c r="T12" i="6"/>
  <c r="R12" i="6"/>
  <c r="L12" i="6"/>
  <c r="G12" i="6"/>
  <c r="H12" i="6" s="1"/>
  <c r="F12" i="6"/>
  <c r="I12" i="6" s="1"/>
  <c r="M12" i="6" s="1"/>
  <c r="D12" i="6"/>
  <c r="V11" i="6"/>
  <c r="U11" i="6"/>
  <c r="T11" i="6"/>
  <c r="R11" i="6"/>
  <c r="L11" i="6"/>
  <c r="H11" i="6"/>
  <c r="Y11" i="6" s="1"/>
  <c r="F11" i="6"/>
  <c r="I11" i="6" s="1"/>
  <c r="M11" i="6" s="1"/>
  <c r="W10" i="6"/>
  <c r="V10" i="6"/>
  <c r="U10" i="6"/>
  <c r="T10" i="6"/>
  <c r="R10" i="6"/>
  <c r="L10" i="6"/>
  <c r="J10" i="6"/>
  <c r="H10" i="6"/>
  <c r="Y10" i="6" s="1"/>
  <c r="F10" i="6"/>
  <c r="I10" i="6" s="1"/>
  <c r="M10" i="6" s="1"/>
  <c r="V9" i="6"/>
  <c r="U9" i="6"/>
  <c r="T9" i="6"/>
  <c r="R9" i="6"/>
  <c r="L9" i="6"/>
  <c r="H9" i="6"/>
  <c r="Y9" i="6" s="1"/>
  <c r="F9" i="6"/>
  <c r="I9" i="6" s="1"/>
  <c r="M9" i="6" s="1"/>
  <c r="V8" i="6"/>
  <c r="U8" i="6"/>
  <c r="T8" i="6"/>
  <c r="R8" i="6"/>
  <c r="L8" i="6"/>
  <c r="G8" i="6"/>
  <c r="H8" i="6" s="1"/>
  <c r="F8" i="6"/>
  <c r="I8" i="6" s="1"/>
  <c r="M8" i="6" s="1"/>
  <c r="D8" i="6"/>
  <c r="V7" i="6"/>
  <c r="U7" i="6"/>
  <c r="T7" i="6"/>
  <c r="R7" i="6"/>
  <c r="L7" i="6"/>
  <c r="G7" i="6"/>
  <c r="H7" i="6" s="1"/>
  <c r="D7" i="6"/>
  <c r="F7" i="6" s="1"/>
  <c r="V14" i="6"/>
  <c r="U14" i="6"/>
  <c r="T14" i="6"/>
  <c r="R14" i="6"/>
  <c r="L14" i="6"/>
  <c r="H14" i="6"/>
  <c r="W14" i="6" s="1"/>
  <c r="F14" i="6"/>
  <c r="F28" i="5"/>
  <c r="D28" i="5"/>
  <c r="E28" i="5" s="1"/>
  <c r="M27" i="5"/>
  <c r="M28" i="5"/>
  <c r="I27" i="5"/>
  <c r="J27" i="5"/>
  <c r="I28" i="5"/>
  <c r="J28" i="5"/>
  <c r="H27" i="5"/>
  <c r="H28" i="5"/>
  <c r="E27" i="5"/>
  <c r="I20" i="5"/>
  <c r="I35" i="5"/>
  <c r="M26" i="5"/>
  <c r="J26" i="5"/>
  <c r="I26" i="5"/>
  <c r="H26" i="5"/>
  <c r="E26" i="5"/>
  <c r="M25" i="5"/>
  <c r="J25" i="5"/>
  <c r="I25" i="5"/>
  <c r="H25" i="5"/>
  <c r="E25" i="5"/>
  <c r="L21" i="5"/>
  <c r="V16" i="5"/>
  <c r="U16" i="5"/>
  <c r="T16" i="5"/>
  <c r="R16" i="5"/>
  <c r="L16" i="5"/>
  <c r="H16" i="5"/>
  <c r="Y16" i="5" s="1"/>
  <c r="F16" i="5"/>
  <c r="V13" i="5"/>
  <c r="U13" i="5"/>
  <c r="T13" i="5"/>
  <c r="R13" i="5"/>
  <c r="L13" i="5"/>
  <c r="G13" i="5"/>
  <c r="D13" i="5"/>
  <c r="H13" i="5" s="1"/>
  <c r="V15" i="5"/>
  <c r="U15" i="5"/>
  <c r="T15" i="5"/>
  <c r="R15" i="5"/>
  <c r="L15" i="5"/>
  <c r="H15" i="5"/>
  <c r="W15" i="5" s="1"/>
  <c r="F15" i="5"/>
  <c r="I15" i="5" s="1"/>
  <c r="M15" i="5" s="1"/>
  <c r="V12" i="5"/>
  <c r="U12" i="5"/>
  <c r="T12" i="5"/>
  <c r="R12" i="5"/>
  <c r="L12" i="5"/>
  <c r="H12" i="5"/>
  <c r="Y12" i="5" s="1"/>
  <c r="F12" i="5"/>
  <c r="I12" i="5" s="1"/>
  <c r="M12" i="5" s="1"/>
  <c r="V11" i="5"/>
  <c r="U11" i="5"/>
  <c r="T11" i="5"/>
  <c r="R11" i="5"/>
  <c r="L11" i="5"/>
  <c r="H11" i="5"/>
  <c r="W11" i="5" s="1"/>
  <c r="F11" i="5"/>
  <c r="I11" i="5" s="1"/>
  <c r="M11" i="5" s="1"/>
  <c r="V10" i="5"/>
  <c r="U10" i="5"/>
  <c r="T10" i="5"/>
  <c r="R10" i="5"/>
  <c r="L10" i="5"/>
  <c r="H10" i="5"/>
  <c r="Y10" i="5" s="1"/>
  <c r="F10" i="5"/>
  <c r="I10" i="5" s="1"/>
  <c r="M10" i="5" s="1"/>
  <c r="V9" i="5"/>
  <c r="U9" i="5"/>
  <c r="T9" i="5"/>
  <c r="R9" i="5"/>
  <c r="L9" i="5"/>
  <c r="G9" i="5"/>
  <c r="H9" i="5" s="1"/>
  <c r="F9" i="5"/>
  <c r="I9" i="5" s="1"/>
  <c r="M9" i="5" s="1"/>
  <c r="D9" i="5"/>
  <c r="V8" i="5"/>
  <c r="U8" i="5"/>
  <c r="T8" i="5"/>
  <c r="R8" i="5"/>
  <c r="L8" i="5"/>
  <c r="G8" i="5"/>
  <c r="G17" i="5" s="1"/>
  <c r="D8" i="5"/>
  <c r="H8" i="5" s="1"/>
  <c r="V7" i="5"/>
  <c r="U7" i="5"/>
  <c r="T7" i="5"/>
  <c r="R7" i="5"/>
  <c r="L7" i="5"/>
  <c r="H7" i="5"/>
  <c r="W7" i="5" s="1"/>
  <c r="F7" i="5"/>
  <c r="V14" i="5"/>
  <c r="U14" i="5"/>
  <c r="T14" i="5"/>
  <c r="R14" i="5"/>
  <c r="L14" i="5"/>
  <c r="H14" i="5"/>
  <c r="Y14" i="5" s="1"/>
  <c r="F14" i="5"/>
  <c r="G14" i="4"/>
  <c r="D14" i="4"/>
  <c r="G10" i="4"/>
  <c r="D10" i="4"/>
  <c r="I20" i="4"/>
  <c r="G15" i="4"/>
  <c r="D15" i="4"/>
  <c r="I43" i="9" l="1"/>
  <c r="Z15" i="9"/>
  <c r="Z7" i="9"/>
  <c r="Z10" i="9"/>
  <c r="Y9" i="9"/>
  <c r="W9" i="9"/>
  <c r="J9" i="9"/>
  <c r="Z11" i="9"/>
  <c r="Z8" i="9"/>
  <c r="Z17" i="9"/>
  <c r="Z14" i="9"/>
  <c r="G19" i="9"/>
  <c r="I22" i="9"/>
  <c r="Z13" i="9"/>
  <c r="Z9" i="9"/>
  <c r="Z16" i="9"/>
  <c r="I18" i="9"/>
  <c r="F18" i="8"/>
  <c r="F20" i="8" s="1"/>
  <c r="Z7" i="8" s="1"/>
  <c r="I39" i="8"/>
  <c r="Y10" i="8"/>
  <c r="J10" i="8"/>
  <c r="Y8" i="8"/>
  <c r="W8" i="8"/>
  <c r="W7" i="8"/>
  <c r="J7" i="8"/>
  <c r="M7" i="8"/>
  <c r="I18" i="8"/>
  <c r="Z16" i="7"/>
  <c r="Z13" i="7"/>
  <c r="Z12" i="7"/>
  <c r="Z8" i="7"/>
  <c r="Z15" i="7"/>
  <c r="Z7" i="7"/>
  <c r="Z10" i="7"/>
  <c r="Z11" i="7"/>
  <c r="M7" i="7"/>
  <c r="I17" i="7"/>
  <c r="G18" i="7"/>
  <c r="I21" i="7"/>
  <c r="Z9" i="7"/>
  <c r="J9" i="6"/>
  <c r="W9" i="6"/>
  <c r="J11" i="6"/>
  <c r="W11" i="6"/>
  <c r="J13" i="6"/>
  <c r="W13" i="6"/>
  <c r="F17" i="6"/>
  <c r="F19" i="6" s="1"/>
  <c r="I21" i="6" s="1"/>
  <c r="Y14" i="6"/>
  <c r="I35" i="6"/>
  <c r="I7" i="6"/>
  <c r="M7" i="6" s="1"/>
  <c r="W12" i="6"/>
  <c r="J12" i="6"/>
  <c r="Y12" i="6"/>
  <c r="Y7" i="6"/>
  <c r="W7" i="6"/>
  <c r="J7" i="6"/>
  <c r="W8" i="6"/>
  <c r="J8" i="6"/>
  <c r="Y8" i="6"/>
  <c r="G17" i="6"/>
  <c r="I14" i="6"/>
  <c r="J25" i="6"/>
  <c r="J14" i="6"/>
  <c r="J11" i="5"/>
  <c r="Y11" i="5"/>
  <c r="Y7" i="5"/>
  <c r="J10" i="5"/>
  <c r="W10" i="5"/>
  <c r="W12" i="5"/>
  <c r="Y15" i="5"/>
  <c r="J8" i="5"/>
  <c r="Y8" i="5"/>
  <c r="W8" i="5"/>
  <c r="Y13" i="5"/>
  <c r="W13" i="5"/>
  <c r="J13" i="5"/>
  <c r="Y9" i="5"/>
  <c r="W9" i="5"/>
  <c r="J9" i="5"/>
  <c r="J12" i="5"/>
  <c r="I16" i="5"/>
  <c r="M16" i="5" s="1"/>
  <c r="J16" i="5"/>
  <c r="W16" i="5"/>
  <c r="I14" i="5"/>
  <c r="J14" i="5"/>
  <c r="I7" i="5"/>
  <c r="M7" i="5" s="1"/>
  <c r="F8" i="5"/>
  <c r="F13" i="5"/>
  <c r="W14" i="5"/>
  <c r="J7" i="5"/>
  <c r="J15" i="5"/>
  <c r="M26" i="4"/>
  <c r="J26" i="4"/>
  <c r="I26" i="4"/>
  <c r="H26" i="4"/>
  <c r="E26" i="4"/>
  <c r="M25" i="4"/>
  <c r="J25" i="4"/>
  <c r="I25" i="4"/>
  <c r="I35" i="4" s="1"/>
  <c r="H25" i="4"/>
  <c r="E25" i="4"/>
  <c r="L21" i="4"/>
  <c r="V16" i="4"/>
  <c r="U16" i="4"/>
  <c r="T16" i="4"/>
  <c r="R16" i="4"/>
  <c r="L16" i="4"/>
  <c r="H16" i="4"/>
  <c r="Y16" i="4" s="1"/>
  <c r="F16" i="4"/>
  <c r="V15" i="4"/>
  <c r="U15" i="4"/>
  <c r="T15" i="4"/>
  <c r="R15" i="4"/>
  <c r="L15" i="4"/>
  <c r="H15" i="4"/>
  <c r="W15" i="4" s="1"/>
  <c r="F15" i="4"/>
  <c r="I15" i="4" s="1"/>
  <c r="M15" i="4" s="1"/>
  <c r="V14" i="4"/>
  <c r="U14" i="4"/>
  <c r="T14" i="4"/>
  <c r="R14" i="4"/>
  <c r="L14" i="4"/>
  <c r="H14" i="4"/>
  <c r="W14" i="4" s="1"/>
  <c r="F14" i="4"/>
  <c r="I14" i="4" s="1"/>
  <c r="M14" i="4" s="1"/>
  <c r="W13" i="4"/>
  <c r="V13" i="4"/>
  <c r="U13" i="4"/>
  <c r="T13" i="4"/>
  <c r="R13" i="4"/>
  <c r="L13" i="4"/>
  <c r="H13" i="4"/>
  <c r="J13" i="4" s="1"/>
  <c r="F13" i="4"/>
  <c r="I13" i="4" s="1"/>
  <c r="M13" i="4" s="1"/>
  <c r="Y12" i="4"/>
  <c r="W12" i="4"/>
  <c r="V12" i="4"/>
  <c r="U12" i="4"/>
  <c r="T12" i="4"/>
  <c r="R12" i="4"/>
  <c r="L12" i="4"/>
  <c r="H12" i="4"/>
  <c r="J12" i="4" s="1"/>
  <c r="F12" i="4"/>
  <c r="I12" i="4" s="1"/>
  <c r="M12" i="4" s="1"/>
  <c r="Y11" i="4"/>
  <c r="V11" i="4"/>
  <c r="U11" i="4"/>
  <c r="T11" i="4"/>
  <c r="R11" i="4"/>
  <c r="L11" i="4"/>
  <c r="J11" i="4"/>
  <c r="H11" i="4"/>
  <c r="W11" i="4" s="1"/>
  <c r="F11" i="4"/>
  <c r="I11" i="4" s="1"/>
  <c r="M11" i="4" s="1"/>
  <c r="V10" i="4"/>
  <c r="U10" i="4"/>
  <c r="T10" i="4"/>
  <c r="R10" i="4"/>
  <c r="L10" i="4"/>
  <c r="H10" i="4"/>
  <c r="Y10" i="4" s="1"/>
  <c r="F10" i="4"/>
  <c r="Y9" i="4"/>
  <c r="V9" i="4"/>
  <c r="U9" i="4"/>
  <c r="T9" i="4"/>
  <c r="R9" i="4"/>
  <c r="L9" i="4"/>
  <c r="H9" i="4"/>
  <c r="W9" i="4" s="1"/>
  <c r="G9" i="4"/>
  <c r="G17" i="4" s="1"/>
  <c r="F9" i="4"/>
  <c r="I9" i="4" s="1"/>
  <c r="M9" i="4" s="1"/>
  <c r="D9" i="4"/>
  <c r="Y8" i="4"/>
  <c r="W8" i="4"/>
  <c r="V8" i="4"/>
  <c r="U8" i="4"/>
  <c r="T8" i="4"/>
  <c r="R8" i="4"/>
  <c r="L8" i="4"/>
  <c r="H8" i="4"/>
  <c r="J8" i="4" s="1"/>
  <c r="F8" i="4"/>
  <c r="I8" i="4" s="1"/>
  <c r="M8" i="4" s="1"/>
  <c r="Y7" i="4"/>
  <c r="V7" i="4"/>
  <c r="U7" i="4"/>
  <c r="T7" i="4"/>
  <c r="R7" i="4"/>
  <c r="L7" i="4"/>
  <c r="J7" i="4"/>
  <c r="H7" i="4"/>
  <c r="W7" i="4" s="1"/>
  <c r="F7" i="4"/>
  <c r="I7" i="4" s="1"/>
  <c r="I20" i="3"/>
  <c r="M26" i="3"/>
  <c r="J26" i="3"/>
  <c r="I26" i="3"/>
  <c r="H26" i="3"/>
  <c r="E26" i="3"/>
  <c r="M25" i="3"/>
  <c r="J25" i="3"/>
  <c r="I25" i="3"/>
  <c r="I35" i="3" s="1"/>
  <c r="H25" i="3"/>
  <c r="E25" i="3"/>
  <c r="L21" i="3"/>
  <c r="V16" i="3"/>
  <c r="U16" i="3"/>
  <c r="T16" i="3"/>
  <c r="R16" i="3"/>
  <c r="L16" i="3"/>
  <c r="J16" i="3"/>
  <c r="H16" i="3"/>
  <c r="Y16" i="3" s="1"/>
  <c r="F16" i="3"/>
  <c r="V15" i="3"/>
  <c r="U15" i="3"/>
  <c r="T15" i="3"/>
  <c r="R15" i="3"/>
  <c r="L15" i="3"/>
  <c r="H15" i="3"/>
  <c r="J15" i="3" s="1"/>
  <c r="F15" i="3"/>
  <c r="I15" i="3" s="1"/>
  <c r="M15" i="3" s="1"/>
  <c r="V14" i="3"/>
  <c r="U14" i="3"/>
  <c r="T14" i="3"/>
  <c r="R14" i="3"/>
  <c r="L14" i="3"/>
  <c r="H14" i="3"/>
  <c r="W14" i="3" s="1"/>
  <c r="F14" i="3"/>
  <c r="I14" i="3" s="1"/>
  <c r="M14" i="3" s="1"/>
  <c r="W13" i="3"/>
  <c r="V13" i="3"/>
  <c r="U13" i="3"/>
  <c r="T13" i="3"/>
  <c r="R13" i="3"/>
  <c r="L13" i="3"/>
  <c r="H13" i="3"/>
  <c r="J13" i="3" s="1"/>
  <c r="F13" i="3"/>
  <c r="I13" i="3" s="1"/>
  <c r="M13" i="3" s="1"/>
  <c r="V12" i="3"/>
  <c r="U12" i="3"/>
  <c r="T12" i="3"/>
  <c r="R12" i="3"/>
  <c r="L12" i="3"/>
  <c r="H12" i="3"/>
  <c r="W12" i="3" s="1"/>
  <c r="F12" i="3"/>
  <c r="I12" i="3" s="1"/>
  <c r="M12" i="3" s="1"/>
  <c r="Y11" i="3"/>
  <c r="V11" i="3"/>
  <c r="U11" i="3"/>
  <c r="T11" i="3"/>
  <c r="R11" i="3"/>
  <c r="L11" i="3"/>
  <c r="J11" i="3"/>
  <c r="H11" i="3"/>
  <c r="W11" i="3" s="1"/>
  <c r="F11" i="3"/>
  <c r="I11" i="3" s="1"/>
  <c r="M11" i="3" s="1"/>
  <c r="V10" i="3"/>
  <c r="U10" i="3"/>
  <c r="T10" i="3"/>
  <c r="R10" i="3"/>
  <c r="L10" i="3"/>
  <c r="J10" i="3"/>
  <c r="H10" i="3"/>
  <c r="Y10" i="3" s="1"/>
  <c r="F10" i="3"/>
  <c r="V9" i="3"/>
  <c r="U9" i="3"/>
  <c r="T9" i="3"/>
  <c r="R9" i="3"/>
  <c r="L9" i="3"/>
  <c r="G9" i="3"/>
  <c r="G17" i="3" s="1"/>
  <c r="D9" i="3"/>
  <c r="H9" i="3" s="1"/>
  <c r="V8" i="3"/>
  <c r="U8" i="3"/>
  <c r="T8" i="3"/>
  <c r="R8" i="3"/>
  <c r="L8" i="3"/>
  <c r="H8" i="3"/>
  <c r="W8" i="3" s="1"/>
  <c r="F8" i="3"/>
  <c r="I8" i="3" s="1"/>
  <c r="M8" i="3" s="1"/>
  <c r="Y7" i="3"/>
  <c r="V7" i="3"/>
  <c r="U7" i="3"/>
  <c r="T7" i="3"/>
  <c r="R7" i="3"/>
  <c r="L7" i="3"/>
  <c r="J7" i="3"/>
  <c r="H7" i="3"/>
  <c r="W7" i="3" s="1"/>
  <c r="F7" i="3"/>
  <c r="I7" i="3" s="1"/>
  <c r="M7" i="3" s="1"/>
  <c r="M26" i="2"/>
  <c r="H26" i="2"/>
  <c r="I26" i="2"/>
  <c r="I35" i="2" s="1"/>
  <c r="J26" i="2"/>
  <c r="E26" i="2"/>
  <c r="I20" i="2"/>
  <c r="M25" i="2"/>
  <c r="I25" i="2"/>
  <c r="J25" i="2" s="1"/>
  <c r="H25" i="2"/>
  <c r="E25" i="2"/>
  <c r="L21" i="2"/>
  <c r="G17" i="2"/>
  <c r="V16" i="2"/>
  <c r="U16" i="2"/>
  <c r="T16" i="2"/>
  <c r="R16" i="2"/>
  <c r="L16" i="2"/>
  <c r="I16" i="2"/>
  <c r="M16" i="2" s="1"/>
  <c r="H16" i="2"/>
  <c r="Y16" i="2" s="1"/>
  <c r="F16" i="2"/>
  <c r="Y15" i="2"/>
  <c r="V15" i="2"/>
  <c r="U15" i="2"/>
  <c r="T15" i="2"/>
  <c r="R15" i="2"/>
  <c r="L15" i="2"/>
  <c r="J15" i="2"/>
  <c r="I15" i="2"/>
  <c r="M15" i="2" s="1"/>
  <c r="H15" i="2"/>
  <c r="W15" i="2" s="1"/>
  <c r="F15" i="2"/>
  <c r="Y14" i="2"/>
  <c r="W14" i="2"/>
  <c r="V14" i="2"/>
  <c r="U14" i="2"/>
  <c r="T14" i="2"/>
  <c r="R14" i="2"/>
  <c r="L14" i="2"/>
  <c r="J14" i="2"/>
  <c r="H14" i="2"/>
  <c r="F14" i="2"/>
  <c r="I14" i="2" s="1"/>
  <c r="M14" i="2" s="1"/>
  <c r="V13" i="2"/>
  <c r="U13" i="2"/>
  <c r="T13" i="2"/>
  <c r="R13" i="2"/>
  <c r="L13" i="2"/>
  <c r="H13" i="2"/>
  <c r="J13" i="2" s="1"/>
  <c r="F13" i="2"/>
  <c r="I13" i="2" s="1"/>
  <c r="M13" i="2" s="1"/>
  <c r="V12" i="2"/>
  <c r="U12" i="2"/>
  <c r="T12" i="2"/>
  <c r="R12" i="2"/>
  <c r="L12" i="2"/>
  <c r="H12" i="2"/>
  <c r="W12" i="2" s="1"/>
  <c r="F12" i="2"/>
  <c r="I12" i="2" s="1"/>
  <c r="M12" i="2" s="1"/>
  <c r="V11" i="2"/>
  <c r="U11" i="2"/>
  <c r="T11" i="2"/>
  <c r="R11" i="2"/>
  <c r="L11" i="2"/>
  <c r="H11" i="2"/>
  <c r="Y11" i="2" s="1"/>
  <c r="F11" i="2"/>
  <c r="V10" i="2"/>
  <c r="U10" i="2"/>
  <c r="T10" i="2"/>
  <c r="R10" i="2"/>
  <c r="L10" i="2"/>
  <c r="H10" i="2"/>
  <c r="W10" i="2" s="1"/>
  <c r="F10" i="2"/>
  <c r="I10" i="2" s="1"/>
  <c r="M10" i="2" s="1"/>
  <c r="V9" i="2"/>
  <c r="U9" i="2"/>
  <c r="T9" i="2"/>
  <c r="R9" i="2"/>
  <c r="L9" i="2"/>
  <c r="G9" i="2"/>
  <c r="H9" i="2" s="1"/>
  <c r="D9" i="2"/>
  <c r="F9" i="2" s="1"/>
  <c r="Y8" i="2"/>
  <c r="V8" i="2"/>
  <c r="U8" i="2"/>
  <c r="T8" i="2"/>
  <c r="R8" i="2"/>
  <c r="L8" i="2"/>
  <c r="H8" i="2"/>
  <c r="W8" i="2" s="1"/>
  <c r="F8" i="2"/>
  <c r="I8" i="2" s="1"/>
  <c r="M8" i="2" s="1"/>
  <c r="V7" i="2"/>
  <c r="U7" i="2"/>
  <c r="T7" i="2"/>
  <c r="R7" i="2"/>
  <c r="L7" i="2"/>
  <c r="H7" i="2"/>
  <c r="Y7" i="2" s="1"/>
  <c r="F7" i="2"/>
  <c r="I7" i="2" s="1"/>
  <c r="I35" i="1"/>
  <c r="Z15" i="8" l="1"/>
  <c r="Z9" i="8"/>
  <c r="Z16" i="8"/>
  <c r="Z17" i="8"/>
  <c r="Z12" i="8"/>
  <c r="Z10" i="8"/>
  <c r="Z11" i="8"/>
  <c r="Z8" i="8"/>
  <c r="G19" i="8"/>
  <c r="Z14" i="8"/>
  <c r="I22" i="8"/>
  <c r="Z13" i="8"/>
  <c r="Z9" i="6"/>
  <c r="Z15" i="6"/>
  <c r="Z8" i="6"/>
  <c r="G18" i="6"/>
  <c r="Z14" i="6"/>
  <c r="Z13" i="6"/>
  <c r="Z7" i="6"/>
  <c r="Z11" i="6"/>
  <c r="Z16" i="6"/>
  <c r="Z12" i="6"/>
  <c r="Z10" i="6"/>
  <c r="M14" i="6"/>
  <c r="I17" i="6"/>
  <c r="F17" i="5"/>
  <c r="F19" i="5" s="1"/>
  <c r="G18" i="5" s="1"/>
  <c r="M14" i="5"/>
  <c r="I13" i="5"/>
  <c r="M13" i="5" s="1"/>
  <c r="I8" i="5"/>
  <c r="M8" i="5" s="1"/>
  <c r="Y14" i="4"/>
  <c r="J14" i="4"/>
  <c r="Y15" i="4"/>
  <c r="M7" i="4"/>
  <c r="F17" i="4"/>
  <c r="F19" i="4" s="1"/>
  <c r="Z7" i="4" s="1"/>
  <c r="J9" i="4"/>
  <c r="I10" i="4"/>
  <c r="M10" i="4" s="1"/>
  <c r="Y13" i="4"/>
  <c r="J15" i="4"/>
  <c r="I16" i="4"/>
  <c r="M16" i="4" s="1"/>
  <c r="J10" i="4"/>
  <c r="J16" i="4"/>
  <c r="W16" i="4"/>
  <c r="W10" i="4"/>
  <c r="W15" i="3"/>
  <c r="Y15" i="3"/>
  <c r="J14" i="3"/>
  <c r="Y14" i="3"/>
  <c r="W9" i="3"/>
  <c r="Y9" i="3"/>
  <c r="J9" i="3"/>
  <c r="Y8" i="3"/>
  <c r="Y12" i="3"/>
  <c r="I10" i="3"/>
  <c r="M10" i="3" s="1"/>
  <c r="Y13" i="3"/>
  <c r="I16" i="3"/>
  <c r="M16" i="3" s="1"/>
  <c r="F9" i="3"/>
  <c r="W10" i="3"/>
  <c r="W16" i="3"/>
  <c r="J8" i="3"/>
  <c r="J12" i="3"/>
  <c r="W13" i="2"/>
  <c r="Y13" i="2"/>
  <c r="Y12" i="2"/>
  <c r="M7" i="2"/>
  <c r="I9" i="2"/>
  <c r="M9" i="2" s="1"/>
  <c r="Y9" i="2"/>
  <c r="J9" i="2"/>
  <c r="W9" i="2"/>
  <c r="F17" i="2"/>
  <c r="F19" i="2" s="1"/>
  <c r="Z15" i="2" s="1"/>
  <c r="J10" i="2"/>
  <c r="I11" i="2"/>
  <c r="M11" i="2" s="1"/>
  <c r="J16" i="2"/>
  <c r="W16" i="2"/>
  <c r="J7" i="2"/>
  <c r="J11" i="2"/>
  <c r="W7" i="2"/>
  <c r="J8" i="2"/>
  <c r="Y10" i="2"/>
  <c r="W11" i="2"/>
  <c r="J12" i="2"/>
  <c r="M25" i="1"/>
  <c r="J25" i="1"/>
  <c r="I25" i="1"/>
  <c r="H25" i="1"/>
  <c r="E25" i="1"/>
  <c r="L21" i="1"/>
  <c r="I20" i="1"/>
  <c r="V16" i="1"/>
  <c r="U16" i="1"/>
  <c r="T16" i="1"/>
  <c r="R16" i="1"/>
  <c r="L16" i="1"/>
  <c r="I16" i="1"/>
  <c r="M16" i="1" s="1"/>
  <c r="H16" i="1"/>
  <c r="Y16" i="1" s="1"/>
  <c r="F16" i="1"/>
  <c r="V15" i="1"/>
  <c r="U15" i="1"/>
  <c r="T15" i="1"/>
  <c r="R15" i="1"/>
  <c r="L15" i="1"/>
  <c r="H15" i="1"/>
  <c r="W15" i="1" s="1"/>
  <c r="F15" i="1"/>
  <c r="I15" i="1" s="1"/>
  <c r="M15" i="1" s="1"/>
  <c r="V14" i="1"/>
  <c r="U14" i="1"/>
  <c r="T14" i="1"/>
  <c r="R14" i="1"/>
  <c r="L14" i="1"/>
  <c r="H14" i="1"/>
  <c r="W14" i="1" s="1"/>
  <c r="F14" i="1"/>
  <c r="I14" i="1" s="1"/>
  <c r="M14" i="1" s="1"/>
  <c r="V13" i="1"/>
  <c r="U13" i="1"/>
  <c r="T13" i="1"/>
  <c r="R13" i="1"/>
  <c r="L13" i="1"/>
  <c r="H13" i="1"/>
  <c r="W13" i="1" s="1"/>
  <c r="F13" i="1"/>
  <c r="I13" i="1" s="1"/>
  <c r="M13" i="1" s="1"/>
  <c r="V11" i="1"/>
  <c r="U11" i="1"/>
  <c r="T11" i="1"/>
  <c r="R11" i="1"/>
  <c r="L11" i="1"/>
  <c r="H11" i="1"/>
  <c r="Y11" i="1" s="1"/>
  <c r="F11" i="1"/>
  <c r="V12" i="1"/>
  <c r="U12" i="1"/>
  <c r="T12" i="1"/>
  <c r="R12" i="1"/>
  <c r="L12" i="1"/>
  <c r="H12" i="1"/>
  <c r="Y12" i="1" s="1"/>
  <c r="F12" i="1"/>
  <c r="I12" i="1" s="1"/>
  <c r="M12" i="1" s="1"/>
  <c r="V10" i="1"/>
  <c r="U10" i="1"/>
  <c r="T10" i="1"/>
  <c r="R10" i="1"/>
  <c r="L10" i="1"/>
  <c r="H10" i="1"/>
  <c r="Y10" i="1" s="1"/>
  <c r="F10" i="1"/>
  <c r="I10" i="1" s="1"/>
  <c r="M10" i="1" s="1"/>
  <c r="V9" i="1"/>
  <c r="U9" i="1"/>
  <c r="T9" i="1"/>
  <c r="R9" i="1"/>
  <c r="L9" i="1"/>
  <c r="H9" i="1"/>
  <c r="J9" i="1" s="1"/>
  <c r="G9" i="1"/>
  <c r="F9" i="1"/>
  <c r="I9" i="1" s="1"/>
  <c r="M9" i="1" s="1"/>
  <c r="D9" i="1"/>
  <c r="V8" i="1"/>
  <c r="U8" i="1"/>
  <c r="T8" i="1"/>
  <c r="R8" i="1"/>
  <c r="L8" i="1"/>
  <c r="H8" i="1"/>
  <c r="Y8" i="1" s="1"/>
  <c r="F8" i="1"/>
  <c r="V7" i="1"/>
  <c r="U7" i="1"/>
  <c r="T7" i="1"/>
  <c r="R7" i="1"/>
  <c r="L7" i="1"/>
  <c r="H7" i="1"/>
  <c r="W7" i="1" s="1"/>
  <c r="F7" i="1"/>
  <c r="I7" i="1" s="1"/>
  <c r="M7" i="1" s="1"/>
  <c r="Z11" i="5" l="1"/>
  <c r="I21" i="5"/>
  <c r="Z13" i="5"/>
  <c r="Z14" i="5"/>
  <c r="Z9" i="5"/>
  <c r="Z10" i="5"/>
  <c r="Z16" i="5"/>
  <c r="Z8" i="5"/>
  <c r="Z15" i="5"/>
  <c r="Z7" i="5"/>
  <c r="Z12" i="5"/>
  <c r="I17" i="5"/>
  <c r="Z13" i="4"/>
  <c r="Z14" i="4"/>
  <c r="I17" i="4"/>
  <c r="G18" i="4"/>
  <c r="I21" i="4"/>
  <c r="Z11" i="4"/>
  <c r="Z12" i="4"/>
  <c r="Z15" i="4"/>
  <c r="Z16" i="4"/>
  <c r="Z9" i="4"/>
  <c r="Z10" i="4"/>
  <c r="Z8" i="4"/>
  <c r="I9" i="3"/>
  <c r="F17" i="3"/>
  <c r="F19" i="3" s="1"/>
  <c r="Z9" i="2"/>
  <c r="I21" i="2"/>
  <c r="G18" i="2"/>
  <c r="Z7" i="2"/>
  <c r="Z14" i="2"/>
  <c r="Z13" i="2"/>
  <c r="Z10" i="2"/>
  <c r="Z16" i="2"/>
  <c r="Z11" i="2"/>
  <c r="I17" i="2"/>
  <c r="Z12" i="2"/>
  <c r="Z8" i="2"/>
  <c r="Y15" i="1"/>
  <c r="Y14" i="1"/>
  <c r="G17" i="1"/>
  <c r="Y13" i="1"/>
  <c r="J10" i="1"/>
  <c r="W10" i="1"/>
  <c r="J15" i="1"/>
  <c r="J16" i="1"/>
  <c r="W16" i="1"/>
  <c r="J14" i="1"/>
  <c r="Y7" i="1"/>
  <c r="W8" i="1"/>
  <c r="F17" i="1"/>
  <c r="F19" i="1" s="1"/>
  <c r="I21" i="1" s="1"/>
  <c r="W9" i="1"/>
  <c r="J7" i="1"/>
  <c r="I8" i="1"/>
  <c r="M8" i="1" s="1"/>
  <c r="Y9" i="1"/>
  <c r="J12" i="1"/>
  <c r="I11" i="1"/>
  <c r="M11" i="1" s="1"/>
  <c r="J8" i="1"/>
  <c r="W12" i="1"/>
  <c r="J11" i="1"/>
  <c r="W11" i="1"/>
  <c r="J13" i="1"/>
  <c r="G18" i="3" l="1"/>
  <c r="I21" i="3"/>
  <c r="Z15" i="3"/>
  <c r="Z10" i="3"/>
  <c r="Z12" i="3"/>
  <c r="Z14" i="3"/>
  <c r="Z16" i="3"/>
  <c r="Z8" i="3"/>
  <c r="Z7" i="3"/>
  <c r="Z11" i="3"/>
  <c r="Z13" i="3"/>
  <c r="M9" i="3"/>
  <c r="I17" i="3"/>
  <c r="Z9" i="3"/>
  <c r="Z15" i="1"/>
  <c r="Z9" i="1"/>
  <c r="Z7" i="1"/>
  <c r="Z14" i="1"/>
  <c r="Z13" i="1"/>
  <c r="Z10" i="1"/>
  <c r="Z12" i="1"/>
  <c r="Z16" i="1"/>
  <c r="Z11" i="1"/>
  <c r="Z8" i="1"/>
  <c r="G18" i="1"/>
  <c r="I17" i="1"/>
</calcChain>
</file>

<file path=xl/sharedStrings.xml><?xml version="1.0" encoding="utf-8"?>
<sst xmlns="http://schemas.openxmlformats.org/spreadsheetml/2006/main" count="7863" uniqueCount="157">
  <si>
    <t>MANAGED ACCT</t>
  </si>
  <si>
    <t>Current</t>
  </si>
  <si>
    <t>Cost</t>
  </si>
  <si>
    <t xml:space="preserve">P/L </t>
  </si>
  <si>
    <t>Group</t>
  </si>
  <si>
    <t>EPS</t>
  </si>
  <si>
    <t>pivot</t>
  </si>
  <si>
    <t xml:space="preserve">last </t>
  </si>
  <si>
    <t>cost</t>
  </si>
  <si>
    <t xml:space="preserve">Stop </t>
  </si>
  <si>
    <t>Stop</t>
  </si>
  <si>
    <t>%</t>
  </si>
  <si>
    <t>Symbol</t>
  </si>
  <si>
    <t>Position</t>
  </si>
  <si>
    <t>Name</t>
  </si>
  <si>
    <t>Qty</t>
  </si>
  <si>
    <t>Value</t>
  </si>
  <si>
    <t>per share</t>
  </si>
  <si>
    <t>P/L $</t>
  </si>
  <si>
    <t>per sh</t>
  </si>
  <si>
    <t>Date purch</t>
  </si>
  <si>
    <t>days held</t>
  </si>
  <si>
    <t>% incr</t>
  </si>
  <si>
    <t>Rank</t>
  </si>
  <si>
    <t>RS</t>
  </si>
  <si>
    <t>low</t>
  </si>
  <si>
    <t>Loss</t>
  </si>
  <si>
    <t>Loss%</t>
  </si>
  <si>
    <t>of port</t>
  </si>
  <si>
    <t>ONON</t>
  </si>
  <si>
    <t>Long</t>
  </si>
  <si>
    <t>On Holding</t>
  </si>
  <si>
    <t>TILE</t>
  </si>
  <si>
    <t>Interface</t>
  </si>
  <si>
    <t>MSTR</t>
  </si>
  <si>
    <t>Microstrategy</t>
  </si>
  <si>
    <t>IBIT</t>
  </si>
  <si>
    <t>iShares Bitcoin</t>
  </si>
  <si>
    <t>-</t>
  </si>
  <si>
    <t>APH</t>
  </si>
  <si>
    <t>Amphenol</t>
  </si>
  <si>
    <t>AXGN</t>
  </si>
  <si>
    <t>Axogen</t>
  </si>
  <si>
    <t>Sub-Total</t>
  </si>
  <si>
    <t>Cash, other</t>
  </si>
  <si>
    <t>Total</t>
  </si>
  <si>
    <t>Control acct (Doug's IRA)</t>
  </si>
  <si>
    <t>Today</t>
  </si>
  <si>
    <t>Last week's close</t>
  </si>
  <si>
    <t>Week's change</t>
  </si>
  <si>
    <t>chg %</t>
  </si>
  <si>
    <t>days</t>
  </si>
  <si>
    <t>Cost/sh</t>
  </si>
  <si>
    <t>$ cost</t>
  </si>
  <si>
    <t>$Proc</t>
  </si>
  <si>
    <t>Proc/sh</t>
  </si>
  <si>
    <t>Profit/loss</t>
  </si>
  <si>
    <t>Date sold</t>
  </si>
  <si>
    <t>held</t>
  </si>
  <si>
    <t>Comments</t>
  </si>
  <si>
    <t>2025 Closed Trades - Managed Acct</t>
  </si>
  <si>
    <t>SQ</t>
  </si>
  <si>
    <t>Block</t>
  </si>
  <si>
    <t>IBD</t>
  </si>
  <si>
    <t>Comp</t>
  </si>
  <si>
    <t>Due</t>
  </si>
  <si>
    <t>Avg</t>
  </si>
  <si>
    <t># of losses</t>
  </si>
  <si>
    <t># of wins</t>
  </si>
  <si>
    <t>OKLO</t>
  </si>
  <si>
    <t>Oklo</t>
  </si>
  <si>
    <t>GEV</t>
  </si>
  <si>
    <t>GE Vernova</t>
  </si>
  <si>
    <t>AGX</t>
  </si>
  <si>
    <t>Argan</t>
  </si>
  <si>
    <t>PSTG</t>
  </si>
  <si>
    <t>Pure Storage</t>
  </si>
  <si>
    <t>MTRX</t>
  </si>
  <si>
    <t>Matrix Service</t>
  </si>
  <si>
    <t>FTNT</t>
  </si>
  <si>
    <t>Fortinet</t>
  </si>
  <si>
    <t>DKS</t>
  </si>
  <si>
    <t>Dicks</t>
  </si>
  <si>
    <t>AXON</t>
  </si>
  <si>
    <t>Axon Enterprises</t>
  </si>
  <si>
    <t>TOST</t>
  </si>
  <si>
    <t>Toast</t>
  </si>
  <si>
    <t>Comments (Close on Feb 21)</t>
  </si>
  <si>
    <t>chg from sale</t>
  </si>
  <si>
    <t>Comments (Close on Feb 28)</t>
  </si>
  <si>
    <t>(Now XYZ)</t>
  </si>
  <si>
    <t>Comments (Close on Mar 7)</t>
  </si>
  <si>
    <t>Comments (Close on Mar 21)</t>
  </si>
  <si>
    <t>Comments (Close on Mar 28)</t>
  </si>
  <si>
    <t>Comments (Close on Apr 4)</t>
  </si>
  <si>
    <t>Comments (Close on Apr 11)</t>
  </si>
  <si>
    <t>TGTX</t>
  </si>
  <si>
    <t>TG Therapeutics</t>
  </si>
  <si>
    <t xml:space="preserve">ADMA </t>
  </si>
  <si>
    <t>ADMA Biologics</t>
  </si>
  <si>
    <t>PLTR</t>
  </si>
  <si>
    <t>Palantir</t>
  </si>
  <si>
    <t>Comments (Close on Apr 17)</t>
  </si>
  <si>
    <t>Comments (Close on Apr 24)</t>
  </si>
  <si>
    <t>ADMA</t>
  </si>
  <si>
    <t>Comments (Close on May 2)</t>
  </si>
  <si>
    <t>LOAR</t>
  </si>
  <si>
    <t>WAY</t>
  </si>
  <si>
    <t>Loar Holdings</t>
  </si>
  <si>
    <t>Waystar Holding</t>
  </si>
  <si>
    <t>Comments (Close on May 9)</t>
  </si>
  <si>
    <t>RBLX</t>
  </si>
  <si>
    <t>Roblox</t>
  </si>
  <si>
    <t>UBER</t>
  </si>
  <si>
    <t>Uber Technologies</t>
  </si>
  <si>
    <t>Comments (Close on May 16)</t>
  </si>
  <si>
    <t>HOOD</t>
  </si>
  <si>
    <t>Robinhood Mark</t>
  </si>
  <si>
    <t>SMR</t>
  </si>
  <si>
    <t>NuScale Power</t>
  </si>
  <si>
    <t>Comments (Close on May 23)</t>
  </si>
  <si>
    <t>TSSI</t>
  </si>
  <si>
    <t>TSS Inc</t>
  </si>
  <si>
    <t>ytd chg %</t>
  </si>
  <si>
    <t>RKLB</t>
  </si>
  <si>
    <t>Rocket Lab</t>
  </si>
  <si>
    <t>CRDO</t>
  </si>
  <si>
    <t>Credo Tech Group</t>
  </si>
  <si>
    <t>AMSC</t>
  </si>
  <si>
    <t>American Semic</t>
  </si>
  <si>
    <t>ROAD</t>
  </si>
  <si>
    <t>Construction Ptrs</t>
  </si>
  <si>
    <t>QUBT</t>
  </si>
  <si>
    <t>Quantum Comp</t>
  </si>
  <si>
    <t>APP</t>
  </si>
  <si>
    <t>AppLovin</t>
  </si>
  <si>
    <t>HLI</t>
  </si>
  <si>
    <t>Houlihan Lokey</t>
  </si>
  <si>
    <t>VRT</t>
  </si>
  <si>
    <t>Vertiv Hldgs</t>
  </si>
  <si>
    <t>CCJ</t>
  </si>
  <si>
    <t>Cameco</t>
  </si>
  <si>
    <t>ANET</t>
  </si>
  <si>
    <t>Arista Networks</t>
  </si>
  <si>
    <t>NTGR</t>
  </si>
  <si>
    <t>Netgear</t>
  </si>
  <si>
    <t>SYM</t>
  </si>
  <si>
    <t>Symbiotic</t>
  </si>
  <si>
    <t>TQQQ</t>
  </si>
  <si>
    <t>ProShares 3x QQQ</t>
  </si>
  <si>
    <t>AAPL</t>
  </si>
  <si>
    <t>Apple</t>
  </si>
  <si>
    <t>Applovin</t>
  </si>
  <si>
    <t>TSLA</t>
  </si>
  <si>
    <t>Tesla</t>
  </si>
  <si>
    <t>URBN</t>
  </si>
  <si>
    <t>Urban Outfitters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</si>
</sst>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000"/>
    <numFmt numFmtId="165" formatCode="&quot;$&quot;#,##0.00"/>
    <numFmt numFmtId="166" formatCode="\$#,##0.00_);[Red]&quot;($&quot;#,##0.00\)"/>
    <numFmt numFmtId="167" formatCode="mm/dd/yy"/>
    <numFmt numFmtId="168" formatCode="&quot;$&quot;#,##0"/>
    <numFmt numFmtId="169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sz val="10"/>
      <color indexed="10"/>
      <name val="Arial"/>
      <family val="2"/>
    </font>
    <font>
      <u/>
      <sz val="10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0" applyNumberFormat="1"/>
    <xf numFmtId="10" fontId="0" fillId="0" borderId="0" xfId="2" applyNumberFormat="1" applyFont="1"/>
    <xf numFmtId="20" fontId="0" fillId="0" borderId="0" xfId="0" applyNumberFormat="1"/>
    <xf numFmtId="14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10" fontId="0" fillId="0" borderId="2" xfId="2" applyNumberFormat="1" applyFont="1" applyBorder="1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2" fontId="4" fillId="0" borderId="0" xfId="0" applyNumberFormat="1" applyFont="1"/>
    <xf numFmtId="0" fontId="6" fillId="0" borderId="0" xfId="0" applyFont="1"/>
    <xf numFmtId="2" fontId="6" fillId="0" borderId="0" xfId="0" applyNumberFormat="1" applyFont="1"/>
    <xf numFmtId="10" fontId="0" fillId="0" borderId="0" xfId="2" applyNumberFormat="1" applyFont="1" applyBorder="1"/>
    <xf numFmtId="0" fontId="0" fillId="0" borderId="0" xfId="0" quotePrefix="1" applyAlignment="1">
      <alignment horizontal="center"/>
    </xf>
    <xf numFmtId="0" fontId="6" fillId="0" borderId="0" xfId="0" quotePrefix="1" applyFont="1"/>
    <xf numFmtId="0" fontId="0" fillId="0" borderId="2" xfId="0" applyBorder="1"/>
    <xf numFmtId="0" fontId="0" fillId="0" borderId="2" xfId="0" applyBorder="1" applyAlignment="1">
      <alignment horizontal="left"/>
    </xf>
    <xf numFmtId="164" fontId="0" fillId="0" borderId="2" xfId="0" applyNumberFormat="1" applyBorder="1"/>
    <xf numFmtId="166" fontId="0" fillId="0" borderId="2" xfId="0" applyNumberFormat="1" applyBorder="1"/>
    <xf numFmtId="165" fontId="0" fillId="0" borderId="2" xfId="0" applyNumberFormat="1" applyBorder="1"/>
    <xf numFmtId="165" fontId="0" fillId="0" borderId="2" xfId="0" applyNumberFormat="1" applyBorder="1" applyAlignment="1">
      <alignment horizontal="right"/>
    </xf>
    <xf numFmtId="167" fontId="0" fillId="0" borderId="2" xfId="0" applyNumberFormat="1" applyBorder="1"/>
    <xf numFmtId="10" fontId="0" fillId="0" borderId="2" xfId="0" applyNumberFormat="1" applyBorder="1"/>
    <xf numFmtId="0" fontId="6" fillId="0" borderId="2" xfId="0" applyFont="1" applyBorder="1"/>
    <xf numFmtId="2" fontId="0" fillId="0" borderId="2" xfId="0" applyNumberFormat="1" applyBorder="1"/>
    <xf numFmtId="2" fontId="4" fillId="0" borderId="2" xfId="0" applyNumberFormat="1" applyFont="1" applyBorder="1"/>
    <xf numFmtId="2" fontId="6" fillId="0" borderId="2" xfId="0" applyNumberFormat="1" applyFont="1" applyBorder="1"/>
    <xf numFmtId="10" fontId="0" fillId="0" borderId="2" xfId="2" applyNumberFormat="1" applyFont="1" applyBorder="1"/>
    <xf numFmtId="165" fontId="0" fillId="0" borderId="0" xfId="0" applyNumberFormat="1" applyAlignment="1">
      <alignment horizontal="left"/>
    </xf>
    <xf numFmtId="165" fontId="0" fillId="0" borderId="0" xfId="2" applyNumberFormat="1" applyFont="1" applyAlignment="1">
      <alignment horizontal="right"/>
    </xf>
    <xf numFmtId="168" fontId="0" fillId="0" borderId="0" xfId="0" applyNumberFormat="1"/>
    <xf numFmtId="165" fontId="0" fillId="0" borderId="0" xfId="2" applyNumberFormat="1" applyFont="1"/>
    <xf numFmtId="165" fontId="2" fillId="0" borderId="0" xfId="0" applyNumberFormat="1" applyFont="1" applyAlignment="1">
      <alignment horizontal="left"/>
    </xf>
    <xf numFmtId="0" fontId="3" fillId="0" borderId="0" xfId="0" applyFont="1"/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center"/>
    </xf>
    <xf numFmtId="44" fontId="0" fillId="0" borderId="0" xfId="1" applyFont="1"/>
    <xf numFmtId="44" fontId="0" fillId="0" borderId="0" xfId="0" applyNumberFormat="1"/>
    <xf numFmtId="16" fontId="6" fillId="0" borderId="0" xfId="0" applyNumberFormat="1" applyFont="1" applyAlignment="1">
      <alignment horizontal="center"/>
    </xf>
    <xf numFmtId="3" fontId="0" fillId="0" borderId="0" xfId="0" applyNumberFormat="1"/>
    <xf numFmtId="16" fontId="2" fillId="0" borderId="0" xfId="0" applyNumberFormat="1" applyFont="1" applyAlignment="1">
      <alignment horizontal="center"/>
    </xf>
    <xf numFmtId="16" fontId="0" fillId="0" borderId="0" xfId="0" applyNumberFormat="1"/>
    <xf numFmtId="169" fontId="0" fillId="0" borderId="0" xfId="2" applyNumberFormat="1" applyFont="1"/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16" fontId="6" fillId="0" borderId="0" xfId="0" quotePrefix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oug\Documents\APS%20Trading%20Journal%20-%202024.xlsx" TargetMode="External"/><Relationship Id="rId1" Type="http://schemas.openxmlformats.org/officeDocument/2006/relationships/externalLinkPath" Target="APS%20Trading%20Journal%20-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5-24"/>
      <sheetName val="01-12-24"/>
      <sheetName val="01-19-24"/>
      <sheetName val="01-26-24"/>
      <sheetName val="02-02-24"/>
      <sheetName val="02-09-24"/>
      <sheetName val="02-16-24"/>
      <sheetName val="02-23-24"/>
      <sheetName val="03-01-24"/>
      <sheetName val="03-08-24"/>
      <sheetName val="03-15-24"/>
      <sheetName val="03-22-24"/>
      <sheetName val="03-29-24"/>
      <sheetName val="04-05-24"/>
      <sheetName val="04-12-24"/>
      <sheetName val="04-19-24"/>
      <sheetName val="05-03-24"/>
      <sheetName val="05-10-24"/>
      <sheetName val="05-17-24"/>
      <sheetName val="05-24-24"/>
      <sheetName val="05-31-24"/>
      <sheetName val="06-07-24"/>
      <sheetName val="06-14-24"/>
      <sheetName val="06-21-24"/>
      <sheetName val="06-28-24"/>
      <sheetName val="07-05-24"/>
      <sheetName val="07-12-24"/>
      <sheetName val="07-19-24"/>
      <sheetName val="07-26-24"/>
      <sheetName val="08-02-24"/>
      <sheetName val="08-09-24"/>
      <sheetName val="08-16-24"/>
      <sheetName val="08-23-24"/>
      <sheetName val="08-30-24"/>
      <sheetName val="09-06-24"/>
      <sheetName val="09-13-24"/>
      <sheetName val="09-20-24"/>
      <sheetName val="09-27-24"/>
      <sheetName val="10-04-24"/>
      <sheetName val="10-11-24"/>
      <sheetName val="10-18-24"/>
      <sheetName val="10-25-24"/>
      <sheetName val="11-01-24"/>
      <sheetName val="11-08-24"/>
      <sheetName val="11-15-24"/>
      <sheetName val="11-22-24"/>
      <sheetName val="11-29-24"/>
      <sheetName val="12-06-24"/>
      <sheetName val="12-13-24"/>
      <sheetName val="12-20-24"/>
      <sheetName val="12-27-24"/>
      <sheetName val="12-31-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19">
          <cell r="F19">
            <v>751129.19661800005</v>
          </cell>
        </row>
      </sheetData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8631-E895-4E2D-A83B-E639497607CB}">
  <dimension ref="A1:AC66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8.28515625" bestFit="1" customWidth="1"/>
    <col min="6" max="7" width="11.5703125" bestFit="1" customWidth="1"/>
    <col min="8" max="8" width="11" customWidth="1"/>
    <col min="9" max="9" width="11.28515625" bestFit="1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bestFit="1" customWidth="1"/>
    <col min="17" max="22" width="6.5703125" bestFit="1" customWidth="1"/>
    <col min="23" max="25" width="7.42578125" bestFit="1" customWidth="1"/>
    <col min="26" max="26" width="7.140625" bestFit="1" customWidth="1"/>
  </cols>
  <sheetData>
    <row r="1" spans="1:29" x14ac:dyDescent="0.25">
      <c r="C1" s="1">
        <v>45660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29</v>
      </c>
      <c r="B7" t="s">
        <v>30</v>
      </c>
      <c r="C7" s="25" t="s">
        <v>31</v>
      </c>
      <c r="D7" s="2">
        <v>1263.7796000000001</v>
      </c>
      <c r="E7" s="26">
        <v>56.62</v>
      </c>
      <c r="F7" s="3">
        <f t="shared" ref="F7:F12" si="0">E7*D7</f>
        <v>71555.200951999999</v>
      </c>
      <c r="G7" s="3">
        <v>56489.42</v>
      </c>
      <c r="H7" s="4">
        <f t="shared" ref="H7:H12" si="1">G7/D7</f>
        <v>44.698790833464948</v>
      </c>
      <c r="I7" s="3">
        <f t="shared" ref="I7:I12" si="2">F7-G7</f>
        <v>15065.780952000001</v>
      </c>
      <c r="J7" s="26">
        <f t="shared" ref="J7:J12" si="3">E7-H7</f>
        <v>11.92120916653505</v>
      </c>
      <c r="K7" s="27">
        <v>45527</v>
      </c>
      <c r="L7">
        <f t="shared" ref="L7:L12" si="4">DAYS360(K7,$C$1)</f>
        <v>130</v>
      </c>
      <c r="M7" s="5">
        <f t="shared" ref="M7:M12" si="5">(I7/G7)</f>
        <v>0.2667009318205073</v>
      </c>
      <c r="N7">
        <v>120</v>
      </c>
      <c r="O7">
        <v>94</v>
      </c>
      <c r="P7" s="30">
        <v>89</v>
      </c>
      <c r="Q7" s="28">
        <v>43.2</v>
      </c>
      <c r="R7" s="29">
        <f t="shared" ref="R7:R12" si="6">Q7*0.93</f>
        <v>40.176000000000002</v>
      </c>
      <c r="S7" s="29">
        <v>49.51</v>
      </c>
      <c r="T7" s="28">
        <f t="shared" ref="T7:T12" si="7">Q7*1.25</f>
        <v>54</v>
      </c>
      <c r="U7" s="28">
        <f t="shared" ref="U7:U12" si="8">Q7*1.5</f>
        <v>64.800000000000011</v>
      </c>
      <c r="V7" s="28">
        <f t="shared" ref="V7:V12" si="9">Q7*2</f>
        <v>86.4</v>
      </c>
      <c r="W7" s="28">
        <f t="shared" ref="W7:W12" si="10">H7-(H7*0.07)</f>
        <v>41.569875475122402</v>
      </c>
      <c r="X7" s="29">
        <v>51</v>
      </c>
      <c r="Y7" s="5">
        <f t="shared" ref="Y7:Y12" si="11">(X7-H7)/H7</f>
        <v>0.14097046137135064</v>
      </c>
      <c r="Z7" s="6">
        <f t="shared" ref="Z7:Z12" si="12">F7/F$19</f>
        <v>9.5345345701868797E-2</v>
      </c>
      <c r="AB7" s="58">
        <v>45729</v>
      </c>
      <c r="AC7" s="9">
        <v>96</v>
      </c>
    </row>
    <row r="8" spans="1:29" x14ac:dyDescent="0.25">
      <c r="A8" t="s">
        <v>32</v>
      </c>
      <c r="B8" t="s">
        <v>30</v>
      </c>
      <c r="C8" s="25" t="s">
        <v>33</v>
      </c>
      <c r="D8" s="2">
        <v>3020.3485999999998</v>
      </c>
      <c r="E8" s="26">
        <v>24.24</v>
      </c>
      <c r="F8" s="3">
        <f t="shared" si="0"/>
        <v>73213.250063999993</v>
      </c>
      <c r="G8" s="3">
        <v>56486.59</v>
      </c>
      <c r="H8" s="4">
        <f t="shared" si="1"/>
        <v>18.702010092477405</v>
      </c>
      <c r="I8" s="3">
        <f t="shared" si="2"/>
        <v>16726.660063999996</v>
      </c>
      <c r="J8" s="26">
        <f t="shared" si="3"/>
        <v>5.5379899075225936</v>
      </c>
      <c r="K8" s="27">
        <v>45527</v>
      </c>
      <c r="L8">
        <f t="shared" si="4"/>
        <v>130</v>
      </c>
      <c r="M8" s="5">
        <f t="shared" si="5"/>
        <v>0.29611736279354084</v>
      </c>
      <c r="N8">
        <v>108</v>
      </c>
      <c r="O8">
        <v>94</v>
      </c>
      <c r="P8" s="30">
        <v>86</v>
      </c>
      <c r="Q8" s="28">
        <v>17.86</v>
      </c>
      <c r="R8" s="29">
        <f t="shared" si="6"/>
        <v>16.6098</v>
      </c>
      <c r="S8" s="29">
        <v>23.7</v>
      </c>
      <c r="T8" s="31">
        <f t="shared" si="7"/>
        <v>22.324999999999999</v>
      </c>
      <c r="U8" s="28">
        <f t="shared" si="8"/>
        <v>26.79</v>
      </c>
      <c r="V8" s="28">
        <f t="shared" si="9"/>
        <v>35.72</v>
      </c>
      <c r="W8" s="28">
        <f t="shared" si="10"/>
        <v>17.392869386003987</v>
      </c>
      <c r="X8" s="29">
        <v>22</v>
      </c>
      <c r="Y8" s="5">
        <f t="shared" si="11"/>
        <v>0.17634414114925329</v>
      </c>
      <c r="Z8" s="6">
        <f t="shared" si="12"/>
        <v>9.75546507372968E-2</v>
      </c>
      <c r="AB8" s="58">
        <v>45720</v>
      </c>
      <c r="AC8" s="9">
        <v>89</v>
      </c>
    </row>
    <row r="9" spans="1:29" x14ac:dyDescent="0.25">
      <c r="A9" t="s">
        <v>34</v>
      </c>
      <c r="B9" t="s">
        <v>30</v>
      </c>
      <c r="C9" s="25" t="s">
        <v>35</v>
      </c>
      <c r="D9" s="2">
        <f>341.2204-83.2121</f>
        <v>258.00829999999996</v>
      </c>
      <c r="E9" s="26">
        <v>339.66</v>
      </c>
      <c r="F9" s="3">
        <f t="shared" si="0"/>
        <v>87635.099177999989</v>
      </c>
      <c r="G9" s="3">
        <f>71012.62-17317.27</f>
        <v>53695.349999999991</v>
      </c>
      <c r="H9" s="4">
        <f t="shared" si="1"/>
        <v>208.11481646133089</v>
      </c>
      <c r="I9" s="3">
        <f t="shared" si="2"/>
        <v>33939.749177999998</v>
      </c>
      <c r="J9" s="26">
        <f t="shared" si="3"/>
        <v>131.54518353866914</v>
      </c>
      <c r="K9" s="27">
        <v>45580</v>
      </c>
      <c r="L9">
        <f t="shared" si="4"/>
        <v>78</v>
      </c>
      <c r="M9" s="5">
        <f t="shared" si="5"/>
        <v>0.63207985752956264</v>
      </c>
      <c r="N9">
        <v>13</v>
      </c>
      <c r="O9">
        <v>98</v>
      </c>
      <c r="P9" s="30">
        <v>5</v>
      </c>
      <c r="Q9" s="28">
        <v>183.7</v>
      </c>
      <c r="R9" s="29">
        <f t="shared" si="6"/>
        <v>170.84100000000001</v>
      </c>
      <c r="S9" s="29">
        <v>285.01</v>
      </c>
      <c r="T9" s="28">
        <f t="shared" si="7"/>
        <v>229.625</v>
      </c>
      <c r="U9" s="28">
        <f t="shared" si="8"/>
        <v>275.54999999999995</v>
      </c>
      <c r="V9" s="28">
        <f t="shared" si="9"/>
        <v>367.4</v>
      </c>
      <c r="W9" s="28">
        <f t="shared" si="10"/>
        <v>193.54677930903773</v>
      </c>
      <c r="X9" s="29">
        <v>335</v>
      </c>
      <c r="Y9" s="5">
        <f t="shared" si="11"/>
        <v>0.60968837152565358</v>
      </c>
      <c r="Z9" s="32">
        <f t="shared" si="12"/>
        <v>0.11677136973382261</v>
      </c>
      <c r="AB9" s="58">
        <v>45692</v>
      </c>
      <c r="AC9" s="9">
        <v>61</v>
      </c>
    </row>
    <row r="10" spans="1:29" x14ac:dyDescent="0.25">
      <c r="A10" t="s">
        <v>36</v>
      </c>
      <c r="B10" t="s">
        <v>30</v>
      </c>
      <c r="C10" t="s">
        <v>37</v>
      </c>
      <c r="D10" s="2">
        <v>939.24239999999998</v>
      </c>
      <c r="E10" s="26">
        <v>55.96</v>
      </c>
      <c r="F10" s="3">
        <f t="shared" si="0"/>
        <v>52560.004703999999</v>
      </c>
      <c r="G10" s="3">
        <v>36992.18</v>
      </c>
      <c r="H10" s="4">
        <f t="shared" si="1"/>
        <v>39.385125714086165</v>
      </c>
      <c r="I10" s="3">
        <f t="shared" si="2"/>
        <v>15567.824703999999</v>
      </c>
      <c r="J10" s="26">
        <f t="shared" si="3"/>
        <v>16.574874285913836</v>
      </c>
      <c r="K10" s="27">
        <v>45593</v>
      </c>
      <c r="L10">
        <f t="shared" si="4"/>
        <v>65</v>
      </c>
      <c r="M10" s="5">
        <f t="shared" si="5"/>
        <v>0.4208409643335429</v>
      </c>
      <c r="O10">
        <v>96</v>
      </c>
      <c r="P10" s="33" t="s">
        <v>38</v>
      </c>
      <c r="Q10" s="28">
        <v>39.369999999999997</v>
      </c>
      <c r="R10" s="29">
        <f t="shared" si="6"/>
        <v>36.614100000000001</v>
      </c>
      <c r="S10" s="29">
        <v>51.54</v>
      </c>
      <c r="T10" s="28">
        <f t="shared" si="7"/>
        <v>49.212499999999999</v>
      </c>
      <c r="U10" s="28">
        <f t="shared" si="8"/>
        <v>59.054999999999993</v>
      </c>
      <c r="V10" s="28">
        <f t="shared" si="9"/>
        <v>78.739999999999995</v>
      </c>
      <c r="W10" s="28">
        <f t="shared" si="10"/>
        <v>36.628166914100134</v>
      </c>
      <c r="X10" s="29">
        <v>50</v>
      </c>
      <c r="Y10" s="5">
        <f t="shared" si="11"/>
        <v>0.26951480015505969</v>
      </c>
      <c r="Z10" s="32">
        <f t="shared" si="12"/>
        <v>7.003476689215643E-2</v>
      </c>
      <c r="AB10" s="58"/>
      <c r="AC10" s="9"/>
    </row>
    <row r="11" spans="1:29" x14ac:dyDescent="0.25">
      <c r="A11" t="s">
        <v>41</v>
      </c>
      <c r="B11" t="s">
        <v>30</v>
      </c>
      <c r="C11" s="25" t="s">
        <v>42</v>
      </c>
      <c r="D11" s="2">
        <v>2234.6064999999999</v>
      </c>
      <c r="E11" s="26">
        <v>16.11</v>
      </c>
      <c r="F11" s="3">
        <f t="shared" si="0"/>
        <v>35999.510714999997</v>
      </c>
      <c r="G11" s="3">
        <v>37971.83</v>
      </c>
      <c r="H11" s="4">
        <f t="shared" si="1"/>
        <v>16.992624876012847</v>
      </c>
      <c r="I11" s="3">
        <f t="shared" si="2"/>
        <v>-1972.319285000005</v>
      </c>
      <c r="J11" s="26">
        <f t="shared" si="3"/>
        <v>-0.88262487601284789</v>
      </c>
      <c r="K11" s="27">
        <v>45652</v>
      </c>
      <c r="L11">
        <f t="shared" si="4"/>
        <v>7</v>
      </c>
      <c r="M11" s="5">
        <f t="shared" si="5"/>
        <v>-5.1941644239953802E-2</v>
      </c>
      <c r="N11">
        <v>82</v>
      </c>
      <c r="O11">
        <v>96</v>
      </c>
      <c r="P11" s="30">
        <v>81</v>
      </c>
      <c r="Q11" s="28">
        <v>15.9</v>
      </c>
      <c r="R11" s="29">
        <f t="shared" si="6"/>
        <v>14.787000000000001</v>
      </c>
      <c r="S11" s="29">
        <v>13.85</v>
      </c>
      <c r="T11" s="31">
        <f t="shared" si="7"/>
        <v>19.875</v>
      </c>
      <c r="U11" s="28">
        <f t="shared" si="8"/>
        <v>23.85</v>
      </c>
      <c r="V11" s="28">
        <f t="shared" si="9"/>
        <v>31.8</v>
      </c>
      <c r="W11" s="28">
        <f t="shared" si="10"/>
        <v>15.803141134691948</v>
      </c>
      <c r="X11" s="29">
        <v>15.65</v>
      </c>
      <c r="Y11" s="5">
        <f t="shared" si="11"/>
        <v>-7.9012211815969929E-2</v>
      </c>
      <c r="Z11" s="6">
        <f t="shared" si="12"/>
        <v>4.796836216730474E-2</v>
      </c>
      <c r="AB11" s="58">
        <v>45720</v>
      </c>
      <c r="AC11" s="9">
        <v>93</v>
      </c>
    </row>
    <row r="12" spans="1:29" x14ac:dyDescent="0.25">
      <c r="A12" t="s">
        <v>61</v>
      </c>
      <c r="B12" t="s">
        <v>30</v>
      </c>
      <c r="C12" s="25" t="s">
        <v>62</v>
      </c>
      <c r="D12" s="2">
        <v>653.82380000000001</v>
      </c>
      <c r="E12" s="26">
        <v>92.16</v>
      </c>
      <c r="F12" s="3">
        <f t="shared" si="0"/>
        <v>60256.401407999998</v>
      </c>
      <c r="G12" s="3">
        <v>58922.080000000002</v>
      </c>
      <c r="H12" s="4">
        <f t="shared" si="1"/>
        <v>90.119203369470497</v>
      </c>
      <c r="I12" s="3">
        <f t="shared" si="2"/>
        <v>1334.3214079999962</v>
      </c>
      <c r="J12" s="26">
        <f t="shared" si="3"/>
        <v>2.0407966305294991</v>
      </c>
      <c r="K12" s="27">
        <v>45660</v>
      </c>
      <c r="L12">
        <f t="shared" si="4"/>
        <v>0</v>
      </c>
      <c r="M12" s="5">
        <f t="shared" si="5"/>
        <v>2.2645524530023314E-2</v>
      </c>
      <c r="N12">
        <v>38</v>
      </c>
      <c r="O12">
        <v>89</v>
      </c>
      <c r="P12" s="30">
        <v>99</v>
      </c>
      <c r="Q12" s="28">
        <v>87.52</v>
      </c>
      <c r="R12" s="29">
        <f t="shared" si="6"/>
        <v>81.393600000000006</v>
      </c>
      <c r="S12" s="29">
        <v>84.82</v>
      </c>
      <c r="T12" s="31">
        <f t="shared" si="7"/>
        <v>109.39999999999999</v>
      </c>
      <c r="U12" s="28">
        <f t="shared" si="8"/>
        <v>131.28</v>
      </c>
      <c r="V12" s="28">
        <f t="shared" si="9"/>
        <v>175.04</v>
      </c>
      <c r="W12" s="28">
        <f t="shared" si="10"/>
        <v>83.810859133607565</v>
      </c>
      <c r="X12" s="29">
        <v>84</v>
      </c>
      <c r="Y12" s="5">
        <f t="shared" si="11"/>
        <v>-6.7901214621072514E-2</v>
      </c>
      <c r="Z12" s="32">
        <f t="shared" si="12"/>
        <v>8.0290004731455561E-2</v>
      </c>
      <c r="AB12" s="58">
        <v>45708</v>
      </c>
      <c r="AC12" s="9">
        <v>97</v>
      </c>
    </row>
    <row r="13" spans="1:29" x14ac:dyDescent="0.25">
      <c r="C13" s="25"/>
      <c r="D13" s="2"/>
      <c r="E13" s="26"/>
      <c r="F13" s="3">
        <f t="shared" ref="F13:F16" si="13">E13*D13</f>
        <v>0</v>
      </c>
      <c r="G13" s="3"/>
      <c r="H13" s="4" t="e">
        <f t="shared" ref="H13:H16" si="14">G13/D13</f>
        <v>#DIV/0!</v>
      </c>
      <c r="I13" s="3">
        <f t="shared" ref="I13:I16" si="15">F13-G13</f>
        <v>0</v>
      </c>
      <c r="J13" s="26" t="e">
        <f t="shared" ref="J13:J16" si="16">E13-H13</f>
        <v>#DIV/0!</v>
      </c>
      <c r="K13" s="27"/>
      <c r="L13">
        <f t="shared" ref="L13:L16" si="17">DAYS360(K13,$C$1)</f>
        <v>45003</v>
      </c>
      <c r="M13" s="5" t="e">
        <f t="shared" ref="M13:M16" si="18">(I13/G13)</f>
        <v>#DIV/0!</v>
      </c>
      <c r="P13" s="30"/>
      <c r="Q13" s="28"/>
      <c r="R13" s="29">
        <f t="shared" ref="R13:R16" si="19">Q13*0.93</f>
        <v>0</v>
      </c>
      <c r="S13" s="29"/>
      <c r="T13" s="28">
        <f t="shared" ref="T13:T16" si="20">Q13*1.25</f>
        <v>0</v>
      </c>
      <c r="U13" s="28">
        <f t="shared" ref="U13:U16" si="21">Q13*1.5</f>
        <v>0</v>
      </c>
      <c r="V13" s="28">
        <f t="shared" ref="V13:V16" si="22">Q13*2</f>
        <v>0</v>
      </c>
      <c r="W13" s="28" t="e">
        <f t="shared" ref="W13:W16" si="23">H13-(H13*0.07)</f>
        <v>#DIV/0!</v>
      </c>
      <c r="X13" s="29"/>
      <c r="Y13" s="5" t="e">
        <f t="shared" ref="Y13:Y16" si="24">(X13-H13)/H13</f>
        <v>#DIV/0!</v>
      </c>
      <c r="Z13" s="32">
        <f t="shared" ref="Z13:Z16" si="25">F13/F$19</f>
        <v>0</v>
      </c>
      <c r="AB13" s="58"/>
      <c r="AC13" s="9"/>
    </row>
    <row r="14" spans="1:29" x14ac:dyDescent="0.25">
      <c r="C14" s="25"/>
      <c r="D14" s="2"/>
      <c r="E14" s="26"/>
      <c r="F14" s="3">
        <f t="shared" si="13"/>
        <v>0</v>
      </c>
      <c r="G14" s="3"/>
      <c r="H14" s="4" t="e">
        <f t="shared" si="14"/>
        <v>#DIV/0!</v>
      </c>
      <c r="I14" s="3">
        <f t="shared" si="15"/>
        <v>0</v>
      </c>
      <c r="J14" s="26" t="e">
        <f t="shared" si="16"/>
        <v>#DIV/0!</v>
      </c>
      <c r="K14" s="27"/>
      <c r="L14">
        <f t="shared" si="17"/>
        <v>45003</v>
      </c>
      <c r="M14" s="5" t="e">
        <f t="shared" si="18"/>
        <v>#DIV/0!</v>
      </c>
      <c r="P14" s="30"/>
      <c r="Q14" s="28"/>
      <c r="R14" s="29">
        <f t="shared" si="19"/>
        <v>0</v>
      </c>
      <c r="S14" s="29"/>
      <c r="T14" s="28">
        <f t="shared" si="20"/>
        <v>0</v>
      </c>
      <c r="U14" s="28">
        <f t="shared" si="21"/>
        <v>0</v>
      </c>
      <c r="V14" s="28">
        <f t="shared" si="22"/>
        <v>0</v>
      </c>
      <c r="W14" s="28" t="e">
        <f t="shared" si="23"/>
        <v>#DIV/0!</v>
      </c>
      <c r="X14" s="29"/>
      <c r="Y14" s="5" t="e">
        <f t="shared" si="24"/>
        <v>#DIV/0!</v>
      </c>
      <c r="Z14" s="6">
        <f t="shared" si="25"/>
        <v>0</v>
      </c>
      <c r="AB14" s="58"/>
      <c r="AC14" s="9"/>
    </row>
    <row r="15" spans="1:29" x14ac:dyDescent="0.25">
      <c r="C15" s="25"/>
      <c r="D15" s="2"/>
      <c r="E15" s="26"/>
      <c r="F15" s="3">
        <f t="shared" si="13"/>
        <v>0</v>
      </c>
      <c r="G15" s="3"/>
      <c r="H15" s="4" t="e">
        <f t="shared" si="14"/>
        <v>#DIV/0!</v>
      </c>
      <c r="I15" s="3">
        <f t="shared" si="15"/>
        <v>0</v>
      </c>
      <c r="J15" s="26" t="e">
        <f t="shared" si="16"/>
        <v>#DIV/0!</v>
      </c>
      <c r="K15" s="27"/>
      <c r="L15">
        <f t="shared" si="17"/>
        <v>45003</v>
      </c>
      <c r="M15" s="5" t="e">
        <f t="shared" si="18"/>
        <v>#DIV/0!</v>
      </c>
      <c r="P15" s="34"/>
      <c r="Q15" s="28"/>
      <c r="R15" s="29">
        <f t="shared" si="19"/>
        <v>0</v>
      </c>
      <c r="S15" s="29"/>
      <c r="T15" s="31">
        <f t="shared" si="20"/>
        <v>0</v>
      </c>
      <c r="U15" s="28">
        <f t="shared" si="21"/>
        <v>0</v>
      </c>
      <c r="V15" s="28">
        <f t="shared" si="22"/>
        <v>0</v>
      </c>
      <c r="W15" s="28" t="e">
        <f t="shared" si="23"/>
        <v>#DIV/0!</v>
      </c>
      <c r="X15" s="29"/>
      <c r="Y15" s="5" t="e">
        <f t="shared" si="24"/>
        <v>#DIV/0!</v>
      </c>
      <c r="Z15" s="6">
        <f t="shared" si="25"/>
        <v>0</v>
      </c>
      <c r="AB15" s="58"/>
      <c r="AC15" s="9"/>
    </row>
    <row r="16" spans="1:29" x14ac:dyDescent="0.25">
      <c r="A16" s="35"/>
      <c r="B16" s="35"/>
      <c r="C16" s="36"/>
      <c r="D16" s="37"/>
      <c r="E16" s="38"/>
      <c r="F16" s="39">
        <f t="shared" si="13"/>
        <v>0</v>
      </c>
      <c r="G16" s="39"/>
      <c r="H16" s="40" t="e">
        <f t="shared" si="14"/>
        <v>#DIV/0!</v>
      </c>
      <c r="I16" s="39">
        <f t="shared" si="15"/>
        <v>0</v>
      </c>
      <c r="J16" s="38" t="e">
        <f t="shared" si="16"/>
        <v>#DIV/0!</v>
      </c>
      <c r="K16" s="41"/>
      <c r="L16" s="35">
        <f t="shared" si="17"/>
        <v>45003</v>
      </c>
      <c r="M16" s="42" t="e">
        <f t="shared" si="18"/>
        <v>#DIV/0!</v>
      </c>
      <c r="N16" s="35"/>
      <c r="O16" s="35"/>
      <c r="P16" s="43"/>
      <c r="Q16" s="44"/>
      <c r="R16" s="45">
        <f t="shared" si="19"/>
        <v>0</v>
      </c>
      <c r="S16" s="45"/>
      <c r="T16" s="46">
        <f t="shared" si="20"/>
        <v>0</v>
      </c>
      <c r="U16" s="44">
        <f t="shared" si="21"/>
        <v>0</v>
      </c>
      <c r="V16" s="44">
        <f t="shared" si="22"/>
        <v>0</v>
      </c>
      <c r="W16" s="44" t="e">
        <f t="shared" si="23"/>
        <v>#DIV/0!</v>
      </c>
      <c r="X16" s="45"/>
      <c r="Y16" s="42" t="e">
        <f t="shared" si="24"/>
        <v>#DIV/0!</v>
      </c>
      <c r="Z16" s="47">
        <f t="shared" si="25"/>
        <v>0</v>
      </c>
      <c r="AB16" s="58"/>
      <c r="AC16" s="9"/>
    </row>
    <row r="17" spans="1:26" x14ac:dyDescent="0.25">
      <c r="A17" t="s">
        <v>43</v>
      </c>
      <c r="D17" s="2"/>
      <c r="F17" s="3">
        <f>SUM(F6:F16)</f>
        <v>381219.46702099999</v>
      </c>
      <c r="G17" s="3">
        <f>SUM(G6:G16)</f>
        <v>300557.45</v>
      </c>
      <c r="H17" s="4"/>
      <c r="I17" s="3">
        <f>SUM(I6:I16)</f>
        <v>80662.017020999978</v>
      </c>
      <c r="M17" s="5"/>
      <c r="Z17" s="6"/>
    </row>
    <row r="18" spans="1:26" x14ac:dyDescent="0.25">
      <c r="D18" s="2" t="s">
        <v>44</v>
      </c>
      <c r="F18" s="3">
        <v>369265</v>
      </c>
      <c r="G18" s="6">
        <f>F18/F19</f>
        <v>0.49203550003609503</v>
      </c>
      <c r="H18" s="4"/>
      <c r="I18" s="3"/>
      <c r="M18" s="5"/>
      <c r="Z18" s="6"/>
    </row>
    <row r="19" spans="1:26" x14ac:dyDescent="0.25">
      <c r="D19" s="2" t="s">
        <v>45</v>
      </c>
      <c r="F19" s="3">
        <f>SUM(F17:F18)</f>
        <v>750484.46702099999</v>
      </c>
      <c r="G19" s="3"/>
      <c r="H19" s="48"/>
      <c r="I19" s="49"/>
      <c r="K19" t="s">
        <v>46</v>
      </c>
      <c r="M19" s="13" t="s">
        <v>47</v>
      </c>
      <c r="Z19" s="6"/>
    </row>
    <row r="20" spans="1:26" x14ac:dyDescent="0.25">
      <c r="D20" s="2"/>
      <c r="F20" s="4"/>
      <c r="G20" s="3"/>
      <c r="H20" s="4" t="s">
        <v>48</v>
      </c>
      <c r="I20" s="50">
        <f>'[1]12-27-24'!F19</f>
        <v>751129.19661800005</v>
      </c>
      <c r="K20" s="1">
        <v>45657</v>
      </c>
      <c r="L20" s="50">
        <v>170762</v>
      </c>
      <c r="M20" s="50">
        <v>174651</v>
      </c>
      <c r="Z20" s="6"/>
    </row>
    <row r="21" spans="1:26" x14ac:dyDescent="0.25">
      <c r="D21" s="2"/>
      <c r="F21" s="3"/>
      <c r="G21" s="51"/>
      <c r="H21" s="4" t="s">
        <v>49</v>
      </c>
      <c r="I21" s="6">
        <f>(F19-I20)/I20</f>
        <v>-8.5834713908470868E-4</v>
      </c>
      <c r="K21" s="9" t="s">
        <v>50</v>
      </c>
      <c r="L21" s="6">
        <f>(M20-L20)/L20</f>
        <v>2.2774387744345932E-2</v>
      </c>
      <c r="Z21" s="6"/>
    </row>
    <row r="23" spans="1:26" x14ac:dyDescent="0.25">
      <c r="D23" s="9"/>
      <c r="E23" s="9"/>
      <c r="F23" s="52"/>
      <c r="G23" s="3"/>
      <c r="H23" s="3"/>
      <c r="I23" s="12"/>
      <c r="J23" s="9"/>
      <c r="K23" s="9"/>
      <c r="L23" s="9"/>
      <c r="M23" s="13" t="s">
        <v>51</v>
      </c>
    </row>
    <row r="24" spans="1:26" x14ac:dyDescent="0.25">
      <c r="A24" s="53" t="s">
        <v>60</v>
      </c>
      <c r="D24" s="54" t="s">
        <v>15</v>
      </c>
      <c r="E24" s="54" t="s">
        <v>52</v>
      </c>
      <c r="F24" s="55" t="s">
        <v>53</v>
      </c>
      <c r="G24" s="55" t="s">
        <v>54</v>
      </c>
      <c r="H24" s="55" t="s">
        <v>55</v>
      </c>
      <c r="I24" s="55" t="s">
        <v>56</v>
      </c>
      <c r="J24" s="54" t="s">
        <v>11</v>
      </c>
      <c r="K24" s="54" t="s">
        <v>20</v>
      </c>
      <c r="L24" s="54" t="s">
        <v>57</v>
      </c>
      <c r="M24" s="54" t="s">
        <v>58</v>
      </c>
      <c r="N24" s="1"/>
      <c r="P24" s="9" t="s">
        <v>59</v>
      </c>
    </row>
    <row r="25" spans="1:26" x14ac:dyDescent="0.25">
      <c r="A25" t="s">
        <v>39</v>
      </c>
      <c r="B25" t="s">
        <v>30</v>
      </c>
      <c r="C25" s="25" t="s">
        <v>40</v>
      </c>
      <c r="D25" s="2">
        <v>935.03689999999995</v>
      </c>
      <c r="E25" s="57">
        <f>F25/D25</f>
        <v>72.335006244138597</v>
      </c>
      <c r="F25" s="56">
        <v>67635.899999999994</v>
      </c>
      <c r="G25" s="56">
        <v>64699.88</v>
      </c>
      <c r="H25" s="57">
        <f>G25/D25</f>
        <v>69.195001822922706</v>
      </c>
      <c r="I25" s="57">
        <f>G25-F25</f>
        <v>-2936.0199999999968</v>
      </c>
      <c r="J25" s="6">
        <f>I25/F25</f>
        <v>-4.340919541249539E-2</v>
      </c>
      <c r="K25" s="1">
        <v>45609</v>
      </c>
      <c r="L25" s="1">
        <v>45659</v>
      </c>
      <c r="M25">
        <f t="shared" ref="M25" si="26">DAYS360(K25,L25)</f>
        <v>49</v>
      </c>
    </row>
    <row r="26" spans="1:26" x14ac:dyDescent="0.25">
      <c r="F26" s="56"/>
      <c r="G26" s="56"/>
      <c r="J26" s="6"/>
    </row>
    <row r="27" spans="1:26" x14ac:dyDescent="0.25">
      <c r="F27" s="56"/>
      <c r="G27" s="56"/>
      <c r="J27" s="6"/>
    </row>
    <row r="28" spans="1:26" x14ac:dyDescent="0.25">
      <c r="F28" s="56"/>
      <c r="G28" s="56"/>
      <c r="J28" s="6"/>
    </row>
    <row r="29" spans="1:26" x14ac:dyDescent="0.25">
      <c r="F29" s="56"/>
      <c r="G29" s="56"/>
      <c r="J29" s="6"/>
    </row>
    <row r="30" spans="1:26" x14ac:dyDescent="0.25">
      <c r="F30" s="56"/>
      <c r="G30" s="56"/>
      <c r="J30" s="6"/>
    </row>
    <row r="31" spans="1:26" x14ac:dyDescent="0.25">
      <c r="F31" s="56"/>
      <c r="G31" s="56"/>
      <c r="J31" s="6"/>
    </row>
    <row r="32" spans="1:26" x14ac:dyDescent="0.25">
      <c r="F32" s="56"/>
      <c r="G32" s="56"/>
      <c r="J32" s="6"/>
    </row>
    <row r="33" spans="6:10" x14ac:dyDescent="0.25">
      <c r="F33" s="56"/>
      <c r="G33" s="56"/>
      <c r="J33" s="6"/>
    </row>
    <row r="34" spans="6:10" x14ac:dyDescent="0.25">
      <c r="F34" s="56"/>
      <c r="G34" s="56"/>
      <c r="J34" s="6"/>
    </row>
    <row r="35" spans="6:10" x14ac:dyDescent="0.25">
      <c r="F35" s="56"/>
      <c r="G35" s="56"/>
      <c r="H35" s="3"/>
      <c r="I35" s="3">
        <f>SUM(I25:I34)</f>
        <v>-2936.0199999999968</v>
      </c>
      <c r="J35" s="13" t="s">
        <v>66</v>
      </c>
    </row>
    <row r="36" spans="6:10" x14ac:dyDescent="0.25">
      <c r="F36" s="56"/>
      <c r="G36" s="56"/>
      <c r="H36" s="3" t="s">
        <v>67</v>
      </c>
      <c r="I36" s="59">
        <v>1</v>
      </c>
      <c r="J36" s="5">
        <v>-4.3400000000000001E-2</v>
      </c>
    </row>
    <row r="37" spans="6:10" x14ac:dyDescent="0.25">
      <c r="F37" s="56"/>
      <c r="G37" s="56"/>
      <c r="H37" s="3" t="s">
        <v>68</v>
      </c>
      <c r="I37" s="59">
        <v>0</v>
      </c>
      <c r="J37" s="5">
        <v>0</v>
      </c>
    </row>
    <row r="38" spans="6:10" x14ac:dyDescent="0.25">
      <c r="F38" s="56"/>
      <c r="G38" s="56"/>
      <c r="J38" s="6"/>
    </row>
    <row r="39" spans="6:10" x14ac:dyDescent="0.25">
      <c r="F39" s="56"/>
      <c r="G39" s="56"/>
      <c r="J39" s="6"/>
    </row>
    <row r="40" spans="6:10" x14ac:dyDescent="0.25">
      <c r="F40" s="56"/>
      <c r="G40" s="56"/>
      <c r="J40" s="6"/>
    </row>
    <row r="41" spans="6:10" x14ac:dyDescent="0.25">
      <c r="F41" s="56"/>
      <c r="G41" s="56"/>
      <c r="J41" s="6"/>
    </row>
    <row r="42" spans="6:10" x14ac:dyDescent="0.25">
      <c r="F42" s="56"/>
      <c r="G42" s="56"/>
      <c r="J42" s="6"/>
    </row>
    <row r="43" spans="6:10" x14ac:dyDescent="0.25">
      <c r="F43" s="56"/>
      <c r="G43" s="56"/>
      <c r="J43" s="6"/>
    </row>
    <row r="44" spans="6:10" x14ac:dyDescent="0.25">
      <c r="F44" s="56"/>
      <c r="G44" s="56"/>
      <c r="J44" s="6"/>
    </row>
    <row r="45" spans="6:10" x14ac:dyDescent="0.25">
      <c r="F45" s="56"/>
      <c r="G45" s="56"/>
      <c r="J45" s="6"/>
    </row>
    <row r="46" spans="6:10" x14ac:dyDescent="0.25">
      <c r="F46" s="56"/>
      <c r="G46" s="56"/>
      <c r="J46" s="6"/>
    </row>
    <row r="47" spans="6:10" x14ac:dyDescent="0.25">
      <c r="F47" s="56"/>
      <c r="G47" s="56"/>
      <c r="J47" s="6"/>
    </row>
    <row r="48" spans="6:10" x14ac:dyDescent="0.25">
      <c r="F48" s="56"/>
      <c r="G48" s="56"/>
      <c r="J48" s="6"/>
    </row>
    <row r="49" spans="6:10" x14ac:dyDescent="0.25">
      <c r="F49" s="56"/>
      <c r="G49" s="56"/>
      <c r="J49" s="6"/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</row>
    <row r="62" spans="6:10" x14ac:dyDescent="0.25">
      <c r="F62" s="56"/>
      <c r="G62" s="56"/>
    </row>
    <row r="63" spans="6:10" x14ac:dyDescent="0.25">
      <c r="F63" s="56"/>
      <c r="G63" s="56"/>
    </row>
    <row r="64" spans="6:10" x14ac:dyDescent="0.25">
      <c r="F64" s="56"/>
      <c r="G64" s="56"/>
    </row>
    <row r="65" spans="6:7" x14ac:dyDescent="0.25">
      <c r="F65" s="56"/>
      <c r="G65" s="56"/>
    </row>
    <row r="66" spans="6:7" x14ac:dyDescent="0.25">
      <c r="F66" s="56"/>
      <c r="G66" s="56"/>
    </row>
  </sheetData>
  <sortState xmlns:xlrd2="http://schemas.microsoft.com/office/spreadsheetml/2017/richdata2" ref="A7:Z11">
    <sortCondition descending="1" ref="L7:L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E112-3100-461A-B519-1B6C6967170B}">
  <dimension ref="A1:AC66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8.28515625" bestFit="1" customWidth="1"/>
    <col min="6" max="7" width="11.5703125" bestFit="1" customWidth="1"/>
    <col min="8" max="8" width="11" customWidth="1"/>
    <col min="9" max="9" width="11.28515625" bestFit="1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bestFit="1" customWidth="1"/>
    <col min="17" max="22" width="6.5703125" bestFit="1" customWidth="1"/>
    <col min="23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45667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29</v>
      </c>
      <c r="B7" t="s">
        <v>30</v>
      </c>
      <c r="C7" s="25" t="s">
        <v>31</v>
      </c>
      <c r="D7" s="2">
        <v>1263.7796000000001</v>
      </c>
      <c r="E7" s="26">
        <v>56.63</v>
      </c>
      <c r="F7" s="3">
        <f t="shared" ref="F7:F16" si="0">E7*D7</f>
        <v>71567.838748000009</v>
      </c>
      <c r="G7" s="3">
        <v>56489.42</v>
      </c>
      <c r="H7" s="4">
        <f t="shared" ref="H7:H16" si="1">G7/D7</f>
        <v>44.698790833464948</v>
      </c>
      <c r="I7" s="3">
        <f t="shared" ref="I7:I16" si="2">F7-G7</f>
        <v>15078.418748000011</v>
      </c>
      <c r="J7" s="26">
        <f t="shared" ref="J7:J16" si="3">E7-H7</f>
        <v>11.931209166535055</v>
      </c>
      <c r="K7" s="27">
        <v>45527</v>
      </c>
      <c r="L7">
        <f t="shared" ref="L7:L16" si="4">DAYS360(K7,$C$1)</f>
        <v>137</v>
      </c>
      <c r="M7" s="5">
        <f t="shared" ref="M7:M16" si="5">(I7/G7)</f>
        <v>0.26692465151881556</v>
      </c>
      <c r="N7">
        <v>95</v>
      </c>
      <c r="O7">
        <v>94</v>
      </c>
      <c r="P7" s="30">
        <v>89</v>
      </c>
      <c r="Q7" s="28">
        <v>43.2</v>
      </c>
      <c r="R7" s="29">
        <f t="shared" ref="R7:R16" si="6">Q7*0.93</f>
        <v>40.176000000000002</v>
      </c>
      <c r="S7" s="29">
        <v>49.51</v>
      </c>
      <c r="T7" s="28">
        <f t="shared" ref="T7:T16" si="7">Q7*1.25</f>
        <v>54</v>
      </c>
      <c r="U7" s="28">
        <f t="shared" ref="U7:U16" si="8">Q7*1.5</f>
        <v>64.800000000000011</v>
      </c>
      <c r="V7" s="28">
        <f t="shared" ref="V7:V16" si="9">Q7*2</f>
        <v>86.4</v>
      </c>
      <c r="W7" s="28">
        <f t="shared" ref="W7:W16" si="10">H7-(H7*0.07)</f>
        <v>41.569875475122402</v>
      </c>
      <c r="X7" s="29">
        <v>51</v>
      </c>
      <c r="Y7" s="5">
        <f t="shared" ref="Y7:Y16" si="11">(X7-H7)/H7</f>
        <v>0.14097046137135064</v>
      </c>
      <c r="Z7" s="6">
        <f t="shared" ref="Z7:Z16" si="12">F7/F$19</f>
        <v>9.7506786576712814E-2</v>
      </c>
      <c r="AB7" s="58">
        <v>45729</v>
      </c>
      <c r="AC7" s="9">
        <v>98</v>
      </c>
    </row>
    <row r="8" spans="1:29" x14ac:dyDescent="0.25">
      <c r="A8" t="s">
        <v>32</v>
      </c>
      <c r="B8" t="s">
        <v>30</v>
      </c>
      <c r="C8" s="25" t="s">
        <v>33</v>
      </c>
      <c r="D8" s="2">
        <v>3020.3485999999998</v>
      </c>
      <c r="E8" s="26">
        <v>22.8</v>
      </c>
      <c r="F8" s="3">
        <f t="shared" si="0"/>
        <v>68863.948080000002</v>
      </c>
      <c r="G8" s="3">
        <v>56486.59</v>
      </c>
      <c r="H8" s="4">
        <f t="shared" si="1"/>
        <v>18.702010092477405</v>
      </c>
      <c r="I8" s="3">
        <f t="shared" si="2"/>
        <v>12377.358080000005</v>
      </c>
      <c r="J8" s="26">
        <f t="shared" si="3"/>
        <v>4.0979899075225958</v>
      </c>
      <c r="K8" s="27">
        <v>45527</v>
      </c>
      <c r="L8">
        <f t="shared" si="4"/>
        <v>137</v>
      </c>
      <c r="M8" s="5">
        <f t="shared" si="5"/>
        <v>0.219120291736499</v>
      </c>
      <c r="N8">
        <v>122</v>
      </c>
      <c r="O8">
        <v>93</v>
      </c>
      <c r="P8" s="30">
        <v>86</v>
      </c>
      <c r="Q8" s="28">
        <v>17.86</v>
      </c>
      <c r="R8" s="29">
        <f t="shared" si="6"/>
        <v>16.6098</v>
      </c>
      <c r="S8" s="29">
        <v>23.7</v>
      </c>
      <c r="T8" s="31">
        <f t="shared" si="7"/>
        <v>22.324999999999999</v>
      </c>
      <c r="U8" s="28">
        <f t="shared" si="8"/>
        <v>26.79</v>
      </c>
      <c r="V8" s="28">
        <f t="shared" si="9"/>
        <v>35.72</v>
      </c>
      <c r="W8" s="28">
        <f t="shared" si="10"/>
        <v>17.392869386003987</v>
      </c>
      <c r="X8" s="29">
        <v>22</v>
      </c>
      <c r="Y8" s="5">
        <f t="shared" si="11"/>
        <v>0.17634414114925329</v>
      </c>
      <c r="Z8" s="6">
        <f t="shared" si="12"/>
        <v>9.3822901539751161E-2</v>
      </c>
      <c r="AB8" s="58">
        <v>45720</v>
      </c>
      <c r="AC8" s="9">
        <v>88</v>
      </c>
    </row>
    <row r="9" spans="1:29" x14ac:dyDescent="0.25">
      <c r="A9" t="s">
        <v>34</v>
      </c>
      <c r="B9" t="s">
        <v>30</v>
      </c>
      <c r="C9" s="25" t="s">
        <v>35</v>
      </c>
      <c r="D9" s="2">
        <f>341.2204-83.2121</f>
        <v>258.00829999999996</v>
      </c>
      <c r="E9" s="26">
        <v>327.91</v>
      </c>
      <c r="F9" s="3">
        <f t="shared" si="0"/>
        <v>84603.501652999999</v>
      </c>
      <c r="G9" s="3">
        <f>71012.62-17317.27</f>
        <v>53695.349999999991</v>
      </c>
      <c r="H9" s="4">
        <f t="shared" si="1"/>
        <v>208.11481646133089</v>
      </c>
      <c r="I9" s="3">
        <f t="shared" si="2"/>
        <v>30908.151653000008</v>
      </c>
      <c r="J9" s="26">
        <f t="shared" si="3"/>
        <v>119.79518353866914</v>
      </c>
      <c r="K9" s="27">
        <v>45580</v>
      </c>
      <c r="L9">
        <f t="shared" si="4"/>
        <v>85</v>
      </c>
      <c r="M9" s="5">
        <f t="shared" si="5"/>
        <v>0.57562063852828993</v>
      </c>
      <c r="N9">
        <v>19</v>
      </c>
      <c r="O9">
        <v>99</v>
      </c>
      <c r="P9" s="30">
        <v>5</v>
      </c>
      <c r="Q9" s="28">
        <v>183.7</v>
      </c>
      <c r="R9" s="29">
        <f t="shared" si="6"/>
        <v>170.84100000000001</v>
      </c>
      <c r="S9" s="29">
        <v>285.01</v>
      </c>
      <c r="T9" s="28">
        <f t="shared" si="7"/>
        <v>229.625</v>
      </c>
      <c r="U9" s="28">
        <f t="shared" si="8"/>
        <v>275.54999999999995</v>
      </c>
      <c r="V9" s="28">
        <f t="shared" si="9"/>
        <v>367.4</v>
      </c>
      <c r="W9" s="28">
        <f t="shared" si="10"/>
        <v>193.54677930903773</v>
      </c>
      <c r="X9" s="29">
        <v>335</v>
      </c>
      <c r="Y9" s="5">
        <f t="shared" si="11"/>
        <v>0.60968837152565358</v>
      </c>
      <c r="Z9" s="32">
        <f t="shared" si="12"/>
        <v>0.11526707699486279</v>
      </c>
      <c r="AB9" s="58">
        <v>45692</v>
      </c>
      <c r="AC9" s="9">
        <v>65</v>
      </c>
    </row>
    <row r="10" spans="1:29" x14ac:dyDescent="0.25">
      <c r="A10" t="s">
        <v>36</v>
      </c>
      <c r="B10" t="s">
        <v>30</v>
      </c>
      <c r="C10" t="s">
        <v>37</v>
      </c>
      <c r="D10" s="2">
        <v>939.24239999999998</v>
      </c>
      <c r="E10" s="26">
        <v>53.84</v>
      </c>
      <c r="F10" s="3">
        <f t="shared" si="0"/>
        <v>50568.810816000005</v>
      </c>
      <c r="G10" s="3">
        <v>36992.18</v>
      </c>
      <c r="H10" s="4">
        <f t="shared" si="1"/>
        <v>39.385125714086165</v>
      </c>
      <c r="I10" s="3">
        <f t="shared" si="2"/>
        <v>13576.630816000004</v>
      </c>
      <c r="J10" s="26">
        <f t="shared" si="3"/>
        <v>14.454874285913839</v>
      </c>
      <c r="K10" s="27">
        <v>45593</v>
      </c>
      <c r="L10">
        <f t="shared" si="4"/>
        <v>72</v>
      </c>
      <c r="M10" s="5">
        <f t="shared" si="5"/>
        <v>0.36701353680696852</v>
      </c>
      <c r="O10">
        <v>96</v>
      </c>
      <c r="P10" s="33" t="s">
        <v>38</v>
      </c>
      <c r="Q10" s="28">
        <v>39.369999999999997</v>
      </c>
      <c r="R10" s="29">
        <f t="shared" si="6"/>
        <v>36.614100000000001</v>
      </c>
      <c r="S10" s="29">
        <v>51.54</v>
      </c>
      <c r="T10" s="28">
        <f t="shared" si="7"/>
        <v>49.212499999999999</v>
      </c>
      <c r="U10" s="28">
        <f t="shared" si="8"/>
        <v>59.054999999999993</v>
      </c>
      <c r="V10" s="28">
        <f t="shared" si="9"/>
        <v>78.739999999999995</v>
      </c>
      <c r="W10" s="28">
        <f t="shared" si="10"/>
        <v>36.628166914100134</v>
      </c>
      <c r="X10" s="29">
        <v>50</v>
      </c>
      <c r="Y10" s="5">
        <f t="shared" si="11"/>
        <v>0.26951480015505969</v>
      </c>
      <c r="Z10" s="32">
        <f t="shared" si="12"/>
        <v>6.8896900198927302E-2</v>
      </c>
      <c r="AB10" s="58"/>
      <c r="AC10" s="9"/>
    </row>
    <row r="11" spans="1:29" x14ac:dyDescent="0.25">
      <c r="A11" t="s">
        <v>41</v>
      </c>
      <c r="B11" t="s">
        <v>30</v>
      </c>
      <c r="C11" s="25" t="s">
        <v>42</v>
      </c>
      <c r="D11" s="2">
        <v>2234.6064999999999</v>
      </c>
      <c r="E11" s="26">
        <v>18.05</v>
      </c>
      <c r="F11" s="3">
        <f t="shared" si="0"/>
        <v>40334.647324999998</v>
      </c>
      <c r="G11" s="3">
        <v>37971.83</v>
      </c>
      <c r="H11" s="4">
        <f t="shared" si="1"/>
        <v>16.992624876012847</v>
      </c>
      <c r="I11" s="3">
        <f t="shared" si="2"/>
        <v>2362.8173249999963</v>
      </c>
      <c r="J11" s="26">
        <f t="shared" si="3"/>
        <v>1.0573751239871534</v>
      </c>
      <c r="K11" s="27">
        <v>45652</v>
      </c>
      <c r="L11">
        <f t="shared" si="4"/>
        <v>14</v>
      </c>
      <c r="M11" s="5">
        <f t="shared" si="5"/>
        <v>6.2225532058897248E-2</v>
      </c>
      <c r="N11">
        <v>55</v>
      </c>
      <c r="O11">
        <v>97</v>
      </c>
      <c r="P11" s="30">
        <v>81</v>
      </c>
      <c r="Q11" s="28">
        <v>15.9</v>
      </c>
      <c r="R11" s="29">
        <f t="shared" si="6"/>
        <v>14.787000000000001</v>
      </c>
      <c r="S11" s="29">
        <v>13.85</v>
      </c>
      <c r="T11" s="31">
        <f t="shared" si="7"/>
        <v>19.875</v>
      </c>
      <c r="U11" s="28">
        <f t="shared" si="8"/>
        <v>23.85</v>
      </c>
      <c r="V11" s="28">
        <f t="shared" si="9"/>
        <v>31.8</v>
      </c>
      <c r="W11" s="28">
        <f t="shared" si="10"/>
        <v>15.803141134691948</v>
      </c>
      <c r="X11" s="29">
        <v>15.65</v>
      </c>
      <c r="Y11" s="5">
        <f t="shared" si="11"/>
        <v>-7.9012211815969929E-2</v>
      </c>
      <c r="Z11" s="6">
        <f t="shared" si="12"/>
        <v>5.4953480741734173E-2</v>
      </c>
      <c r="AB11" s="58">
        <v>45720</v>
      </c>
      <c r="AC11" s="9">
        <v>94</v>
      </c>
    </row>
    <row r="12" spans="1:29" x14ac:dyDescent="0.25">
      <c r="A12" t="s">
        <v>69</v>
      </c>
      <c r="B12" t="s">
        <v>30</v>
      </c>
      <c r="C12" s="25" t="s">
        <v>70</v>
      </c>
      <c r="D12" s="2">
        <v>1255.3625</v>
      </c>
      <c r="E12" s="26">
        <v>25.24</v>
      </c>
      <c r="F12" s="3">
        <f t="shared" si="0"/>
        <v>31685.349499999997</v>
      </c>
      <c r="G12" s="3">
        <v>37884.65</v>
      </c>
      <c r="H12" s="4">
        <f t="shared" si="1"/>
        <v>30.17825528482809</v>
      </c>
      <c r="I12" s="3">
        <f t="shared" si="2"/>
        <v>-6199.3005000000048</v>
      </c>
      <c r="J12" s="26">
        <f t="shared" si="3"/>
        <v>-4.9382552848280916</v>
      </c>
      <c r="K12" s="27">
        <v>45663</v>
      </c>
      <c r="L12">
        <f t="shared" si="4"/>
        <v>4</v>
      </c>
      <c r="M12" s="5">
        <f t="shared" si="5"/>
        <v>-0.16363620886031691</v>
      </c>
      <c r="N12">
        <v>9</v>
      </c>
      <c r="O12">
        <v>98</v>
      </c>
      <c r="P12" s="30">
        <v>7</v>
      </c>
      <c r="Q12" s="28">
        <v>24.99</v>
      </c>
      <c r="R12" s="29">
        <f t="shared" si="6"/>
        <v>23.2407</v>
      </c>
      <c r="S12" s="29">
        <v>20.3</v>
      </c>
      <c r="T12" s="31">
        <f t="shared" si="7"/>
        <v>31.237499999999997</v>
      </c>
      <c r="U12" s="28">
        <f t="shared" si="8"/>
        <v>37.484999999999999</v>
      </c>
      <c r="V12" s="28">
        <f t="shared" si="9"/>
        <v>49.98</v>
      </c>
      <c r="W12" s="28">
        <f t="shared" si="10"/>
        <v>28.065777414890125</v>
      </c>
      <c r="X12" s="29">
        <v>23</v>
      </c>
      <c r="Y12" s="5">
        <f t="shared" si="11"/>
        <v>-0.23786183850187351</v>
      </c>
      <c r="Z12" s="32">
        <f t="shared" si="12"/>
        <v>4.3169343455846526E-2</v>
      </c>
      <c r="AB12" s="58">
        <v>45713</v>
      </c>
      <c r="AC12" s="9">
        <v>69</v>
      </c>
    </row>
    <row r="13" spans="1:29" x14ac:dyDescent="0.25">
      <c r="A13" t="s">
        <v>71</v>
      </c>
      <c r="B13" t="s">
        <v>30</v>
      </c>
      <c r="C13" s="25" t="s">
        <v>72</v>
      </c>
      <c r="D13" s="2">
        <v>201.9693</v>
      </c>
      <c r="E13" s="26">
        <v>367.1</v>
      </c>
      <c r="F13" s="3">
        <f t="shared" si="0"/>
        <v>74142.930030000003</v>
      </c>
      <c r="G13" s="3">
        <v>74438.86</v>
      </c>
      <c r="H13" s="4">
        <f t="shared" si="1"/>
        <v>368.56522253629635</v>
      </c>
      <c r="I13" s="3">
        <f t="shared" si="2"/>
        <v>-295.92996999999741</v>
      </c>
      <c r="J13" s="26">
        <f t="shared" si="3"/>
        <v>-1.4652225362963236</v>
      </c>
      <c r="K13" s="27">
        <v>45664</v>
      </c>
      <c r="L13">
        <f t="shared" si="4"/>
        <v>3</v>
      </c>
      <c r="M13" s="5">
        <f t="shared" si="5"/>
        <v>-3.9754769215970985E-3</v>
      </c>
      <c r="N13">
        <v>9</v>
      </c>
      <c r="O13">
        <v>98</v>
      </c>
      <c r="P13" s="30">
        <v>61</v>
      </c>
      <c r="Q13" s="28">
        <v>354.69</v>
      </c>
      <c r="R13" s="29">
        <f t="shared" si="6"/>
        <v>329.86170000000004</v>
      </c>
      <c r="S13" s="29">
        <v>348.2</v>
      </c>
      <c r="T13" s="28">
        <f t="shared" si="7"/>
        <v>443.36250000000001</v>
      </c>
      <c r="U13" s="28">
        <f t="shared" si="8"/>
        <v>532.03499999999997</v>
      </c>
      <c r="V13" s="28">
        <f t="shared" si="9"/>
        <v>709.38</v>
      </c>
      <c r="W13" s="28">
        <f t="shared" si="10"/>
        <v>342.76565695875559</v>
      </c>
      <c r="X13" s="29">
        <v>345</v>
      </c>
      <c r="Y13" s="5">
        <f t="shared" si="11"/>
        <v>-6.3937726880825385E-2</v>
      </c>
      <c r="Z13" s="32">
        <f t="shared" si="12"/>
        <v>0.10101519035754579</v>
      </c>
      <c r="AB13" s="58">
        <v>45679</v>
      </c>
      <c r="AC13" s="9">
        <v>92</v>
      </c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45010</v>
      </c>
      <c r="M14" s="5" t="e">
        <f t="shared" si="5"/>
        <v>#DIV/0!</v>
      </c>
      <c r="P14" s="30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8"/>
      <c r="AC14" s="9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45010</v>
      </c>
      <c r="M15" s="5" t="e">
        <f t="shared" si="5"/>
        <v>#DIV/0!</v>
      </c>
      <c r="P15" s="34"/>
      <c r="Q15" s="28"/>
      <c r="R15" s="29">
        <f t="shared" si="6"/>
        <v>0</v>
      </c>
      <c r="S15" s="29"/>
      <c r="T15" s="31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6">
        <f t="shared" si="12"/>
        <v>0</v>
      </c>
      <c r="AB15" s="58"/>
      <c r="AC15" s="9"/>
    </row>
    <row r="16" spans="1:29" x14ac:dyDescent="0.25">
      <c r="A16" s="35"/>
      <c r="B16" s="35"/>
      <c r="C16" s="36"/>
      <c r="D16" s="37"/>
      <c r="E16" s="38"/>
      <c r="F16" s="39">
        <f t="shared" si="0"/>
        <v>0</v>
      </c>
      <c r="G16" s="39"/>
      <c r="H16" s="40" t="e">
        <f t="shared" si="1"/>
        <v>#DIV/0!</v>
      </c>
      <c r="I16" s="39">
        <f t="shared" si="2"/>
        <v>0</v>
      </c>
      <c r="J16" s="38" t="e">
        <f t="shared" si="3"/>
        <v>#DIV/0!</v>
      </c>
      <c r="K16" s="41"/>
      <c r="L16" s="35">
        <f t="shared" si="4"/>
        <v>45010</v>
      </c>
      <c r="M16" s="42" t="e">
        <f t="shared" si="5"/>
        <v>#DIV/0!</v>
      </c>
      <c r="N16" s="35"/>
      <c r="O16" s="35"/>
      <c r="P16" s="43"/>
      <c r="Q16" s="44"/>
      <c r="R16" s="45">
        <f t="shared" si="6"/>
        <v>0</v>
      </c>
      <c r="S16" s="45"/>
      <c r="T16" s="46">
        <f t="shared" si="7"/>
        <v>0</v>
      </c>
      <c r="U16" s="44">
        <f t="shared" si="8"/>
        <v>0</v>
      </c>
      <c r="V16" s="44">
        <f t="shared" si="9"/>
        <v>0</v>
      </c>
      <c r="W16" s="44" t="e">
        <f t="shared" si="10"/>
        <v>#DIV/0!</v>
      </c>
      <c r="X16" s="45"/>
      <c r="Y16" s="42" t="e">
        <f t="shared" si="11"/>
        <v>#DIV/0!</v>
      </c>
      <c r="Z16" s="47">
        <f t="shared" si="12"/>
        <v>0</v>
      </c>
      <c r="AB16" s="58"/>
      <c r="AC16" s="9"/>
    </row>
    <row r="17" spans="1:26" x14ac:dyDescent="0.25">
      <c r="A17" t="s">
        <v>43</v>
      </c>
      <c r="D17" s="2"/>
      <c r="F17" s="3">
        <f>SUM(F6:F16)</f>
        <v>421767.02615200001</v>
      </c>
      <c r="G17" s="3">
        <f>SUM(G6:G16)</f>
        <v>353958.88</v>
      </c>
      <c r="H17" s="4"/>
      <c r="I17" s="3">
        <f>SUM(I6:I16)</f>
        <v>67808.14615200003</v>
      </c>
      <c r="M17" s="5"/>
      <c r="Z17" s="6"/>
    </row>
    <row r="18" spans="1:26" x14ac:dyDescent="0.25">
      <c r="D18" s="2" t="s">
        <v>44</v>
      </c>
      <c r="F18" s="3">
        <v>312211</v>
      </c>
      <c r="G18" s="6">
        <f>F18/F19</f>
        <v>0.42536832013461939</v>
      </c>
      <c r="H18" s="4"/>
      <c r="I18" s="3"/>
      <c r="M18" s="5"/>
      <c r="Z18" s="6"/>
    </row>
    <row r="19" spans="1:26" x14ac:dyDescent="0.25">
      <c r="D19" s="2" t="s">
        <v>45</v>
      </c>
      <c r="F19" s="3">
        <f>SUM(F17:F18)</f>
        <v>733978.02615200006</v>
      </c>
      <c r="G19" s="3"/>
      <c r="H19" s="48"/>
      <c r="I19" s="49"/>
      <c r="K19" t="s">
        <v>46</v>
      </c>
      <c r="M19" s="13" t="s">
        <v>47</v>
      </c>
      <c r="Z19" s="6"/>
    </row>
    <row r="20" spans="1:26" x14ac:dyDescent="0.25">
      <c r="D20" s="2"/>
      <c r="F20" s="4"/>
      <c r="G20" s="3"/>
      <c r="H20" s="4" t="s">
        <v>48</v>
      </c>
      <c r="I20" s="50">
        <f>'01-03-25'!F19</f>
        <v>750484.46702099999</v>
      </c>
      <c r="K20" s="1">
        <v>45657</v>
      </c>
      <c r="L20" s="50">
        <v>170762</v>
      </c>
      <c r="M20" s="50">
        <v>170621</v>
      </c>
      <c r="Z20" s="6"/>
    </row>
    <row r="21" spans="1:26" x14ac:dyDescent="0.25">
      <c r="D21" s="2"/>
      <c r="F21" s="3"/>
      <c r="G21" s="51"/>
      <c r="H21" s="4" t="s">
        <v>49</v>
      </c>
      <c r="I21" s="6">
        <f>(F19-I20)/I20</f>
        <v>-2.1994380422717057E-2</v>
      </c>
      <c r="K21" s="9" t="s">
        <v>50</v>
      </c>
      <c r="L21" s="6">
        <f>(M20-L20)/L20</f>
        <v>-8.2571063819819395E-4</v>
      </c>
      <c r="Z21" s="6"/>
    </row>
    <row r="23" spans="1:26" x14ac:dyDescent="0.25">
      <c r="D23" s="9"/>
      <c r="E23" s="9"/>
      <c r="F23" s="52"/>
      <c r="G23" s="3"/>
      <c r="H23" s="3"/>
      <c r="I23" s="12"/>
      <c r="J23" s="9"/>
      <c r="K23" s="9"/>
      <c r="L23" s="9"/>
      <c r="M23" s="13" t="s">
        <v>51</v>
      </c>
    </row>
    <row r="24" spans="1:26" x14ac:dyDescent="0.25">
      <c r="A24" s="53" t="s">
        <v>60</v>
      </c>
      <c r="D24" s="54" t="s">
        <v>15</v>
      </c>
      <c r="E24" s="54" t="s">
        <v>52</v>
      </c>
      <c r="F24" s="55" t="s">
        <v>53</v>
      </c>
      <c r="G24" s="55" t="s">
        <v>54</v>
      </c>
      <c r="H24" s="55" t="s">
        <v>55</v>
      </c>
      <c r="I24" s="55" t="s">
        <v>56</v>
      </c>
      <c r="J24" s="54" t="s">
        <v>11</v>
      </c>
      <c r="K24" s="54" t="s">
        <v>20</v>
      </c>
      <c r="L24" s="54" t="s">
        <v>57</v>
      </c>
      <c r="M24" s="54" t="s">
        <v>58</v>
      </c>
      <c r="N24" s="1"/>
      <c r="P24" s="9" t="s">
        <v>59</v>
      </c>
    </row>
    <row r="25" spans="1:26" x14ac:dyDescent="0.25">
      <c r="A25" t="s">
        <v>39</v>
      </c>
      <c r="B25" t="s">
        <v>30</v>
      </c>
      <c r="C25" s="25" t="s">
        <v>40</v>
      </c>
      <c r="D25" s="2">
        <v>935.03689999999995</v>
      </c>
      <c r="E25" s="57">
        <f>F25/D25</f>
        <v>72.335006244138597</v>
      </c>
      <c r="F25" s="56">
        <v>67635.899999999994</v>
      </c>
      <c r="G25" s="56">
        <v>64699.88</v>
      </c>
      <c r="H25" s="57">
        <f>G25/D25</f>
        <v>69.195001822922706</v>
      </c>
      <c r="I25" s="57">
        <f>G25-F25</f>
        <v>-2936.0199999999968</v>
      </c>
      <c r="J25" s="6">
        <f>I25/F25</f>
        <v>-4.340919541249539E-2</v>
      </c>
      <c r="K25" s="1">
        <v>45609</v>
      </c>
      <c r="L25" s="1">
        <v>45659</v>
      </c>
      <c r="M25">
        <f t="shared" ref="M25:M26" si="13">DAYS360(K25,L25)</f>
        <v>49</v>
      </c>
    </row>
    <row r="26" spans="1:26" x14ac:dyDescent="0.25">
      <c r="A26" t="s">
        <v>61</v>
      </c>
      <c r="B26" t="s">
        <v>30</v>
      </c>
      <c r="C26" s="25" t="s">
        <v>62</v>
      </c>
      <c r="D26" s="2">
        <v>653.82380000000001</v>
      </c>
      <c r="E26" s="57">
        <f>F26/D26</f>
        <v>90.119203369470497</v>
      </c>
      <c r="F26" s="3">
        <v>58922.080000000002</v>
      </c>
      <c r="G26" s="56">
        <v>54094.080000000002</v>
      </c>
      <c r="H26" s="57">
        <f>G26/D26</f>
        <v>82.734950914910101</v>
      </c>
      <c r="I26" s="57">
        <f>G26-F26</f>
        <v>-4828</v>
      </c>
      <c r="J26" s="6">
        <f>I26/F26</f>
        <v>-8.1938723140798822E-2</v>
      </c>
      <c r="K26" s="1">
        <v>45660</v>
      </c>
      <c r="L26" s="1">
        <v>45667</v>
      </c>
      <c r="M26">
        <f t="shared" si="13"/>
        <v>7</v>
      </c>
    </row>
    <row r="27" spans="1:26" x14ac:dyDescent="0.25">
      <c r="F27" s="56"/>
      <c r="G27" s="56"/>
      <c r="J27" s="6"/>
      <c r="K27" s="1"/>
    </row>
    <row r="28" spans="1:26" x14ac:dyDescent="0.25">
      <c r="F28" s="56"/>
      <c r="G28" s="56"/>
      <c r="J28" s="6"/>
      <c r="K28" s="1"/>
    </row>
    <row r="29" spans="1:26" x14ac:dyDescent="0.25">
      <c r="F29" s="56"/>
      <c r="G29" s="56"/>
      <c r="J29" s="6"/>
      <c r="K29" s="1"/>
    </row>
    <row r="30" spans="1:26" x14ac:dyDescent="0.25">
      <c r="F30" s="56"/>
      <c r="G30" s="56"/>
      <c r="J30" s="6"/>
      <c r="K30" s="1"/>
    </row>
    <row r="31" spans="1:26" x14ac:dyDescent="0.25">
      <c r="F31" s="56"/>
      <c r="G31" s="56"/>
      <c r="J31" s="6"/>
      <c r="K31" s="1"/>
    </row>
    <row r="32" spans="1:26" x14ac:dyDescent="0.25">
      <c r="F32" s="56"/>
      <c r="G32" s="56"/>
      <c r="J32" s="6"/>
      <c r="K32" s="1"/>
    </row>
    <row r="33" spans="6:11" x14ac:dyDescent="0.25">
      <c r="F33" s="56"/>
      <c r="G33" s="56"/>
      <c r="J33" s="6"/>
      <c r="K33" s="1"/>
    </row>
    <row r="34" spans="6:11" x14ac:dyDescent="0.25">
      <c r="F34" s="56"/>
      <c r="G34" s="56"/>
      <c r="J34" s="6"/>
    </row>
    <row r="35" spans="6:11" x14ac:dyDescent="0.25">
      <c r="F35" s="56"/>
      <c r="G35" s="56"/>
      <c r="H35" s="3"/>
      <c r="I35" s="3">
        <f>SUM(I25:I34)</f>
        <v>-7764.0199999999968</v>
      </c>
      <c r="J35" s="13" t="s">
        <v>66</v>
      </c>
    </row>
    <row r="36" spans="6:11" x14ac:dyDescent="0.25">
      <c r="F36" s="56"/>
      <c r="G36" s="56"/>
      <c r="H36" s="3" t="s">
        <v>67</v>
      </c>
      <c r="I36" s="59">
        <v>2</v>
      </c>
      <c r="J36" s="5">
        <v>-6.2700000000000006E-2</v>
      </c>
    </row>
    <row r="37" spans="6:11" x14ac:dyDescent="0.25">
      <c r="F37" s="56"/>
      <c r="G37" s="56"/>
      <c r="H37" s="3" t="s">
        <v>68</v>
      </c>
      <c r="I37" s="59">
        <v>0</v>
      </c>
      <c r="J37" s="5">
        <v>0</v>
      </c>
    </row>
    <row r="38" spans="6:11" x14ac:dyDescent="0.25">
      <c r="F38" s="56"/>
      <c r="G38" s="56"/>
      <c r="J38" s="6"/>
    </row>
    <row r="39" spans="6:11" x14ac:dyDescent="0.25">
      <c r="F39" s="56"/>
      <c r="G39" s="56"/>
      <c r="J39" s="6"/>
    </row>
    <row r="40" spans="6:11" x14ac:dyDescent="0.25">
      <c r="F40" s="56"/>
      <c r="G40" s="56"/>
      <c r="J40" s="6"/>
    </row>
    <row r="41" spans="6:11" x14ac:dyDescent="0.25">
      <c r="F41" s="56"/>
      <c r="G41" s="56"/>
      <c r="J41" s="6"/>
    </row>
    <row r="42" spans="6:11" x14ac:dyDescent="0.25">
      <c r="F42" s="56"/>
      <c r="G42" s="56"/>
      <c r="J42" s="6"/>
    </row>
    <row r="43" spans="6:11" x14ac:dyDescent="0.25">
      <c r="F43" s="56"/>
      <c r="G43" s="56"/>
      <c r="J43" s="6"/>
    </row>
    <row r="44" spans="6:11" x14ac:dyDescent="0.25">
      <c r="F44" s="56"/>
      <c r="G44" s="56"/>
      <c r="J44" s="6"/>
    </row>
    <row r="45" spans="6:11" x14ac:dyDescent="0.25">
      <c r="F45" s="56"/>
      <c r="G45" s="56"/>
      <c r="J45" s="6"/>
    </row>
    <row r="46" spans="6:11" x14ac:dyDescent="0.25">
      <c r="F46" s="56"/>
      <c r="G46" s="56"/>
      <c r="J46" s="6"/>
    </row>
    <row r="47" spans="6:11" x14ac:dyDescent="0.25">
      <c r="F47" s="56"/>
      <c r="G47" s="56"/>
      <c r="J47" s="6"/>
    </row>
    <row r="48" spans="6:11" x14ac:dyDescent="0.25">
      <c r="F48" s="56"/>
      <c r="G48" s="56"/>
      <c r="J48" s="6"/>
    </row>
    <row r="49" spans="6:10" x14ac:dyDescent="0.25">
      <c r="F49" s="56"/>
      <c r="G49" s="56"/>
      <c r="J49" s="6"/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</row>
    <row r="62" spans="6:10" x14ac:dyDescent="0.25">
      <c r="F62" s="56"/>
      <c r="G62" s="56"/>
    </row>
    <row r="63" spans="6:10" x14ac:dyDescent="0.25">
      <c r="F63" s="56"/>
      <c r="G63" s="56"/>
    </row>
    <row r="64" spans="6:10" x14ac:dyDescent="0.25">
      <c r="F64" s="56"/>
      <c r="G64" s="56"/>
    </row>
    <row r="65" spans="6:7" x14ac:dyDescent="0.25">
      <c r="F65" s="56"/>
      <c r="G65" s="56"/>
    </row>
    <row r="66" spans="6:7" x14ac:dyDescent="0.25">
      <c r="F66" s="56"/>
      <c r="G66" s="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6E2F-E4A2-435D-B908-79B690489D0E}">
  <dimension ref="A1:AC66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8.28515625" bestFit="1" customWidth="1"/>
    <col min="6" max="7" width="11.5703125" bestFit="1" customWidth="1"/>
    <col min="8" max="8" width="11" customWidth="1"/>
    <col min="9" max="9" width="11.28515625" bestFit="1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bestFit="1" customWidth="1"/>
    <col min="17" max="22" width="6.5703125" bestFit="1" customWidth="1"/>
    <col min="23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45674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29</v>
      </c>
      <c r="B7" t="s">
        <v>30</v>
      </c>
      <c r="C7" s="25" t="s">
        <v>31</v>
      </c>
      <c r="D7" s="2">
        <v>1263.7796000000001</v>
      </c>
      <c r="E7" s="26">
        <v>57.98</v>
      </c>
      <c r="F7" s="3">
        <f t="shared" ref="F7:F16" si="0">E7*D7</f>
        <v>73273.941208000004</v>
      </c>
      <c r="G7" s="3">
        <v>56489.42</v>
      </c>
      <c r="H7" s="4">
        <f t="shared" ref="H7:H16" si="1">G7/D7</f>
        <v>44.698790833464948</v>
      </c>
      <c r="I7" s="3">
        <f t="shared" ref="I7:I16" si="2">F7-G7</f>
        <v>16784.521208000006</v>
      </c>
      <c r="J7" s="26">
        <f t="shared" ref="J7:J16" si="3">E7-H7</f>
        <v>13.281209166535049</v>
      </c>
      <c r="K7" s="27">
        <v>45527</v>
      </c>
      <c r="L7">
        <f t="shared" ref="L7:L16" si="4">DAYS360(K7,$C$1)</f>
        <v>144</v>
      </c>
      <c r="M7" s="5">
        <f t="shared" ref="M7:M16" si="5">(I7/G7)</f>
        <v>0.29712681079041009</v>
      </c>
      <c r="N7">
        <v>92</v>
      </c>
      <c r="O7">
        <v>94</v>
      </c>
      <c r="P7" s="30">
        <v>89</v>
      </c>
      <c r="Q7" s="28">
        <v>43.2</v>
      </c>
      <c r="R7" s="29">
        <f t="shared" ref="R7:R16" si="6">Q7*0.93</f>
        <v>40.176000000000002</v>
      </c>
      <c r="S7" s="29">
        <v>53.08</v>
      </c>
      <c r="T7" s="28">
        <f t="shared" ref="T7:T16" si="7">Q7*1.25</f>
        <v>54</v>
      </c>
      <c r="U7" s="28">
        <f t="shared" ref="U7:U16" si="8">Q7*1.5</f>
        <v>64.800000000000011</v>
      </c>
      <c r="V7" s="28">
        <f t="shared" ref="V7:V16" si="9">Q7*2</f>
        <v>86.4</v>
      </c>
      <c r="W7" s="28">
        <f t="shared" ref="W7:W16" si="10">H7-(H7*0.07)</f>
        <v>41.569875475122402</v>
      </c>
      <c r="X7" s="29">
        <v>51</v>
      </c>
      <c r="Y7" s="5">
        <f t="shared" ref="Y7:Y16" si="11">(X7-H7)/H7</f>
        <v>0.14097046137135064</v>
      </c>
      <c r="Z7" s="6">
        <f t="shared" ref="Z7:Z16" si="12">F7/F$19</f>
        <v>9.4842780479042779E-2</v>
      </c>
      <c r="AB7" s="58">
        <v>45729</v>
      </c>
      <c r="AC7" s="9">
        <v>97</v>
      </c>
    </row>
    <row r="8" spans="1:29" x14ac:dyDescent="0.25">
      <c r="A8" t="s">
        <v>32</v>
      </c>
      <c r="B8" t="s">
        <v>30</v>
      </c>
      <c r="C8" s="25" t="s">
        <v>33</v>
      </c>
      <c r="D8" s="2">
        <v>3020.3485999999998</v>
      </c>
      <c r="E8" s="26">
        <v>24.01</v>
      </c>
      <c r="F8" s="3">
        <f t="shared" si="0"/>
        <v>72518.569885999997</v>
      </c>
      <c r="G8" s="3">
        <v>56486.59</v>
      </c>
      <c r="H8" s="4">
        <f t="shared" si="1"/>
        <v>18.702010092477405</v>
      </c>
      <c r="I8" s="3">
        <f t="shared" si="2"/>
        <v>16031.979886000001</v>
      </c>
      <c r="J8" s="26">
        <f t="shared" si="3"/>
        <v>5.3079899075225967</v>
      </c>
      <c r="K8" s="27">
        <v>45527</v>
      </c>
      <c r="L8">
        <f t="shared" si="4"/>
        <v>144</v>
      </c>
      <c r="M8" s="5">
        <f t="shared" si="5"/>
        <v>0.28381921949970784</v>
      </c>
      <c r="N8">
        <v>117</v>
      </c>
      <c r="O8">
        <v>93</v>
      </c>
      <c r="P8" s="30">
        <v>86</v>
      </c>
      <c r="Q8" s="28">
        <v>17.86</v>
      </c>
      <c r="R8" s="29">
        <f t="shared" si="6"/>
        <v>16.6098</v>
      </c>
      <c r="S8" s="29">
        <v>22.11</v>
      </c>
      <c r="T8" s="31">
        <f t="shared" si="7"/>
        <v>22.324999999999999</v>
      </c>
      <c r="U8" s="28">
        <f t="shared" si="8"/>
        <v>26.79</v>
      </c>
      <c r="V8" s="28">
        <f t="shared" si="9"/>
        <v>35.72</v>
      </c>
      <c r="W8" s="28">
        <f t="shared" si="10"/>
        <v>17.392869386003987</v>
      </c>
      <c r="X8" s="29">
        <v>22</v>
      </c>
      <c r="Y8" s="5">
        <f t="shared" si="11"/>
        <v>0.17634414114925329</v>
      </c>
      <c r="Z8" s="6">
        <f t="shared" si="12"/>
        <v>9.3865058859439368E-2</v>
      </c>
      <c r="AB8" s="58">
        <v>45720</v>
      </c>
      <c r="AC8" s="9">
        <v>87</v>
      </c>
    </row>
    <row r="9" spans="1:29" x14ac:dyDescent="0.25">
      <c r="A9" t="s">
        <v>34</v>
      </c>
      <c r="B9" t="s">
        <v>30</v>
      </c>
      <c r="C9" s="25" t="s">
        <v>35</v>
      </c>
      <c r="D9" s="2">
        <f>341.2204-83.2121</f>
        <v>258.00829999999996</v>
      </c>
      <c r="E9" s="26">
        <v>396.5</v>
      </c>
      <c r="F9" s="3">
        <f t="shared" si="0"/>
        <v>102300.29094999998</v>
      </c>
      <c r="G9" s="3">
        <f>71012.62-17317.27</f>
        <v>53695.349999999991</v>
      </c>
      <c r="H9" s="4">
        <f t="shared" si="1"/>
        <v>208.11481646133089</v>
      </c>
      <c r="I9" s="3">
        <f t="shared" si="2"/>
        <v>48604.940949999989</v>
      </c>
      <c r="J9" s="26">
        <f t="shared" si="3"/>
        <v>188.38518353866911</v>
      </c>
      <c r="K9" s="27">
        <v>45580</v>
      </c>
      <c r="L9">
        <f t="shared" si="4"/>
        <v>92</v>
      </c>
      <c r="M9" s="5">
        <f t="shared" si="5"/>
        <v>0.90519832629827346</v>
      </c>
      <c r="N9">
        <v>21</v>
      </c>
      <c r="O9">
        <v>99</v>
      </c>
      <c r="P9" s="30">
        <v>4</v>
      </c>
      <c r="Q9" s="28">
        <v>183.7</v>
      </c>
      <c r="R9" s="29">
        <f t="shared" si="6"/>
        <v>170.84100000000001</v>
      </c>
      <c r="S9" s="29">
        <v>285.01</v>
      </c>
      <c r="T9" s="28">
        <f t="shared" si="7"/>
        <v>229.625</v>
      </c>
      <c r="U9" s="28">
        <f t="shared" si="8"/>
        <v>275.54999999999995</v>
      </c>
      <c r="V9" s="28">
        <f t="shared" si="9"/>
        <v>367.4</v>
      </c>
      <c r="W9" s="28">
        <f t="shared" si="10"/>
        <v>193.54677930903773</v>
      </c>
      <c r="X9" s="29">
        <v>335</v>
      </c>
      <c r="Y9" s="5">
        <f t="shared" si="11"/>
        <v>0.60968837152565358</v>
      </c>
      <c r="Z9" s="32">
        <f t="shared" si="12"/>
        <v>0.13241329560765797</v>
      </c>
      <c r="AB9" s="58">
        <v>45692</v>
      </c>
      <c r="AC9" s="9">
        <v>67</v>
      </c>
    </row>
    <row r="10" spans="1:29" x14ac:dyDescent="0.25">
      <c r="A10" t="s">
        <v>36</v>
      </c>
      <c r="B10" t="s">
        <v>30</v>
      </c>
      <c r="C10" t="s">
        <v>37</v>
      </c>
      <c r="D10" s="2">
        <v>939.24239999999998</v>
      </c>
      <c r="E10" s="26">
        <v>59.62</v>
      </c>
      <c r="F10" s="3">
        <f t="shared" si="0"/>
        <v>55997.631887999996</v>
      </c>
      <c r="G10" s="3">
        <v>36992.18</v>
      </c>
      <c r="H10" s="4">
        <f t="shared" si="1"/>
        <v>39.385125714086165</v>
      </c>
      <c r="I10" s="3">
        <f t="shared" si="2"/>
        <v>19005.451887999996</v>
      </c>
      <c r="J10" s="26">
        <f t="shared" si="3"/>
        <v>20.234874285913833</v>
      </c>
      <c r="K10" s="27">
        <v>45593</v>
      </c>
      <c r="L10">
        <f t="shared" si="4"/>
        <v>79</v>
      </c>
      <c r="M10" s="5">
        <f t="shared" si="5"/>
        <v>0.51376944770489319</v>
      </c>
      <c r="O10">
        <v>96</v>
      </c>
      <c r="P10" s="33" t="s">
        <v>38</v>
      </c>
      <c r="Q10" s="28">
        <v>39.369999999999997</v>
      </c>
      <c r="R10" s="29">
        <f t="shared" si="6"/>
        <v>36.614100000000001</v>
      </c>
      <c r="S10" s="29">
        <v>51.54</v>
      </c>
      <c r="T10" s="28">
        <f t="shared" si="7"/>
        <v>49.212499999999999</v>
      </c>
      <c r="U10" s="28">
        <f t="shared" si="8"/>
        <v>59.054999999999993</v>
      </c>
      <c r="V10" s="28">
        <f t="shared" si="9"/>
        <v>78.739999999999995</v>
      </c>
      <c r="W10" s="28">
        <f t="shared" si="10"/>
        <v>36.628166914100134</v>
      </c>
      <c r="X10" s="29">
        <v>50</v>
      </c>
      <c r="Y10" s="5">
        <f t="shared" si="11"/>
        <v>0.26951480015505969</v>
      </c>
      <c r="Z10" s="32">
        <f t="shared" si="12"/>
        <v>7.2481035153053583E-2</v>
      </c>
      <c r="AB10" s="58"/>
      <c r="AC10" s="9"/>
    </row>
    <row r="11" spans="1:29" x14ac:dyDescent="0.25">
      <c r="A11" t="s">
        <v>41</v>
      </c>
      <c r="B11" t="s">
        <v>30</v>
      </c>
      <c r="C11" s="25" t="s">
        <v>42</v>
      </c>
      <c r="D11" s="2">
        <v>2234.6064999999999</v>
      </c>
      <c r="E11" s="26">
        <v>18.09</v>
      </c>
      <c r="F11" s="3">
        <f t="shared" si="0"/>
        <v>40424.031584999997</v>
      </c>
      <c r="G11" s="3">
        <v>37971.83</v>
      </c>
      <c r="H11" s="4">
        <f t="shared" si="1"/>
        <v>16.992624876012847</v>
      </c>
      <c r="I11" s="3">
        <f t="shared" si="2"/>
        <v>2452.2015849999952</v>
      </c>
      <c r="J11" s="26">
        <f t="shared" si="3"/>
        <v>1.0973751239871525</v>
      </c>
      <c r="K11" s="27">
        <v>45652</v>
      </c>
      <c r="L11">
        <f t="shared" si="4"/>
        <v>21</v>
      </c>
      <c r="M11" s="5">
        <f t="shared" si="5"/>
        <v>6.4579494456811673E-2</v>
      </c>
      <c r="N11">
        <v>49</v>
      </c>
      <c r="O11">
        <v>97</v>
      </c>
      <c r="P11" s="30">
        <v>81</v>
      </c>
      <c r="Q11" s="28">
        <v>15.9</v>
      </c>
      <c r="R11" s="29">
        <f t="shared" si="6"/>
        <v>14.787000000000001</v>
      </c>
      <c r="S11" s="29">
        <v>14</v>
      </c>
      <c r="T11" s="31">
        <f t="shared" si="7"/>
        <v>19.875</v>
      </c>
      <c r="U11" s="28">
        <f t="shared" si="8"/>
        <v>23.85</v>
      </c>
      <c r="V11" s="28">
        <f t="shared" si="9"/>
        <v>31.8</v>
      </c>
      <c r="W11" s="28">
        <f t="shared" si="10"/>
        <v>15.803141134691948</v>
      </c>
      <c r="X11" s="29">
        <v>15.65</v>
      </c>
      <c r="Y11" s="5">
        <f t="shared" si="11"/>
        <v>-7.9012211815969929E-2</v>
      </c>
      <c r="Z11" s="6">
        <f t="shared" si="12"/>
        <v>5.2323206456314657E-2</v>
      </c>
      <c r="AB11" s="58">
        <v>45720</v>
      </c>
      <c r="AC11" s="9">
        <v>94</v>
      </c>
    </row>
    <row r="12" spans="1:29" x14ac:dyDescent="0.25">
      <c r="A12" t="s">
        <v>69</v>
      </c>
      <c r="B12" t="s">
        <v>30</v>
      </c>
      <c r="C12" s="25" t="s">
        <v>70</v>
      </c>
      <c r="D12" s="2">
        <v>1255.3625</v>
      </c>
      <c r="E12" s="26">
        <v>26.05</v>
      </c>
      <c r="F12" s="3">
        <f t="shared" si="0"/>
        <v>32702.193124999998</v>
      </c>
      <c r="G12" s="3">
        <v>37884.65</v>
      </c>
      <c r="H12" s="4">
        <f t="shared" si="1"/>
        <v>30.17825528482809</v>
      </c>
      <c r="I12" s="3">
        <f t="shared" si="2"/>
        <v>-5182.4568750000035</v>
      </c>
      <c r="J12" s="26">
        <f t="shared" si="3"/>
        <v>-4.1282552848280893</v>
      </c>
      <c r="K12" s="27">
        <v>45663</v>
      </c>
      <c r="L12">
        <f t="shared" si="4"/>
        <v>11</v>
      </c>
      <c r="M12" s="5">
        <f t="shared" si="5"/>
        <v>-0.1367956909988611</v>
      </c>
      <c r="N12">
        <v>3</v>
      </c>
      <c r="O12">
        <v>98</v>
      </c>
      <c r="P12" s="30">
        <v>6</v>
      </c>
      <c r="Q12" s="28">
        <v>24.99</v>
      </c>
      <c r="R12" s="29">
        <f t="shared" si="6"/>
        <v>23.2407</v>
      </c>
      <c r="S12" s="29">
        <v>21.5</v>
      </c>
      <c r="T12" s="31">
        <f t="shared" si="7"/>
        <v>31.237499999999997</v>
      </c>
      <c r="U12" s="28">
        <f t="shared" si="8"/>
        <v>37.484999999999999</v>
      </c>
      <c r="V12" s="28">
        <f t="shared" si="9"/>
        <v>49.98</v>
      </c>
      <c r="W12" s="28">
        <f t="shared" si="10"/>
        <v>28.065777414890125</v>
      </c>
      <c r="X12" s="29">
        <v>23</v>
      </c>
      <c r="Y12" s="5">
        <f t="shared" si="11"/>
        <v>-0.23786183850187351</v>
      </c>
      <c r="Z12" s="32">
        <f t="shared" si="12"/>
        <v>4.2328375853747713E-2</v>
      </c>
      <c r="AB12" s="58">
        <v>45713</v>
      </c>
      <c r="AC12" s="9">
        <v>69</v>
      </c>
    </row>
    <row r="13" spans="1:29" x14ac:dyDescent="0.25">
      <c r="A13" t="s">
        <v>71</v>
      </c>
      <c r="B13" t="s">
        <v>30</v>
      </c>
      <c r="C13" s="25" t="s">
        <v>72</v>
      </c>
      <c r="D13" s="2">
        <v>201.9693</v>
      </c>
      <c r="E13" s="26">
        <v>401.41</v>
      </c>
      <c r="F13" s="3">
        <f t="shared" si="0"/>
        <v>81072.496713</v>
      </c>
      <c r="G13" s="3">
        <v>74438.86</v>
      </c>
      <c r="H13" s="4">
        <f t="shared" si="1"/>
        <v>368.56522253629635</v>
      </c>
      <c r="I13" s="3">
        <f t="shared" si="2"/>
        <v>6633.6367129999999</v>
      </c>
      <c r="J13" s="26">
        <f t="shared" si="3"/>
        <v>32.844777463703679</v>
      </c>
      <c r="K13" s="27">
        <v>45664</v>
      </c>
      <c r="L13">
        <f t="shared" si="4"/>
        <v>10</v>
      </c>
      <c r="M13" s="5">
        <f t="shared" si="5"/>
        <v>8.9115237834109767E-2</v>
      </c>
      <c r="N13">
        <v>3</v>
      </c>
      <c r="O13">
        <v>98</v>
      </c>
      <c r="P13" s="30">
        <v>61</v>
      </c>
      <c r="Q13" s="28">
        <v>354.69</v>
      </c>
      <c r="R13" s="29">
        <f t="shared" si="6"/>
        <v>329.86170000000004</v>
      </c>
      <c r="S13" s="29">
        <v>348.2</v>
      </c>
      <c r="T13" s="28">
        <f t="shared" si="7"/>
        <v>443.36250000000001</v>
      </c>
      <c r="U13" s="28">
        <f t="shared" si="8"/>
        <v>532.03499999999997</v>
      </c>
      <c r="V13" s="28">
        <f t="shared" si="9"/>
        <v>709.38</v>
      </c>
      <c r="W13" s="28">
        <f t="shared" si="10"/>
        <v>342.76565695875559</v>
      </c>
      <c r="X13" s="29">
        <v>345</v>
      </c>
      <c r="Y13" s="5">
        <f t="shared" si="11"/>
        <v>-6.3937726880825385E-2</v>
      </c>
      <c r="Z13" s="32">
        <f t="shared" si="12"/>
        <v>0.10493691047424485</v>
      </c>
      <c r="AB13" s="60">
        <v>45679</v>
      </c>
      <c r="AC13" s="9">
        <v>91</v>
      </c>
    </row>
    <row r="14" spans="1:29" x14ac:dyDescent="0.25">
      <c r="A14" t="s">
        <v>73</v>
      </c>
      <c r="B14" t="s">
        <v>30</v>
      </c>
      <c r="C14" s="25" t="s">
        <v>74</v>
      </c>
      <c r="D14" s="2">
        <v>347.75310000000002</v>
      </c>
      <c r="E14" s="26">
        <v>177.89</v>
      </c>
      <c r="F14" s="3">
        <f t="shared" si="0"/>
        <v>61861.798959</v>
      </c>
      <c r="G14" s="3">
        <v>59492.79</v>
      </c>
      <c r="H14" s="4">
        <f t="shared" si="1"/>
        <v>171.07766976052838</v>
      </c>
      <c r="I14" s="3">
        <f t="shared" si="2"/>
        <v>2369.0089589999989</v>
      </c>
      <c r="J14" s="26">
        <f t="shared" si="3"/>
        <v>6.8123302394716063</v>
      </c>
      <c r="K14" s="27">
        <v>45671</v>
      </c>
      <c r="L14">
        <f t="shared" si="4"/>
        <v>3</v>
      </c>
      <c r="M14" s="5">
        <f t="shared" si="5"/>
        <v>3.9820101881253157E-2</v>
      </c>
      <c r="N14">
        <v>9</v>
      </c>
      <c r="O14">
        <v>98</v>
      </c>
      <c r="P14" s="30">
        <v>98</v>
      </c>
      <c r="Q14" s="28">
        <v>165.33</v>
      </c>
      <c r="R14" s="29">
        <f t="shared" si="6"/>
        <v>153.75690000000003</v>
      </c>
      <c r="S14" s="29">
        <v>141.02000000000001</v>
      </c>
      <c r="T14" s="28">
        <f t="shared" si="7"/>
        <v>206.66250000000002</v>
      </c>
      <c r="U14" s="28">
        <f t="shared" si="8"/>
        <v>247.995</v>
      </c>
      <c r="V14" s="28">
        <f t="shared" si="9"/>
        <v>330.66</v>
      </c>
      <c r="W14" s="28">
        <f t="shared" si="10"/>
        <v>159.10223287729139</v>
      </c>
      <c r="X14" s="29">
        <v>159</v>
      </c>
      <c r="Y14" s="5">
        <f t="shared" si="11"/>
        <v>-7.0597581656533528E-2</v>
      </c>
      <c r="Z14" s="6">
        <f t="shared" si="12"/>
        <v>8.0071372195638674E-2</v>
      </c>
      <c r="AB14" s="58">
        <v>45756</v>
      </c>
      <c r="AC14" s="9">
        <v>99</v>
      </c>
    </row>
    <row r="15" spans="1:29" x14ac:dyDescent="0.25">
      <c r="A15" t="s">
        <v>75</v>
      </c>
      <c r="B15" t="s">
        <v>30</v>
      </c>
      <c r="C15" s="25" t="s">
        <v>76</v>
      </c>
      <c r="D15" s="2">
        <v>675.29819999999995</v>
      </c>
      <c r="E15" s="26">
        <v>66.3</v>
      </c>
      <c r="F15" s="3">
        <f t="shared" si="0"/>
        <v>44772.270659999995</v>
      </c>
      <c r="G15" s="3">
        <v>45046.15</v>
      </c>
      <c r="H15" s="4">
        <f t="shared" si="1"/>
        <v>66.705567999440845</v>
      </c>
      <c r="I15" s="3">
        <f t="shared" si="2"/>
        <v>-273.87934000000678</v>
      </c>
      <c r="J15" s="26">
        <f t="shared" si="3"/>
        <v>-0.40556799944084787</v>
      </c>
      <c r="K15" s="27">
        <v>45673</v>
      </c>
      <c r="L15">
        <f t="shared" si="4"/>
        <v>1</v>
      </c>
      <c r="M15" s="5">
        <f t="shared" si="5"/>
        <v>-6.0799722062819302E-3</v>
      </c>
      <c r="N15">
        <v>126</v>
      </c>
      <c r="O15">
        <v>88</v>
      </c>
      <c r="P15" s="34">
        <v>90</v>
      </c>
      <c r="Q15" s="28">
        <v>67.95</v>
      </c>
      <c r="R15" s="29">
        <f t="shared" si="6"/>
        <v>63.193500000000007</v>
      </c>
      <c r="S15" s="29">
        <v>60.62</v>
      </c>
      <c r="T15" s="31">
        <f t="shared" si="7"/>
        <v>84.9375</v>
      </c>
      <c r="U15" s="28">
        <f t="shared" si="8"/>
        <v>101.92500000000001</v>
      </c>
      <c r="V15" s="28">
        <f t="shared" si="9"/>
        <v>135.9</v>
      </c>
      <c r="W15" s="28">
        <f t="shared" si="10"/>
        <v>62.036178239479987</v>
      </c>
      <c r="X15" s="29">
        <v>62</v>
      </c>
      <c r="Y15" s="5">
        <f t="shared" si="11"/>
        <v>-7.0542357115980017E-2</v>
      </c>
      <c r="Z15" s="6">
        <f t="shared" si="12"/>
        <v>5.795138855300247E-2</v>
      </c>
      <c r="AB15" s="58">
        <v>45714</v>
      </c>
      <c r="AC15" s="9">
        <v>90</v>
      </c>
    </row>
    <row r="16" spans="1:29" x14ac:dyDescent="0.25">
      <c r="A16" s="35"/>
      <c r="B16" s="35"/>
      <c r="C16" s="36"/>
      <c r="D16" s="37"/>
      <c r="E16" s="38"/>
      <c r="F16" s="39">
        <f t="shared" si="0"/>
        <v>0</v>
      </c>
      <c r="G16" s="39"/>
      <c r="H16" s="40" t="e">
        <f t="shared" si="1"/>
        <v>#DIV/0!</v>
      </c>
      <c r="I16" s="39">
        <f t="shared" si="2"/>
        <v>0</v>
      </c>
      <c r="J16" s="38" t="e">
        <f t="shared" si="3"/>
        <v>#DIV/0!</v>
      </c>
      <c r="K16" s="41"/>
      <c r="L16" s="35">
        <f t="shared" si="4"/>
        <v>45017</v>
      </c>
      <c r="M16" s="42" t="e">
        <f t="shared" si="5"/>
        <v>#DIV/0!</v>
      </c>
      <c r="N16" s="35"/>
      <c r="O16" s="35"/>
      <c r="P16" s="43"/>
      <c r="Q16" s="44"/>
      <c r="R16" s="45">
        <f t="shared" si="6"/>
        <v>0</v>
      </c>
      <c r="S16" s="45"/>
      <c r="T16" s="46">
        <f t="shared" si="7"/>
        <v>0</v>
      </c>
      <c r="U16" s="44">
        <f t="shared" si="8"/>
        <v>0</v>
      </c>
      <c r="V16" s="44">
        <f t="shared" si="9"/>
        <v>0</v>
      </c>
      <c r="W16" s="44" t="e">
        <f t="shared" si="10"/>
        <v>#DIV/0!</v>
      </c>
      <c r="X16" s="45"/>
      <c r="Y16" s="42" t="e">
        <f t="shared" si="11"/>
        <v>#DIV/0!</v>
      </c>
      <c r="Z16" s="47">
        <f t="shared" si="12"/>
        <v>0</v>
      </c>
      <c r="AB16" s="58"/>
      <c r="AC16" s="9"/>
    </row>
    <row r="17" spans="1:26" x14ac:dyDescent="0.25">
      <c r="A17" t="s">
        <v>43</v>
      </c>
      <c r="D17" s="2"/>
      <c r="F17" s="3">
        <f>SUM(F6:F16)</f>
        <v>564923.22497400001</v>
      </c>
      <c r="G17" s="3">
        <f>SUM(G6:G16)</f>
        <v>458497.82</v>
      </c>
      <c r="H17" s="4"/>
      <c r="I17" s="3">
        <f>SUM(I6:I16)</f>
        <v>106425.40497399998</v>
      </c>
      <c r="M17" s="5"/>
      <c r="Z17" s="6"/>
    </row>
    <row r="18" spans="1:26" x14ac:dyDescent="0.25">
      <c r="D18" s="2" t="s">
        <v>44</v>
      </c>
      <c r="F18" s="3">
        <v>207660</v>
      </c>
      <c r="G18" s="6">
        <f>F18/F19</f>
        <v>0.26878657636785791</v>
      </c>
      <c r="H18" s="4"/>
      <c r="I18" s="3"/>
      <c r="M18" s="5"/>
      <c r="Z18" s="6"/>
    </row>
    <row r="19" spans="1:26" x14ac:dyDescent="0.25">
      <c r="D19" s="2" t="s">
        <v>45</v>
      </c>
      <c r="F19" s="3">
        <f>SUM(F17:F18)</f>
        <v>772583.22497400001</v>
      </c>
      <c r="G19" s="3"/>
      <c r="H19" s="48"/>
      <c r="I19" s="49"/>
      <c r="K19" t="s">
        <v>46</v>
      </c>
      <c r="M19" s="13" t="s">
        <v>47</v>
      </c>
      <c r="Z19" s="6"/>
    </row>
    <row r="20" spans="1:26" x14ac:dyDescent="0.25">
      <c r="D20" s="2"/>
      <c r="F20" s="4"/>
      <c r="G20" s="3"/>
      <c r="H20" s="4" t="s">
        <v>48</v>
      </c>
      <c r="I20" s="50">
        <f>'01-10-25'!F19</f>
        <v>733978.02615200006</v>
      </c>
      <c r="K20" s="1">
        <v>45657</v>
      </c>
      <c r="L20" s="50">
        <v>170762</v>
      </c>
      <c r="M20" s="50">
        <v>180122</v>
      </c>
      <c r="Z20" s="6"/>
    </row>
    <row r="21" spans="1:26" x14ac:dyDescent="0.25">
      <c r="D21" s="2"/>
      <c r="F21" s="3"/>
      <c r="G21" s="51"/>
      <c r="H21" s="4" t="s">
        <v>49</v>
      </c>
      <c r="I21" s="6">
        <f>(F19-I20)/I20</f>
        <v>5.2597213331295516E-2</v>
      </c>
      <c r="K21" s="9" t="s">
        <v>50</v>
      </c>
      <c r="L21" s="6">
        <f>(M20-L20)/L20</f>
        <v>5.481313172719926E-2</v>
      </c>
      <c r="Z21" s="6"/>
    </row>
    <row r="23" spans="1:26" x14ac:dyDescent="0.25">
      <c r="D23" s="9"/>
      <c r="E23" s="9"/>
      <c r="F23" s="52"/>
      <c r="G23" s="3"/>
      <c r="H23" s="3"/>
      <c r="I23" s="12"/>
      <c r="J23" s="9"/>
      <c r="K23" s="9"/>
      <c r="L23" s="9"/>
      <c r="M23" s="13" t="s">
        <v>51</v>
      </c>
    </row>
    <row r="24" spans="1:26" x14ac:dyDescent="0.25">
      <c r="A24" s="53" t="s">
        <v>60</v>
      </c>
      <c r="D24" s="54" t="s">
        <v>15</v>
      </c>
      <c r="E24" s="54" t="s">
        <v>52</v>
      </c>
      <c r="F24" s="55" t="s">
        <v>53</v>
      </c>
      <c r="G24" s="55" t="s">
        <v>54</v>
      </c>
      <c r="H24" s="55" t="s">
        <v>55</v>
      </c>
      <c r="I24" s="55" t="s">
        <v>56</v>
      </c>
      <c r="J24" s="54" t="s">
        <v>11</v>
      </c>
      <c r="K24" s="54" t="s">
        <v>20</v>
      </c>
      <c r="L24" s="54" t="s">
        <v>57</v>
      </c>
      <c r="M24" s="54" t="s">
        <v>58</v>
      </c>
      <c r="N24" s="1"/>
      <c r="P24" s="9" t="s">
        <v>59</v>
      </c>
    </row>
    <row r="25" spans="1:26" x14ac:dyDescent="0.25">
      <c r="A25" t="s">
        <v>39</v>
      </c>
      <c r="B25" t="s">
        <v>30</v>
      </c>
      <c r="C25" s="25" t="s">
        <v>40</v>
      </c>
      <c r="D25" s="2">
        <v>935.03689999999995</v>
      </c>
      <c r="E25" s="57">
        <f>F25/D25</f>
        <v>72.335006244138597</v>
      </c>
      <c r="F25" s="56">
        <v>67635.899999999994</v>
      </c>
      <c r="G25" s="56">
        <v>64699.88</v>
      </c>
      <c r="H25" s="57">
        <f>G25/D25</f>
        <v>69.195001822922706</v>
      </c>
      <c r="I25" s="57">
        <f>G25-F25</f>
        <v>-2936.0199999999968</v>
      </c>
      <c r="J25" s="6">
        <f>I25/F25</f>
        <v>-4.340919541249539E-2</v>
      </c>
      <c r="K25" s="1">
        <v>45609</v>
      </c>
      <c r="L25" s="1">
        <v>45659</v>
      </c>
      <c r="M25">
        <f t="shared" ref="M25:M26" si="13">DAYS360(K25,L25)</f>
        <v>49</v>
      </c>
    </row>
    <row r="26" spans="1:26" x14ac:dyDescent="0.25">
      <c r="A26" t="s">
        <v>61</v>
      </c>
      <c r="B26" t="s">
        <v>30</v>
      </c>
      <c r="C26" s="25" t="s">
        <v>62</v>
      </c>
      <c r="D26" s="2">
        <v>653.82380000000001</v>
      </c>
      <c r="E26" s="57">
        <f>F26/D26</f>
        <v>90.119203369470497</v>
      </c>
      <c r="F26" s="3">
        <v>58922.080000000002</v>
      </c>
      <c r="G26" s="56">
        <v>54094.080000000002</v>
      </c>
      <c r="H26" s="57">
        <f>G26/D26</f>
        <v>82.734950914910101</v>
      </c>
      <c r="I26" s="57">
        <f>G26-F26</f>
        <v>-4828</v>
      </c>
      <c r="J26" s="6">
        <f>I26/F26</f>
        <v>-8.1938723140798822E-2</v>
      </c>
      <c r="K26" s="1">
        <v>45660</v>
      </c>
      <c r="L26" s="1">
        <v>45667</v>
      </c>
      <c r="M26">
        <f t="shared" si="13"/>
        <v>7</v>
      </c>
    </row>
    <row r="27" spans="1:26" x14ac:dyDescent="0.25">
      <c r="F27" s="56"/>
      <c r="G27" s="56"/>
      <c r="J27" s="6"/>
      <c r="K27" s="1"/>
    </row>
    <row r="28" spans="1:26" x14ac:dyDescent="0.25">
      <c r="F28" s="56"/>
      <c r="G28" s="56"/>
      <c r="J28" s="6"/>
      <c r="K28" s="1"/>
    </row>
    <row r="29" spans="1:26" x14ac:dyDescent="0.25">
      <c r="F29" s="56"/>
      <c r="G29" s="56"/>
      <c r="J29" s="6"/>
      <c r="K29" s="1"/>
    </row>
    <row r="30" spans="1:26" x14ac:dyDescent="0.25">
      <c r="F30" s="56"/>
      <c r="G30" s="56"/>
      <c r="J30" s="6"/>
      <c r="K30" s="1"/>
    </row>
    <row r="31" spans="1:26" x14ac:dyDescent="0.25">
      <c r="F31" s="56"/>
      <c r="G31" s="56"/>
      <c r="J31" s="6"/>
      <c r="K31" s="1"/>
    </row>
    <row r="32" spans="1:26" x14ac:dyDescent="0.25">
      <c r="F32" s="56"/>
      <c r="G32" s="56"/>
      <c r="J32" s="6"/>
      <c r="K32" s="1"/>
    </row>
    <row r="33" spans="6:11" x14ac:dyDescent="0.25">
      <c r="F33" s="56"/>
      <c r="G33" s="56"/>
      <c r="J33" s="6"/>
      <c r="K33" s="1"/>
    </row>
    <row r="34" spans="6:11" x14ac:dyDescent="0.25">
      <c r="F34" s="56"/>
      <c r="G34" s="56"/>
      <c r="J34" s="6"/>
    </row>
    <row r="35" spans="6:11" x14ac:dyDescent="0.25">
      <c r="F35" s="56"/>
      <c r="G35" s="56"/>
      <c r="H35" s="3"/>
      <c r="I35" s="3">
        <f>SUM(I25:I34)</f>
        <v>-7764.0199999999968</v>
      </c>
      <c r="J35" s="13" t="s">
        <v>66</v>
      </c>
    </row>
    <row r="36" spans="6:11" x14ac:dyDescent="0.25">
      <c r="F36" s="56"/>
      <c r="G36" s="56"/>
      <c r="H36" s="3" t="s">
        <v>67</v>
      </c>
      <c r="I36" s="59">
        <v>2</v>
      </c>
      <c r="J36" s="5">
        <v>-6.2700000000000006E-2</v>
      </c>
    </row>
    <row r="37" spans="6:11" x14ac:dyDescent="0.25">
      <c r="F37" s="56"/>
      <c r="G37" s="56"/>
      <c r="H37" s="3" t="s">
        <v>68</v>
      </c>
      <c r="I37" s="59">
        <v>0</v>
      </c>
      <c r="J37" s="5">
        <v>0</v>
      </c>
    </row>
    <row r="38" spans="6:11" x14ac:dyDescent="0.25">
      <c r="F38" s="56"/>
      <c r="G38" s="56"/>
      <c r="J38" s="6"/>
    </row>
    <row r="39" spans="6:11" x14ac:dyDescent="0.25">
      <c r="F39" s="56"/>
      <c r="G39" s="56"/>
      <c r="J39" s="6"/>
    </row>
    <row r="40" spans="6:11" x14ac:dyDescent="0.25">
      <c r="F40" s="56"/>
      <c r="G40" s="56"/>
      <c r="J40" s="6"/>
    </row>
    <row r="41" spans="6:11" x14ac:dyDescent="0.25">
      <c r="F41" s="56"/>
      <c r="G41" s="56"/>
      <c r="J41" s="6"/>
    </row>
    <row r="42" spans="6:11" x14ac:dyDescent="0.25">
      <c r="F42" s="56"/>
      <c r="G42" s="56"/>
      <c r="J42" s="6"/>
    </row>
    <row r="43" spans="6:11" x14ac:dyDescent="0.25">
      <c r="F43" s="56"/>
      <c r="G43" s="56"/>
      <c r="J43" s="6"/>
    </row>
    <row r="44" spans="6:11" x14ac:dyDescent="0.25">
      <c r="F44" s="56"/>
      <c r="G44" s="56"/>
      <c r="J44" s="6"/>
    </row>
    <row r="45" spans="6:11" x14ac:dyDescent="0.25">
      <c r="F45" s="56"/>
      <c r="G45" s="56"/>
      <c r="J45" s="6"/>
    </row>
    <row r="46" spans="6:11" x14ac:dyDescent="0.25">
      <c r="F46" s="56"/>
      <c r="G46" s="56"/>
      <c r="J46" s="6"/>
    </row>
    <row r="47" spans="6:11" x14ac:dyDescent="0.25">
      <c r="F47" s="56"/>
      <c r="G47" s="56"/>
      <c r="J47" s="6"/>
    </row>
    <row r="48" spans="6:11" x14ac:dyDescent="0.25">
      <c r="F48" s="56"/>
      <c r="G48" s="56"/>
      <c r="J48" s="6"/>
    </row>
    <row r="49" spans="6:10" x14ac:dyDescent="0.25">
      <c r="F49" s="56"/>
      <c r="G49" s="56"/>
      <c r="J49" s="6"/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</row>
    <row r="62" spans="6:10" x14ac:dyDescent="0.25">
      <c r="F62" s="56"/>
      <c r="G62" s="56"/>
    </row>
    <row r="63" spans="6:10" x14ac:dyDescent="0.25">
      <c r="F63" s="56"/>
      <c r="G63" s="56"/>
    </row>
    <row r="64" spans="6:10" x14ac:dyDescent="0.25">
      <c r="F64" s="56"/>
      <c r="G64" s="56"/>
    </row>
    <row r="65" spans="6:7" x14ac:dyDescent="0.25">
      <c r="F65" s="56"/>
      <c r="G65" s="56"/>
    </row>
    <row r="66" spans="6:7" x14ac:dyDescent="0.25">
      <c r="F66" s="56"/>
      <c r="G66" s="5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487D-D7AF-4433-90F7-3433174FD244}">
  <dimension ref="A1:AC66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8.28515625" bestFit="1" customWidth="1"/>
    <col min="6" max="7" width="11.5703125" bestFit="1" customWidth="1"/>
    <col min="8" max="8" width="11" customWidth="1"/>
    <col min="9" max="9" width="11.28515625" bestFit="1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bestFit="1" customWidth="1"/>
    <col min="17" max="22" width="6.5703125" bestFit="1" customWidth="1"/>
    <col min="23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45681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29</v>
      </c>
      <c r="B7" t="s">
        <v>30</v>
      </c>
      <c r="C7" s="25" t="s">
        <v>31</v>
      </c>
      <c r="D7" s="2">
        <v>1263.7796000000001</v>
      </c>
      <c r="E7" s="26">
        <v>60.15</v>
      </c>
      <c r="F7" s="3">
        <f t="shared" ref="F7:F16" si="0">E7*D7</f>
        <v>76016.342940000002</v>
      </c>
      <c r="G7" s="3">
        <v>56489.42</v>
      </c>
      <c r="H7" s="4">
        <f t="shared" ref="H7:H16" si="1">G7/D7</f>
        <v>44.698790833464948</v>
      </c>
      <c r="I7" s="3">
        <f t="shared" ref="I7:I16" si="2">F7-G7</f>
        <v>19526.922940000004</v>
      </c>
      <c r="J7" s="26">
        <f t="shared" ref="J7:J16" si="3">E7-H7</f>
        <v>15.451209166535051</v>
      </c>
      <c r="K7" s="27">
        <v>45527</v>
      </c>
      <c r="L7">
        <f t="shared" ref="L7:L16" si="4">DAYS360(K7,$C$1)</f>
        <v>151</v>
      </c>
      <c r="M7" s="5">
        <f t="shared" ref="M7:M16" si="5">(I7/G7)</f>
        <v>0.34567398532326948</v>
      </c>
      <c r="N7">
        <v>58</v>
      </c>
      <c r="O7">
        <v>95</v>
      </c>
      <c r="P7" s="30">
        <v>89</v>
      </c>
      <c r="Q7" s="28">
        <v>43.2</v>
      </c>
      <c r="R7" s="29">
        <f t="shared" ref="R7:R16" si="6">Q7*0.93</f>
        <v>40.176000000000002</v>
      </c>
      <c r="S7" s="29">
        <v>53.08</v>
      </c>
      <c r="T7" s="28">
        <f t="shared" ref="T7:T16" si="7">Q7*1.25</f>
        <v>54</v>
      </c>
      <c r="U7" s="28">
        <f t="shared" ref="U7:U16" si="8">Q7*1.5</f>
        <v>64.800000000000011</v>
      </c>
      <c r="V7" s="28">
        <f t="shared" ref="V7:V16" si="9">Q7*2</f>
        <v>86.4</v>
      </c>
      <c r="W7" s="28">
        <f t="shared" ref="W7:W16" si="10">H7-(H7*0.07)</f>
        <v>41.569875475122402</v>
      </c>
      <c r="X7" s="29">
        <v>51</v>
      </c>
      <c r="Y7" s="5">
        <f t="shared" ref="Y7:Y16" si="11">(X7-H7)/H7</f>
        <v>0.14097046137135064</v>
      </c>
      <c r="Z7" s="6">
        <f t="shared" ref="Z7:Z16" si="12">F7/F$19</f>
        <v>9.5988340486712481E-2</v>
      </c>
      <c r="AB7" s="58">
        <v>45729</v>
      </c>
      <c r="AC7" s="9">
        <v>99</v>
      </c>
    </row>
    <row r="8" spans="1:29" x14ac:dyDescent="0.25">
      <c r="A8" t="s">
        <v>32</v>
      </c>
      <c r="B8" t="s">
        <v>30</v>
      </c>
      <c r="C8" s="25" t="s">
        <v>33</v>
      </c>
      <c r="D8" s="2">
        <v>3020.3485999999998</v>
      </c>
      <c r="E8" s="26">
        <v>24.47</v>
      </c>
      <c r="F8" s="3">
        <f t="shared" si="0"/>
        <v>73907.930241999988</v>
      </c>
      <c r="G8" s="3">
        <v>56486.59</v>
      </c>
      <c r="H8" s="4">
        <f t="shared" si="1"/>
        <v>18.702010092477405</v>
      </c>
      <c r="I8" s="3">
        <f t="shared" si="2"/>
        <v>17421.340241999991</v>
      </c>
      <c r="J8" s="26">
        <f t="shared" si="3"/>
        <v>5.767989907522594</v>
      </c>
      <c r="K8" s="27">
        <v>45527</v>
      </c>
      <c r="L8">
        <f t="shared" si="4"/>
        <v>151</v>
      </c>
      <c r="M8" s="5">
        <f t="shared" si="5"/>
        <v>0.30841550608737389</v>
      </c>
      <c r="N8">
        <v>103</v>
      </c>
      <c r="O8">
        <v>93</v>
      </c>
      <c r="P8" s="30">
        <v>86</v>
      </c>
      <c r="Q8" s="28">
        <v>17.86</v>
      </c>
      <c r="R8" s="29">
        <f t="shared" si="6"/>
        <v>16.6098</v>
      </c>
      <c r="S8" s="29">
        <v>22.11</v>
      </c>
      <c r="T8" s="31">
        <f t="shared" si="7"/>
        <v>22.324999999999999</v>
      </c>
      <c r="U8" s="28">
        <f t="shared" si="8"/>
        <v>26.79</v>
      </c>
      <c r="V8" s="28">
        <f t="shared" si="9"/>
        <v>35.72</v>
      </c>
      <c r="W8" s="28">
        <f t="shared" si="10"/>
        <v>17.392869386003987</v>
      </c>
      <c r="X8" s="29">
        <v>22</v>
      </c>
      <c r="Y8" s="5">
        <f t="shared" si="11"/>
        <v>0.17634414114925329</v>
      </c>
      <c r="Z8" s="6">
        <f t="shared" si="12"/>
        <v>9.3325978314121844E-2</v>
      </c>
      <c r="AB8" s="58">
        <v>45720</v>
      </c>
      <c r="AC8" s="9">
        <v>88</v>
      </c>
    </row>
    <row r="9" spans="1:29" x14ac:dyDescent="0.25">
      <c r="A9" t="s">
        <v>34</v>
      </c>
      <c r="B9" t="s">
        <v>30</v>
      </c>
      <c r="C9" s="25" t="s">
        <v>35</v>
      </c>
      <c r="D9" s="2">
        <f>341.2204-83.2121</f>
        <v>258.00829999999996</v>
      </c>
      <c r="E9" s="26">
        <v>353.67</v>
      </c>
      <c r="F9" s="3">
        <f t="shared" si="0"/>
        <v>91249.795460999987</v>
      </c>
      <c r="G9" s="3">
        <f>71012.62-17317.27</f>
        <v>53695.349999999991</v>
      </c>
      <c r="H9" s="4">
        <f t="shared" si="1"/>
        <v>208.11481646133089</v>
      </c>
      <c r="I9" s="3">
        <f t="shared" si="2"/>
        <v>37554.445460999996</v>
      </c>
      <c r="J9" s="26">
        <f t="shared" si="3"/>
        <v>145.55518353866913</v>
      </c>
      <c r="K9" s="27">
        <v>45580</v>
      </c>
      <c r="L9">
        <f t="shared" si="4"/>
        <v>99</v>
      </c>
      <c r="M9" s="5">
        <f t="shared" si="5"/>
        <v>0.69939846673873995</v>
      </c>
      <c r="N9">
        <v>20</v>
      </c>
      <c r="O9">
        <v>99</v>
      </c>
      <c r="P9" s="30">
        <v>4</v>
      </c>
      <c r="Q9" s="28">
        <v>183.7</v>
      </c>
      <c r="R9" s="29">
        <f t="shared" si="6"/>
        <v>170.84100000000001</v>
      </c>
      <c r="S9" s="29">
        <v>285.01</v>
      </c>
      <c r="T9" s="28">
        <f t="shared" si="7"/>
        <v>229.625</v>
      </c>
      <c r="U9" s="28">
        <f t="shared" si="8"/>
        <v>275.54999999999995</v>
      </c>
      <c r="V9" s="28">
        <f t="shared" si="9"/>
        <v>367.4</v>
      </c>
      <c r="W9" s="28">
        <f t="shared" si="10"/>
        <v>193.54677930903773</v>
      </c>
      <c r="X9" s="29">
        <v>335</v>
      </c>
      <c r="Y9" s="5">
        <f t="shared" si="11"/>
        <v>0.60968837152565358</v>
      </c>
      <c r="Z9" s="32">
        <f t="shared" si="12"/>
        <v>0.11522412283062321</v>
      </c>
      <c r="AB9" s="58">
        <v>45693</v>
      </c>
      <c r="AC9" s="9">
        <v>65</v>
      </c>
    </row>
    <row r="10" spans="1:29" x14ac:dyDescent="0.25">
      <c r="A10" t="s">
        <v>36</v>
      </c>
      <c r="B10" t="s">
        <v>30</v>
      </c>
      <c r="C10" t="s">
        <v>37</v>
      </c>
      <c r="D10" s="2">
        <f>939.2424+388.9544</f>
        <v>1328.1967999999999</v>
      </c>
      <c r="E10" s="26">
        <v>59.7</v>
      </c>
      <c r="F10" s="3">
        <f t="shared" si="0"/>
        <v>79293.348960000003</v>
      </c>
      <c r="G10" s="3">
        <f>36992.18+23418.77</f>
        <v>60410.95</v>
      </c>
      <c r="H10" s="4">
        <f t="shared" si="1"/>
        <v>45.483432876814639</v>
      </c>
      <c r="I10" s="3">
        <f t="shared" si="2"/>
        <v>18882.398960000006</v>
      </c>
      <c r="J10" s="26">
        <f t="shared" si="3"/>
        <v>14.216567123185364</v>
      </c>
      <c r="K10" s="27">
        <v>45593</v>
      </c>
      <c r="L10">
        <f t="shared" si="4"/>
        <v>86</v>
      </c>
      <c r="M10" s="5">
        <f t="shared" si="5"/>
        <v>0.31256583384303682</v>
      </c>
      <c r="O10">
        <v>96</v>
      </c>
      <c r="P10" s="33" t="s">
        <v>38</v>
      </c>
      <c r="Q10" s="28">
        <v>61.08</v>
      </c>
      <c r="R10" s="29">
        <f t="shared" si="6"/>
        <v>56.804400000000001</v>
      </c>
      <c r="S10" s="29">
        <v>51.54</v>
      </c>
      <c r="T10" s="28">
        <f t="shared" si="7"/>
        <v>76.349999999999994</v>
      </c>
      <c r="U10" s="28">
        <f t="shared" si="8"/>
        <v>91.62</v>
      </c>
      <c r="V10" s="28">
        <f t="shared" si="9"/>
        <v>122.16</v>
      </c>
      <c r="W10" s="28">
        <f t="shared" si="10"/>
        <v>42.299592575437615</v>
      </c>
      <c r="X10" s="29">
        <v>53</v>
      </c>
      <c r="Y10" s="5">
        <f t="shared" si="11"/>
        <v>0.1652594504804179</v>
      </c>
      <c r="Z10" s="32">
        <f t="shared" si="12"/>
        <v>0.10012632394473078</v>
      </c>
      <c r="AB10" s="58"/>
      <c r="AC10" s="9"/>
    </row>
    <row r="11" spans="1:29" x14ac:dyDescent="0.25">
      <c r="A11" t="s">
        <v>41</v>
      </c>
      <c r="B11" t="s">
        <v>30</v>
      </c>
      <c r="C11" s="25" t="s">
        <v>42</v>
      </c>
      <c r="D11" s="2">
        <v>2234.6064999999999</v>
      </c>
      <c r="E11" s="26">
        <v>18.14</v>
      </c>
      <c r="F11" s="3">
        <f t="shared" si="0"/>
        <v>40535.761910000001</v>
      </c>
      <c r="G11" s="3">
        <v>37971.83</v>
      </c>
      <c r="H11" s="4">
        <f t="shared" si="1"/>
        <v>16.992624876012847</v>
      </c>
      <c r="I11" s="3">
        <f t="shared" si="2"/>
        <v>2563.9319099999993</v>
      </c>
      <c r="J11" s="26">
        <f t="shared" si="3"/>
        <v>1.1473751239871532</v>
      </c>
      <c r="K11" s="27">
        <v>45652</v>
      </c>
      <c r="L11">
        <f t="shared" si="4"/>
        <v>28</v>
      </c>
      <c r="M11" s="5">
        <f t="shared" si="5"/>
        <v>6.7521947454204853E-2</v>
      </c>
      <c r="N11">
        <v>45</v>
      </c>
      <c r="O11">
        <v>97</v>
      </c>
      <c r="P11" s="30">
        <v>81</v>
      </c>
      <c r="Q11" s="28">
        <v>15.9</v>
      </c>
      <c r="R11" s="29">
        <f t="shared" si="6"/>
        <v>14.787000000000001</v>
      </c>
      <c r="S11" s="29">
        <v>14</v>
      </c>
      <c r="T11" s="31">
        <f t="shared" si="7"/>
        <v>19.875</v>
      </c>
      <c r="U11" s="28">
        <f t="shared" si="8"/>
        <v>23.85</v>
      </c>
      <c r="V11" s="28">
        <f t="shared" si="9"/>
        <v>31.8</v>
      </c>
      <c r="W11" s="28">
        <f t="shared" si="10"/>
        <v>15.803141134691948</v>
      </c>
      <c r="X11" s="29">
        <v>15.65</v>
      </c>
      <c r="Y11" s="5">
        <f t="shared" si="11"/>
        <v>-7.9012211815969929E-2</v>
      </c>
      <c r="Z11" s="6">
        <f t="shared" si="12"/>
        <v>5.1185841960018269E-2</v>
      </c>
      <c r="AB11" s="58">
        <v>45720</v>
      </c>
      <c r="AC11" s="9">
        <v>93</v>
      </c>
    </row>
    <row r="12" spans="1:29" x14ac:dyDescent="0.25">
      <c r="A12" t="s">
        <v>69</v>
      </c>
      <c r="B12" t="s">
        <v>30</v>
      </c>
      <c r="C12" s="25" t="s">
        <v>70</v>
      </c>
      <c r="D12" s="2">
        <v>1255.3625</v>
      </c>
      <c r="E12" s="26">
        <v>41.82</v>
      </c>
      <c r="F12" s="3">
        <f t="shared" si="0"/>
        <v>52499.259749999997</v>
      </c>
      <c r="G12" s="3">
        <v>37884.65</v>
      </c>
      <c r="H12" s="4">
        <f t="shared" si="1"/>
        <v>30.17825528482809</v>
      </c>
      <c r="I12" s="3">
        <f t="shared" si="2"/>
        <v>14614.609749999996</v>
      </c>
      <c r="J12" s="26">
        <f t="shared" si="3"/>
        <v>11.64174471517191</v>
      </c>
      <c r="K12" s="27">
        <v>45663</v>
      </c>
      <c r="L12">
        <f t="shared" si="4"/>
        <v>18</v>
      </c>
      <c r="M12" s="5">
        <f t="shared" si="5"/>
        <v>0.38576599625441954</v>
      </c>
      <c r="N12">
        <v>2</v>
      </c>
      <c r="O12">
        <v>99</v>
      </c>
      <c r="P12" s="30">
        <v>6</v>
      </c>
      <c r="Q12" s="28">
        <v>24.99</v>
      </c>
      <c r="R12" s="29">
        <f t="shared" si="6"/>
        <v>23.2407</v>
      </c>
      <c r="S12" s="29">
        <v>21.5</v>
      </c>
      <c r="T12" s="31">
        <f t="shared" si="7"/>
        <v>31.237499999999997</v>
      </c>
      <c r="U12" s="28">
        <f t="shared" si="8"/>
        <v>37.484999999999999</v>
      </c>
      <c r="V12" s="28">
        <f t="shared" si="9"/>
        <v>49.98</v>
      </c>
      <c r="W12" s="28">
        <f t="shared" si="10"/>
        <v>28.065777414890125</v>
      </c>
      <c r="X12" s="29">
        <v>32</v>
      </c>
      <c r="Y12" s="5">
        <f t="shared" si="11"/>
        <v>6.0366137736523807E-2</v>
      </c>
      <c r="Z12" s="32">
        <f t="shared" si="12"/>
        <v>6.6292544803962905E-2</v>
      </c>
      <c r="AB12" s="58">
        <v>45713</v>
      </c>
      <c r="AC12" s="9">
        <v>76</v>
      </c>
    </row>
    <row r="13" spans="1:29" x14ac:dyDescent="0.25">
      <c r="A13" t="s">
        <v>71</v>
      </c>
      <c r="B13" t="s">
        <v>30</v>
      </c>
      <c r="C13" s="25" t="s">
        <v>72</v>
      </c>
      <c r="D13" s="2">
        <v>201.9693</v>
      </c>
      <c r="E13" s="26">
        <v>420.49</v>
      </c>
      <c r="F13" s="3">
        <f t="shared" si="0"/>
        <v>84926.070957000004</v>
      </c>
      <c r="G13" s="3">
        <v>74438.86</v>
      </c>
      <c r="H13" s="4">
        <f t="shared" si="1"/>
        <v>368.56522253629635</v>
      </c>
      <c r="I13" s="3">
        <f t="shared" si="2"/>
        <v>10487.210957000003</v>
      </c>
      <c r="J13" s="26">
        <f t="shared" si="3"/>
        <v>51.924777463703663</v>
      </c>
      <c r="K13" s="27">
        <v>45664</v>
      </c>
      <c r="L13">
        <f t="shared" si="4"/>
        <v>17</v>
      </c>
      <c r="M13" s="5">
        <f t="shared" si="5"/>
        <v>0.14088355137357025</v>
      </c>
      <c r="N13">
        <v>2</v>
      </c>
      <c r="O13">
        <v>98</v>
      </c>
      <c r="P13" s="30">
        <v>67</v>
      </c>
      <c r="Q13" s="28">
        <v>354.69</v>
      </c>
      <c r="R13" s="29">
        <f t="shared" si="6"/>
        <v>329.86170000000004</v>
      </c>
      <c r="S13" s="29">
        <v>348.2</v>
      </c>
      <c r="T13" s="28">
        <f t="shared" si="7"/>
        <v>443.36250000000001</v>
      </c>
      <c r="U13" s="28">
        <f t="shared" si="8"/>
        <v>532.03499999999997</v>
      </c>
      <c r="V13" s="28">
        <f t="shared" si="9"/>
        <v>709.38</v>
      </c>
      <c r="W13" s="28">
        <f t="shared" si="10"/>
        <v>342.76565695875559</v>
      </c>
      <c r="X13" s="29">
        <v>375</v>
      </c>
      <c r="Y13" s="5">
        <f t="shared" si="11"/>
        <v>1.745899252084197E-2</v>
      </c>
      <c r="Z13" s="32">
        <f t="shared" si="12"/>
        <v>0.10723894757280757</v>
      </c>
      <c r="AB13" s="58">
        <v>45771</v>
      </c>
      <c r="AC13" s="9">
        <v>94</v>
      </c>
    </row>
    <row r="14" spans="1:29" x14ac:dyDescent="0.25">
      <c r="A14" t="s">
        <v>73</v>
      </c>
      <c r="B14" t="s">
        <v>30</v>
      </c>
      <c r="C14" s="25" t="s">
        <v>74</v>
      </c>
      <c r="D14" s="2">
        <f>347.7531+131.6951</f>
        <v>479.44820000000004</v>
      </c>
      <c r="E14" s="26">
        <v>168.54</v>
      </c>
      <c r="F14" s="3">
        <f t="shared" si="0"/>
        <v>80806.199628000002</v>
      </c>
      <c r="G14" s="3">
        <f>59492.79+21969.78</f>
        <v>81462.570000000007</v>
      </c>
      <c r="H14" s="4">
        <f t="shared" si="1"/>
        <v>169.90901206845703</v>
      </c>
      <c r="I14" s="3">
        <f t="shared" si="2"/>
        <v>-656.37037200000486</v>
      </c>
      <c r="J14" s="26">
        <f t="shared" si="3"/>
        <v>-1.3690120684570388</v>
      </c>
      <c r="K14" s="27">
        <v>45671</v>
      </c>
      <c r="L14">
        <f t="shared" si="4"/>
        <v>10</v>
      </c>
      <c r="M14" s="5">
        <f t="shared" si="5"/>
        <v>-8.0573246338779252E-3</v>
      </c>
      <c r="N14">
        <v>11</v>
      </c>
      <c r="O14">
        <v>98</v>
      </c>
      <c r="P14" s="30">
        <v>98</v>
      </c>
      <c r="Q14" s="28">
        <v>165.33</v>
      </c>
      <c r="R14" s="29">
        <f t="shared" si="6"/>
        <v>153.75690000000003</v>
      </c>
      <c r="S14" s="29">
        <v>141.02000000000001</v>
      </c>
      <c r="T14" s="28">
        <f t="shared" si="7"/>
        <v>206.66250000000002</v>
      </c>
      <c r="U14" s="28">
        <f t="shared" si="8"/>
        <v>247.995</v>
      </c>
      <c r="V14" s="28">
        <f t="shared" si="9"/>
        <v>330.66</v>
      </c>
      <c r="W14" s="28">
        <f t="shared" si="10"/>
        <v>158.01538122366503</v>
      </c>
      <c r="X14" s="29">
        <v>159</v>
      </c>
      <c r="Y14" s="5">
        <f t="shared" si="11"/>
        <v>-6.4205023239507428E-2</v>
      </c>
      <c r="Z14" s="6">
        <f t="shared" si="12"/>
        <v>0.10203665032204881</v>
      </c>
      <c r="AB14" s="58">
        <v>45756</v>
      </c>
      <c r="AC14" s="9">
        <v>99</v>
      </c>
    </row>
    <row r="15" spans="1:29" x14ac:dyDescent="0.25">
      <c r="A15" t="s">
        <v>75</v>
      </c>
      <c r="B15" t="s">
        <v>30</v>
      </c>
      <c r="C15" s="25" t="s">
        <v>76</v>
      </c>
      <c r="D15" s="2">
        <f>675.2982+456.8207</f>
        <v>1132.1188999999999</v>
      </c>
      <c r="E15" s="26">
        <v>72.150000000000006</v>
      </c>
      <c r="F15" s="3">
        <f t="shared" si="0"/>
        <v>81682.378635000001</v>
      </c>
      <c r="G15" s="3">
        <f>45046.15+31240.53</f>
        <v>76286.679999999993</v>
      </c>
      <c r="H15" s="4">
        <f t="shared" si="1"/>
        <v>67.38398237146292</v>
      </c>
      <c r="I15" s="3">
        <f t="shared" si="2"/>
        <v>5395.6986350000079</v>
      </c>
      <c r="J15" s="26">
        <f t="shared" si="3"/>
        <v>4.7660176285370852</v>
      </c>
      <c r="K15" s="27">
        <v>45673</v>
      </c>
      <c r="L15">
        <f t="shared" si="4"/>
        <v>8</v>
      </c>
      <c r="M15" s="5">
        <f t="shared" si="5"/>
        <v>7.072923654561987E-2</v>
      </c>
      <c r="N15">
        <v>95</v>
      </c>
      <c r="O15">
        <v>91</v>
      </c>
      <c r="P15" s="34">
        <v>90</v>
      </c>
      <c r="Q15" s="28">
        <v>67.95</v>
      </c>
      <c r="R15" s="29">
        <f t="shared" si="6"/>
        <v>63.193500000000007</v>
      </c>
      <c r="S15" s="29">
        <v>60.62</v>
      </c>
      <c r="T15" s="31">
        <f t="shared" si="7"/>
        <v>84.9375</v>
      </c>
      <c r="U15" s="28">
        <f t="shared" si="8"/>
        <v>101.92500000000001</v>
      </c>
      <c r="V15" s="28">
        <f t="shared" si="9"/>
        <v>135.9</v>
      </c>
      <c r="W15" s="28">
        <f t="shared" si="10"/>
        <v>62.667103605460518</v>
      </c>
      <c r="X15" s="29">
        <v>64</v>
      </c>
      <c r="Y15" s="5">
        <f t="shared" si="11"/>
        <v>-5.0219388233961597E-2</v>
      </c>
      <c r="Z15" s="6">
        <f t="shared" si="12"/>
        <v>0.10314303041872891</v>
      </c>
      <c r="AB15" s="58">
        <v>45714</v>
      </c>
      <c r="AC15" s="9">
        <v>92</v>
      </c>
    </row>
    <row r="16" spans="1:29" x14ac:dyDescent="0.25">
      <c r="A16" s="35"/>
      <c r="B16" s="35"/>
      <c r="C16" s="36"/>
      <c r="D16" s="37"/>
      <c r="E16" s="38"/>
      <c r="F16" s="39">
        <f t="shared" si="0"/>
        <v>0</v>
      </c>
      <c r="G16" s="39"/>
      <c r="H16" s="40" t="e">
        <f t="shared" si="1"/>
        <v>#DIV/0!</v>
      </c>
      <c r="I16" s="39">
        <f t="shared" si="2"/>
        <v>0</v>
      </c>
      <c r="J16" s="38" t="e">
        <f t="shared" si="3"/>
        <v>#DIV/0!</v>
      </c>
      <c r="K16" s="41"/>
      <c r="L16" s="35">
        <f t="shared" si="4"/>
        <v>45024</v>
      </c>
      <c r="M16" s="42" t="e">
        <f t="shared" si="5"/>
        <v>#DIV/0!</v>
      </c>
      <c r="N16" s="35"/>
      <c r="O16" s="35"/>
      <c r="P16" s="43"/>
      <c r="Q16" s="44"/>
      <c r="R16" s="45">
        <f t="shared" si="6"/>
        <v>0</v>
      </c>
      <c r="S16" s="45"/>
      <c r="T16" s="46">
        <f t="shared" si="7"/>
        <v>0</v>
      </c>
      <c r="U16" s="44">
        <f t="shared" si="8"/>
        <v>0</v>
      </c>
      <c r="V16" s="44">
        <f t="shared" si="9"/>
        <v>0</v>
      </c>
      <c r="W16" s="44" t="e">
        <f t="shared" si="10"/>
        <v>#DIV/0!</v>
      </c>
      <c r="X16" s="45"/>
      <c r="Y16" s="42" t="e">
        <f t="shared" si="11"/>
        <v>#DIV/0!</v>
      </c>
      <c r="Z16" s="47">
        <f t="shared" si="12"/>
        <v>0</v>
      </c>
      <c r="AB16" s="58"/>
      <c r="AC16" s="9"/>
    </row>
    <row r="17" spans="1:26" x14ac:dyDescent="0.25">
      <c r="A17" t="s">
        <v>43</v>
      </c>
      <c r="D17" s="2"/>
      <c r="F17" s="3">
        <f>SUM(F6:F16)</f>
        <v>660917.08848299994</v>
      </c>
      <c r="G17" s="3">
        <f>SUM(G6:G16)</f>
        <v>535126.9</v>
      </c>
      <c r="H17" s="4"/>
      <c r="I17" s="3">
        <f>SUM(I6:I16)</f>
        <v>125790.18848300001</v>
      </c>
      <c r="M17" s="5"/>
      <c r="Z17" s="6"/>
    </row>
    <row r="18" spans="1:26" x14ac:dyDescent="0.25">
      <c r="D18" s="2" t="s">
        <v>44</v>
      </c>
      <c r="F18" s="3">
        <v>131016</v>
      </c>
      <c r="G18" s="6">
        <f>F18/F19</f>
        <v>0.16543821934624525</v>
      </c>
      <c r="H18" s="4"/>
      <c r="I18" s="3"/>
      <c r="M18" s="5"/>
      <c r="Z18" s="6"/>
    </row>
    <row r="19" spans="1:26" x14ac:dyDescent="0.25">
      <c r="D19" s="2" t="s">
        <v>45</v>
      </c>
      <c r="F19" s="3">
        <f>SUM(F17:F18)</f>
        <v>791933.08848299994</v>
      </c>
      <c r="G19" s="3"/>
      <c r="H19" s="48"/>
      <c r="I19" s="49"/>
      <c r="K19" t="s">
        <v>46</v>
      </c>
      <c r="M19" s="13" t="s">
        <v>47</v>
      </c>
      <c r="Z19" s="6"/>
    </row>
    <row r="20" spans="1:26" x14ac:dyDescent="0.25">
      <c r="D20" s="2"/>
      <c r="F20" s="4"/>
      <c r="G20" s="3"/>
      <c r="H20" s="4" t="s">
        <v>48</v>
      </c>
      <c r="I20" s="50">
        <f>'01-17-25'!F19</f>
        <v>772583.22497400001</v>
      </c>
      <c r="K20" s="1">
        <v>45657</v>
      </c>
      <c r="L20" s="50">
        <v>170762</v>
      </c>
      <c r="M20" s="50">
        <v>184611</v>
      </c>
      <c r="Z20" s="6"/>
    </row>
    <row r="21" spans="1:26" x14ac:dyDescent="0.25">
      <c r="D21" s="2"/>
      <c r="F21" s="3"/>
      <c r="G21" s="51"/>
      <c r="H21" s="4" t="s">
        <v>49</v>
      </c>
      <c r="I21" s="6">
        <f>(F19-I20)/I20</f>
        <v>2.5045668716986595E-2</v>
      </c>
      <c r="K21" s="9" t="s">
        <v>50</v>
      </c>
      <c r="L21" s="6">
        <f>(M20-L20)/L20</f>
        <v>8.1101181761750268E-2</v>
      </c>
      <c r="Z21" s="6"/>
    </row>
    <row r="23" spans="1:26" x14ac:dyDescent="0.25">
      <c r="D23" s="9"/>
      <c r="E23" s="9"/>
      <c r="F23" s="52"/>
      <c r="G23" s="3"/>
      <c r="H23" s="3"/>
      <c r="I23" s="12"/>
      <c r="J23" s="9"/>
      <c r="K23" s="9"/>
      <c r="L23" s="9"/>
      <c r="M23" s="13" t="s">
        <v>51</v>
      </c>
    </row>
    <row r="24" spans="1:26" x14ac:dyDescent="0.25">
      <c r="A24" s="53" t="s">
        <v>60</v>
      </c>
      <c r="D24" s="54" t="s">
        <v>15</v>
      </c>
      <c r="E24" s="54" t="s">
        <v>52</v>
      </c>
      <c r="F24" s="55" t="s">
        <v>53</v>
      </c>
      <c r="G24" s="55" t="s">
        <v>54</v>
      </c>
      <c r="H24" s="55" t="s">
        <v>55</v>
      </c>
      <c r="I24" s="55" t="s">
        <v>56</v>
      </c>
      <c r="J24" s="54" t="s">
        <v>11</v>
      </c>
      <c r="K24" s="54" t="s">
        <v>20</v>
      </c>
      <c r="L24" s="54" t="s">
        <v>57</v>
      </c>
      <c r="M24" s="54" t="s">
        <v>58</v>
      </c>
      <c r="N24" s="1"/>
      <c r="P24" s="9" t="s">
        <v>59</v>
      </c>
    </row>
    <row r="25" spans="1:26" x14ac:dyDescent="0.25">
      <c r="A25" t="s">
        <v>39</v>
      </c>
      <c r="B25" t="s">
        <v>30</v>
      </c>
      <c r="C25" s="25" t="s">
        <v>40</v>
      </c>
      <c r="D25" s="2">
        <v>935.03689999999995</v>
      </c>
      <c r="E25" s="57">
        <f>F25/D25</f>
        <v>72.335006244138597</v>
      </c>
      <c r="F25" s="56">
        <v>67635.899999999994</v>
      </c>
      <c r="G25" s="56">
        <v>64699.88</v>
      </c>
      <c r="H25" s="57">
        <f>G25/D25</f>
        <v>69.195001822922706</v>
      </c>
      <c r="I25" s="57">
        <f>G25-F25</f>
        <v>-2936.0199999999968</v>
      </c>
      <c r="J25" s="6">
        <f>I25/F25</f>
        <v>-4.340919541249539E-2</v>
      </c>
      <c r="K25" s="1">
        <v>45609</v>
      </c>
      <c r="L25" s="1">
        <v>45659</v>
      </c>
      <c r="M25">
        <f t="shared" ref="M25:M26" si="13">DAYS360(K25,L25)</f>
        <v>49</v>
      </c>
    </row>
    <row r="26" spans="1:26" x14ac:dyDescent="0.25">
      <c r="A26" t="s">
        <v>61</v>
      </c>
      <c r="B26" t="s">
        <v>30</v>
      </c>
      <c r="C26" s="25" t="s">
        <v>62</v>
      </c>
      <c r="D26" s="2">
        <v>653.82380000000001</v>
      </c>
      <c r="E26" s="57">
        <f>F26/D26</f>
        <v>90.119203369470497</v>
      </c>
      <c r="F26" s="3">
        <v>58922.080000000002</v>
      </c>
      <c r="G26" s="56">
        <v>54094.080000000002</v>
      </c>
      <c r="H26" s="57">
        <f>G26/D26</f>
        <v>82.734950914910101</v>
      </c>
      <c r="I26" s="57">
        <f>G26-F26</f>
        <v>-4828</v>
      </c>
      <c r="J26" s="6">
        <f>I26/F26</f>
        <v>-8.1938723140798822E-2</v>
      </c>
      <c r="K26" s="1">
        <v>45660</v>
      </c>
      <c r="L26" s="1">
        <v>45667</v>
      </c>
      <c r="M26">
        <f t="shared" si="13"/>
        <v>7</v>
      </c>
    </row>
    <row r="27" spans="1:26" x14ac:dyDescent="0.25">
      <c r="F27" s="56"/>
      <c r="G27" s="56"/>
      <c r="J27" s="6"/>
      <c r="K27" s="1"/>
    </row>
    <row r="28" spans="1:26" x14ac:dyDescent="0.25">
      <c r="F28" s="56"/>
      <c r="G28" s="56"/>
      <c r="J28" s="6"/>
      <c r="K28" s="1"/>
    </row>
    <row r="29" spans="1:26" x14ac:dyDescent="0.25">
      <c r="F29" s="56"/>
      <c r="G29" s="56"/>
      <c r="J29" s="6"/>
      <c r="K29" s="1"/>
    </row>
    <row r="30" spans="1:26" x14ac:dyDescent="0.25">
      <c r="F30" s="56"/>
      <c r="G30" s="56"/>
      <c r="J30" s="6"/>
      <c r="K30" s="1"/>
    </row>
    <row r="31" spans="1:26" x14ac:dyDescent="0.25">
      <c r="F31" s="56"/>
      <c r="G31" s="56"/>
      <c r="J31" s="6"/>
      <c r="K31" s="1"/>
    </row>
    <row r="32" spans="1:26" x14ac:dyDescent="0.25">
      <c r="F32" s="56"/>
      <c r="G32" s="56"/>
      <c r="J32" s="6"/>
      <c r="K32" s="1"/>
    </row>
    <row r="33" spans="6:11" x14ac:dyDescent="0.25">
      <c r="F33" s="56"/>
      <c r="G33" s="56"/>
      <c r="J33" s="6"/>
      <c r="K33" s="1"/>
    </row>
    <row r="34" spans="6:11" x14ac:dyDescent="0.25">
      <c r="F34" s="56"/>
      <c r="G34" s="56"/>
      <c r="J34" s="6"/>
    </row>
    <row r="35" spans="6:11" x14ac:dyDescent="0.25">
      <c r="F35" s="56"/>
      <c r="G35" s="56"/>
      <c r="H35" s="3"/>
      <c r="I35" s="3">
        <f>SUM(I25:I34)</f>
        <v>-7764.0199999999968</v>
      </c>
      <c r="J35" s="13" t="s">
        <v>66</v>
      </c>
    </row>
    <row r="36" spans="6:11" x14ac:dyDescent="0.25">
      <c r="F36" s="56"/>
      <c r="G36" s="56"/>
      <c r="H36" s="3" t="s">
        <v>67</v>
      </c>
      <c r="I36" s="59">
        <v>2</v>
      </c>
      <c r="J36" s="5">
        <v>-6.2700000000000006E-2</v>
      </c>
    </row>
    <row r="37" spans="6:11" x14ac:dyDescent="0.25">
      <c r="F37" s="56"/>
      <c r="G37" s="56"/>
      <c r="H37" s="3" t="s">
        <v>68</v>
      </c>
      <c r="I37" s="59">
        <v>0</v>
      </c>
      <c r="J37" s="5">
        <v>0</v>
      </c>
    </row>
    <row r="38" spans="6:11" x14ac:dyDescent="0.25">
      <c r="F38" s="56"/>
      <c r="G38" s="56"/>
      <c r="J38" s="6"/>
    </row>
    <row r="39" spans="6:11" x14ac:dyDescent="0.25">
      <c r="F39" s="56"/>
      <c r="G39" s="56"/>
      <c r="J39" s="6"/>
    </row>
    <row r="40" spans="6:11" x14ac:dyDescent="0.25">
      <c r="F40" s="56"/>
      <c r="G40" s="56"/>
      <c r="J40" s="6"/>
    </row>
    <row r="41" spans="6:11" x14ac:dyDescent="0.25">
      <c r="F41" s="56"/>
      <c r="G41" s="56"/>
      <c r="J41" s="6"/>
    </row>
    <row r="42" spans="6:11" x14ac:dyDescent="0.25">
      <c r="F42" s="56"/>
      <c r="G42" s="56"/>
      <c r="J42" s="6"/>
    </row>
    <row r="43" spans="6:11" x14ac:dyDescent="0.25">
      <c r="F43" s="56"/>
      <c r="G43" s="56"/>
      <c r="J43" s="6"/>
    </row>
    <row r="44" spans="6:11" x14ac:dyDescent="0.25">
      <c r="F44" s="56"/>
      <c r="G44" s="56"/>
      <c r="J44" s="6"/>
    </row>
    <row r="45" spans="6:11" x14ac:dyDescent="0.25">
      <c r="F45" s="56"/>
      <c r="G45" s="56"/>
      <c r="J45" s="6"/>
    </row>
    <row r="46" spans="6:11" x14ac:dyDescent="0.25">
      <c r="F46" s="56"/>
      <c r="G46" s="56"/>
      <c r="J46" s="6"/>
    </row>
    <row r="47" spans="6:11" x14ac:dyDescent="0.25">
      <c r="F47" s="56"/>
      <c r="G47" s="56"/>
      <c r="J47" s="6"/>
    </row>
    <row r="48" spans="6:11" x14ac:dyDescent="0.25">
      <c r="F48" s="56"/>
      <c r="G48" s="56"/>
      <c r="J48" s="6"/>
    </row>
    <row r="49" spans="6:10" x14ac:dyDescent="0.25">
      <c r="F49" s="56"/>
      <c r="G49" s="56"/>
      <c r="J49" s="6"/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</row>
    <row r="62" spans="6:10" x14ac:dyDescent="0.25">
      <c r="F62" s="56"/>
      <c r="G62" s="56"/>
    </row>
    <row r="63" spans="6:10" x14ac:dyDescent="0.25">
      <c r="F63" s="56"/>
      <c r="G63" s="56"/>
    </row>
    <row r="64" spans="6:10" x14ac:dyDescent="0.25">
      <c r="F64" s="56"/>
      <c r="G64" s="56"/>
    </row>
    <row r="65" spans="6:7" x14ac:dyDescent="0.25">
      <c r="F65" s="56"/>
      <c r="G65" s="56"/>
    </row>
    <row r="66" spans="6:7" x14ac:dyDescent="0.25">
      <c r="F66" s="56"/>
      <c r="G66" s="5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A8DF8-761D-43D6-AB9A-BFABC32C5BFA}">
  <dimension ref="A1:AC66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9.140625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bestFit="1" customWidth="1"/>
    <col min="17" max="22" width="6.5703125" bestFit="1" customWidth="1"/>
    <col min="23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45688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32</v>
      </c>
      <c r="B7" t="s">
        <v>30</v>
      </c>
      <c r="C7" s="25" t="s">
        <v>33</v>
      </c>
      <c r="D7" s="2">
        <v>3020.3485999999998</v>
      </c>
      <c r="E7" s="26">
        <v>24.76</v>
      </c>
      <c r="F7" s="3">
        <f t="shared" ref="F7:F15" si="0">E7*D7</f>
        <v>74783.831336000003</v>
      </c>
      <c r="G7" s="3">
        <v>56486.59</v>
      </c>
      <c r="H7" s="4">
        <f t="shared" ref="H7:H15" si="1">G7/D7</f>
        <v>18.702010092477405</v>
      </c>
      <c r="I7" s="3">
        <f t="shared" ref="I7:I15" si="2">F7-G7</f>
        <v>18297.241336000006</v>
      </c>
      <c r="J7" s="26">
        <f t="shared" ref="J7:J15" si="3">E7-H7</f>
        <v>6.0579899075225967</v>
      </c>
      <c r="K7" s="27">
        <v>45527</v>
      </c>
      <c r="L7">
        <f t="shared" ref="L7:L15" si="4">DAYS360(K7,$C$1)</f>
        <v>158</v>
      </c>
      <c r="M7" s="5">
        <f t="shared" ref="M7:M15" si="5">(I7/G7)</f>
        <v>0.32392186067525064</v>
      </c>
      <c r="N7">
        <v>84</v>
      </c>
      <c r="O7">
        <v>94</v>
      </c>
      <c r="P7" s="30">
        <v>85</v>
      </c>
      <c r="Q7" s="28">
        <v>17.86</v>
      </c>
      <c r="R7" s="29">
        <f t="shared" ref="R7:R15" si="6">Q7*0.93</f>
        <v>16.6098</v>
      </c>
      <c r="S7" s="29">
        <v>22.11</v>
      </c>
      <c r="T7" s="31">
        <f t="shared" ref="T7:T15" si="7">Q7*1.25</f>
        <v>22.324999999999999</v>
      </c>
      <c r="U7" s="28">
        <f t="shared" ref="U7:U15" si="8">Q7*1.5</f>
        <v>26.79</v>
      </c>
      <c r="V7" s="28">
        <f t="shared" ref="V7:V15" si="9">Q7*2</f>
        <v>35.72</v>
      </c>
      <c r="W7" s="28">
        <f t="shared" ref="W7:W15" si="10">H7-(H7*0.07)</f>
        <v>17.392869386003987</v>
      </c>
      <c r="X7" s="29">
        <v>22</v>
      </c>
      <c r="Y7" s="5">
        <f t="shared" ref="Y7:Y15" si="11">(X7-H7)/H7</f>
        <v>0.17634414114925329</v>
      </c>
      <c r="Z7" s="6">
        <f t="shared" ref="Z7:Z15" si="12">F7/F$19</f>
        <v>9.9120338825000223E-2</v>
      </c>
      <c r="AB7" s="58">
        <v>45720</v>
      </c>
      <c r="AC7" s="9">
        <v>89</v>
      </c>
    </row>
    <row r="8" spans="1:29" x14ac:dyDescent="0.25">
      <c r="A8" t="s">
        <v>34</v>
      </c>
      <c r="B8" t="s">
        <v>30</v>
      </c>
      <c r="C8" s="25" t="s">
        <v>35</v>
      </c>
      <c r="D8" s="2">
        <f>341.2204-83.2121</f>
        <v>258.00829999999996</v>
      </c>
      <c r="E8" s="26">
        <v>334.79</v>
      </c>
      <c r="F8" s="3">
        <f t="shared" si="0"/>
        <v>86378.598757</v>
      </c>
      <c r="G8" s="3">
        <f>71012.62-17317.27</f>
        <v>53695.349999999991</v>
      </c>
      <c r="H8" s="4">
        <f t="shared" si="1"/>
        <v>208.11481646133089</v>
      </c>
      <c r="I8" s="3">
        <f t="shared" si="2"/>
        <v>32683.248757000008</v>
      </c>
      <c r="J8" s="26">
        <f t="shared" si="3"/>
        <v>126.67518353866913</v>
      </c>
      <c r="K8" s="27">
        <v>45580</v>
      </c>
      <c r="L8">
        <f t="shared" si="4"/>
        <v>106</v>
      </c>
      <c r="M8" s="5">
        <f t="shared" si="5"/>
        <v>0.60867931314350332</v>
      </c>
      <c r="N8">
        <v>26</v>
      </c>
      <c r="O8">
        <v>99</v>
      </c>
      <c r="P8" s="30">
        <v>5</v>
      </c>
      <c r="Q8" s="28">
        <v>183.7</v>
      </c>
      <c r="R8" s="29">
        <f t="shared" si="6"/>
        <v>170.84100000000001</v>
      </c>
      <c r="S8" s="29">
        <v>285.01</v>
      </c>
      <c r="T8" s="28">
        <f t="shared" si="7"/>
        <v>229.625</v>
      </c>
      <c r="U8" s="28">
        <f t="shared" si="8"/>
        <v>275.54999999999995</v>
      </c>
      <c r="V8" s="28">
        <f t="shared" si="9"/>
        <v>367.4</v>
      </c>
      <c r="W8" s="28">
        <f t="shared" si="10"/>
        <v>193.54677930903773</v>
      </c>
      <c r="X8" s="29">
        <v>335</v>
      </c>
      <c r="Y8" s="5">
        <f t="shared" si="11"/>
        <v>0.60968837152565358</v>
      </c>
      <c r="Z8" s="32">
        <f t="shared" si="12"/>
        <v>0.1144883302054224</v>
      </c>
      <c r="AB8" s="60">
        <v>45693</v>
      </c>
      <c r="AC8" s="9">
        <v>59</v>
      </c>
    </row>
    <row r="9" spans="1:29" x14ac:dyDescent="0.25">
      <c r="A9" t="s">
        <v>36</v>
      </c>
      <c r="B9" t="s">
        <v>30</v>
      </c>
      <c r="C9" t="s">
        <v>37</v>
      </c>
      <c r="D9" s="2">
        <f>939.2424+388.9544</f>
        <v>1328.1967999999999</v>
      </c>
      <c r="E9" s="26">
        <v>57.71</v>
      </c>
      <c r="F9" s="3">
        <f t="shared" si="0"/>
        <v>76650.237328000003</v>
      </c>
      <c r="G9" s="3">
        <f>36992.18+23418.77</f>
        <v>60410.95</v>
      </c>
      <c r="H9" s="4">
        <f t="shared" si="1"/>
        <v>45.483432876814639</v>
      </c>
      <c r="I9" s="3">
        <f t="shared" si="2"/>
        <v>16239.287328000006</v>
      </c>
      <c r="J9" s="26">
        <f t="shared" si="3"/>
        <v>12.226567123185362</v>
      </c>
      <c r="K9" s="27">
        <v>45593</v>
      </c>
      <c r="L9">
        <f t="shared" si="4"/>
        <v>93</v>
      </c>
      <c r="M9" s="5">
        <f t="shared" si="5"/>
        <v>0.2688136393816023</v>
      </c>
      <c r="O9">
        <v>96</v>
      </c>
      <c r="P9" s="33" t="s">
        <v>38</v>
      </c>
      <c r="Q9" s="28">
        <v>61.08</v>
      </c>
      <c r="R9" s="29">
        <f t="shared" si="6"/>
        <v>56.804400000000001</v>
      </c>
      <c r="S9" s="29">
        <v>51.54</v>
      </c>
      <c r="T9" s="28">
        <f t="shared" si="7"/>
        <v>76.349999999999994</v>
      </c>
      <c r="U9" s="28">
        <f t="shared" si="8"/>
        <v>91.62</v>
      </c>
      <c r="V9" s="28">
        <f t="shared" si="9"/>
        <v>122.16</v>
      </c>
      <c r="W9" s="28">
        <f t="shared" si="10"/>
        <v>42.299592575437615</v>
      </c>
      <c r="X9" s="29">
        <v>53</v>
      </c>
      <c r="Y9" s="5">
        <f t="shared" si="11"/>
        <v>0.1652594504804179</v>
      </c>
      <c r="Z9" s="32">
        <f t="shared" si="12"/>
        <v>0.10159411946724708</v>
      </c>
      <c r="AB9" s="58"/>
      <c r="AC9" s="9"/>
    </row>
    <row r="10" spans="1:29" x14ac:dyDescent="0.25">
      <c r="A10" t="s">
        <v>41</v>
      </c>
      <c r="B10" t="s">
        <v>30</v>
      </c>
      <c r="C10" s="25" t="s">
        <v>42</v>
      </c>
      <c r="D10" s="2">
        <v>2234.6064999999999</v>
      </c>
      <c r="E10" s="26">
        <v>18.21</v>
      </c>
      <c r="F10" s="3">
        <f t="shared" si="0"/>
        <v>40692.184365000001</v>
      </c>
      <c r="G10" s="3">
        <v>37971.83</v>
      </c>
      <c r="H10" s="4">
        <f t="shared" si="1"/>
        <v>16.992624876012847</v>
      </c>
      <c r="I10" s="3">
        <f t="shared" si="2"/>
        <v>2720.3543649999992</v>
      </c>
      <c r="J10" s="26">
        <f t="shared" si="3"/>
        <v>1.2173751239871535</v>
      </c>
      <c r="K10" s="27">
        <v>45652</v>
      </c>
      <c r="L10">
        <f t="shared" si="4"/>
        <v>35</v>
      </c>
      <c r="M10" s="5">
        <f t="shared" si="5"/>
        <v>7.1641381650555142E-2</v>
      </c>
      <c r="N10">
        <v>44</v>
      </c>
      <c r="O10">
        <v>97</v>
      </c>
      <c r="P10" s="30">
        <v>81</v>
      </c>
      <c r="Q10" s="28">
        <v>15.9</v>
      </c>
      <c r="R10" s="29">
        <f t="shared" si="6"/>
        <v>14.787000000000001</v>
      </c>
      <c r="S10" s="29">
        <v>14</v>
      </c>
      <c r="T10" s="31">
        <f t="shared" si="7"/>
        <v>19.875</v>
      </c>
      <c r="U10" s="28">
        <f t="shared" si="8"/>
        <v>23.85</v>
      </c>
      <c r="V10" s="28">
        <f t="shared" si="9"/>
        <v>31.8</v>
      </c>
      <c r="W10" s="28">
        <f t="shared" si="10"/>
        <v>15.803141134691948</v>
      </c>
      <c r="X10" s="29">
        <v>15.65</v>
      </c>
      <c r="Y10" s="5">
        <f t="shared" si="11"/>
        <v>-7.9012211815969929E-2</v>
      </c>
      <c r="Z10" s="6">
        <f t="shared" si="12"/>
        <v>5.3934427131263299E-2</v>
      </c>
      <c r="AB10" s="58">
        <v>45720</v>
      </c>
      <c r="AC10" s="9">
        <v>93</v>
      </c>
    </row>
    <row r="11" spans="1:29" x14ac:dyDescent="0.25">
      <c r="A11" t="s">
        <v>69</v>
      </c>
      <c r="B11" t="s">
        <v>30</v>
      </c>
      <c r="C11" s="25" t="s">
        <v>70</v>
      </c>
      <c r="D11" s="2">
        <v>1255.3625</v>
      </c>
      <c r="E11" s="26">
        <v>41.61</v>
      </c>
      <c r="F11" s="3">
        <f t="shared" si="0"/>
        <v>52235.633624999995</v>
      </c>
      <c r="G11" s="3">
        <v>37884.65</v>
      </c>
      <c r="H11" s="4">
        <f t="shared" si="1"/>
        <v>30.17825528482809</v>
      </c>
      <c r="I11" s="3">
        <f t="shared" si="2"/>
        <v>14350.983624999993</v>
      </c>
      <c r="J11" s="26">
        <f t="shared" si="3"/>
        <v>11.431744715171909</v>
      </c>
      <c r="K11" s="27">
        <v>45663</v>
      </c>
      <c r="L11">
        <f t="shared" si="4"/>
        <v>25</v>
      </c>
      <c r="M11" s="5">
        <f t="shared" si="5"/>
        <v>0.37880734347552353</v>
      </c>
      <c r="N11">
        <v>2</v>
      </c>
      <c r="O11">
        <v>99</v>
      </c>
      <c r="P11" s="30">
        <v>7</v>
      </c>
      <c r="Q11" s="28">
        <v>24.99</v>
      </c>
      <c r="R11" s="29">
        <f t="shared" si="6"/>
        <v>23.2407</v>
      </c>
      <c r="S11" s="29">
        <v>29.06</v>
      </c>
      <c r="T11" s="31">
        <f t="shared" si="7"/>
        <v>31.237499999999997</v>
      </c>
      <c r="U11" s="28">
        <f t="shared" si="8"/>
        <v>37.484999999999999</v>
      </c>
      <c r="V11" s="28">
        <f t="shared" si="9"/>
        <v>49.98</v>
      </c>
      <c r="W11" s="28">
        <f t="shared" si="10"/>
        <v>28.065777414890125</v>
      </c>
      <c r="X11" s="29">
        <v>32</v>
      </c>
      <c r="Y11" s="5">
        <f t="shared" si="11"/>
        <v>6.0366137736523807E-2</v>
      </c>
      <c r="Z11" s="32">
        <f t="shared" si="12"/>
        <v>6.9234400152431555E-2</v>
      </c>
      <c r="AB11" s="58">
        <v>45713</v>
      </c>
      <c r="AC11" s="9">
        <v>75</v>
      </c>
    </row>
    <row r="12" spans="1:29" x14ac:dyDescent="0.25">
      <c r="A12" t="s">
        <v>71</v>
      </c>
      <c r="B12" t="s">
        <v>30</v>
      </c>
      <c r="C12" s="25" t="s">
        <v>72</v>
      </c>
      <c r="D12" s="2">
        <v>201.9693</v>
      </c>
      <c r="E12" s="26">
        <v>372.88</v>
      </c>
      <c r="F12" s="3">
        <f t="shared" si="0"/>
        <v>75310.312583999999</v>
      </c>
      <c r="G12" s="3">
        <v>74438.86</v>
      </c>
      <c r="H12" s="4">
        <f t="shared" si="1"/>
        <v>368.56522253629635</v>
      </c>
      <c r="I12" s="3">
        <f t="shared" si="2"/>
        <v>871.45258399999875</v>
      </c>
      <c r="J12" s="26">
        <f t="shared" si="3"/>
        <v>4.3147774637036491</v>
      </c>
      <c r="K12" s="27">
        <v>45664</v>
      </c>
      <c r="L12">
        <f t="shared" si="4"/>
        <v>24</v>
      </c>
      <c r="M12" s="5">
        <f t="shared" si="5"/>
        <v>1.1706957683124092E-2</v>
      </c>
      <c r="N12">
        <v>2</v>
      </c>
      <c r="O12">
        <v>97</v>
      </c>
      <c r="P12" s="30">
        <v>66</v>
      </c>
      <c r="Q12" s="28">
        <v>354.69</v>
      </c>
      <c r="R12" s="29">
        <f t="shared" si="6"/>
        <v>329.86170000000004</v>
      </c>
      <c r="S12" s="29">
        <v>348.2</v>
      </c>
      <c r="T12" s="28">
        <f t="shared" si="7"/>
        <v>443.36250000000001</v>
      </c>
      <c r="U12" s="28">
        <f t="shared" si="8"/>
        <v>532.03499999999997</v>
      </c>
      <c r="V12" s="28">
        <f t="shared" si="9"/>
        <v>709.38</v>
      </c>
      <c r="W12" s="28">
        <f t="shared" si="10"/>
        <v>342.76565695875559</v>
      </c>
      <c r="X12" s="29">
        <v>375</v>
      </c>
      <c r="Y12" s="5">
        <f t="shared" si="11"/>
        <v>1.745899252084197E-2</v>
      </c>
      <c r="Z12" s="32">
        <f t="shared" si="12"/>
        <v>9.9818150086532206E-2</v>
      </c>
      <c r="AB12" s="58">
        <v>45771</v>
      </c>
      <c r="AC12" s="9">
        <v>93</v>
      </c>
    </row>
    <row r="13" spans="1:29" x14ac:dyDescent="0.25">
      <c r="A13" t="s">
        <v>75</v>
      </c>
      <c r="B13" t="s">
        <v>30</v>
      </c>
      <c r="C13" s="25" t="s">
        <v>76</v>
      </c>
      <c r="D13" s="2">
        <f>675.2982+456.8207</f>
        <v>1132.1188999999999</v>
      </c>
      <c r="E13" s="26">
        <v>67.790000000000006</v>
      </c>
      <c r="F13" s="3">
        <f t="shared" si="0"/>
        <v>76746.340231000009</v>
      </c>
      <c r="G13" s="3">
        <f>45046.15+31240.53</f>
        <v>76286.679999999993</v>
      </c>
      <c r="H13" s="4">
        <f t="shared" si="1"/>
        <v>67.38398237146292</v>
      </c>
      <c r="I13" s="3">
        <f t="shared" si="2"/>
        <v>459.66023100001621</v>
      </c>
      <c r="J13" s="26">
        <f t="shared" si="3"/>
        <v>0.40601762853708578</v>
      </c>
      <c r="K13" s="27">
        <v>45673</v>
      </c>
      <c r="L13">
        <f t="shared" si="4"/>
        <v>15</v>
      </c>
      <c r="M13" s="5">
        <f t="shared" si="5"/>
        <v>6.0254323690586125E-3</v>
      </c>
      <c r="N13">
        <v>88</v>
      </c>
      <c r="O13">
        <v>91</v>
      </c>
      <c r="P13" s="34">
        <v>90</v>
      </c>
      <c r="Q13" s="28">
        <v>67.95</v>
      </c>
      <c r="R13" s="29">
        <f t="shared" si="6"/>
        <v>63.193500000000007</v>
      </c>
      <c r="S13" s="29">
        <v>60.62</v>
      </c>
      <c r="T13" s="31">
        <f t="shared" si="7"/>
        <v>84.9375</v>
      </c>
      <c r="U13" s="28">
        <f t="shared" si="8"/>
        <v>101.92500000000001</v>
      </c>
      <c r="V13" s="28">
        <f t="shared" si="9"/>
        <v>135.9</v>
      </c>
      <c r="W13" s="28">
        <f t="shared" si="10"/>
        <v>62.667103605460518</v>
      </c>
      <c r="X13" s="29">
        <v>64</v>
      </c>
      <c r="Y13" s="5">
        <f t="shared" si="11"/>
        <v>-5.0219388233961597E-2</v>
      </c>
      <c r="Z13" s="6">
        <f t="shared" si="12"/>
        <v>0.10172149663069607</v>
      </c>
      <c r="AB13" s="58">
        <v>45714</v>
      </c>
      <c r="AC13" s="9">
        <v>90</v>
      </c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45031</v>
      </c>
      <c r="M14" s="5" t="e">
        <f t="shared" si="5"/>
        <v>#DIV/0!</v>
      </c>
      <c r="P14" s="30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8"/>
      <c r="AC14" s="9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45031</v>
      </c>
      <c r="M15" s="5" t="e">
        <f t="shared" si="5"/>
        <v>#DIV/0!</v>
      </c>
      <c r="P15" s="30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6">
        <f t="shared" si="12"/>
        <v>0</v>
      </c>
      <c r="AB15" s="58"/>
      <c r="AC15" s="9"/>
    </row>
    <row r="16" spans="1:29" x14ac:dyDescent="0.25">
      <c r="A16" s="35"/>
      <c r="B16" s="35"/>
      <c r="C16" s="36"/>
      <c r="D16" s="37"/>
      <c r="E16" s="38"/>
      <c r="F16" s="39">
        <f t="shared" ref="F16" si="13">E16*D16</f>
        <v>0</v>
      </c>
      <c r="G16" s="39"/>
      <c r="H16" s="40" t="e">
        <f t="shared" ref="H16" si="14">G16/D16</f>
        <v>#DIV/0!</v>
      </c>
      <c r="I16" s="39">
        <f t="shared" ref="I16" si="15">F16-G16</f>
        <v>0</v>
      </c>
      <c r="J16" s="38" t="e">
        <f t="shared" ref="J16" si="16">E16-H16</f>
        <v>#DIV/0!</v>
      </c>
      <c r="K16" s="41"/>
      <c r="L16" s="35">
        <f t="shared" ref="L16" si="17">DAYS360(K16,$C$1)</f>
        <v>45031</v>
      </c>
      <c r="M16" s="42" t="e">
        <f t="shared" ref="M16" si="18">(I16/G16)</f>
        <v>#DIV/0!</v>
      </c>
      <c r="N16" s="35"/>
      <c r="O16" s="35"/>
      <c r="P16" s="43"/>
      <c r="Q16" s="44"/>
      <c r="R16" s="45">
        <f t="shared" ref="R16" si="19">Q16*0.93</f>
        <v>0</v>
      </c>
      <c r="S16" s="45"/>
      <c r="T16" s="46">
        <f t="shared" ref="T16" si="20">Q16*1.25</f>
        <v>0</v>
      </c>
      <c r="U16" s="44">
        <f t="shared" ref="U16" si="21">Q16*1.5</f>
        <v>0</v>
      </c>
      <c r="V16" s="44">
        <f t="shared" ref="V16" si="22">Q16*2</f>
        <v>0</v>
      </c>
      <c r="W16" s="44" t="e">
        <f t="shared" ref="W16" si="23">H16-(H16*0.07)</f>
        <v>#DIV/0!</v>
      </c>
      <c r="X16" s="45"/>
      <c r="Y16" s="42" t="e">
        <f t="shared" ref="Y16" si="24">(X16-H16)/H16</f>
        <v>#DIV/0!</v>
      </c>
      <c r="Z16" s="47">
        <f t="shared" ref="Z16" si="25">F16/F$19</f>
        <v>0</v>
      </c>
      <c r="AB16" s="58"/>
      <c r="AC16" s="9"/>
    </row>
    <row r="17" spans="1:26" x14ac:dyDescent="0.25">
      <c r="A17" t="s">
        <v>43</v>
      </c>
      <c r="D17" s="2"/>
      <c r="F17" s="3">
        <f>SUM(F6:F16)</f>
        <v>482797.13822600001</v>
      </c>
      <c r="G17" s="3">
        <f>SUM(G6:G16)</f>
        <v>397174.91</v>
      </c>
      <c r="H17" s="4"/>
      <c r="I17" s="3">
        <f>SUM(I6:I16)</f>
        <v>85622.228226000021</v>
      </c>
      <c r="M17" s="5"/>
      <c r="Z17" s="6"/>
    </row>
    <row r="18" spans="1:26" x14ac:dyDescent="0.25">
      <c r="D18" s="2" t="s">
        <v>44</v>
      </c>
      <c r="F18" s="3">
        <v>271678</v>
      </c>
      <c r="G18" s="6">
        <f>F18/F19</f>
        <v>0.36008873750140719</v>
      </c>
      <c r="H18" s="4"/>
      <c r="I18" s="3"/>
      <c r="M18" s="5"/>
      <c r="Z18" s="6"/>
    </row>
    <row r="19" spans="1:26" x14ac:dyDescent="0.25">
      <c r="D19" s="2" t="s">
        <v>45</v>
      </c>
      <c r="F19" s="3">
        <f>SUM(F17:F18)</f>
        <v>754475.13822600001</v>
      </c>
      <c r="G19" s="3"/>
      <c r="H19" s="48"/>
      <c r="I19" s="49"/>
      <c r="K19" t="s">
        <v>46</v>
      </c>
      <c r="M19" s="13" t="s">
        <v>47</v>
      </c>
      <c r="Z19" s="6"/>
    </row>
    <row r="20" spans="1:26" x14ac:dyDescent="0.25">
      <c r="D20" s="2"/>
      <c r="F20" s="4"/>
      <c r="G20" s="3"/>
      <c r="H20" s="4" t="s">
        <v>48</v>
      </c>
      <c r="I20" s="50">
        <f>'01-24-25'!F19</f>
        <v>791933.08848299994</v>
      </c>
      <c r="K20" s="1">
        <v>45657</v>
      </c>
      <c r="L20" s="50">
        <v>170762</v>
      </c>
      <c r="M20" s="50">
        <v>175345</v>
      </c>
      <c r="Z20" s="6"/>
    </row>
    <row r="21" spans="1:26" x14ac:dyDescent="0.25">
      <c r="D21" s="2"/>
      <c r="F21" s="3"/>
      <c r="G21" s="51"/>
      <c r="H21" s="4" t="s">
        <v>49</v>
      </c>
      <c r="I21" s="6">
        <f>(F19-I20)/I20</f>
        <v>-4.7299387791401803E-2</v>
      </c>
      <c r="K21" s="9" t="s">
        <v>50</v>
      </c>
      <c r="L21" s="6">
        <f>(M20-L20)/L20</f>
        <v>2.6838523793349809E-2</v>
      </c>
      <c r="Z21" s="6"/>
    </row>
    <row r="23" spans="1:26" x14ac:dyDescent="0.25">
      <c r="D23" s="9"/>
      <c r="E23" s="9"/>
      <c r="F23" s="52"/>
      <c r="G23" s="3"/>
      <c r="H23" s="3"/>
      <c r="I23" s="12"/>
      <c r="J23" s="9"/>
      <c r="K23" s="9"/>
      <c r="L23" s="9"/>
      <c r="M23" s="13" t="s">
        <v>51</v>
      </c>
    </row>
    <row r="24" spans="1:26" x14ac:dyDescent="0.25">
      <c r="A24" s="53" t="s">
        <v>60</v>
      </c>
      <c r="D24" s="54" t="s">
        <v>15</v>
      </c>
      <c r="E24" s="54" t="s">
        <v>52</v>
      </c>
      <c r="F24" s="55" t="s">
        <v>53</v>
      </c>
      <c r="G24" s="55" t="s">
        <v>54</v>
      </c>
      <c r="H24" s="55" t="s">
        <v>55</v>
      </c>
      <c r="I24" s="55" t="s">
        <v>56</v>
      </c>
      <c r="J24" s="54" t="s">
        <v>11</v>
      </c>
      <c r="K24" s="54" t="s">
        <v>20</v>
      </c>
      <c r="L24" s="54" t="s">
        <v>57</v>
      </c>
      <c r="M24" s="54" t="s">
        <v>58</v>
      </c>
      <c r="N24" s="1"/>
      <c r="P24" s="9" t="s">
        <v>59</v>
      </c>
    </row>
    <row r="25" spans="1:26" x14ac:dyDescent="0.25">
      <c r="A25" t="s">
        <v>39</v>
      </c>
      <c r="B25" t="s">
        <v>30</v>
      </c>
      <c r="C25" s="25" t="s">
        <v>40</v>
      </c>
      <c r="D25" s="2">
        <v>935.03689999999995</v>
      </c>
      <c r="E25" s="57">
        <f>F25/D25</f>
        <v>72.335006244138597</v>
      </c>
      <c r="F25" s="56">
        <v>67635.899999999994</v>
      </c>
      <c r="G25" s="56">
        <v>64699.88</v>
      </c>
      <c r="H25" s="57">
        <f>G25/D25</f>
        <v>69.195001822922706</v>
      </c>
      <c r="I25" s="57">
        <f>G25-F25</f>
        <v>-2936.0199999999968</v>
      </c>
      <c r="J25" s="6">
        <f>I25/F25</f>
        <v>-4.340919541249539E-2</v>
      </c>
      <c r="K25" s="1">
        <v>45609</v>
      </c>
      <c r="L25" s="1">
        <v>45659</v>
      </c>
      <c r="M25">
        <f t="shared" ref="M25:M28" si="26">DAYS360(K25,L25)</f>
        <v>49</v>
      </c>
    </row>
    <row r="26" spans="1:26" x14ac:dyDescent="0.25">
      <c r="A26" t="s">
        <v>61</v>
      </c>
      <c r="B26" t="s">
        <v>30</v>
      </c>
      <c r="C26" s="25" t="s">
        <v>62</v>
      </c>
      <c r="D26" s="2">
        <v>653.82380000000001</v>
      </c>
      <c r="E26" s="57">
        <f>F26/D26</f>
        <v>90.119203369470497</v>
      </c>
      <c r="F26" s="3">
        <v>58922.080000000002</v>
      </c>
      <c r="G26" s="56">
        <v>54094.080000000002</v>
      </c>
      <c r="H26" s="57">
        <f>G26/D26</f>
        <v>82.734950914910101</v>
      </c>
      <c r="I26" s="57">
        <f>G26-F26</f>
        <v>-4828</v>
      </c>
      <c r="J26" s="6">
        <f>I26/F26</f>
        <v>-8.1938723140798822E-2</v>
      </c>
      <c r="K26" s="1">
        <v>45660</v>
      </c>
      <c r="L26" s="1">
        <v>45667</v>
      </c>
      <c r="M26">
        <f t="shared" si="26"/>
        <v>7</v>
      </c>
    </row>
    <row r="27" spans="1:26" x14ac:dyDescent="0.25">
      <c r="A27" t="s">
        <v>29</v>
      </c>
      <c r="B27" t="s">
        <v>30</v>
      </c>
      <c r="C27" s="25" t="s">
        <v>31</v>
      </c>
      <c r="D27" s="2">
        <v>1263.7796000000001</v>
      </c>
      <c r="E27" s="57">
        <f t="shared" ref="E27:E28" si="27">F27/D27</f>
        <v>44.698790833464948</v>
      </c>
      <c r="F27" s="3">
        <v>56489.42</v>
      </c>
      <c r="G27" s="56">
        <v>75501.87</v>
      </c>
      <c r="H27" s="57">
        <f t="shared" ref="H27:H28" si="28">G27/D27</f>
        <v>59.742909285764696</v>
      </c>
      <c r="I27" s="57">
        <f t="shared" ref="I27:I28" si="29">G27-F27</f>
        <v>19012.449999999997</v>
      </c>
      <c r="J27" s="6">
        <f t="shared" ref="J27:J28" si="30">I27/F27</f>
        <v>0.33656656414599401</v>
      </c>
      <c r="K27" s="1">
        <v>45527</v>
      </c>
      <c r="L27" s="1">
        <v>45688</v>
      </c>
      <c r="M27">
        <f t="shared" si="26"/>
        <v>158</v>
      </c>
    </row>
    <row r="28" spans="1:26" x14ac:dyDescent="0.25">
      <c r="A28" t="s">
        <v>73</v>
      </c>
      <c r="B28" t="s">
        <v>30</v>
      </c>
      <c r="C28" s="25" t="s">
        <v>74</v>
      </c>
      <c r="D28" s="2">
        <f>347.7531+131.6951</f>
        <v>479.44820000000004</v>
      </c>
      <c r="E28" s="57">
        <f t="shared" si="27"/>
        <v>169.90901206845703</v>
      </c>
      <c r="F28" s="3">
        <f>59492.79+21969.78</f>
        <v>81462.570000000007</v>
      </c>
      <c r="G28" s="56">
        <v>65047.58</v>
      </c>
      <c r="H28" s="57">
        <f t="shared" si="28"/>
        <v>135.67175765807443</v>
      </c>
      <c r="I28" s="57">
        <f t="shared" si="29"/>
        <v>-16414.990000000005</v>
      </c>
      <c r="J28" s="6">
        <f t="shared" si="30"/>
        <v>-0.20150346349249729</v>
      </c>
      <c r="K28" s="1">
        <v>45671</v>
      </c>
      <c r="L28" s="61">
        <v>45688</v>
      </c>
      <c r="M28">
        <f t="shared" si="26"/>
        <v>17</v>
      </c>
    </row>
    <row r="29" spans="1:26" x14ac:dyDescent="0.25">
      <c r="F29" s="56"/>
      <c r="G29" s="56"/>
      <c r="J29" s="6"/>
      <c r="K29" s="1"/>
    </row>
    <row r="30" spans="1:26" x14ac:dyDescent="0.25">
      <c r="F30" s="56"/>
      <c r="G30" s="56"/>
      <c r="J30" s="6"/>
      <c r="K30" s="1"/>
    </row>
    <row r="31" spans="1:26" x14ac:dyDescent="0.25">
      <c r="F31" s="56"/>
      <c r="G31" s="56"/>
      <c r="J31" s="6"/>
      <c r="K31" s="1"/>
    </row>
    <row r="32" spans="1:26" x14ac:dyDescent="0.25">
      <c r="F32" s="56"/>
      <c r="G32" s="56"/>
      <c r="J32" s="6"/>
      <c r="K32" s="1"/>
    </row>
    <row r="33" spans="6:11" x14ac:dyDescent="0.25">
      <c r="F33" s="56"/>
      <c r="G33" s="56"/>
      <c r="J33" s="6"/>
      <c r="K33" s="1"/>
    </row>
    <row r="34" spans="6:11" x14ac:dyDescent="0.25">
      <c r="F34" s="56"/>
      <c r="G34" s="56"/>
      <c r="J34" s="6"/>
    </row>
    <row r="35" spans="6:11" x14ac:dyDescent="0.25">
      <c r="F35" s="56"/>
      <c r="G35" s="56"/>
      <c r="H35" s="3"/>
      <c r="I35" s="3">
        <f>SUM(I25:I34)</f>
        <v>-5166.5600000000049</v>
      </c>
      <c r="J35" s="13" t="s">
        <v>66</v>
      </c>
    </row>
    <row r="36" spans="6:11" x14ac:dyDescent="0.25">
      <c r="F36" s="56"/>
      <c r="G36" s="56"/>
      <c r="H36" s="3" t="s">
        <v>67</v>
      </c>
      <c r="I36" s="59">
        <v>3</v>
      </c>
      <c r="J36" s="5">
        <v>-0.1089</v>
      </c>
    </row>
    <row r="37" spans="6:11" x14ac:dyDescent="0.25">
      <c r="F37" s="56"/>
      <c r="G37" s="56"/>
      <c r="H37" s="3" t="s">
        <v>68</v>
      </c>
      <c r="I37" s="59">
        <v>1</v>
      </c>
      <c r="J37" s="5">
        <v>0.33660000000000001</v>
      </c>
    </row>
    <row r="38" spans="6:11" x14ac:dyDescent="0.25">
      <c r="F38" s="56"/>
      <c r="G38" s="56"/>
      <c r="J38" s="6"/>
    </row>
    <row r="39" spans="6:11" x14ac:dyDescent="0.25">
      <c r="F39" s="56"/>
      <c r="G39" s="56"/>
      <c r="J39" s="6"/>
    </row>
    <row r="40" spans="6:11" x14ac:dyDescent="0.25">
      <c r="F40" s="56"/>
      <c r="G40" s="56"/>
      <c r="J40" s="6"/>
    </row>
    <row r="41" spans="6:11" x14ac:dyDescent="0.25">
      <c r="F41" s="56"/>
      <c r="G41" s="56"/>
      <c r="J41" s="6"/>
    </row>
    <row r="42" spans="6:11" x14ac:dyDescent="0.25">
      <c r="F42" s="56"/>
      <c r="G42" s="56"/>
      <c r="J42" s="6"/>
    </row>
    <row r="43" spans="6:11" x14ac:dyDescent="0.25">
      <c r="F43" s="56"/>
      <c r="G43" s="56"/>
      <c r="J43" s="6"/>
    </row>
    <row r="44" spans="6:11" x14ac:dyDescent="0.25">
      <c r="F44" s="56"/>
      <c r="G44" s="56"/>
      <c r="J44" s="6"/>
    </row>
    <row r="45" spans="6:11" x14ac:dyDescent="0.25">
      <c r="F45" s="56"/>
      <c r="G45" s="56"/>
      <c r="J45" s="6"/>
    </row>
    <row r="46" spans="6:11" x14ac:dyDescent="0.25">
      <c r="F46" s="56"/>
      <c r="G46" s="56"/>
      <c r="J46" s="6"/>
    </row>
    <row r="47" spans="6:11" x14ac:dyDescent="0.25">
      <c r="F47" s="56"/>
      <c r="G47" s="56"/>
      <c r="J47" s="6"/>
    </row>
    <row r="48" spans="6:11" x14ac:dyDescent="0.25">
      <c r="F48" s="56"/>
      <c r="G48" s="56"/>
      <c r="J48" s="6"/>
    </row>
    <row r="49" spans="6:10" x14ac:dyDescent="0.25">
      <c r="F49" s="56"/>
      <c r="G49" s="56"/>
      <c r="J49" s="6"/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</row>
    <row r="62" spans="6:10" x14ac:dyDescent="0.25">
      <c r="F62" s="56"/>
      <c r="G62" s="56"/>
    </row>
    <row r="63" spans="6:10" x14ac:dyDescent="0.25">
      <c r="F63" s="56"/>
      <c r="G63" s="56"/>
    </row>
    <row r="64" spans="6:10" x14ac:dyDescent="0.25">
      <c r="F64" s="56"/>
      <c r="G64" s="56"/>
    </row>
    <row r="65" spans="6:7" x14ac:dyDescent="0.25">
      <c r="F65" s="56"/>
      <c r="G65" s="56"/>
    </row>
    <row r="66" spans="6:7" x14ac:dyDescent="0.25">
      <c r="F66" s="56"/>
      <c r="G66" s="56"/>
    </row>
  </sheetData>
  <sortState xmlns:xlrd2="http://schemas.microsoft.com/office/spreadsheetml/2017/richdata2" ref="A7:AC13">
    <sortCondition descending="1" ref="L7:L1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AAC8-49AC-47DB-B582-264B035482C8}">
  <dimension ref="A1:AC66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bestFit="1" customWidth="1"/>
    <col min="17" max="22" width="6.5703125" bestFit="1" customWidth="1"/>
    <col min="23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45695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34</v>
      </c>
      <c r="B7" t="s">
        <v>30</v>
      </c>
      <c r="C7" s="25" t="s">
        <v>35</v>
      </c>
      <c r="D7" s="2">
        <f>341.2204-83.2121</f>
        <v>258.00829999999996</v>
      </c>
      <c r="E7" s="26">
        <v>327.56</v>
      </c>
      <c r="F7" s="3">
        <f t="shared" ref="F7:F14" si="0">E7*D7</f>
        <v>84513.198747999995</v>
      </c>
      <c r="G7" s="3">
        <f>71012.62-17317.27</f>
        <v>53695.349999999991</v>
      </c>
      <c r="H7" s="4">
        <f t="shared" ref="H7:H14" si="1">G7/D7</f>
        <v>208.11481646133089</v>
      </c>
      <c r="I7" s="3">
        <f t="shared" ref="I7:I14" si="2">F7-G7</f>
        <v>30817.848748000004</v>
      </c>
      <c r="J7" s="26">
        <f t="shared" ref="J7:J14" si="3">E7-H7</f>
        <v>119.44518353866911</v>
      </c>
      <c r="K7" s="27">
        <v>45580</v>
      </c>
      <c r="L7">
        <f t="shared" ref="L7:L14" si="4">DAYS360(K7,$C$1)</f>
        <v>112</v>
      </c>
      <c r="M7" s="5">
        <f t="shared" ref="M7:M14" si="5">(I7/G7)</f>
        <v>0.57393887455803916</v>
      </c>
      <c r="N7">
        <v>27</v>
      </c>
      <c r="O7">
        <v>98</v>
      </c>
      <c r="P7" s="30">
        <v>4</v>
      </c>
      <c r="Q7" s="28">
        <v>183.7</v>
      </c>
      <c r="R7" s="29">
        <f t="shared" ref="R7:R14" si="6">Q7*0.93</f>
        <v>170.84100000000001</v>
      </c>
      <c r="S7" s="29">
        <v>285.01</v>
      </c>
      <c r="T7" s="28">
        <f t="shared" ref="T7:T14" si="7">Q7*1.25</f>
        <v>229.625</v>
      </c>
      <c r="U7" s="28">
        <f t="shared" ref="U7:U14" si="8">Q7*1.5</f>
        <v>275.54999999999995</v>
      </c>
      <c r="V7" s="28">
        <f t="shared" ref="V7:V14" si="9">Q7*2</f>
        <v>367.4</v>
      </c>
      <c r="W7" s="28">
        <f t="shared" ref="W7:W14" si="10">H7-(H7*0.07)</f>
        <v>193.54677930903773</v>
      </c>
      <c r="X7" s="29">
        <v>335</v>
      </c>
      <c r="Y7" s="5">
        <f t="shared" ref="Y7:Y14" si="11">(X7-H7)/H7</f>
        <v>0.60968837152565358</v>
      </c>
      <c r="Z7" s="32">
        <f t="shared" ref="Z7:Z14" si="12">F7/F$19</f>
        <v>0.110294240043155</v>
      </c>
      <c r="AB7" s="58">
        <v>45783</v>
      </c>
      <c r="AC7" s="9">
        <v>55</v>
      </c>
    </row>
    <row r="8" spans="1:29" x14ac:dyDescent="0.25">
      <c r="A8" t="s">
        <v>36</v>
      </c>
      <c r="B8" t="s">
        <v>30</v>
      </c>
      <c r="C8" t="s">
        <v>37</v>
      </c>
      <c r="D8" s="2">
        <f>939.2424+388.9544</f>
        <v>1328.1967999999999</v>
      </c>
      <c r="E8" s="26">
        <v>54.47</v>
      </c>
      <c r="F8" s="3">
        <f t="shared" si="0"/>
        <v>72346.879695999989</v>
      </c>
      <c r="G8" s="3">
        <f>36992.18+23418.77</f>
        <v>60410.95</v>
      </c>
      <c r="H8" s="4">
        <f t="shared" si="1"/>
        <v>45.483432876814639</v>
      </c>
      <c r="I8" s="3">
        <f t="shared" si="2"/>
        <v>11935.929695999992</v>
      </c>
      <c r="J8" s="26">
        <f t="shared" si="3"/>
        <v>8.9865671231853597</v>
      </c>
      <c r="K8" s="27">
        <v>45593</v>
      </c>
      <c r="L8">
        <f t="shared" si="4"/>
        <v>99</v>
      </c>
      <c r="M8" s="5">
        <f t="shared" si="5"/>
        <v>0.19757891071072367</v>
      </c>
      <c r="O8">
        <v>94</v>
      </c>
      <c r="P8" s="33" t="s">
        <v>38</v>
      </c>
      <c r="Q8" s="28">
        <v>61.08</v>
      </c>
      <c r="R8" s="29">
        <f t="shared" si="6"/>
        <v>56.804400000000001</v>
      </c>
      <c r="S8" s="29">
        <v>51.54</v>
      </c>
      <c r="T8" s="28">
        <f t="shared" si="7"/>
        <v>76.349999999999994</v>
      </c>
      <c r="U8" s="28">
        <f t="shared" si="8"/>
        <v>91.62</v>
      </c>
      <c r="V8" s="28">
        <f t="shared" si="9"/>
        <v>122.16</v>
      </c>
      <c r="W8" s="28">
        <f t="shared" si="10"/>
        <v>42.299592575437615</v>
      </c>
      <c r="X8" s="29">
        <v>53</v>
      </c>
      <c r="Y8" s="5">
        <f t="shared" si="11"/>
        <v>0.1652594504804179</v>
      </c>
      <c r="Z8" s="32">
        <f t="shared" si="12"/>
        <v>9.4416543614173787E-2</v>
      </c>
      <c r="AB8" s="58"/>
      <c r="AC8" s="9"/>
    </row>
    <row r="9" spans="1:29" x14ac:dyDescent="0.25">
      <c r="A9" t="s">
        <v>41</v>
      </c>
      <c r="B9" t="s">
        <v>30</v>
      </c>
      <c r="C9" s="25" t="s">
        <v>42</v>
      </c>
      <c r="D9" s="2">
        <v>2234.6064999999999</v>
      </c>
      <c r="E9" s="26">
        <v>17.96</v>
      </c>
      <c r="F9" s="3">
        <f t="shared" si="0"/>
        <v>40133.532740000002</v>
      </c>
      <c r="G9" s="3">
        <v>37971.83</v>
      </c>
      <c r="H9" s="4">
        <f t="shared" si="1"/>
        <v>16.992624876012847</v>
      </c>
      <c r="I9" s="3">
        <f t="shared" si="2"/>
        <v>2161.7027400000006</v>
      </c>
      <c r="J9" s="26">
        <f t="shared" si="3"/>
        <v>0.96737512398715353</v>
      </c>
      <c r="K9" s="27">
        <v>45652</v>
      </c>
      <c r="L9">
        <f t="shared" si="4"/>
        <v>41</v>
      </c>
      <c r="M9" s="5">
        <f t="shared" si="5"/>
        <v>5.6929116663589838E-2</v>
      </c>
      <c r="N9">
        <v>51</v>
      </c>
      <c r="O9">
        <v>97</v>
      </c>
      <c r="P9" s="30">
        <v>80</v>
      </c>
      <c r="Q9" s="28">
        <v>15.9</v>
      </c>
      <c r="R9" s="29">
        <f t="shared" si="6"/>
        <v>14.787000000000001</v>
      </c>
      <c r="S9" s="29">
        <v>14</v>
      </c>
      <c r="T9" s="31">
        <f t="shared" si="7"/>
        <v>19.875</v>
      </c>
      <c r="U9" s="28">
        <f t="shared" si="8"/>
        <v>23.85</v>
      </c>
      <c r="V9" s="28">
        <f t="shared" si="9"/>
        <v>31.8</v>
      </c>
      <c r="W9" s="28">
        <f t="shared" si="10"/>
        <v>15.803141134691948</v>
      </c>
      <c r="X9" s="29">
        <v>15.65</v>
      </c>
      <c r="Y9" s="5">
        <f t="shared" si="11"/>
        <v>-7.9012211815969929E-2</v>
      </c>
      <c r="Z9" s="6">
        <f t="shared" si="12"/>
        <v>5.2376404625320533E-2</v>
      </c>
      <c r="AB9" s="58">
        <v>45720</v>
      </c>
      <c r="AC9" s="9">
        <v>93</v>
      </c>
    </row>
    <row r="10" spans="1:29" x14ac:dyDescent="0.25">
      <c r="A10" t="s">
        <v>69</v>
      </c>
      <c r="B10" t="s">
        <v>30</v>
      </c>
      <c r="C10" s="25" t="s">
        <v>70</v>
      </c>
      <c r="D10" s="2">
        <v>1255.3625</v>
      </c>
      <c r="E10" s="26">
        <v>55.49</v>
      </c>
      <c r="F10" s="3">
        <f t="shared" si="0"/>
        <v>69660.065124999994</v>
      </c>
      <c r="G10" s="3">
        <v>37884.65</v>
      </c>
      <c r="H10" s="4">
        <f t="shared" si="1"/>
        <v>30.17825528482809</v>
      </c>
      <c r="I10" s="3">
        <f t="shared" si="2"/>
        <v>31775.415124999992</v>
      </c>
      <c r="J10" s="26">
        <f t="shared" si="3"/>
        <v>25.311744715171912</v>
      </c>
      <c r="K10" s="27">
        <v>45663</v>
      </c>
      <c r="L10">
        <f t="shared" si="4"/>
        <v>31</v>
      </c>
      <c r="M10" s="5">
        <f t="shared" si="5"/>
        <v>0.83874115571874075</v>
      </c>
      <c r="N10">
        <v>3</v>
      </c>
      <c r="O10">
        <v>99</v>
      </c>
      <c r="P10" s="30">
        <v>7</v>
      </c>
      <c r="Q10" s="28">
        <v>24.99</v>
      </c>
      <c r="R10" s="29">
        <f t="shared" si="6"/>
        <v>23.2407</v>
      </c>
      <c r="S10" s="29">
        <v>29.06</v>
      </c>
      <c r="T10" s="31">
        <f t="shared" si="7"/>
        <v>31.237499999999997</v>
      </c>
      <c r="U10" s="28">
        <f t="shared" si="8"/>
        <v>37.484999999999999</v>
      </c>
      <c r="V10" s="28">
        <f t="shared" si="9"/>
        <v>49.98</v>
      </c>
      <c r="W10" s="28">
        <f t="shared" si="10"/>
        <v>28.065777414890125</v>
      </c>
      <c r="X10" s="29">
        <v>39</v>
      </c>
      <c r="Y10" s="5">
        <f t="shared" si="11"/>
        <v>0.29232123036638841</v>
      </c>
      <c r="Z10" s="32">
        <f t="shared" si="12"/>
        <v>9.0910107038166987E-2</v>
      </c>
      <c r="AB10" s="58">
        <v>45713</v>
      </c>
      <c r="AC10" s="9">
        <v>79</v>
      </c>
    </row>
    <row r="11" spans="1:29" x14ac:dyDescent="0.25">
      <c r="A11" t="s">
        <v>71</v>
      </c>
      <c r="B11" t="s">
        <v>30</v>
      </c>
      <c r="C11" s="25" t="s">
        <v>72</v>
      </c>
      <c r="D11" s="2">
        <v>201.9693</v>
      </c>
      <c r="E11" s="26">
        <v>377.97</v>
      </c>
      <c r="F11" s="3">
        <f t="shared" si="0"/>
        <v>76338.33632100001</v>
      </c>
      <c r="G11" s="3">
        <v>74438.86</v>
      </c>
      <c r="H11" s="4">
        <f t="shared" si="1"/>
        <v>368.56522253629635</v>
      </c>
      <c r="I11" s="3">
        <f t="shared" si="2"/>
        <v>1899.4763210000092</v>
      </c>
      <c r="J11" s="26">
        <f t="shared" si="3"/>
        <v>9.404777463703681</v>
      </c>
      <c r="K11" s="27">
        <v>45664</v>
      </c>
      <c r="L11">
        <f t="shared" si="4"/>
        <v>30</v>
      </c>
      <c r="M11" s="5">
        <f t="shared" si="5"/>
        <v>2.551726774160713E-2</v>
      </c>
      <c r="N11">
        <v>3</v>
      </c>
      <c r="O11">
        <v>97</v>
      </c>
      <c r="P11" s="30">
        <v>67</v>
      </c>
      <c r="Q11" s="28">
        <v>354.69</v>
      </c>
      <c r="R11" s="29">
        <f t="shared" si="6"/>
        <v>329.86170000000004</v>
      </c>
      <c r="S11" s="29">
        <v>348.2</v>
      </c>
      <c r="T11" s="28">
        <f t="shared" si="7"/>
        <v>443.36250000000001</v>
      </c>
      <c r="U11" s="28">
        <f t="shared" si="8"/>
        <v>532.03499999999997</v>
      </c>
      <c r="V11" s="28">
        <f t="shared" si="9"/>
        <v>709.38</v>
      </c>
      <c r="W11" s="28">
        <f t="shared" si="10"/>
        <v>342.76565695875559</v>
      </c>
      <c r="X11" s="29">
        <v>375</v>
      </c>
      <c r="Y11" s="5">
        <f t="shared" si="11"/>
        <v>1.745899252084197E-2</v>
      </c>
      <c r="Z11" s="32">
        <f t="shared" si="12"/>
        <v>9.9625607779787476E-2</v>
      </c>
      <c r="AB11" s="58">
        <v>45771</v>
      </c>
      <c r="AC11" s="9">
        <v>93</v>
      </c>
    </row>
    <row r="12" spans="1:29" x14ac:dyDescent="0.25">
      <c r="A12" t="s">
        <v>75</v>
      </c>
      <c r="B12" t="s">
        <v>30</v>
      </c>
      <c r="C12" s="25" t="s">
        <v>76</v>
      </c>
      <c r="D12" s="2">
        <f>675.2982+456.8207</f>
        <v>1132.1188999999999</v>
      </c>
      <c r="E12" s="26">
        <v>69.069999999999993</v>
      </c>
      <c r="F12" s="3">
        <f t="shared" si="0"/>
        <v>78195.452422999995</v>
      </c>
      <c r="G12" s="3">
        <f>45046.15+31240.53</f>
        <v>76286.679999999993</v>
      </c>
      <c r="H12" s="4">
        <f t="shared" si="1"/>
        <v>67.38398237146292</v>
      </c>
      <c r="I12" s="3">
        <f t="shared" si="2"/>
        <v>1908.7724230000022</v>
      </c>
      <c r="J12" s="26">
        <f t="shared" si="3"/>
        <v>1.6860176285370727</v>
      </c>
      <c r="K12" s="27">
        <v>45673</v>
      </c>
      <c r="L12">
        <f t="shared" si="4"/>
        <v>21</v>
      </c>
      <c r="M12" s="5">
        <f t="shared" si="5"/>
        <v>2.5021044604379195E-2</v>
      </c>
      <c r="N12">
        <v>110</v>
      </c>
      <c r="O12">
        <v>90</v>
      </c>
      <c r="P12" s="34">
        <v>90</v>
      </c>
      <c r="Q12" s="28">
        <v>67.95</v>
      </c>
      <c r="R12" s="29">
        <f t="shared" si="6"/>
        <v>63.193500000000007</v>
      </c>
      <c r="S12" s="29">
        <v>60.62</v>
      </c>
      <c r="T12" s="31">
        <f t="shared" si="7"/>
        <v>84.9375</v>
      </c>
      <c r="U12" s="28">
        <f t="shared" si="8"/>
        <v>101.92500000000001</v>
      </c>
      <c r="V12" s="28">
        <f t="shared" si="9"/>
        <v>135.9</v>
      </c>
      <c r="W12" s="28">
        <f t="shared" si="10"/>
        <v>62.667103605460518</v>
      </c>
      <c r="X12" s="29">
        <v>64</v>
      </c>
      <c r="Y12" s="5">
        <f t="shared" si="11"/>
        <v>-5.0219388233961597E-2</v>
      </c>
      <c r="Z12" s="6">
        <f t="shared" si="12"/>
        <v>0.102049243521617</v>
      </c>
      <c r="AB12" s="58">
        <v>45714</v>
      </c>
      <c r="AC12" s="9">
        <v>89</v>
      </c>
    </row>
    <row r="13" spans="1:29" x14ac:dyDescent="0.25">
      <c r="A13" t="s">
        <v>77</v>
      </c>
      <c r="B13" t="s">
        <v>30</v>
      </c>
      <c r="C13" s="25" t="s">
        <v>78</v>
      </c>
      <c r="D13" s="2">
        <v>1628.6374000000001</v>
      </c>
      <c r="E13" s="26">
        <v>14.18</v>
      </c>
      <c r="F13" s="3">
        <f t="shared" si="0"/>
        <v>23094.078332000001</v>
      </c>
      <c r="G13" s="3">
        <v>22621.18</v>
      </c>
      <c r="H13" s="4">
        <f t="shared" si="1"/>
        <v>13.889635593533589</v>
      </c>
      <c r="I13" s="3">
        <f t="shared" si="2"/>
        <v>472.89833200000066</v>
      </c>
      <c r="J13" s="26">
        <f t="shared" si="3"/>
        <v>0.29036440646641104</v>
      </c>
      <c r="K13" s="27">
        <v>45692</v>
      </c>
      <c r="L13">
        <f t="shared" si="4"/>
        <v>3</v>
      </c>
      <c r="M13" s="5">
        <f t="shared" si="5"/>
        <v>2.090511334952468E-2</v>
      </c>
      <c r="N13">
        <v>73</v>
      </c>
      <c r="O13">
        <v>87</v>
      </c>
      <c r="P13" s="30">
        <v>10</v>
      </c>
      <c r="Q13" s="28">
        <v>13.58</v>
      </c>
      <c r="R13" s="29">
        <f t="shared" si="6"/>
        <v>12.6294</v>
      </c>
      <c r="S13" s="29">
        <v>13</v>
      </c>
      <c r="T13" s="28">
        <f t="shared" si="7"/>
        <v>16.975000000000001</v>
      </c>
      <c r="U13" s="28">
        <f t="shared" si="8"/>
        <v>20.37</v>
      </c>
      <c r="V13" s="28">
        <f t="shared" si="9"/>
        <v>27.16</v>
      </c>
      <c r="W13" s="28">
        <f t="shared" si="10"/>
        <v>12.917361101986238</v>
      </c>
      <c r="X13" s="29">
        <v>13</v>
      </c>
      <c r="Y13" s="5">
        <f t="shared" si="11"/>
        <v>-6.4050319214117066E-2</v>
      </c>
      <c r="Z13" s="6">
        <f t="shared" si="12"/>
        <v>3.0139006177248864E-2</v>
      </c>
      <c r="AB13" s="58">
        <v>45784</v>
      </c>
      <c r="AC13" s="9">
        <v>56</v>
      </c>
    </row>
    <row r="14" spans="1:29" x14ac:dyDescent="0.25">
      <c r="A14" t="s">
        <v>79</v>
      </c>
      <c r="B14" t="s">
        <v>30</v>
      </c>
      <c r="C14" s="25" t="s">
        <v>80</v>
      </c>
      <c r="D14" s="2">
        <v>440.02980000000002</v>
      </c>
      <c r="E14" s="26">
        <v>107.66</v>
      </c>
      <c r="F14" s="3">
        <f t="shared" si="0"/>
        <v>47373.608268000004</v>
      </c>
      <c r="G14" s="3">
        <v>46412.71</v>
      </c>
      <c r="H14" s="4">
        <f t="shared" si="1"/>
        <v>105.47628819684485</v>
      </c>
      <c r="I14" s="3">
        <f t="shared" si="2"/>
        <v>960.89826800000446</v>
      </c>
      <c r="J14" s="26">
        <f t="shared" si="3"/>
        <v>2.1837118031551483</v>
      </c>
      <c r="K14" s="27">
        <v>45695</v>
      </c>
      <c r="L14">
        <f t="shared" si="4"/>
        <v>0</v>
      </c>
      <c r="M14" s="5">
        <f t="shared" si="5"/>
        <v>2.0703343286785119E-2</v>
      </c>
      <c r="N14">
        <v>31</v>
      </c>
      <c r="O14">
        <v>93</v>
      </c>
      <c r="P14" s="30">
        <v>99</v>
      </c>
      <c r="Q14" s="28">
        <v>101</v>
      </c>
      <c r="R14" s="29">
        <f t="shared" si="6"/>
        <v>93.93</v>
      </c>
      <c r="S14" s="29">
        <v>94.1</v>
      </c>
      <c r="T14" s="31">
        <f t="shared" si="7"/>
        <v>126.25</v>
      </c>
      <c r="U14" s="28">
        <f t="shared" si="8"/>
        <v>151.5</v>
      </c>
      <c r="V14" s="28">
        <f t="shared" si="9"/>
        <v>202</v>
      </c>
      <c r="W14" s="28">
        <f t="shared" si="10"/>
        <v>98.092948023065702</v>
      </c>
      <c r="X14" s="29">
        <v>99</v>
      </c>
      <c r="Y14" s="5">
        <f t="shared" si="11"/>
        <v>-6.1400418118226649E-2</v>
      </c>
      <c r="Z14" s="6">
        <f t="shared" si="12"/>
        <v>6.1825090038315884E-2</v>
      </c>
      <c r="AB14" s="58">
        <v>45778</v>
      </c>
      <c r="AC14" s="9">
        <v>99</v>
      </c>
    </row>
    <row r="15" spans="1:29" x14ac:dyDescent="0.25">
      <c r="C15" s="25"/>
      <c r="D15" s="2"/>
      <c r="E15" s="26"/>
      <c r="F15" s="3">
        <f t="shared" ref="F15:F16" si="13">E15*D15</f>
        <v>0</v>
      </c>
      <c r="G15" s="3"/>
      <c r="H15" s="4" t="e">
        <f t="shared" ref="H15:H16" si="14">G15/D15</f>
        <v>#DIV/0!</v>
      </c>
      <c r="I15" s="3">
        <f t="shared" ref="I15:I16" si="15">F15-G15</f>
        <v>0</v>
      </c>
      <c r="J15" s="26" t="e">
        <f t="shared" ref="J15:J16" si="16">E15-H15</f>
        <v>#DIV/0!</v>
      </c>
      <c r="K15" s="27"/>
      <c r="L15">
        <f t="shared" ref="L15:L16" si="17">DAYS360(K15,$C$1)</f>
        <v>45037</v>
      </c>
      <c r="M15" s="5" t="e">
        <f t="shared" ref="M15:M16" si="18">(I15/G15)</f>
        <v>#DIV/0!</v>
      </c>
      <c r="P15" s="30"/>
      <c r="Q15" s="28"/>
      <c r="R15" s="29">
        <f t="shared" ref="R15:R16" si="19">Q15*0.93</f>
        <v>0</v>
      </c>
      <c r="S15" s="29"/>
      <c r="T15" s="28">
        <f t="shared" ref="T15:T16" si="20">Q15*1.25</f>
        <v>0</v>
      </c>
      <c r="U15" s="28">
        <f t="shared" ref="U15:U16" si="21">Q15*1.5</f>
        <v>0</v>
      </c>
      <c r="V15" s="28">
        <f t="shared" ref="V15:V16" si="22">Q15*2</f>
        <v>0</v>
      </c>
      <c r="W15" s="28" t="e">
        <f t="shared" ref="W15:W16" si="23">H15-(H15*0.07)</f>
        <v>#DIV/0!</v>
      </c>
      <c r="X15" s="29"/>
      <c r="Y15" s="5" t="e">
        <f t="shared" ref="Y15:Y16" si="24">(X15-H15)/H15</f>
        <v>#DIV/0!</v>
      </c>
      <c r="Z15" s="6">
        <f t="shared" ref="Z15:Z16" si="25">F15/F$19</f>
        <v>0</v>
      </c>
      <c r="AB15" s="58"/>
      <c r="AC15" s="9"/>
    </row>
    <row r="16" spans="1:29" x14ac:dyDescent="0.25">
      <c r="A16" s="35"/>
      <c r="B16" s="35"/>
      <c r="C16" s="36"/>
      <c r="D16" s="37"/>
      <c r="E16" s="38"/>
      <c r="F16" s="39">
        <f t="shared" si="13"/>
        <v>0</v>
      </c>
      <c r="G16" s="39"/>
      <c r="H16" s="40" t="e">
        <f t="shared" si="14"/>
        <v>#DIV/0!</v>
      </c>
      <c r="I16" s="39">
        <f t="shared" si="15"/>
        <v>0</v>
      </c>
      <c r="J16" s="38" t="e">
        <f t="shared" si="16"/>
        <v>#DIV/0!</v>
      </c>
      <c r="K16" s="41"/>
      <c r="L16" s="35">
        <f t="shared" si="17"/>
        <v>45037</v>
      </c>
      <c r="M16" s="42" t="e">
        <f t="shared" si="18"/>
        <v>#DIV/0!</v>
      </c>
      <c r="N16" s="35"/>
      <c r="O16" s="35"/>
      <c r="P16" s="43"/>
      <c r="Q16" s="44"/>
      <c r="R16" s="45">
        <f t="shared" si="19"/>
        <v>0</v>
      </c>
      <c r="S16" s="45"/>
      <c r="T16" s="46">
        <f t="shared" si="20"/>
        <v>0</v>
      </c>
      <c r="U16" s="44">
        <f t="shared" si="21"/>
        <v>0</v>
      </c>
      <c r="V16" s="44">
        <f t="shared" si="22"/>
        <v>0</v>
      </c>
      <c r="W16" s="44" t="e">
        <f t="shared" si="23"/>
        <v>#DIV/0!</v>
      </c>
      <c r="X16" s="45"/>
      <c r="Y16" s="42" t="e">
        <f t="shared" si="24"/>
        <v>#DIV/0!</v>
      </c>
      <c r="Z16" s="47">
        <f t="shared" si="25"/>
        <v>0</v>
      </c>
      <c r="AB16" s="58"/>
      <c r="AC16" s="9"/>
    </row>
    <row r="17" spans="1:26" x14ac:dyDescent="0.25">
      <c r="A17" t="s">
        <v>43</v>
      </c>
      <c r="D17" s="2"/>
      <c r="F17" s="3">
        <f>SUM(F6:F16)</f>
        <v>491655.15165300004</v>
      </c>
      <c r="G17" s="3">
        <f>SUM(G6:G16)</f>
        <v>409722.21</v>
      </c>
      <c r="H17" s="4"/>
      <c r="I17" s="3">
        <f>SUM(I6:I16)</f>
        <v>81932.941653000002</v>
      </c>
      <c r="M17" s="5"/>
      <c r="Z17" s="6"/>
    </row>
    <row r="18" spans="1:26" x14ac:dyDescent="0.25">
      <c r="D18" s="2" t="s">
        <v>44</v>
      </c>
      <c r="F18" s="3">
        <v>274597</v>
      </c>
      <c r="G18" s="6">
        <f>F18/F19</f>
        <v>0.35836375716221441</v>
      </c>
      <c r="H18" s="4"/>
      <c r="I18" s="3"/>
      <c r="M18" s="5"/>
      <c r="Z18" s="6"/>
    </row>
    <row r="19" spans="1:26" x14ac:dyDescent="0.25">
      <c r="D19" s="2" t="s">
        <v>45</v>
      </c>
      <c r="F19" s="3">
        <f>SUM(F17:F18)</f>
        <v>766252.15165300004</v>
      </c>
      <c r="G19" s="3"/>
      <c r="H19" s="48"/>
      <c r="I19" s="49"/>
      <c r="K19" t="s">
        <v>46</v>
      </c>
      <c r="M19" s="13" t="s">
        <v>47</v>
      </c>
      <c r="Z19" s="6"/>
    </row>
    <row r="20" spans="1:26" x14ac:dyDescent="0.25">
      <c r="D20" s="2"/>
      <c r="F20" s="4"/>
      <c r="G20" s="3"/>
      <c r="H20" s="4" t="s">
        <v>48</v>
      </c>
      <c r="I20" s="50">
        <f>'01-31-25'!F19</f>
        <v>754475.13822600001</v>
      </c>
      <c r="K20" s="1">
        <v>45657</v>
      </c>
      <c r="L20" s="50">
        <v>170762</v>
      </c>
      <c r="M20" s="50">
        <v>178244</v>
      </c>
      <c r="Z20" s="6"/>
    </row>
    <row r="21" spans="1:26" x14ac:dyDescent="0.25">
      <c r="D21" s="2"/>
      <c r="F21" s="3"/>
      <c r="G21" s="51"/>
      <c r="H21" s="4" t="s">
        <v>49</v>
      </c>
      <c r="I21" s="6">
        <f>(F19-I20)/I20</f>
        <v>1.5609544742178462E-2</v>
      </c>
      <c r="K21" s="9" t="s">
        <v>50</v>
      </c>
      <c r="L21" s="6">
        <f>(M20-L20)/L20</f>
        <v>4.3815368758857359E-2</v>
      </c>
      <c r="Z21" s="6"/>
    </row>
    <row r="23" spans="1:26" x14ac:dyDescent="0.25">
      <c r="D23" s="9"/>
      <c r="E23" s="9"/>
      <c r="F23" s="52"/>
      <c r="G23" s="3"/>
      <c r="H23" s="3"/>
      <c r="I23" s="12"/>
      <c r="J23" s="9"/>
      <c r="K23" s="9"/>
      <c r="L23" s="9"/>
      <c r="M23" s="13" t="s">
        <v>51</v>
      </c>
    </row>
    <row r="24" spans="1:26" x14ac:dyDescent="0.25">
      <c r="A24" s="53" t="s">
        <v>60</v>
      </c>
      <c r="D24" s="54" t="s">
        <v>15</v>
      </c>
      <c r="E24" s="54" t="s">
        <v>52</v>
      </c>
      <c r="F24" s="55" t="s">
        <v>53</v>
      </c>
      <c r="G24" s="55" t="s">
        <v>54</v>
      </c>
      <c r="H24" s="55" t="s">
        <v>55</v>
      </c>
      <c r="I24" s="55" t="s">
        <v>56</v>
      </c>
      <c r="J24" s="54" t="s">
        <v>11</v>
      </c>
      <c r="K24" s="54" t="s">
        <v>20</v>
      </c>
      <c r="L24" s="54" t="s">
        <v>57</v>
      </c>
      <c r="M24" s="54" t="s">
        <v>58</v>
      </c>
      <c r="N24" s="1"/>
      <c r="P24" s="9" t="s">
        <v>59</v>
      </c>
    </row>
    <row r="25" spans="1:26" x14ac:dyDescent="0.25">
      <c r="A25" t="s">
        <v>39</v>
      </c>
      <c r="B25" t="s">
        <v>30</v>
      </c>
      <c r="C25" s="25" t="s">
        <v>40</v>
      </c>
      <c r="D25" s="2">
        <v>935.03689999999995</v>
      </c>
      <c r="E25" s="57">
        <f>F25/D25</f>
        <v>72.335006244138597</v>
      </c>
      <c r="F25" s="56">
        <v>67635.899999999994</v>
      </c>
      <c r="G25" s="56">
        <v>64699.88</v>
      </c>
      <c r="H25" s="57">
        <f>G25/D25</f>
        <v>69.195001822922706</v>
      </c>
      <c r="I25" s="57">
        <f>G25-F25</f>
        <v>-2936.0199999999968</v>
      </c>
      <c r="J25" s="6">
        <f>I25/F25</f>
        <v>-4.340919541249539E-2</v>
      </c>
      <c r="K25" s="1">
        <v>45609</v>
      </c>
      <c r="L25" s="1">
        <v>45659</v>
      </c>
      <c r="M25">
        <f t="shared" ref="M25:M29" si="26">DAYS360(K25,L25)</f>
        <v>49</v>
      </c>
    </row>
    <row r="26" spans="1:26" x14ac:dyDescent="0.25">
      <c r="A26" t="s">
        <v>61</v>
      </c>
      <c r="B26" t="s">
        <v>30</v>
      </c>
      <c r="C26" s="25" t="s">
        <v>62</v>
      </c>
      <c r="D26" s="2">
        <v>653.82380000000001</v>
      </c>
      <c r="E26" s="57">
        <f>F26/D26</f>
        <v>90.119203369470497</v>
      </c>
      <c r="F26" s="3">
        <v>58922.080000000002</v>
      </c>
      <c r="G26" s="56">
        <v>54094.080000000002</v>
      </c>
      <c r="H26" s="57">
        <f>G26/D26</f>
        <v>82.734950914910101</v>
      </c>
      <c r="I26" s="57">
        <f>G26-F26</f>
        <v>-4828</v>
      </c>
      <c r="J26" s="6">
        <f>I26/F26</f>
        <v>-8.1938723140798822E-2</v>
      </c>
      <c r="K26" s="1">
        <v>45660</v>
      </c>
      <c r="L26" s="1">
        <v>45667</v>
      </c>
      <c r="M26">
        <f t="shared" si="26"/>
        <v>7</v>
      </c>
    </row>
    <row r="27" spans="1:26" x14ac:dyDescent="0.25">
      <c r="A27" t="s">
        <v>29</v>
      </c>
      <c r="B27" t="s">
        <v>30</v>
      </c>
      <c r="C27" s="25" t="s">
        <v>31</v>
      </c>
      <c r="D27" s="2">
        <v>1263.7796000000001</v>
      </c>
      <c r="E27" s="57">
        <f t="shared" ref="E27:E29" si="27">F27/D27</f>
        <v>44.698790833464948</v>
      </c>
      <c r="F27" s="3">
        <v>56489.42</v>
      </c>
      <c r="G27" s="56">
        <v>75501.87</v>
      </c>
      <c r="H27" s="57">
        <f t="shared" ref="H27:H28" si="28">G27/D27</f>
        <v>59.742909285764696</v>
      </c>
      <c r="I27" s="57">
        <f t="shared" ref="I27:I28" si="29">G27-F27</f>
        <v>19012.449999999997</v>
      </c>
      <c r="J27" s="6">
        <f t="shared" ref="J27:J28" si="30">I27/F27</f>
        <v>0.33656656414599401</v>
      </c>
      <c r="K27" s="1">
        <v>45527</v>
      </c>
      <c r="L27" s="1">
        <v>45688</v>
      </c>
      <c r="M27">
        <f t="shared" si="26"/>
        <v>158</v>
      </c>
    </row>
    <row r="28" spans="1:26" x14ac:dyDescent="0.25">
      <c r="A28" t="s">
        <v>73</v>
      </c>
      <c r="B28" t="s">
        <v>30</v>
      </c>
      <c r="C28" s="25" t="s">
        <v>74</v>
      </c>
      <c r="D28" s="2">
        <f>347.7531+131.6951</f>
        <v>479.44820000000004</v>
      </c>
      <c r="E28" s="57">
        <f t="shared" si="27"/>
        <v>169.90901206845703</v>
      </c>
      <c r="F28" s="3">
        <f>59492.79+21969.78</f>
        <v>81462.570000000007</v>
      </c>
      <c r="G28" s="56">
        <v>65047.58</v>
      </c>
      <c r="H28" s="57">
        <f t="shared" si="28"/>
        <v>135.67175765807443</v>
      </c>
      <c r="I28" s="57">
        <f t="shared" si="29"/>
        <v>-16414.990000000005</v>
      </c>
      <c r="J28" s="6">
        <f t="shared" si="30"/>
        <v>-0.20150346349249729</v>
      </c>
      <c r="K28" s="1">
        <v>45671</v>
      </c>
      <c r="L28" s="1">
        <v>45688</v>
      </c>
      <c r="M28">
        <f t="shared" si="26"/>
        <v>17</v>
      </c>
    </row>
    <row r="29" spans="1:26" x14ac:dyDescent="0.25">
      <c r="A29" t="s">
        <v>32</v>
      </c>
      <c r="B29" t="s">
        <v>30</v>
      </c>
      <c r="C29" s="25" t="s">
        <v>33</v>
      </c>
      <c r="D29" s="2">
        <v>3020.3485999999998</v>
      </c>
      <c r="E29" s="57">
        <f t="shared" si="27"/>
        <v>18.702010092477405</v>
      </c>
      <c r="F29" s="3">
        <v>56486.59</v>
      </c>
      <c r="G29" s="56">
        <v>71124.88</v>
      </c>
      <c r="H29" s="57">
        <f t="shared" ref="H29" si="31">G29/D29</f>
        <v>23.548566546258936</v>
      </c>
      <c r="I29" s="57">
        <f t="shared" ref="I29" si="32">G29-F29</f>
        <v>14638.290000000008</v>
      </c>
      <c r="J29" s="6">
        <f t="shared" ref="J29" si="33">I29/F29</f>
        <v>0.25914628587068206</v>
      </c>
      <c r="K29" s="1">
        <v>45527</v>
      </c>
      <c r="L29" s="1">
        <v>45691</v>
      </c>
      <c r="M29">
        <f t="shared" si="26"/>
        <v>160</v>
      </c>
    </row>
    <row r="30" spans="1:26" x14ac:dyDescent="0.25">
      <c r="F30" s="56"/>
      <c r="G30" s="56"/>
      <c r="J30" s="6"/>
      <c r="K30" s="1"/>
    </row>
    <row r="31" spans="1:26" x14ac:dyDescent="0.25">
      <c r="F31" s="56"/>
      <c r="G31" s="56"/>
      <c r="J31" s="6"/>
      <c r="K31" s="1"/>
    </row>
    <row r="32" spans="1:26" x14ac:dyDescent="0.25">
      <c r="F32" s="56"/>
      <c r="G32" s="56"/>
      <c r="J32" s="6"/>
      <c r="K32" s="1"/>
    </row>
    <row r="33" spans="6:11" x14ac:dyDescent="0.25">
      <c r="F33" s="56"/>
      <c r="G33" s="56"/>
      <c r="J33" s="6"/>
      <c r="K33" s="1"/>
    </row>
    <row r="34" spans="6:11" x14ac:dyDescent="0.25">
      <c r="F34" s="56"/>
      <c r="G34" s="56"/>
      <c r="J34" s="6"/>
    </row>
    <row r="35" spans="6:11" x14ac:dyDescent="0.25">
      <c r="F35" s="56"/>
      <c r="G35" s="56"/>
      <c r="H35" s="3"/>
      <c r="I35" s="3">
        <f>SUM(I25:I34)</f>
        <v>9471.7300000000032</v>
      </c>
      <c r="J35" s="13" t="s">
        <v>66</v>
      </c>
    </row>
    <row r="36" spans="6:11" x14ac:dyDescent="0.25">
      <c r="F36" s="56"/>
      <c r="G36" s="56"/>
      <c r="H36" s="3" t="s">
        <v>67</v>
      </c>
      <c r="I36" s="59">
        <v>3</v>
      </c>
      <c r="J36" s="5">
        <v>-0.1089</v>
      </c>
    </row>
    <row r="37" spans="6:11" x14ac:dyDescent="0.25">
      <c r="F37" s="56"/>
      <c r="G37" s="56"/>
      <c r="H37" s="3" t="s">
        <v>68</v>
      </c>
      <c r="I37" s="59">
        <v>2</v>
      </c>
      <c r="J37" s="5">
        <v>0.2979</v>
      </c>
    </row>
    <row r="38" spans="6:11" x14ac:dyDescent="0.25">
      <c r="F38" s="56"/>
      <c r="G38" s="56"/>
      <c r="J38" s="6"/>
    </row>
    <row r="39" spans="6:11" x14ac:dyDescent="0.25">
      <c r="F39" s="56"/>
      <c r="G39" s="56"/>
      <c r="J39" s="6"/>
    </row>
    <row r="40" spans="6:11" x14ac:dyDescent="0.25">
      <c r="F40" s="56"/>
      <c r="G40" s="56"/>
      <c r="J40" s="6"/>
    </row>
    <row r="41" spans="6:11" x14ac:dyDescent="0.25">
      <c r="F41" s="56"/>
      <c r="G41" s="56"/>
      <c r="J41" s="6"/>
    </row>
    <row r="42" spans="6:11" x14ac:dyDescent="0.25">
      <c r="F42" s="56"/>
      <c r="G42" s="56"/>
      <c r="J42" s="6"/>
    </row>
    <row r="43" spans="6:11" x14ac:dyDescent="0.25">
      <c r="F43" s="56"/>
      <c r="G43" s="56"/>
      <c r="J43" s="6"/>
    </row>
    <row r="44" spans="6:11" x14ac:dyDescent="0.25">
      <c r="F44" s="56"/>
      <c r="G44" s="56"/>
      <c r="J44" s="6"/>
    </row>
    <row r="45" spans="6:11" x14ac:dyDescent="0.25">
      <c r="F45" s="56"/>
      <c r="G45" s="56"/>
      <c r="J45" s="6"/>
    </row>
    <row r="46" spans="6:11" x14ac:dyDescent="0.25">
      <c r="F46" s="56"/>
      <c r="G46" s="56"/>
      <c r="J46" s="6"/>
    </row>
    <row r="47" spans="6:11" x14ac:dyDescent="0.25">
      <c r="F47" s="56"/>
      <c r="G47" s="56"/>
      <c r="J47" s="6"/>
    </row>
    <row r="48" spans="6:11" x14ac:dyDescent="0.25">
      <c r="F48" s="56"/>
      <c r="G48" s="56"/>
      <c r="J48" s="6"/>
    </row>
    <row r="49" spans="6:10" x14ac:dyDescent="0.25">
      <c r="F49" s="56"/>
      <c r="G49" s="56"/>
      <c r="J49" s="6"/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</row>
    <row r="62" spans="6:10" x14ac:dyDescent="0.25">
      <c r="F62" s="56"/>
      <c r="G62" s="56"/>
    </row>
    <row r="63" spans="6:10" x14ac:dyDescent="0.25">
      <c r="F63" s="56"/>
      <c r="G63" s="56"/>
    </row>
    <row r="64" spans="6:10" x14ac:dyDescent="0.25">
      <c r="F64" s="56"/>
      <c r="G64" s="56"/>
    </row>
    <row r="65" spans="6:7" x14ac:dyDescent="0.25">
      <c r="F65" s="56"/>
      <c r="G65" s="56"/>
    </row>
    <row r="66" spans="6:7" x14ac:dyDescent="0.25">
      <c r="F66" s="56"/>
      <c r="G66" s="56"/>
    </row>
  </sheetData>
  <sortState xmlns:xlrd2="http://schemas.microsoft.com/office/spreadsheetml/2017/richdata2" ref="A7:AC13">
    <sortCondition descending="1" ref="L7:L1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2C58-7015-4AAF-81C8-95893CE6E1A5}">
  <dimension ref="A1:AC66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9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bestFit="1" customWidth="1"/>
    <col min="17" max="22" width="6.5703125" bestFit="1" customWidth="1"/>
    <col min="23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45702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34</v>
      </c>
      <c r="B7" t="s">
        <v>30</v>
      </c>
      <c r="C7" s="25" t="s">
        <v>35</v>
      </c>
      <c r="D7" s="2">
        <f>341.2204-83.2121</f>
        <v>258.00829999999996</v>
      </c>
      <c r="E7" s="26">
        <v>339.51</v>
      </c>
      <c r="F7" s="3">
        <f t="shared" ref="F7:F16" si="0">E7*D7</f>
        <v>87596.397932999986</v>
      </c>
      <c r="G7" s="3">
        <f>71012.62-17317.27</f>
        <v>53695.349999999991</v>
      </c>
      <c r="H7" s="4">
        <f t="shared" ref="H7:H16" si="1">G7/D7</f>
        <v>208.11481646133089</v>
      </c>
      <c r="I7" s="3">
        <f t="shared" ref="I7:I16" si="2">F7-G7</f>
        <v>33901.047932999994</v>
      </c>
      <c r="J7" s="26">
        <f t="shared" ref="J7:J16" si="3">E7-H7</f>
        <v>131.3951835386691</v>
      </c>
      <c r="K7" s="27">
        <v>45580</v>
      </c>
      <c r="L7">
        <f t="shared" ref="L7:L16" si="4">DAYS360(K7,$C$1)</f>
        <v>119</v>
      </c>
      <c r="M7" s="5">
        <f t="shared" ref="M7:M16" si="5">(I7/G7)</f>
        <v>0.63135910154231234</v>
      </c>
      <c r="N7">
        <v>26</v>
      </c>
      <c r="O7">
        <v>98</v>
      </c>
      <c r="P7" s="30">
        <v>5</v>
      </c>
      <c r="Q7" s="28">
        <v>183.7</v>
      </c>
      <c r="R7" s="29">
        <f t="shared" ref="R7:R16" si="6">Q7*0.93</f>
        <v>170.84100000000001</v>
      </c>
      <c r="S7" s="29">
        <v>285.01</v>
      </c>
      <c r="T7" s="28">
        <f t="shared" ref="T7:T16" si="7">Q7*1.25</f>
        <v>229.625</v>
      </c>
      <c r="U7" s="28">
        <f t="shared" ref="U7:U16" si="8">Q7*1.5</f>
        <v>275.54999999999995</v>
      </c>
      <c r="V7" s="28">
        <f t="shared" ref="V7:V16" si="9">Q7*2</f>
        <v>367.4</v>
      </c>
      <c r="W7" s="28">
        <f t="shared" ref="W7:W16" si="10">H7-(H7*0.07)</f>
        <v>193.54677930903773</v>
      </c>
      <c r="X7" s="29">
        <v>335</v>
      </c>
      <c r="Y7" s="5">
        <f t="shared" ref="Y7:Y16" si="11">(X7-H7)/H7</f>
        <v>0.60968837152565358</v>
      </c>
      <c r="Z7" s="32">
        <f t="shared" ref="Z7:Z16" si="12">F7/F$19</f>
        <v>0.11433490470390828</v>
      </c>
      <c r="AB7" s="58">
        <v>45783</v>
      </c>
      <c r="AC7" s="9">
        <v>55</v>
      </c>
    </row>
    <row r="8" spans="1:29" x14ac:dyDescent="0.25">
      <c r="A8" t="s">
        <v>36</v>
      </c>
      <c r="B8" t="s">
        <v>30</v>
      </c>
      <c r="C8" t="s">
        <v>37</v>
      </c>
      <c r="D8" s="2">
        <f>939.2424+388.9544</f>
        <v>1328.1967999999999</v>
      </c>
      <c r="E8" s="26">
        <v>55.33</v>
      </c>
      <c r="F8" s="3">
        <f t="shared" si="0"/>
        <v>73489.128943999996</v>
      </c>
      <c r="G8" s="3">
        <f>36992.18+23418.77</f>
        <v>60410.95</v>
      </c>
      <c r="H8" s="4">
        <f t="shared" si="1"/>
        <v>45.483432876814639</v>
      </c>
      <c r="I8" s="3">
        <f t="shared" si="2"/>
        <v>13078.178943999999</v>
      </c>
      <c r="J8" s="26">
        <f t="shared" si="3"/>
        <v>9.8465671231853591</v>
      </c>
      <c r="K8" s="27">
        <v>45593</v>
      </c>
      <c r="L8">
        <f t="shared" si="4"/>
        <v>106</v>
      </c>
      <c r="M8" s="5">
        <f t="shared" si="5"/>
        <v>0.21648689424682116</v>
      </c>
      <c r="O8">
        <v>93</v>
      </c>
      <c r="P8" s="33" t="s">
        <v>38</v>
      </c>
      <c r="Q8" s="28">
        <v>61.08</v>
      </c>
      <c r="R8" s="29">
        <f t="shared" si="6"/>
        <v>56.804400000000001</v>
      </c>
      <c r="S8" s="29">
        <v>51.54</v>
      </c>
      <c r="T8" s="28">
        <f t="shared" si="7"/>
        <v>76.349999999999994</v>
      </c>
      <c r="U8" s="28">
        <f t="shared" si="8"/>
        <v>91.62</v>
      </c>
      <c r="V8" s="28">
        <f t="shared" si="9"/>
        <v>122.16</v>
      </c>
      <c r="W8" s="28">
        <f t="shared" si="10"/>
        <v>42.299592575437615</v>
      </c>
      <c r="X8" s="29">
        <v>53</v>
      </c>
      <c r="Y8" s="5">
        <f t="shared" si="11"/>
        <v>0.1652594504804179</v>
      </c>
      <c r="Z8" s="32">
        <f t="shared" si="12"/>
        <v>9.5921439155662605E-2</v>
      </c>
      <c r="AB8" s="58"/>
      <c r="AC8" s="9"/>
    </row>
    <row r="9" spans="1:29" x14ac:dyDescent="0.25">
      <c r="A9" t="s">
        <v>41</v>
      </c>
      <c r="B9" t="s">
        <v>30</v>
      </c>
      <c r="C9" s="25" t="s">
        <v>42</v>
      </c>
      <c r="D9" s="2">
        <v>2234.6064999999999</v>
      </c>
      <c r="E9" s="26">
        <v>18.13</v>
      </c>
      <c r="F9" s="3">
        <f t="shared" si="0"/>
        <v>40513.415844999996</v>
      </c>
      <c r="G9" s="3">
        <v>37971.83</v>
      </c>
      <c r="H9" s="4">
        <f t="shared" si="1"/>
        <v>16.992624876012847</v>
      </c>
      <c r="I9" s="3">
        <f t="shared" si="2"/>
        <v>2541.5858449999942</v>
      </c>
      <c r="J9" s="26">
        <f t="shared" si="3"/>
        <v>1.1373751239871517</v>
      </c>
      <c r="K9" s="27">
        <v>45652</v>
      </c>
      <c r="L9">
        <f t="shared" si="4"/>
        <v>48</v>
      </c>
      <c r="M9" s="5">
        <f t="shared" si="5"/>
        <v>6.6933456854726098E-2</v>
      </c>
      <c r="N9">
        <v>62</v>
      </c>
      <c r="O9">
        <v>97</v>
      </c>
      <c r="P9" s="30">
        <v>81</v>
      </c>
      <c r="Q9" s="28">
        <v>15.9</v>
      </c>
      <c r="R9" s="29">
        <f t="shared" si="6"/>
        <v>14.787000000000001</v>
      </c>
      <c r="S9" s="29">
        <v>14</v>
      </c>
      <c r="T9" s="31">
        <f t="shared" si="7"/>
        <v>19.875</v>
      </c>
      <c r="U9" s="28">
        <f t="shared" si="8"/>
        <v>23.85</v>
      </c>
      <c r="V9" s="28">
        <f t="shared" si="9"/>
        <v>31.8</v>
      </c>
      <c r="W9" s="28">
        <f t="shared" si="10"/>
        <v>15.803141134691948</v>
      </c>
      <c r="X9" s="29">
        <v>15.65</v>
      </c>
      <c r="Y9" s="5">
        <f t="shared" si="11"/>
        <v>-7.9012211815969929E-2</v>
      </c>
      <c r="Z9" s="6">
        <f t="shared" si="12"/>
        <v>5.288000019602225E-2</v>
      </c>
      <c r="AB9" s="58">
        <v>45713</v>
      </c>
      <c r="AC9" s="9">
        <v>94</v>
      </c>
    </row>
    <row r="10" spans="1:29" x14ac:dyDescent="0.25">
      <c r="A10" t="s">
        <v>69</v>
      </c>
      <c r="B10" t="s">
        <v>30</v>
      </c>
      <c r="C10" s="25" t="s">
        <v>70</v>
      </c>
      <c r="D10" s="2">
        <v>1255.3625</v>
      </c>
      <c r="E10" s="26">
        <v>52.62</v>
      </c>
      <c r="F10" s="3">
        <f t="shared" si="0"/>
        <v>66057.174749999991</v>
      </c>
      <c r="G10" s="3">
        <v>37884.65</v>
      </c>
      <c r="H10" s="4">
        <f t="shared" si="1"/>
        <v>30.17825528482809</v>
      </c>
      <c r="I10" s="3">
        <f t="shared" si="2"/>
        <v>28172.52474999999</v>
      </c>
      <c r="J10" s="26">
        <f t="shared" si="3"/>
        <v>22.441744715171907</v>
      </c>
      <c r="K10" s="27">
        <v>45663</v>
      </c>
      <c r="L10">
        <f t="shared" si="4"/>
        <v>38</v>
      </c>
      <c r="M10" s="5">
        <f t="shared" si="5"/>
        <v>0.74363956774049622</v>
      </c>
      <c r="N10">
        <v>1</v>
      </c>
      <c r="O10">
        <v>99</v>
      </c>
      <c r="P10" s="30">
        <v>7</v>
      </c>
      <c r="Q10" s="28">
        <v>24.99</v>
      </c>
      <c r="R10" s="29">
        <f t="shared" si="6"/>
        <v>23.2407</v>
      </c>
      <c r="S10" s="29">
        <v>29.06</v>
      </c>
      <c r="T10" s="31">
        <f t="shared" si="7"/>
        <v>31.237499999999997</v>
      </c>
      <c r="U10" s="28">
        <f t="shared" si="8"/>
        <v>37.484999999999999</v>
      </c>
      <c r="V10" s="28">
        <f t="shared" si="9"/>
        <v>49.98</v>
      </c>
      <c r="W10" s="28">
        <f t="shared" si="10"/>
        <v>28.065777414890125</v>
      </c>
      <c r="X10" s="29">
        <v>39</v>
      </c>
      <c r="Y10" s="5">
        <f t="shared" si="11"/>
        <v>0.29232123036638841</v>
      </c>
      <c r="Z10" s="32">
        <f t="shared" si="12"/>
        <v>8.6220905862218977E-2</v>
      </c>
      <c r="AB10" s="58">
        <v>45713</v>
      </c>
      <c r="AC10" s="9">
        <v>78</v>
      </c>
    </row>
    <row r="11" spans="1:29" x14ac:dyDescent="0.25">
      <c r="A11" t="s">
        <v>71</v>
      </c>
      <c r="B11" t="s">
        <v>30</v>
      </c>
      <c r="C11" s="25" t="s">
        <v>72</v>
      </c>
      <c r="D11" s="2">
        <v>201.9693</v>
      </c>
      <c r="E11" s="26">
        <v>367.59</v>
      </c>
      <c r="F11" s="3">
        <f t="shared" si="0"/>
        <v>74241.894986999992</v>
      </c>
      <c r="G11" s="3">
        <v>74438.86</v>
      </c>
      <c r="H11" s="4">
        <f t="shared" si="1"/>
        <v>368.56522253629635</v>
      </c>
      <c r="I11" s="3">
        <f t="shared" si="2"/>
        <v>-196.96501300000818</v>
      </c>
      <c r="J11" s="26">
        <f t="shared" si="3"/>
        <v>-0.97522253629637135</v>
      </c>
      <c r="K11" s="27">
        <v>45664</v>
      </c>
      <c r="L11">
        <f t="shared" si="4"/>
        <v>37</v>
      </c>
      <c r="M11" s="5">
        <f t="shared" si="5"/>
        <v>-2.64599717137001E-3</v>
      </c>
      <c r="N11">
        <v>1</v>
      </c>
      <c r="O11">
        <v>97</v>
      </c>
      <c r="P11" s="30">
        <v>67</v>
      </c>
      <c r="Q11" s="28">
        <v>354.69</v>
      </c>
      <c r="R11" s="29">
        <f t="shared" si="6"/>
        <v>329.86170000000004</v>
      </c>
      <c r="S11" s="29">
        <v>348.2</v>
      </c>
      <c r="T11" s="28">
        <f t="shared" si="7"/>
        <v>443.36250000000001</v>
      </c>
      <c r="U11" s="28">
        <f t="shared" si="8"/>
        <v>532.03499999999997</v>
      </c>
      <c r="V11" s="28">
        <f t="shared" si="9"/>
        <v>709.38</v>
      </c>
      <c r="W11" s="28">
        <f t="shared" si="10"/>
        <v>342.76565695875559</v>
      </c>
      <c r="X11" s="29">
        <v>375</v>
      </c>
      <c r="Y11" s="5">
        <f t="shared" si="11"/>
        <v>1.745899252084197E-2</v>
      </c>
      <c r="Z11" s="32">
        <f t="shared" si="12"/>
        <v>9.6903984509371932E-2</v>
      </c>
      <c r="AB11" s="58">
        <v>45771</v>
      </c>
      <c r="AC11" s="9">
        <v>93</v>
      </c>
    </row>
    <row r="12" spans="1:29" x14ac:dyDescent="0.25">
      <c r="A12" t="s">
        <v>75</v>
      </c>
      <c r="B12" t="s">
        <v>30</v>
      </c>
      <c r="C12" s="25" t="s">
        <v>76</v>
      </c>
      <c r="D12" s="2">
        <f>675.2982+456.8207</f>
        <v>1132.1188999999999</v>
      </c>
      <c r="E12" s="26">
        <v>67.8</v>
      </c>
      <c r="F12" s="3">
        <f t="shared" si="0"/>
        <v>76757.661419999989</v>
      </c>
      <c r="G12" s="3">
        <f>45046.15+31240.53</f>
        <v>76286.679999999993</v>
      </c>
      <c r="H12" s="4">
        <f t="shared" si="1"/>
        <v>67.38398237146292</v>
      </c>
      <c r="I12" s="3">
        <f t="shared" si="2"/>
        <v>470.98141999999643</v>
      </c>
      <c r="J12" s="26">
        <f t="shared" si="3"/>
        <v>0.41601762853707669</v>
      </c>
      <c r="K12" s="27">
        <v>45673</v>
      </c>
      <c r="L12">
        <f t="shared" si="4"/>
        <v>28</v>
      </c>
      <c r="M12" s="5">
        <f t="shared" si="5"/>
        <v>6.1738355896467966E-3</v>
      </c>
      <c r="N12">
        <v>120</v>
      </c>
      <c r="O12">
        <v>90</v>
      </c>
      <c r="P12" s="34">
        <v>90</v>
      </c>
      <c r="Q12" s="28">
        <v>67.95</v>
      </c>
      <c r="R12" s="29">
        <f t="shared" si="6"/>
        <v>63.193500000000007</v>
      </c>
      <c r="S12" s="29">
        <v>60.62</v>
      </c>
      <c r="T12" s="31">
        <f t="shared" si="7"/>
        <v>84.9375</v>
      </c>
      <c r="U12" s="28">
        <f t="shared" si="8"/>
        <v>101.92500000000001</v>
      </c>
      <c r="V12" s="28">
        <f t="shared" si="9"/>
        <v>135.9</v>
      </c>
      <c r="W12" s="28">
        <f t="shared" si="10"/>
        <v>62.667103605460518</v>
      </c>
      <c r="X12" s="29">
        <v>64</v>
      </c>
      <c r="Y12" s="5">
        <f t="shared" si="11"/>
        <v>-5.0219388233961597E-2</v>
      </c>
      <c r="Z12" s="6">
        <f t="shared" si="12"/>
        <v>0.10018768021104169</v>
      </c>
      <c r="AB12" s="58">
        <v>45714</v>
      </c>
      <c r="AC12" s="9">
        <v>87</v>
      </c>
    </row>
    <row r="13" spans="1:29" x14ac:dyDescent="0.25">
      <c r="A13" t="s">
        <v>77</v>
      </c>
      <c r="B13" t="s">
        <v>30</v>
      </c>
      <c r="C13" s="25" t="s">
        <v>78</v>
      </c>
      <c r="D13" s="2">
        <v>1628.6374000000001</v>
      </c>
      <c r="E13" s="26">
        <v>15.2</v>
      </c>
      <c r="F13" s="3">
        <f t="shared" si="0"/>
        <v>24755.288479999999</v>
      </c>
      <c r="G13" s="3">
        <v>22621.18</v>
      </c>
      <c r="H13" s="4">
        <f t="shared" si="1"/>
        <v>13.889635593533589</v>
      </c>
      <c r="I13" s="3">
        <f t="shared" si="2"/>
        <v>2134.108479999999</v>
      </c>
      <c r="J13" s="26">
        <f t="shared" si="3"/>
        <v>1.3103644064664106</v>
      </c>
      <c r="K13" s="27">
        <v>45692</v>
      </c>
      <c r="L13">
        <f t="shared" si="4"/>
        <v>10</v>
      </c>
      <c r="M13" s="5">
        <f t="shared" si="5"/>
        <v>9.4341165226570808E-2</v>
      </c>
      <c r="N13">
        <v>53</v>
      </c>
      <c r="O13">
        <v>90</v>
      </c>
      <c r="P13" s="30">
        <v>10</v>
      </c>
      <c r="Q13" s="28">
        <v>13.58</v>
      </c>
      <c r="R13" s="29">
        <f t="shared" si="6"/>
        <v>12.6294</v>
      </c>
      <c r="S13" s="29">
        <v>13</v>
      </c>
      <c r="T13" s="28">
        <f t="shared" si="7"/>
        <v>16.975000000000001</v>
      </c>
      <c r="U13" s="28">
        <f t="shared" si="8"/>
        <v>20.37</v>
      </c>
      <c r="V13" s="28">
        <f t="shared" si="9"/>
        <v>27.16</v>
      </c>
      <c r="W13" s="28">
        <f t="shared" si="10"/>
        <v>12.917361101986238</v>
      </c>
      <c r="X13" s="29">
        <v>13</v>
      </c>
      <c r="Y13" s="5">
        <f t="shared" si="11"/>
        <v>-6.4050319214117066E-2</v>
      </c>
      <c r="Z13" s="6">
        <f t="shared" si="12"/>
        <v>3.231175728759357E-2</v>
      </c>
      <c r="AB13" s="58">
        <v>45784</v>
      </c>
      <c r="AC13" s="9">
        <v>63</v>
      </c>
    </row>
    <row r="14" spans="1:29" x14ac:dyDescent="0.25">
      <c r="A14" t="s">
        <v>79</v>
      </c>
      <c r="B14" t="s">
        <v>30</v>
      </c>
      <c r="C14" s="25" t="s">
        <v>80</v>
      </c>
      <c r="D14" s="2">
        <v>440.02980000000002</v>
      </c>
      <c r="E14" s="26">
        <v>111.64</v>
      </c>
      <c r="F14" s="3">
        <f t="shared" si="0"/>
        <v>49124.926872000004</v>
      </c>
      <c r="G14" s="3">
        <v>46412.71</v>
      </c>
      <c r="H14" s="4">
        <f t="shared" si="1"/>
        <v>105.47628819684485</v>
      </c>
      <c r="I14" s="3">
        <f t="shared" si="2"/>
        <v>2712.2168720000045</v>
      </c>
      <c r="J14" s="26">
        <f t="shared" si="3"/>
        <v>6.1637118031551523</v>
      </c>
      <c r="K14" s="27">
        <v>45695</v>
      </c>
      <c r="L14">
        <f t="shared" si="4"/>
        <v>7</v>
      </c>
      <c r="M14" s="5">
        <f t="shared" si="5"/>
        <v>5.8436942639203883E-2</v>
      </c>
      <c r="N14">
        <v>22</v>
      </c>
      <c r="O14">
        <v>93</v>
      </c>
      <c r="P14" s="30">
        <v>99</v>
      </c>
      <c r="Q14" s="28">
        <v>101</v>
      </c>
      <c r="R14" s="29">
        <f t="shared" si="6"/>
        <v>93.93</v>
      </c>
      <c r="S14" s="29">
        <v>94.1</v>
      </c>
      <c r="T14" s="31">
        <f t="shared" si="7"/>
        <v>126.25</v>
      </c>
      <c r="U14" s="28">
        <f t="shared" si="8"/>
        <v>151.5</v>
      </c>
      <c r="V14" s="28">
        <f t="shared" si="9"/>
        <v>202</v>
      </c>
      <c r="W14" s="28">
        <f t="shared" si="10"/>
        <v>98.092948023065702</v>
      </c>
      <c r="X14" s="29">
        <v>99</v>
      </c>
      <c r="Y14" s="5">
        <f t="shared" si="11"/>
        <v>-6.1400418118226649E-2</v>
      </c>
      <c r="Z14" s="6">
        <f t="shared" si="12"/>
        <v>6.4120146090854493E-2</v>
      </c>
      <c r="AB14" s="58">
        <v>45778</v>
      </c>
      <c r="AC14" s="9">
        <v>99</v>
      </c>
    </row>
    <row r="15" spans="1:29" x14ac:dyDescent="0.25">
      <c r="A15" t="s">
        <v>81</v>
      </c>
      <c r="B15" t="s">
        <v>30</v>
      </c>
      <c r="C15" s="25" t="s">
        <v>82</v>
      </c>
      <c r="D15" s="2">
        <v>252.7011</v>
      </c>
      <c r="E15" s="26">
        <v>238.36</v>
      </c>
      <c r="F15" s="3">
        <f t="shared" si="0"/>
        <v>60233.834196000003</v>
      </c>
      <c r="G15" s="3">
        <v>61221.72</v>
      </c>
      <c r="H15" s="4">
        <f t="shared" si="1"/>
        <v>242.26930551548847</v>
      </c>
      <c r="I15" s="3">
        <f t="shared" si="2"/>
        <v>-987.88580399999773</v>
      </c>
      <c r="J15" s="26">
        <f t="shared" si="3"/>
        <v>-3.9093055154884553</v>
      </c>
      <c r="K15" s="27">
        <v>45699</v>
      </c>
      <c r="L15">
        <f t="shared" si="4"/>
        <v>3</v>
      </c>
      <c r="M15" s="5">
        <f t="shared" si="5"/>
        <v>-1.6136198133603528E-2</v>
      </c>
      <c r="N15">
        <v>137</v>
      </c>
      <c r="O15">
        <v>85</v>
      </c>
      <c r="P15" s="30">
        <v>88</v>
      </c>
      <c r="Q15" s="28">
        <v>235.16</v>
      </c>
      <c r="R15" s="29">
        <f t="shared" si="6"/>
        <v>218.69880000000001</v>
      </c>
      <c r="S15" s="29">
        <v>228.77</v>
      </c>
      <c r="T15" s="28">
        <f t="shared" si="7"/>
        <v>293.95</v>
      </c>
      <c r="U15" s="28">
        <f t="shared" si="8"/>
        <v>352.74</v>
      </c>
      <c r="V15" s="28">
        <f t="shared" si="9"/>
        <v>470.32</v>
      </c>
      <c r="W15" s="28">
        <f t="shared" si="10"/>
        <v>225.31045412940426</v>
      </c>
      <c r="X15" s="29">
        <v>228.5</v>
      </c>
      <c r="Y15" s="5">
        <f t="shared" si="11"/>
        <v>-5.6834709152242098E-2</v>
      </c>
      <c r="Z15" s="6">
        <f t="shared" si="12"/>
        <v>7.8620010128934908E-2</v>
      </c>
      <c r="AB15" s="58">
        <v>45727</v>
      </c>
      <c r="AC15" s="9">
        <v>82</v>
      </c>
    </row>
    <row r="16" spans="1:29" x14ac:dyDescent="0.25">
      <c r="A16" s="35"/>
      <c r="B16" s="35"/>
      <c r="C16" s="36"/>
      <c r="D16" s="37"/>
      <c r="E16" s="38"/>
      <c r="F16" s="39">
        <f t="shared" si="0"/>
        <v>0</v>
      </c>
      <c r="G16" s="39"/>
      <c r="H16" s="40" t="e">
        <f t="shared" si="1"/>
        <v>#DIV/0!</v>
      </c>
      <c r="I16" s="39">
        <f t="shared" si="2"/>
        <v>0</v>
      </c>
      <c r="J16" s="38" t="e">
        <f t="shared" si="3"/>
        <v>#DIV/0!</v>
      </c>
      <c r="K16" s="41"/>
      <c r="L16" s="35">
        <f t="shared" si="4"/>
        <v>45044</v>
      </c>
      <c r="M16" s="42" t="e">
        <f t="shared" si="5"/>
        <v>#DIV/0!</v>
      </c>
      <c r="N16" s="35"/>
      <c r="O16" s="35"/>
      <c r="P16" s="43"/>
      <c r="Q16" s="44"/>
      <c r="R16" s="45">
        <f t="shared" si="6"/>
        <v>0</v>
      </c>
      <c r="S16" s="45"/>
      <c r="T16" s="46">
        <f t="shared" si="7"/>
        <v>0</v>
      </c>
      <c r="U16" s="44">
        <f t="shared" si="8"/>
        <v>0</v>
      </c>
      <c r="V16" s="44">
        <f t="shared" si="9"/>
        <v>0</v>
      </c>
      <c r="W16" s="44" t="e">
        <f t="shared" si="10"/>
        <v>#DIV/0!</v>
      </c>
      <c r="X16" s="45"/>
      <c r="Y16" s="42" t="e">
        <f t="shared" si="11"/>
        <v>#DIV/0!</v>
      </c>
      <c r="Z16" s="47">
        <f t="shared" si="12"/>
        <v>0</v>
      </c>
      <c r="AB16" s="58"/>
      <c r="AC16" s="9"/>
    </row>
    <row r="17" spans="1:26" x14ac:dyDescent="0.25">
      <c r="A17" t="s">
        <v>43</v>
      </c>
      <c r="D17" s="2"/>
      <c r="F17" s="3">
        <f>SUM(F6:F16)</f>
        <v>552769.72342699999</v>
      </c>
      <c r="G17" s="3">
        <f>SUM(G6:G16)</f>
        <v>470943.93000000005</v>
      </c>
      <c r="H17" s="4"/>
      <c r="I17" s="3">
        <f>SUM(I6:I16)</f>
        <v>81825.793426999968</v>
      </c>
      <c r="M17" s="5"/>
      <c r="Z17" s="6"/>
    </row>
    <row r="18" spans="1:26" x14ac:dyDescent="0.25">
      <c r="D18" s="2" t="s">
        <v>44</v>
      </c>
      <c r="F18" s="3">
        <v>213369</v>
      </c>
      <c r="G18" s="6">
        <f>F18/F19</f>
        <v>0.27849917185439127</v>
      </c>
      <c r="H18" s="4"/>
      <c r="I18" s="3"/>
      <c r="M18" s="5"/>
      <c r="Z18" s="6"/>
    </row>
    <row r="19" spans="1:26" x14ac:dyDescent="0.25">
      <c r="D19" s="2" t="s">
        <v>45</v>
      </c>
      <c r="F19" s="3">
        <f>SUM(F17:F18)</f>
        <v>766138.72342699999</v>
      </c>
      <c r="G19" s="3"/>
      <c r="H19" s="48"/>
      <c r="I19" s="49"/>
      <c r="K19" t="s">
        <v>46</v>
      </c>
      <c r="M19" s="13" t="s">
        <v>47</v>
      </c>
      <c r="Z19" s="6"/>
    </row>
    <row r="20" spans="1:26" x14ac:dyDescent="0.25">
      <c r="D20" s="2"/>
      <c r="F20" s="4"/>
      <c r="G20" s="3"/>
      <c r="H20" s="4" t="s">
        <v>48</v>
      </c>
      <c r="I20" s="50">
        <f>'02-07-25'!F19</f>
        <v>766252.15165300004</v>
      </c>
      <c r="K20" s="1">
        <v>45657</v>
      </c>
      <c r="L20" s="50">
        <v>170762</v>
      </c>
      <c r="M20" s="50">
        <v>178205</v>
      </c>
      <c r="Z20" s="6"/>
    </row>
    <row r="21" spans="1:26" x14ac:dyDescent="0.25">
      <c r="D21" s="2"/>
      <c r="F21" s="3"/>
      <c r="G21" s="51"/>
      <c r="H21" s="4" t="s">
        <v>49</v>
      </c>
      <c r="I21" s="6">
        <f>(F19-I20)/I20</f>
        <v>-1.4802989558378906E-4</v>
      </c>
      <c r="K21" s="9" t="s">
        <v>50</v>
      </c>
      <c r="L21" s="6">
        <f>(M20-L20)/L20</f>
        <v>4.3586980709994026E-2</v>
      </c>
      <c r="Z21" s="6"/>
    </row>
    <row r="23" spans="1:26" x14ac:dyDescent="0.25">
      <c r="D23" s="9"/>
      <c r="E23" s="9"/>
      <c r="F23" s="52"/>
      <c r="G23" s="3"/>
      <c r="H23" s="3"/>
      <c r="I23" s="12"/>
      <c r="J23" s="9"/>
      <c r="K23" s="9"/>
      <c r="L23" s="9"/>
      <c r="M23" s="13" t="s">
        <v>51</v>
      </c>
    </row>
    <row r="24" spans="1:26" x14ac:dyDescent="0.25">
      <c r="A24" s="53" t="s">
        <v>60</v>
      </c>
      <c r="D24" s="54" t="s">
        <v>15</v>
      </c>
      <c r="E24" s="54" t="s">
        <v>52</v>
      </c>
      <c r="F24" s="55" t="s">
        <v>53</v>
      </c>
      <c r="G24" s="55" t="s">
        <v>54</v>
      </c>
      <c r="H24" s="55" t="s">
        <v>55</v>
      </c>
      <c r="I24" s="55" t="s">
        <v>56</v>
      </c>
      <c r="J24" s="54" t="s">
        <v>11</v>
      </c>
      <c r="K24" s="54" t="s">
        <v>20</v>
      </c>
      <c r="L24" s="54" t="s">
        <v>57</v>
      </c>
      <c r="M24" s="54" t="s">
        <v>58</v>
      </c>
      <c r="N24" s="1"/>
      <c r="P24" s="9" t="s">
        <v>59</v>
      </c>
    </row>
    <row r="25" spans="1:26" x14ac:dyDescent="0.25">
      <c r="A25" t="s">
        <v>39</v>
      </c>
      <c r="B25" t="s">
        <v>30</v>
      </c>
      <c r="C25" s="25" t="s">
        <v>40</v>
      </c>
      <c r="D25" s="2">
        <v>935.03689999999995</v>
      </c>
      <c r="E25" s="57">
        <f>F25/D25</f>
        <v>72.335006244138597</v>
      </c>
      <c r="F25" s="56">
        <v>67635.899999999994</v>
      </c>
      <c r="G25" s="56">
        <v>64699.88</v>
      </c>
      <c r="H25" s="57">
        <f>G25/D25</f>
        <v>69.195001822922706</v>
      </c>
      <c r="I25" s="57">
        <f>G25-F25</f>
        <v>-2936.0199999999968</v>
      </c>
      <c r="J25" s="6">
        <f>I25/F25</f>
        <v>-4.340919541249539E-2</v>
      </c>
      <c r="K25" s="1">
        <v>45609</v>
      </c>
      <c r="L25" s="1">
        <v>45659</v>
      </c>
      <c r="M25">
        <f t="shared" ref="M25:M29" si="13">DAYS360(K25,L25)</f>
        <v>49</v>
      </c>
    </row>
    <row r="26" spans="1:26" x14ac:dyDescent="0.25">
      <c r="A26" t="s">
        <v>61</v>
      </c>
      <c r="B26" t="s">
        <v>30</v>
      </c>
      <c r="C26" s="25" t="s">
        <v>62</v>
      </c>
      <c r="D26" s="2">
        <v>653.82380000000001</v>
      </c>
      <c r="E26" s="57">
        <f>F26/D26</f>
        <v>90.119203369470497</v>
      </c>
      <c r="F26" s="3">
        <v>58922.080000000002</v>
      </c>
      <c r="G26" s="56">
        <v>54094.080000000002</v>
      </c>
      <c r="H26" s="57">
        <f>G26/D26</f>
        <v>82.734950914910101</v>
      </c>
      <c r="I26" s="57">
        <f>G26-F26</f>
        <v>-4828</v>
      </c>
      <c r="J26" s="6">
        <f>I26/F26</f>
        <v>-8.1938723140798822E-2</v>
      </c>
      <c r="K26" s="1">
        <v>45660</v>
      </c>
      <c r="L26" s="1">
        <v>45667</v>
      </c>
      <c r="M26">
        <f t="shared" si="13"/>
        <v>7</v>
      </c>
    </row>
    <row r="27" spans="1:26" x14ac:dyDescent="0.25">
      <c r="A27" t="s">
        <v>29</v>
      </c>
      <c r="B27" t="s">
        <v>30</v>
      </c>
      <c r="C27" s="25" t="s">
        <v>31</v>
      </c>
      <c r="D27" s="2">
        <v>1263.7796000000001</v>
      </c>
      <c r="E27" s="57">
        <f t="shared" ref="E27:E29" si="14">F27/D27</f>
        <v>44.698790833464948</v>
      </c>
      <c r="F27" s="3">
        <v>56489.42</v>
      </c>
      <c r="G27" s="56">
        <v>75501.87</v>
      </c>
      <c r="H27" s="57">
        <f t="shared" ref="H27:H29" si="15">G27/D27</f>
        <v>59.742909285764696</v>
      </c>
      <c r="I27" s="57">
        <f t="shared" ref="I27:I29" si="16">G27-F27</f>
        <v>19012.449999999997</v>
      </c>
      <c r="J27" s="6">
        <f t="shared" ref="J27:J29" si="17">I27/F27</f>
        <v>0.33656656414599401</v>
      </c>
      <c r="K27" s="1">
        <v>45527</v>
      </c>
      <c r="L27" s="1">
        <v>45688</v>
      </c>
      <c r="M27">
        <f t="shared" si="13"/>
        <v>158</v>
      </c>
    </row>
    <row r="28" spans="1:26" x14ac:dyDescent="0.25">
      <c r="A28" t="s">
        <v>73</v>
      </c>
      <c r="B28" t="s">
        <v>30</v>
      </c>
      <c r="C28" s="25" t="s">
        <v>74</v>
      </c>
      <c r="D28" s="2">
        <f>347.7531+131.6951</f>
        <v>479.44820000000004</v>
      </c>
      <c r="E28" s="57">
        <f t="shared" si="14"/>
        <v>169.90901206845703</v>
      </c>
      <c r="F28" s="3">
        <f>59492.79+21969.78</f>
        <v>81462.570000000007</v>
      </c>
      <c r="G28" s="56">
        <v>65047.58</v>
      </c>
      <c r="H28" s="57">
        <f t="shared" si="15"/>
        <v>135.67175765807443</v>
      </c>
      <c r="I28" s="57">
        <f t="shared" si="16"/>
        <v>-16414.990000000005</v>
      </c>
      <c r="J28" s="6">
        <f t="shared" si="17"/>
        <v>-0.20150346349249729</v>
      </c>
      <c r="K28" s="1">
        <v>45671</v>
      </c>
      <c r="L28" s="1">
        <v>45688</v>
      </c>
      <c r="M28">
        <f t="shared" si="13"/>
        <v>17</v>
      </c>
    </row>
    <row r="29" spans="1:26" x14ac:dyDescent="0.25">
      <c r="A29" t="s">
        <v>32</v>
      </c>
      <c r="B29" t="s">
        <v>30</v>
      </c>
      <c r="C29" s="25" t="s">
        <v>33</v>
      </c>
      <c r="D29" s="2">
        <v>3020.3485999999998</v>
      </c>
      <c r="E29" s="57">
        <f t="shared" si="14"/>
        <v>18.702010092477405</v>
      </c>
      <c r="F29" s="3">
        <v>56486.59</v>
      </c>
      <c r="G29" s="56">
        <v>71124.88</v>
      </c>
      <c r="H29" s="57">
        <f t="shared" si="15"/>
        <v>23.548566546258936</v>
      </c>
      <c r="I29" s="57">
        <f t="shared" si="16"/>
        <v>14638.290000000008</v>
      </c>
      <c r="J29" s="6">
        <f t="shared" si="17"/>
        <v>0.25914628587068206</v>
      </c>
      <c r="K29" s="1">
        <v>45527</v>
      </c>
      <c r="L29" s="1">
        <v>45691</v>
      </c>
      <c r="M29">
        <f t="shared" si="13"/>
        <v>160</v>
      </c>
    </row>
    <row r="30" spans="1:26" x14ac:dyDescent="0.25">
      <c r="F30" s="56"/>
      <c r="G30" s="56"/>
      <c r="J30" s="6"/>
      <c r="K30" s="1"/>
    </row>
    <row r="31" spans="1:26" x14ac:dyDescent="0.25">
      <c r="F31" s="56"/>
      <c r="G31" s="56"/>
      <c r="J31" s="6"/>
      <c r="K31" s="1"/>
    </row>
    <row r="32" spans="1:26" x14ac:dyDescent="0.25">
      <c r="F32" s="56"/>
      <c r="G32" s="56"/>
      <c r="J32" s="6"/>
      <c r="K32" s="1"/>
    </row>
    <row r="33" spans="6:11" x14ac:dyDescent="0.25">
      <c r="F33" s="56"/>
      <c r="G33" s="56"/>
      <c r="J33" s="6"/>
      <c r="K33" s="1"/>
    </row>
    <row r="34" spans="6:11" x14ac:dyDescent="0.25">
      <c r="F34" s="56"/>
      <c r="G34" s="56"/>
      <c r="J34" s="6"/>
    </row>
    <row r="35" spans="6:11" x14ac:dyDescent="0.25">
      <c r="F35" s="56"/>
      <c r="G35" s="56"/>
      <c r="H35" s="3"/>
      <c r="I35" s="3">
        <f>SUM(I25:I34)</f>
        <v>9471.7300000000032</v>
      </c>
      <c r="J35" s="13" t="s">
        <v>66</v>
      </c>
    </row>
    <row r="36" spans="6:11" x14ac:dyDescent="0.25">
      <c r="F36" s="56"/>
      <c r="G36" s="56"/>
      <c r="H36" s="3" t="s">
        <v>67</v>
      </c>
      <c r="I36" s="59">
        <v>3</v>
      </c>
      <c r="J36" s="5">
        <v>-0.1089</v>
      </c>
    </row>
    <row r="37" spans="6:11" x14ac:dyDescent="0.25">
      <c r="F37" s="56"/>
      <c r="G37" s="56"/>
      <c r="H37" s="3" t="s">
        <v>68</v>
      </c>
      <c r="I37" s="59">
        <v>2</v>
      </c>
      <c r="J37" s="5">
        <v>0.2979</v>
      </c>
    </row>
    <row r="38" spans="6:11" x14ac:dyDescent="0.25">
      <c r="F38" s="56"/>
      <c r="G38" s="56"/>
      <c r="J38" s="6"/>
    </row>
    <row r="39" spans="6:11" x14ac:dyDescent="0.25">
      <c r="F39" s="56"/>
      <c r="G39" s="56"/>
      <c r="J39" s="6"/>
    </row>
    <row r="40" spans="6:11" x14ac:dyDescent="0.25">
      <c r="F40" s="56"/>
      <c r="G40" s="56"/>
      <c r="J40" s="6"/>
    </row>
    <row r="41" spans="6:11" x14ac:dyDescent="0.25">
      <c r="F41" s="56"/>
      <c r="G41" s="56"/>
      <c r="J41" s="6"/>
    </row>
    <row r="42" spans="6:11" x14ac:dyDescent="0.25">
      <c r="F42" s="56"/>
      <c r="G42" s="56"/>
      <c r="J42" s="6"/>
    </row>
    <row r="43" spans="6:11" x14ac:dyDescent="0.25">
      <c r="F43" s="56"/>
      <c r="G43" s="56"/>
      <c r="J43" s="6"/>
    </row>
    <row r="44" spans="6:11" x14ac:dyDescent="0.25">
      <c r="F44" s="56"/>
      <c r="G44" s="56"/>
      <c r="J44" s="6"/>
    </row>
    <row r="45" spans="6:11" x14ac:dyDescent="0.25">
      <c r="F45" s="56"/>
      <c r="G45" s="56"/>
      <c r="J45" s="6"/>
    </row>
    <row r="46" spans="6:11" x14ac:dyDescent="0.25">
      <c r="F46" s="56"/>
      <c r="G46" s="56"/>
      <c r="J46" s="6"/>
    </row>
    <row r="47" spans="6:11" x14ac:dyDescent="0.25">
      <c r="F47" s="56"/>
      <c r="G47" s="56"/>
      <c r="J47" s="6"/>
    </row>
    <row r="48" spans="6:11" x14ac:dyDescent="0.25">
      <c r="F48" s="56"/>
      <c r="G48" s="56"/>
      <c r="J48" s="6"/>
    </row>
    <row r="49" spans="6:10" x14ac:dyDescent="0.25">
      <c r="F49" s="56"/>
      <c r="G49" s="56"/>
      <c r="J49" s="6"/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</row>
    <row r="62" spans="6:10" x14ac:dyDescent="0.25">
      <c r="F62" s="56"/>
      <c r="G62" s="56"/>
    </row>
    <row r="63" spans="6:10" x14ac:dyDescent="0.25">
      <c r="F63" s="56"/>
      <c r="G63" s="56"/>
    </row>
    <row r="64" spans="6:10" x14ac:dyDescent="0.25">
      <c r="F64" s="56"/>
      <c r="G64" s="56"/>
    </row>
    <row r="65" spans="6:7" x14ac:dyDescent="0.25">
      <c r="F65" s="56"/>
      <c r="G65" s="56"/>
    </row>
    <row r="66" spans="6:7" x14ac:dyDescent="0.25">
      <c r="F66" s="56"/>
      <c r="G66" s="5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64CD-1EB8-4ED2-8EF5-6D79B2BD3E60}">
  <dimension ref="A1:AC70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9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45709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34</v>
      </c>
      <c r="B7" t="s">
        <v>30</v>
      </c>
      <c r="C7" s="25" t="s">
        <v>35</v>
      </c>
      <c r="D7" s="2">
        <f>341.2204-83.2121</f>
        <v>258.00829999999996</v>
      </c>
      <c r="E7" s="26">
        <v>299.69</v>
      </c>
      <c r="F7" s="3">
        <f t="shared" ref="F7:F13" si="0">E7*D7</f>
        <v>77322.50742699999</v>
      </c>
      <c r="G7" s="3">
        <f>71012.62-17317.27</f>
        <v>53695.349999999991</v>
      </c>
      <c r="H7" s="4">
        <f t="shared" ref="H7:H13" si="1">G7/D7</f>
        <v>208.11481646133089</v>
      </c>
      <c r="I7" s="3">
        <f t="shared" ref="I7:I13" si="2">F7-G7</f>
        <v>23627.157426999998</v>
      </c>
      <c r="J7" s="26">
        <f t="shared" ref="J7:J13" si="3">E7-H7</f>
        <v>91.575183538669108</v>
      </c>
      <c r="K7" s="27">
        <v>45580</v>
      </c>
      <c r="L7">
        <f t="shared" ref="L7:L13" si="4">DAYS360(K7,$C$1)</f>
        <v>126</v>
      </c>
      <c r="M7" s="5">
        <f t="shared" ref="M7:M13" si="5">(I7/G7)</f>
        <v>0.44002241212693466</v>
      </c>
      <c r="N7">
        <v>27</v>
      </c>
      <c r="O7">
        <v>98</v>
      </c>
      <c r="P7" s="30">
        <v>5</v>
      </c>
      <c r="Q7" s="28">
        <v>183.7</v>
      </c>
      <c r="R7" s="29">
        <f t="shared" ref="R7:R13" si="6">Q7*0.93</f>
        <v>170.84100000000001</v>
      </c>
      <c r="S7" s="29">
        <v>285.01</v>
      </c>
      <c r="T7" s="28">
        <f t="shared" ref="T7:T13" si="7">Q7*1.25</f>
        <v>229.625</v>
      </c>
      <c r="U7" s="28">
        <f t="shared" ref="U7:U13" si="8">Q7*1.5</f>
        <v>275.54999999999995</v>
      </c>
      <c r="V7" s="28">
        <f t="shared" ref="V7:V13" si="9">Q7*2</f>
        <v>367.4</v>
      </c>
      <c r="W7" s="28">
        <f t="shared" ref="W7:W13" si="10">H7-(H7*0.07)</f>
        <v>193.54677930903773</v>
      </c>
      <c r="X7" s="29">
        <v>335</v>
      </c>
      <c r="Y7" s="5">
        <f t="shared" ref="Y7:Y13" si="11">(X7-H7)/H7</f>
        <v>0.60968837152565358</v>
      </c>
      <c r="Z7" s="32">
        <f t="shared" ref="Z7:Z13" si="12">F7/F$20</f>
        <v>0.1108313534080763</v>
      </c>
      <c r="AB7" s="58">
        <v>45783</v>
      </c>
      <c r="AC7" s="9">
        <v>53</v>
      </c>
    </row>
    <row r="8" spans="1:29" x14ac:dyDescent="0.25">
      <c r="A8" t="s">
        <v>36</v>
      </c>
      <c r="B8" t="s">
        <v>30</v>
      </c>
      <c r="C8" t="s">
        <v>37</v>
      </c>
      <c r="D8" s="2">
        <f>939.2424+388.9544</f>
        <v>1328.1967999999999</v>
      </c>
      <c r="E8" s="26">
        <v>53.91</v>
      </c>
      <c r="F8" s="3">
        <f t="shared" si="0"/>
        <v>71603.089487999998</v>
      </c>
      <c r="G8" s="3">
        <f>36992.18+23418.77</f>
        <v>60410.95</v>
      </c>
      <c r="H8" s="4">
        <f t="shared" si="1"/>
        <v>45.483432876814639</v>
      </c>
      <c r="I8" s="3">
        <f t="shared" si="2"/>
        <v>11192.139488000001</v>
      </c>
      <c r="J8" s="26">
        <f t="shared" si="3"/>
        <v>8.4265671231853574</v>
      </c>
      <c r="K8" s="27">
        <v>45593</v>
      </c>
      <c r="L8">
        <f t="shared" si="4"/>
        <v>113</v>
      </c>
      <c r="M8" s="5">
        <f t="shared" si="5"/>
        <v>0.18526673538489299</v>
      </c>
      <c r="O8">
        <v>93</v>
      </c>
      <c r="P8" s="33" t="s">
        <v>38</v>
      </c>
      <c r="Q8" s="28">
        <v>61.08</v>
      </c>
      <c r="R8" s="29">
        <f t="shared" si="6"/>
        <v>56.804400000000001</v>
      </c>
      <c r="S8" s="29">
        <v>51.54</v>
      </c>
      <c r="T8" s="28">
        <f t="shared" si="7"/>
        <v>76.349999999999994</v>
      </c>
      <c r="U8" s="28">
        <f t="shared" si="8"/>
        <v>91.62</v>
      </c>
      <c r="V8" s="28">
        <f t="shared" si="9"/>
        <v>122.16</v>
      </c>
      <c r="W8" s="28">
        <f t="shared" si="10"/>
        <v>42.299592575437615</v>
      </c>
      <c r="X8" s="29">
        <v>53</v>
      </c>
      <c r="Y8" s="5">
        <f t="shared" si="11"/>
        <v>0.1652594504804179</v>
      </c>
      <c r="Z8" s="32">
        <f t="shared" si="12"/>
        <v>0.10263334157453281</v>
      </c>
      <c r="AB8" s="58"/>
      <c r="AC8" s="9"/>
    </row>
    <row r="9" spans="1:29" x14ac:dyDescent="0.25">
      <c r="A9" t="s">
        <v>41</v>
      </c>
      <c r="B9" t="s">
        <v>30</v>
      </c>
      <c r="C9" s="25" t="s">
        <v>42</v>
      </c>
      <c r="D9" s="2">
        <v>2234.6064999999999</v>
      </c>
      <c r="E9" s="26">
        <v>18</v>
      </c>
      <c r="F9" s="3">
        <f t="shared" si="0"/>
        <v>40222.917000000001</v>
      </c>
      <c r="G9" s="3">
        <v>37971.83</v>
      </c>
      <c r="H9" s="4">
        <f t="shared" si="1"/>
        <v>16.992624876012847</v>
      </c>
      <c r="I9" s="3">
        <f t="shared" si="2"/>
        <v>2251.0869999999995</v>
      </c>
      <c r="J9" s="26">
        <f t="shared" si="3"/>
        <v>1.0073751239871527</v>
      </c>
      <c r="K9" s="27">
        <v>45652</v>
      </c>
      <c r="L9">
        <f t="shared" si="4"/>
        <v>55</v>
      </c>
      <c r="M9" s="5">
        <f t="shared" si="5"/>
        <v>5.9283079061504262E-2</v>
      </c>
      <c r="N9">
        <v>54</v>
      </c>
      <c r="O9">
        <v>97</v>
      </c>
      <c r="P9" s="30">
        <v>81</v>
      </c>
      <c r="Q9" s="28">
        <v>15.9</v>
      </c>
      <c r="R9" s="29">
        <f t="shared" si="6"/>
        <v>14.787000000000001</v>
      </c>
      <c r="S9" s="29">
        <v>14</v>
      </c>
      <c r="T9" s="31">
        <f t="shared" si="7"/>
        <v>19.875</v>
      </c>
      <c r="U9" s="28">
        <f t="shared" si="8"/>
        <v>23.85</v>
      </c>
      <c r="V9" s="28">
        <f t="shared" si="9"/>
        <v>31.8</v>
      </c>
      <c r="W9" s="28">
        <f t="shared" si="10"/>
        <v>15.803141134691948</v>
      </c>
      <c r="X9" s="29">
        <v>15.65</v>
      </c>
      <c r="Y9" s="5">
        <f t="shared" si="11"/>
        <v>-7.9012211815969929E-2</v>
      </c>
      <c r="Z9" s="6">
        <f t="shared" si="12"/>
        <v>5.7654109747274696E-2</v>
      </c>
      <c r="AB9" s="60">
        <v>45713</v>
      </c>
      <c r="AC9" s="9">
        <v>94</v>
      </c>
    </row>
    <row r="10" spans="1:29" x14ac:dyDescent="0.25">
      <c r="A10" t="s">
        <v>75</v>
      </c>
      <c r="B10" t="s">
        <v>30</v>
      </c>
      <c r="C10" s="25" t="s">
        <v>76</v>
      </c>
      <c r="D10" s="2">
        <f>675.2982+456.8207</f>
        <v>1132.1188999999999</v>
      </c>
      <c r="E10" s="26">
        <v>65.069999999999993</v>
      </c>
      <c r="F10" s="3">
        <f t="shared" si="0"/>
        <v>73666.97682299999</v>
      </c>
      <c r="G10" s="3">
        <f>45046.15+31240.53</f>
        <v>76286.679999999993</v>
      </c>
      <c r="H10" s="4">
        <f t="shared" si="1"/>
        <v>67.38398237146292</v>
      </c>
      <c r="I10" s="3">
        <f t="shared" si="2"/>
        <v>-2619.7031770000031</v>
      </c>
      <c r="J10" s="26">
        <f t="shared" si="3"/>
        <v>-2.3139823714629273</v>
      </c>
      <c r="K10" s="27">
        <v>45673</v>
      </c>
      <c r="L10">
        <f t="shared" si="4"/>
        <v>35</v>
      </c>
      <c r="M10" s="5">
        <f t="shared" si="5"/>
        <v>-3.4340243630998274E-2</v>
      </c>
      <c r="N10">
        <v>116</v>
      </c>
      <c r="O10">
        <v>90</v>
      </c>
      <c r="P10" s="34">
        <v>90</v>
      </c>
      <c r="Q10" s="28">
        <v>67.95</v>
      </c>
      <c r="R10" s="29">
        <f t="shared" si="6"/>
        <v>63.193500000000007</v>
      </c>
      <c r="S10" s="29">
        <v>60.62</v>
      </c>
      <c r="T10" s="31">
        <f t="shared" si="7"/>
        <v>84.9375</v>
      </c>
      <c r="U10" s="28">
        <f t="shared" si="8"/>
        <v>101.92500000000001</v>
      </c>
      <c r="V10" s="28">
        <f t="shared" si="9"/>
        <v>135.9</v>
      </c>
      <c r="W10" s="28">
        <f t="shared" si="10"/>
        <v>62.667103605460518</v>
      </c>
      <c r="X10" s="29">
        <v>64</v>
      </c>
      <c r="Y10" s="5">
        <f t="shared" si="11"/>
        <v>-5.0219388233961597E-2</v>
      </c>
      <c r="Z10" s="6">
        <f t="shared" si="12"/>
        <v>0.10559164484523045</v>
      </c>
      <c r="AB10" s="60">
        <v>45714</v>
      </c>
      <c r="AC10" s="9">
        <v>88</v>
      </c>
    </row>
    <row r="11" spans="1:29" x14ac:dyDescent="0.25">
      <c r="A11" t="s">
        <v>77</v>
      </c>
      <c r="B11" t="s">
        <v>30</v>
      </c>
      <c r="C11" s="25" t="s">
        <v>78</v>
      </c>
      <c r="D11" s="2">
        <v>1628.6374000000001</v>
      </c>
      <c r="E11" s="26">
        <v>13.08</v>
      </c>
      <c r="F11" s="3">
        <f t="shared" si="0"/>
        <v>21302.577192000001</v>
      </c>
      <c r="G11" s="3">
        <v>22621.18</v>
      </c>
      <c r="H11" s="4">
        <f t="shared" si="1"/>
        <v>13.889635593533589</v>
      </c>
      <c r="I11" s="3">
        <f t="shared" si="2"/>
        <v>-1318.6028079999996</v>
      </c>
      <c r="J11" s="26">
        <f t="shared" si="3"/>
        <v>-0.8096355935335886</v>
      </c>
      <c r="K11" s="27">
        <v>45692</v>
      </c>
      <c r="L11">
        <f t="shared" si="4"/>
        <v>17</v>
      </c>
      <c r="M11" s="5">
        <f t="shared" si="5"/>
        <v>-5.8290628870819275E-2</v>
      </c>
      <c r="N11">
        <v>61</v>
      </c>
      <c r="O11">
        <v>86</v>
      </c>
      <c r="P11" s="30">
        <v>10</v>
      </c>
      <c r="Q11" s="28">
        <v>13.58</v>
      </c>
      <c r="R11" s="29">
        <f t="shared" si="6"/>
        <v>12.6294</v>
      </c>
      <c r="S11" s="29">
        <v>13</v>
      </c>
      <c r="T11" s="28">
        <f t="shared" si="7"/>
        <v>16.975000000000001</v>
      </c>
      <c r="U11" s="28">
        <f t="shared" si="8"/>
        <v>20.37</v>
      </c>
      <c r="V11" s="28">
        <f t="shared" si="9"/>
        <v>27.16</v>
      </c>
      <c r="W11" s="28">
        <f t="shared" si="10"/>
        <v>12.917361101986238</v>
      </c>
      <c r="X11" s="29">
        <v>13</v>
      </c>
      <c r="Y11" s="5">
        <f t="shared" si="11"/>
        <v>-6.4050319214117066E-2</v>
      </c>
      <c r="Z11" s="6">
        <f t="shared" si="12"/>
        <v>3.053436237176331E-2</v>
      </c>
      <c r="AB11" s="58">
        <v>45784</v>
      </c>
      <c r="AC11" s="9">
        <v>60</v>
      </c>
    </row>
    <row r="12" spans="1:29" x14ac:dyDescent="0.25">
      <c r="A12" t="s">
        <v>79</v>
      </c>
      <c r="B12" t="s">
        <v>30</v>
      </c>
      <c r="C12" s="25" t="s">
        <v>80</v>
      </c>
      <c r="D12" s="2">
        <v>440.02980000000002</v>
      </c>
      <c r="E12" s="26">
        <v>110.02</v>
      </c>
      <c r="F12" s="3">
        <f t="shared" si="0"/>
        <v>48412.078595999999</v>
      </c>
      <c r="G12" s="3">
        <v>46412.71</v>
      </c>
      <c r="H12" s="4">
        <f t="shared" si="1"/>
        <v>105.47628819684485</v>
      </c>
      <c r="I12" s="3">
        <f t="shared" si="2"/>
        <v>1999.3685960000003</v>
      </c>
      <c r="J12" s="26">
        <f t="shared" si="3"/>
        <v>4.5437118031551478</v>
      </c>
      <c r="K12" s="27">
        <v>45695</v>
      </c>
      <c r="L12">
        <f t="shared" si="4"/>
        <v>14</v>
      </c>
      <c r="M12" s="5">
        <f t="shared" si="5"/>
        <v>4.3078040390229319E-2</v>
      </c>
      <c r="N12">
        <v>28</v>
      </c>
      <c r="O12">
        <v>95</v>
      </c>
      <c r="P12" s="30">
        <v>99</v>
      </c>
      <c r="Q12" s="28">
        <v>101</v>
      </c>
      <c r="R12" s="29">
        <f t="shared" si="6"/>
        <v>93.93</v>
      </c>
      <c r="S12" s="29">
        <v>94.1</v>
      </c>
      <c r="T12" s="31">
        <f t="shared" si="7"/>
        <v>126.25</v>
      </c>
      <c r="U12" s="28">
        <f t="shared" si="8"/>
        <v>151.5</v>
      </c>
      <c r="V12" s="28">
        <f t="shared" si="9"/>
        <v>202</v>
      </c>
      <c r="W12" s="28">
        <f t="shared" si="10"/>
        <v>98.092948023065702</v>
      </c>
      <c r="X12" s="29">
        <v>99</v>
      </c>
      <c r="Y12" s="5">
        <f t="shared" si="11"/>
        <v>-6.1400418118226649E-2</v>
      </c>
      <c r="Z12" s="6">
        <f t="shared" si="12"/>
        <v>6.9392164980661947E-2</v>
      </c>
      <c r="AB12" s="58">
        <v>45778</v>
      </c>
      <c r="AC12" s="9">
        <v>99</v>
      </c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4"/>
        <v>45051</v>
      </c>
      <c r="M13" s="5" t="e">
        <f t="shared" si="5"/>
        <v>#DIV/0!</v>
      </c>
      <c r="P13" s="30"/>
      <c r="Q13" s="28"/>
      <c r="R13" s="29">
        <f t="shared" si="6"/>
        <v>0</v>
      </c>
      <c r="S13" s="29"/>
      <c r="T13" s="31">
        <f t="shared" si="7"/>
        <v>0</v>
      </c>
      <c r="U13" s="28">
        <f t="shared" si="8"/>
        <v>0</v>
      </c>
      <c r="V13" s="28">
        <f t="shared" si="9"/>
        <v>0</v>
      </c>
      <c r="W13" s="28" t="e">
        <f t="shared" si="10"/>
        <v>#DIV/0!</v>
      </c>
      <c r="X13" s="29"/>
      <c r="Y13" s="5" t="e">
        <f t="shared" si="11"/>
        <v>#DIV/0!</v>
      </c>
      <c r="Z13" s="32">
        <f t="shared" si="12"/>
        <v>0</v>
      </c>
      <c r="AB13" s="58"/>
      <c r="AC13" s="9"/>
    </row>
    <row r="14" spans="1:29" x14ac:dyDescent="0.25">
      <c r="C14" s="25"/>
      <c r="D14" s="2"/>
      <c r="E14" s="26"/>
      <c r="F14" s="3">
        <f t="shared" ref="F14:F17" si="13">E14*D14</f>
        <v>0</v>
      </c>
      <c r="G14" s="3"/>
      <c r="H14" s="4" t="e">
        <f t="shared" ref="H14:H17" si="14">G14/D14</f>
        <v>#DIV/0!</v>
      </c>
      <c r="I14" s="3">
        <f t="shared" ref="I14:I17" si="15">F14-G14</f>
        <v>0</v>
      </c>
      <c r="J14" s="26" t="e">
        <f t="shared" ref="J14:J17" si="16">E14-H14</f>
        <v>#DIV/0!</v>
      </c>
      <c r="K14" s="27"/>
      <c r="L14">
        <f t="shared" ref="L14:L17" si="17">DAYS360(K14,$C$1)</f>
        <v>45051</v>
      </c>
      <c r="M14" s="5" t="e">
        <f t="shared" ref="M14:M17" si="18">(I14/G14)</f>
        <v>#DIV/0!</v>
      </c>
      <c r="P14" s="30"/>
      <c r="Q14" s="28"/>
      <c r="R14" s="29">
        <f t="shared" ref="R14:R17" si="19">Q14*0.93</f>
        <v>0</v>
      </c>
      <c r="S14" s="29"/>
      <c r="T14" s="28">
        <f t="shared" ref="T14:T17" si="20">Q14*1.25</f>
        <v>0</v>
      </c>
      <c r="U14" s="28">
        <f t="shared" ref="U14:U17" si="21">Q14*1.5</f>
        <v>0</v>
      </c>
      <c r="V14" s="28">
        <f t="shared" ref="V14:V17" si="22">Q14*2</f>
        <v>0</v>
      </c>
      <c r="W14" s="28" t="e">
        <f t="shared" ref="W14:W17" si="23">H14-(H14*0.07)</f>
        <v>#DIV/0!</v>
      </c>
      <c r="X14" s="29"/>
      <c r="Y14" s="5" t="e">
        <f t="shared" ref="Y14:Y17" si="24">(X14-H14)/H14</f>
        <v>#DIV/0!</v>
      </c>
      <c r="Z14" s="6">
        <f t="shared" ref="Z14:Z17" si="25">F14/F$20</f>
        <v>0</v>
      </c>
      <c r="AB14" s="58"/>
      <c r="AC14" s="9"/>
    </row>
    <row r="15" spans="1:29" x14ac:dyDescent="0.25">
      <c r="C15" s="25"/>
      <c r="D15" s="2"/>
      <c r="E15" s="26"/>
      <c r="F15" s="3">
        <f t="shared" si="13"/>
        <v>0</v>
      </c>
      <c r="G15" s="3"/>
      <c r="H15" s="4" t="e">
        <f t="shared" si="14"/>
        <v>#DIV/0!</v>
      </c>
      <c r="I15" s="3">
        <f t="shared" si="15"/>
        <v>0</v>
      </c>
      <c r="J15" s="26" t="e">
        <f t="shared" si="16"/>
        <v>#DIV/0!</v>
      </c>
      <c r="K15" s="27"/>
      <c r="L15">
        <f t="shared" si="17"/>
        <v>45051</v>
      </c>
      <c r="M15" s="5" t="e">
        <f t="shared" si="18"/>
        <v>#DIV/0!</v>
      </c>
      <c r="P15" s="30"/>
      <c r="Q15" s="28"/>
      <c r="R15" s="29">
        <f t="shared" si="19"/>
        <v>0</v>
      </c>
      <c r="S15" s="29"/>
      <c r="T15" s="28">
        <f t="shared" si="20"/>
        <v>0</v>
      </c>
      <c r="U15" s="28">
        <f t="shared" si="21"/>
        <v>0</v>
      </c>
      <c r="V15" s="28">
        <f t="shared" si="22"/>
        <v>0</v>
      </c>
      <c r="W15" s="28" t="e">
        <f t="shared" si="23"/>
        <v>#DIV/0!</v>
      </c>
      <c r="X15" s="29"/>
      <c r="Y15" s="5" t="e">
        <f t="shared" si="24"/>
        <v>#DIV/0!</v>
      </c>
      <c r="Z15" s="32">
        <f t="shared" si="25"/>
        <v>0</v>
      </c>
      <c r="AB15" s="58"/>
      <c r="AC15" s="9"/>
    </row>
    <row r="16" spans="1:29" x14ac:dyDescent="0.25">
      <c r="C16" s="25"/>
      <c r="D16" s="2"/>
      <c r="E16" s="26"/>
      <c r="F16" s="3">
        <f t="shared" si="13"/>
        <v>0</v>
      </c>
      <c r="G16" s="3"/>
      <c r="H16" s="4" t="e">
        <f t="shared" si="14"/>
        <v>#DIV/0!</v>
      </c>
      <c r="I16" s="3">
        <f t="shared" si="15"/>
        <v>0</v>
      </c>
      <c r="J16" s="26" t="e">
        <f t="shared" si="16"/>
        <v>#DIV/0!</v>
      </c>
      <c r="K16" s="27"/>
      <c r="L16">
        <f t="shared" si="17"/>
        <v>45051</v>
      </c>
      <c r="M16" s="5" t="e">
        <f t="shared" si="18"/>
        <v>#DIV/0!</v>
      </c>
      <c r="P16" s="30"/>
      <c r="Q16" s="28"/>
      <c r="R16" s="29">
        <f t="shared" si="19"/>
        <v>0</v>
      </c>
      <c r="S16" s="29"/>
      <c r="T16" s="28">
        <f t="shared" si="20"/>
        <v>0</v>
      </c>
      <c r="U16" s="28">
        <f t="shared" si="21"/>
        <v>0</v>
      </c>
      <c r="V16" s="28">
        <f t="shared" si="22"/>
        <v>0</v>
      </c>
      <c r="W16" s="28" t="e">
        <f t="shared" si="23"/>
        <v>#DIV/0!</v>
      </c>
      <c r="X16" s="29"/>
      <c r="Y16" s="5" t="e">
        <f t="shared" si="24"/>
        <v>#DIV/0!</v>
      </c>
      <c r="Z16" s="6">
        <f t="shared" si="25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3"/>
        <v>0</v>
      </c>
      <c r="G17" s="39"/>
      <c r="H17" s="40" t="e">
        <f t="shared" si="14"/>
        <v>#DIV/0!</v>
      </c>
      <c r="I17" s="39">
        <f t="shared" si="15"/>
        <v>0</v>
      </c>
      <c r="J17" s="38" t="e">
        <f t="shared" si="16"/>
        <v>#DIV/0!</v>
      </c>
      <c r="K17" s="41"/>
      <c r="L17" s="35">
        <f t="shared" si="17"/>
        <v>45051</v>
      </c>
      <c r="M17" s="42" t="e">
        <f t="shared" si="18"/>
        <v>#DIV/0!</v>
      </c>
      <c r="N17" s="35"/>
      <c r="O17" s="35"/>
      <c r="P17" s="43"/>
      <c r="Q17" s="44"/>
      <c r="R17" s="45">
        <f t="shared" si="19"/>
        <v>0</v>
      </c>
      <c r="S17" s="45"/>
      <c r="T17" s="46">
        <f t="shared" si="20"/>
        <v>0</v>
      </c>
      <c r="U17" s="44">
        <f t="shared" si="21"/>
        <v>0</v>
      </c>
      <c r="V17" s="44">
        <f t="shared" si="22"/>
        <v>0</v>
      </c>
      <c r="W17" s="44" t="e">
        <f t="shared" si="23"/>
        <v>#DIV/0!</v>
      </c>
      <c r="X17" s="45"/>
      <c r="Y17" s="42" t="e">
        <f t="shared" si="24"/>
        <v>#DIV/0!</v>
      </c>
      <c r="Z17" s="47">
        <f t="shared" si="25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332530.146526</v>
      </c>
      <c r="G18" s="3">
        <f>SUM(G6:G17)</f>
        <v>297398.7</v>
      </c>
      <c r="H18" s="4"/>
      <c r="I18" s="3">
        <f>SUM(I6:I17)</f>
        <v>35131.446526</v>
      </c>
      <c r="M18" s="5"/>
      <c r="Z18" s="6"/>
    </row>
    <row r="19" spans="1:29" x14ac:dyDescent="0.25">
      <c r="D19" s="2" t="s">
        <v>44</v>
      </c>
      <c r="F19" s="3">
        <v>365129</v>
      </c>
      <c r="G19" s="6">
        <f>F19/F20</f>
        <v>0.52336302307246041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697659.146526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'02-14-25'!F19</f>
        <v>766138.72342699999</v>
      </c>
      <c r="K21" s="1">
        <v>45657</v>
      </c>
      <c r="L21" s="50">
        <v>170762</v>
      </c>
      <c r="M21" s="50">
        <v>162281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-8.9382738147845281E-2</v>
      </c>
      <c r="K22" s="9" t="s">
        <v>50</v>
      </c>
      <c r="L22" s="6">
        <f>(M21-L21)/L21</f>
        <v>-4.9665616472048819E-2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  <c r="P25" s="9" t="s">
        <v>87</v>
      </c>
      <c r="S25" t="s">
        <v>88</v>
      </c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5" si="26">DAYS360(K26,L26)</f>
        <v>49</v>
      </c>
      <c r="Q26" s="28">
        <v>67.58</v>
      </c>
      <c r="S26" s="62">
        <f>(Q26-H26)/H26</f>
        <v>-2.3339862423237837E-2</v>
      </c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26"/>
        <v>7</v>
      </c>
      <c r="Q27" s="28">
        <v>68.349999999999994</v>
      </c>
      <c r="S27" s="62">
        <f t="shared" ref="S27:S35" si="27">(Q27-H27)/H27</f>
        <v>-0.17386788480366064</v>
      </c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5" si="28">F28/D28</f>
        <v>44.698790833464948</v>
      </c>
      <c r="F28" s="3">
        <v>56489.42</v>
      </c>
      <c r="G28" s="56">
        <v>75501.87</v>
      </c>
      <c r="H28" s="57">
        <f t="shared" ref="H28:H30" si="29">G28/D28</f>
        <v>59.742909285764696</v>
      </c>
      <c r="I28" s="57">
        <f t="shared" ref="I28:I30" si="30">G28-F28</f>
        <v>19012.449999999997</v>
      </c>
      <c r="J28" s="6">
        <f t="shared" ref="J28:J30" si="31">I28/F28</f>
        <v>0.33656656414599401</v>
      </c>
      <c r="K28" s="1">
        <v>45527</v>
      </c>
      <c r="L28" s="1">
        <v>45688</v>
      </c>
      <c r="M28">
        <f t="shared" si="26"/>
        <v>158</v>
      </c>
      <c r="Q28" s="28">
        <v>48.44</v>
      </c>
      <c r="S28" s="62">
        <f t="shared" si="27"/>
        <v>-0.18919248193455337</v>
      </c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28"/>
        <v>169.90901206845703</v>
      </c>
      <c r="F29" s="3">
        <f>59492.79+21969.78</f>
        <v>81462.570000000007</v>
      </c>
      <c r="G29" s="56">
        <v>65047.58</v>
      </c>
      <c r="H29" s="57">
        <f t="shared" si="29"/>
        <v>135.67175765807443</v>
      </c>
      <c r="I29" s="57">
        <f t="shared" si="30"/>
        <v>-16414.990000000005</v>
      </c>
      <c r="J29" s="6">
        <f t="shared" si="31"/>
        <v>-0.20150346349249729</v>
      </c>
      <c r="K29" s="1">
        <v>45671</v>
      </c>
      <c r="L29" s="1">
        <v>45688</v>
      </c>
      <c r="M29">
        <f t="shared" si="26"/>
        <v>17</v>
      </c>
      <c r="Q29" s="28">
        <v>133.63</v>
      </c>
      <c r="S29" s="62">
        <f t="shared" si="27"/>
        <v>-1.5049246013456634E-2</v>
      </c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28"/>
        <v>18.702010092477405</v>
      </c>
      <c r="F30" s="3">
        <v>56486.59</v>
      </c>
      <c r="G30" s="56">
        <v>71124.88</v>
      </c>
      <c r="H30" s="57">
        <f t="shared" si="29"/>
        <v>23.548566546258936</v>
      </c>
      <c r="I30" s="57">
        <f t="shared" si="30"/>
        <v>14638.290000000008</v>
      </c>
      <c r="J30" s="6">
        <f t="shared" si="31"/>
        <v>0.25914628587068206</v>
      </c>
      <c r="K30" s="1">
        <v>45527</v>
      </c>
      <c r="L30" s="1">
        <v>45691</v>
      </c>
      <c r="M30">
        <f t="shared" si="26"/>
        <v>160</v>
      </c>
      <c r="Q30" s="28">
        <v>21.48</v>
      </c>
      <c r="S30" s="62">
        <f t="shared" si="27"/>
        <v>-8.7842567495368853E-2</v>
      </c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28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ref="H31:H33" si="32">G31/D31</f>
        <v>38.249853000000002</v>
      </c>
      <c r="I31" s="57">
        <f t="shared" ref="I31:I33" si="33">G31-F31</f>
        <v>-6110.386336591735</v>
      </c>
      <c r="J31" s="6">
        <f t="shared" ref="J31:J33" si="34">I31/F31</f>
        <v>-0.10005621882176895</v>
      </c>
      <c r="K31" s="1">
        <v>45706</v>
      </c>
      <c r="L31" s="1">
        <v>45708</v>
      </c>
      <c r="M31">
        <f t="shared" si="26"/>
        <v>2</v>
      </c>
      <c r="Q31" s="28">
        <v>37.700000000000003</v>
      </c>
      <c r="S31" s="62">
        <f t="shared" si="27"/>
        <v>-1.4375297076305072E-2</v>
      </c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28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32"/>
        <v>531.63995279999995</v>
      </c>
      <c r="I32" s="57">
        <f t="shared" si="33"/>
        <v>-22176.243614196137</v>
      </c>
      <c r="J32" s="6">
        <f t="shared" si="34"/>
        <v>-0.24194911929355969</v>
      </c>
      <c r="K32" s="1">
        <v>45706</v>
      </c>
      <c r="L32" s="1">
        <v>45708</v>
      </c>
      <c r="M32">
        <f t="shared" si="26"/>
        <v>2</v>
      </c>
      <c r="Q32" s="28">
        <v>513.22</v>
      </c>
      <c r="S32" s="62">
        <f t="shared" si="27"/>
        <v>-3.4647420125194027E-2</v>
      </c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28"/>
        <v>368.56522253629635</v>
      </c>
      <c r="F33" s="3">
        <v>74438.86</v>
      </c>
      <c r="G33" s="56">
        <f>201.9693*360.5332483</f>
        <v>72816.647785877198</v>
      </c>
      <c r="H33" s="57">
        <f t="shared" si="32"/>
        <v>360.53324830000003</v>
      </c>
      <c r="I33" s="57">
        <f t="shared" si="33"/>
        <v>-1622.2122141228028</v>
      </c>
      <c r="J33" s="6">
        <f t="shared" si="34"/>
        <v>-2.1792545105107773E-2</v>
      </c>
      <c r="K33" s="1">
        <v>45664</v>
      </c>
      <c r="L33" s="1">
        <v>45708</v>
      </c>
      <c r="M33">
        <f t="shared" si="26"/>
        <v>43</v>
      </c>
      <c r="Q33" s="28">
        <v>327.88</v>
      </c>
      <c r="S33" s="62">
        <f t="shared" si="27"/>
        <v>-9.0569312134089877E-2</v>
      </c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28"/>
        <v>30.17825528482809</v>
      </c>
      <c r="F34" s="3">
        <v>37884.65</v>
      </c>
      <c r="G34" s="56">
        <f>1255.3625*39.762296</f>
        <v>49916.0953123</v>
      </c>
      <c r="H34" s="57">
        <f t="shared" ref="H34:H35" si="35">G34/D34</f>
        <v>39.762295999999999</v>
      </c>
      <c r="I34" s="57">
        <f t="shared" ref="I34:I35" si="36">G34-F34</f>
        <v>12031.445312299998</v>
      </c>
      <c r="J34" s="6">
        <f t="shared" ref="J34:J35" si="37">I34/F34</f>
        <v>0.31758100740801348</v>
      </c>
      <c r="K34" s="1">
        <v>45663</v>
      </c>
      <c r="L34" s="1">
        <v>45709</v>
      </c>
      <c r="M34">
        <f t="shared" si="26"/>
        <v>45</v>
      </c>
      <c r="Q34" s="28">
        <v>38.79</v>
      </c>
      <c r="S34" s="62">
        <f t="shared" si="27"/>
        <v>-2.4452712690434177E-2</v>
      </c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28"/>
        <v>242.26930551548847</v>
      </c>
      <c r="F35" s="3">
        <v>61221.72</v>
      </c>
      <c r="G35" s="56">
        <f>252.7011*226.6146532</f>
        <v>57265.772139758519</v>
      </c>
      <c r="H35" s="57">
        <f t="shared" si="35"/>
        <v>226.61465319999999</v>
      </c>
      <c r="I35" s="57">
        <f t="shared" si="36"/>
        <v>-3955.947860241482</v>
      </c>
      <c r="J35" s="6">
        <f t="shared" si="37"/>
        <v>-6.4616738311852093E-2</v>
      </c>
      <c r="K35" s="1">
        <v>45699</v>
      </c>
      <c r="L35" s="1">
        <v>45709</v>
      </c>
      <c r="M35">
        <f t="shared" si="26"/>
        <v>10</v>
      </c>
      <c r="Q35" s="28">
        <v>224.64</v>
      </c>
      <c r="S35" s="62">
        <f t="shared" si="27"/>
        <v>-8.7137048382183169E-3</v>
      </c>
    </row>
    <row r="36" spans="1:19" x14ac:dyDescent="0.25">
      <c r="C36" s="25"/>
      <c r="D36" s="2"/>
      <c r="E36" s="57"/>
      <c r="F36" s="3"/>
      <c r="G36" s="56"/>
      <c r="H36" s="57"/>
      <c r="I36" s="57"/>
      <c r="J36" s="6"/>
      <c r="K36" s="1"/>
      <c r="L36" s="61"/>
    </row>
    <row r="37" spans="1:19" x14ac:dyDescent="0.25">
      <c r="F37" s="56"/>
      <c r="G37" s="56"/>
      <c r="J37" s="6"/>
      <c r="K37" s="1"/>
    </row>
    <row r="38" spans="1:19" x14ac:dyDescent="0.25">
      <c r="F38" s="56"/>
      <c r="G38" s="56"/>
      <c r="J38" s="6"/>
    </row>
    <row r="39" spans="1:19" x14ac:dyDescent="0.25">
      <c r="F39" s="56"/>
      <c r="G39" s="56"/>
      <c r="H39" s="3"/>
      <c r="I39" s="3">
        <f>SUM(I26:I38)</f>
        <v>-12361.614712852155</v>
      </c>
      <c r="J39" s="13" t="s">
        <v>66</v>
      </c>
    </row>
    <row r="40" spans="1:19" x14ac:dyDescent="0.25">
      <c r="F40" s="56"/>
      <c r="G40" s="56"/>
      <c r="H40" s="3" t="s">
        <v>67</v>
      </c>
      <c r="I40" s="59">
        <v>7</v>
      </c>
      <c r="J40" s="5">
        <v>-0.10829999999999999</v>
      </c>
    </row>
    <row r="41" spans="1:19" x14ac:dyDescent="0.25">
      <c r="F41" s="56"/>
      <c r="G41" s="56"/>
      <c r="H41" s="3" t="s">
        <v>68</v>
      </c>
      <c r="I41" s="59">
        <v>3</v>
      </c>
      <c r="J41" s="5">
        <v>0.30470000000000003</v>
      </c>
    </row>
    <row r="42" spans="1:19" x14ac:dyDescent="0.25">
      <c r="F42" s="56"/>
      <c r="G42" s="56"/>
      <c r="J42" s="6"/>
    </row>
    <row r="43" spans="1:19" x14ac:dyDescent="0.25">
      <c r="F43" s="56"/>
      <c r="G43" s="56"/>
      <c r="J43" s="6"/>
    </row>
    <row r="44" spans="1:19" x14ac:dyDescent="0.25">
      <c r="F44" s="56"/>
      <c r="G44" s="56"/>
      <c r="J44" s="6"/>
    </row>
    <row r="45" spans="1:19" x14ac:dyDescent="0.25">
      <c r="F45" s="56"/>
      <c r="G45" s="56"/>
      <c r="J45" s="6"/>
    </row>
    <row r="46" spans="1:19" x14ac:dyDescent="0.25">
      <c r="F46" s="56"/>
      <c r="G46" s="56"/>
      <c r="J46" s="6"/>
    </row>
    <row r="47" spans="1:19" x14ac:dyDescent="0.25">
      <c r="F47" s="56"/>
      <c r="G47" s="56"/>
      <c r="J47" s="6"/>
    </row>
    <row r="48" spans="1:19" x14ac:dyDescent="0.25">
      <c r="F48" s="56"/>
      <c r="G48" s="56"/>
      <c r="J48" s="6"/>
    </row>
    <row r="49" spans="6:10" x14ac:dyDescent="0.25">
      <c r="F49" s="56"/>
      <c r="G49" s="56"/>
      <c r="J49" s="6"/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  <c r="J61" s="6"/>
    </row>
    <row r="62" spans="6:10" x14ac:dyDescent="0.25">
      <c r="F62" s="56"/>
      <c r="G62" s="56"/>
      <c r="J62" s="6"/>
    </row>
    <row r="63" spans="6:10" x14ac:dyDescent="0.25">
      <c r="F63" s="56"/>
      <c r="G63" s="56"/>
      <c r="J63" s="6"/>
    </row>
    <row r="64" spans="6:10" x14ac:dyDescent="0.25">
      <c r="F64" s="56"/>
      <c r="G64" s="56"/>
      <c r="J64" s="6"/>
    </row>
    <row r="65" spans="6:7" x14ac:dyDescent="0.25">
      <c r="F65" s="56"/>
      <c r="G65" s="56"/>
    </row>
    <row r="66" spans="6:7" x14ac:dyDescent="0.25">
      <c r="F66" s="56"/>
      <c r="G66" s="56"/>
    </row>
    <row r="67" spans="6:7" x14ac:dyDescent="0.25">
      <c r="F67" s="56"/>
      <c r="G67" s="56"/>
    </row>
    <row r="68" spans="6:7" x14ac:dyDescent="0.25">
      <c r="F68" s="56"/>
      <c r="G68" s="56"/>
    </row>
    <row r="69" spans="6:7" x14ac:dyDescent="0.25">
      <c r="F69" s="56"/>
      <c r="G69" s="56"/>
    </row>
    <row r="70" spans="6:7" x14ac:dyDescent="0.25">
      <c r="F70" s="56"/>
      <c r="G70" s="56"/>
    </row>
  </sheetData>
  <sortState xmlns:xlrd2="http://schemas.microsoft.com/office/spreadsheetml/2017/richdata2" ref="A7:AC12">
    <sortCondition descending="1" ref="L7:L1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C5C1-EF5E-4B41-904D-9C5353481B00}">
  <dimension ref="A1:AC74"/>
  <sheetViews>
    <sheetView workbookViewId="0">
      <selection activeCell="M21" sqref="M21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9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45716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41</v>
      </c>
      <c r="B7" t="s">
        <v>30</v>
      </c>
      <c r="C7" s="25" t="s">
        <v>42</v>
      </c>
      <c r="D7" s="2">
        <v>2234.6064999999999</v>
      </c>
      <c r="E7" s="26">
        <v>20.010000000000002</v>
      </c>
      <c r="F7" s="3">
        <f>E7*D7</f>
        <v>44714.476065000003</v>
      </c>
      <c r="G7" s="3">
        <v>37971.83</v>
      </c>
      <c r="H7" s="4">
        <f>G7/D7</f>
        <v>16.992624876012847</v>
      </c>
      <c r="I7" s="3">
        <f>F7-G7</f>
        <v>6742.6460650000008</v>
      </c>
      <c r="J7" s="26">
        <f>E7-H7</f>
        <v>3.0173751239871542</v>
      </c>
      <c r="K7" s="27">
        <v>45652</v>
      </c>
      <c r="L7">
        <f>DAYS360(K7,$C$1)</f>
        <v>62</v>
      </c>
      <c r="M7" s="5">
        <f>(I7/G7)</f>
        <v>0.1775696895567056</v>
      </c>
      <c r="N7">
        <v>73</v>
      </c>
      <c r="O7">
        <v>98</v>
      </c>
      <c r="P7" s="30">
        <v>80</v>
      </c>
      <c r="Q7" s="28">
        <v>15.9</v>
      </c>
      <c r="R7" s="29">
        <f>Q7*0.93</f>
        <v>14.787000000000001</v>
      </c>
      <c r="S7" s="29">
        <v>14</v>
      </c>
      <c r="T7" s="31">
        <f>Q7*1.25</f>
        <v>19.875</v>
      </c>
      <c r="U7" s="28">
        <f>Q7*1.5</f>
        <v>23.85</v>
      </c>
      <c r="V7" s="28">
        <f>Q7*2</f>
        <v>31.8</v>
      </c>
      <c r="W7" s="28">
        <f>H7-(H7*0.07)</f>
        <v>15.803141134691948</v>
      </c>
      <c r="X7" s="29">
        <v>15.65</v>
      </c>
      <c r="Y7" s="5">
        <f>(X7-H7)/H7</f>
        <v>-7.9012211815969929E-2</v>
      </c>
      <c r="Z7" s="6">
        <f>F7/F$20</f>
        <v>6.4885090364193307E-2</v>
      </c>
      <c r="AB7" s="58">
        <v>45777</v>
      </c>
      <c r="AC7" s="9">
        <v>96</v>
      </c>
    </row>
    <row r="8" spans="1:29" x14ac:dyDescent="0.25">
      <c r="A8" t="s">
        <v>79</v>
      </c>
      <c r="B8" t="s">
        <v>30</v>
      </c>
      <c r="C8" s="25" t="s">
        <v>80</v>
      </c>
      <c r="D8" s="2">
        <v>440.02980000000002</v>
      </c>
      <c r="E8" s="26">
        <v>107.99</v>
      </c>
      <c r="F8" s="3">
        <f>E8*D8</f>
        <v>47518.818101999997</v>
      </c>
      <c r="G8" s="3">
        <v>46412.71</v>
      </c>
      <c r="H8" s="4">
        <f>G8/D8</f>
        <v>105.47628819684485</v>
      </c>
      <c r="I8" s="3">
        <f>F8-G8</f>
        <v>1106.1081019999983</v>
      </c>
      <c r="J8" s="26">
        <f>E8-H8</f>
        <v>2.5137118031551466</v>
      </c>
      <c r="K8" s="27">
        <v>45695</v>
      </c>
      <c r="L8">
        <f>DAYS360(K8,$C$1)</f>
        <v>21</v>
      </c>
      <c r="M8" s="5">
        <f>(I8/G8)</f>
        <v>2.3832008559724231E-2</v>
      </c>
      <c r="N8">
        <v>31</v>
      </c>
      <c r="O8">
        <v>95</v>
      </c>
      <c r="P8" s="30">
        <v>99</v>
      </c>
      <c r="Q8" s="28">
        <v>101</v>
      </c>
      <c r="R8" s="29">
        <f>Q8*0.93</f>
        <v>93.93</v>
      </c>
      <c r="S8" s="29">
        <v>94.1</v>
      </c>
      <c r="T8" s="31">
        <f>Q8*1.25</f>
        <v>126.25</v>
      </c>
      <c r="U8" s="28">
        <f>Q8*1.5</f>
        <v>151.5</v>
      </c>
      <c r="V8" s="28">
        <f>Q8*2</f>
        <v>202</v>
      </c>
      <c r="W8" s="28">
        <f>H8-(H8*0.07)</f>
        <v>98.092948023065702</v>
      </c>
      <c r="X8" s="29">
        <v>99</v>
      </c>
      <c r="Y8" s="5">
        <f>(X8-H8)/H8</f>
        <v>-6.1400418118226649E-2</v>
      </c>
      <c r="Z8" s="6">
        <f>F8/F$20</f>
        <v>6.8954465709625989E-2</v>
      </c>
      <c r="AB8" s="58">
        <v>45778</v>
      </c>
      <c r="AC8" s="9">
        <v>99</v>
      </c>
    </row>
    <row r="9" spans="1:29" x14ac:dyDescent="0.25">
      <c r="D9" s="2"/>
      <c r="E9" s="26"/>
      <c r="F9" s="3">
        <f>E9*D9</f>
        <v>0</v>
      </c>
      <c r="G9" s="3"/>
      <c r="H9" s="4" t="e">
        <f>G9/D9</f>
        <v>#DIV/0!</v>
      </c>
      <c r="I9" s="3">
        <f>F9-G9</f>
        <v>0</v>
      </c>
      <c r="J9" s="26" t="e">
        <f>E9-H9</f>
        <v>#DIV/0!</v>
      </c>
      <c r="K9" s="27"/>
      <c r="L9">
        <f>DAYS360(K9,$C$1)</f>
        <v>45058</v>
      </c>
      <c r="M9" s="5" t="e">
        <f>(I9/G9)</f>
        <v>#DIV/0!</v>
      </c>
      <c r="P9" s="33"/>
      <c r="Q9" s="28"/>
      <c r="R9" s="29">
        <f>Q9*0.93</f>
        <v>0</v>
      </c>
      <c r="S9" s="29"/>
      <c r="T9" s="28">
        <f>Q9*1.25</f>
        <v>0</v>
      </c>
      <c r="U9" s="28">
        <f>Q9*1.5</f>
        <v>0</v>
      </c>
      <c r="V9" s="28">
        <f>Q9*2</f>
        <v>0</v>
      </c>
      <c r="W9" s="28" t="e">
        <f>H9-(H9*0.07)</f>
        <v>#DIV/0!</v>
      </c>
      <c r="X9" s="29"/>
      <c r="Y9" s="5" t="e">
        <f>(X9-H9)/H9</f>
        <v>#DIV/0!</v>
      </c>
      <c r="Z9" s="32">
        <f>F9/F$20</f>
        <v>0</v>
      </c>
      <c r="AB9" s="58"/>
      <c r="AC9" s="9"/>
    </row>
    <row r="10" spans="1:29" x14ac:dyDescent="0.25">
      <c r="C10" s="25"/>
      <c r="D10" s="2"/>
      <c r="E10" s="26"/>
      <c r="F10" s="3">
        <f>E10*D10</f>
        <v>0</v>
      </c>
      <c r="G10" s="3"/>
      <c r="H10" s="4" t="e">
        <f>G10/D10</f>
        <v>#DIV/0!</v>
      </c>
      <c r="I10" s="3">
        <f>F10-G10</f>
        <v>0</v>
      </c>
      <c r="J10" s="26" t="e">
        <f>E10-H10</f>
        <v>#DIV/0!</v>
      </c>
      <c r="K10" s="27"/>
      <c r="L10">
        <f>DAYS360(K10,$C$1)</f>
        <v>45058</v>
      </c>
      <c r="M10" s="5" t="e">
        <f>(I10/G10)</f>
        <v>#DIV/0!</v>
      </c>
      <c r="P10" s="30"/>
      <c r="Q10" s="28"/>
      <c r="R10" s="29">
        <f>Q10*0.93</f>
        <v>0</v>
      </c>
      <c r="S10" s="29"/>
      <c r="T10" s="28">
        <f>Q10*1.25</f>
        <v>0</v>
      </c>
      <c r="U10" s="28">
        <f>Q10*1.5</f>
        <v>0</v>
      </c>
      <c r="V10" s="28">
        <f>Q10*2</f>
        <v>0</v>
      </c>
      <c r="W10" s="28" t="e">
        <f>H10-(H10*0.07)</f>
        <v>#DIV/0!</v>
      </c>
      <c r="X10" s="29"/>
      <c r="Y10" s="5" t="e">
        <f>(X10-H10)/H10</f>
        <v>#DIV/0!</v>
      </c>
      <c r="Z10" s="6">
        <f>F10/F$20</f>
        <v>0</v>
      </c>
      <c r="AB10" s="58"/>
      <c r="AC10" s="9"/>
    </row>
    <row r="11" spans="1:29" x14ac:dyDescent="0.25">
      <c r="C11" s="25"/>
      <c r="D11" s="2"/>
      <c r="E11" s="26"/>
      <c r="F11" s="3">
        <f t="shared" ref="F11:F12" si="0">E11*D11</f>
        <v>0</v>
      </c>
      <c r="G11" s="3"/>
      <c r="H11" s="4" t="e">
        <f t="shared" ref="H11:H12" si="1">G11/D11</f>
        <v>#DIV/0!</v>
      </c>
      <c r="I11" s="3">
        <f t="shared" ref="I11:I12" si="2">F11-G11</f>
        <v>0</v>
      </c>
      <c r="J11" s="26" t="e">
        <f t="shared" ref="J11:J12" si="3">E11-H11</f>
        <v>#DIV/0!</v>
      </c>
      <c r="K11" s="27"/>
      <c r="L11">
        <f t="shared" ref="L11:L12" si="4">DAYS360(K11,$C$1)</f>
        <v>45058</v>
      </c>
      <c r="M11" s="5" t="e">
        <f t="shared" ref="M11:M12" si="5">(I11/G11)</f>
        <v>#DIV/0!</v>
      </c>
      <c r="P11" s="30"/>
      <c r="Q11" s="28"/>
      <c r="R11" s="29">
        <f t="shared" ref="R11:R12" si="6">Q11*0.93</f>
        <v>0</v>
      </c>
      <c r="S11" s="29"/>
      <c r="T11" s="28">
        <f t="shared" ref="T11:T12" si="7">Q11*1.25</f>
        <v>0</v>
      </c>
      <c r="U11" s="28">
        <f t="shared" ref="U11:U12" si="8">Q11*1.5</f>
        <v>0</v>
      </c>
      <c r="V11" s="28">
        <f t="shared" ref="V11:V12" si="9">Q11*2</f>
        <v>0</v>
      </c>
      <c r="W11" s="28" t="e">
        <f t="shared" ref="W11:W12" si="10">H11-(H11*0.07)</f>
        <v>#DIV/0!</v>
      </c>
      <c r="X11" s="29"/>
      <c r="Y11" s="5" t="e">
        <f t="shared" ref="Y11:Y12" si="11">(X11-H11)/H11</f>
        <v>#DIV/0!</v>
      </c>
      <c r="Z11" s="32">
        <f t="shared" ref="Z11:Z12" si="12"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L12">
        <f t="shared" si="4"/>
        <v>45058</v>
      </c>
      <c r="M12" s="5" t="e">
        <f t="shared" si="5"/>
        <v>#DIV/0!</v>
      </c>
      <c r="P12" s="34"/>
      <c r="Q12" s="28"/>
      <c r="R12" s="29">
        <f t="shared" si="6"/>
        <v>0</v>
      </c>
      <c r="S12" s="29"/>
      <c r="T12" s="31">
        <f t="shared" si="7"/>
        <v>0</v>
      </c>
      <c r="U12" s="28">
        <f t="shared" si="8"/>
        <v>0</v>
      </c>
      <c r="V12" s="28">
        <f t="shared" si="9"/>
        <v>0</v>
      </c>
      <c r="W12" s="28" t="e">
        <f t="shared" si="10"/>
        <v>#DIV/0!</v>
      </c>
      <c r="X12" s="29"/>
      <c r="Y12" s="5" t="e">
        <f t="shared" si="11"/>
        <v>#DIV/0!</v>
      </c>
      <c r="Z12" s="6">
        <f t="shared" si="12"/>
        <v>0</v>
      </c>
      <c r="AB12" s="60"/>
      <c r="AC12" s="9"/>
    </row>
    <row r="13" spans="1:29" x14ac:dyDescent="0.25">
      <c r="C13" s="25"/>
      <c r="D13" s="2"/>
      <c r="E13" s="26"/>
      <c r="F13" s="3">
        <f t="shared" ref="F13:F17" si="13">E13*D13</f>
        <v>0</v>
      </c>
      <c r="G13" s="3"/>
      <c r="H13" s="4" t="e">
        <f t="shared" ref="H13:H17" si="14">G13/D13</f>
        <v>#DIV/0!</v>
      </c>
      <c r="I13" s="3">
        <f t="shared" ref="I13:I17" si="15">F13-G13</f>
        <v>0</v>
      </c>
      <c r="J13" s="26" t="e">
        <f t="shared" ref="J13:J17" si="16">E13-H13</f>
        <v>#DIV/0!</v>
      </c>
      <c r="K13" s="27"/>
      <c r="L13">
        <f t="shared" ref="L13:L17" si="17">DAYS360(K13,$C$1)</f>
        <v>45058</v>
      </c>
      <c r="M13" s="5" t="e">
        <f t="shared" ref="M13:M17" si="18">(I13/G13)</f>
        <v>#DIV/0!</v>
      </c>
      <c r="P13" s="30"/>
      <c r="Q13" s="28"/>
      <c r="R13" s="29">
        <f t="shared" ref="R13:R17" si="19">Q13*0.93</f>
        <v>0</v>
      </c>
      <c r="S13" s="29"/>
      <c r="T13" s="31">
        <f t="shared" ref="T13:T17" si="20">Q13*1.25</f>
        <v>0</v>
      </c>
      <c r="U13" s="28">
        <f t="shared" ref="U13:U17" si="21">Q13*1.5</f>
        <v>0</v>
      </c>
      <c r="V13" s="28">
        <f t="shared" ref="V13:V17" si="22">Q13*2</f>
        <v>0</v>
      </c>
      <c r="W13" s="28" t="e">
        <f t="shared" ref="W13:W17" si="23">H13-(H13*0.07)</f>
        <v>#DIV/0!</v>
      </c>
      <c r="X13" s="29"/>
      <c r="Y13" s="5" t="e">
        <f t="shared" ref="Y13:Y17" si="24">(X13-H13)/H13</f>
        <v>#DIV/0!</v>
      </c>
      <c r="Z13" s="32">
        <f t="shared" ref="Z13:Z17" si="25">F13/F$20</f>
        <v>0</v>
      </c>
      <c r="AB13" s="58"/>
      <c r="AC13" s="9"/>
    </row>
    <row r="14" spans="1:29" x14ac:dyDescent="0.25">
      <c r="C14" s="25"/>
      <c r="D14" s="2"/>
      <c r="E14" s="26"/>
      <c r="F14" s="3">
        <f t="shared" si="13"/>
        <v>0</v>
      </c>
      <c r="G14" s="3"/>
      <c r="H14" s="4" t="e">
        <f t="shared" si="14"/>
        <v>#DIV/0!</v>
      </c>
      <c r="I14" s="3">
        <f t="shared" si="15"/>
        <v>0</v>
      </c>
      <c r="J14" s="26" t="e">
        <f t="shared" si="16"/>
        <v>#DIV/0!</v>
      </c>
      <c r="K14" s="27"/>
      <c r="L14">
        <f t="shared" si="17"/>
        <v>45058</v>
      </c>
      <c r="M14" s="5" t="e">
        <f t="shared" si="18"/>
        <v>#DIV/0!</v>
      </c>
      <c r="P14" s="30"/>
      <c r="Q14" s="28"/>
      <c r="R14" s="29">
        <f t="shared" si="19"/>
        <v>0</v>
      </c>
      <c r="S14" s="29"/>
      <c r="T14" s="28">
        <f t="shared" si="20"/>
        <v>0</v>
      </c>
      <c r="U14" s="28">
        <f t="shared" si="21"/>
        <v>0</v>
      </c>
      <c r="V14" s="28">
        <f t="shared" si="22"/>
        <v>0</v>
      </c>
      <c r="W14" s="28" t="e">
        <f t="shared" si="23"/>
        <v>#DIV/0!</v>
      </c>
      <c r="X14" s="29"/>
      <c r="Y14" s="5" t="e">
        <f t="shared" si="24"/>
        <v>#DIV/0!</v>
      </c>
      <c r="Z14" s="6">
        <f t="shared" si="25"/>
        <v>0</v>
      </c>
      <c r="AB14" s="58"/>
      <c r="AC14" s="9"/>
    </row>
    <row r="15" spans="1:29" x14ac:dyDescent="0.25">
      <c r="C15" s="25"/>
      <c r="D15" s="2"/>
      <c r="E15" s="26"/>
      <c r="F15" s="3">
        <f t="shared" si="13"/>
        <v>0</v>
      </c>
      <c r="G15" s="3"/>
      <c r="H15" s="4" t="e">
        <f t="shared" si="14"/>
        <v>#DIV/0!</v>
      </c>
      <c r="I15" s="3">
        <f t="shared" si="15"/>
        <v>0</v>
      </c>
      <c r="J15" s="26" t="e">
        <f t="shared" si="16"/>
        <v>#DIV/0!</v>
      </c>
      <c r="K15" s="27"/>
      <c r="L15">
        <f t="shared" si="17"/>
        <v>45058</v>
      </c>
      <c r="M15" s="5" t="e">
        <f t="shared" si="18"/>
        <v>#DIV/0!</v>
      </c>
      <c r="P15" s="30"/>
      <c r="Q15" s="28"/>
      <c r="R15" s="29">
        <f t="shared" si="19"/>
        <v>0</v>
      </c>
      <c r="S15" s="29"/>
      <c r="T15" s="28">
        <f t="shared" si="20"/>
        <v>0</v>
      </c>
      <c r="U15" s="28">
        <f t="shared" si="21"/>
        <v>0</v>
      </c>
      <c r="V15" s="28">
        <f t="shared" si="22"/>
        <v>0</v>
      </c>
      <c r="W15" s="28" t="e">
        <f t="shared" si="23"/>
        <v>#DIV/0!</v>
      </c>
      <c r="X15" s="29"/>
      <c r="Y15" s="5" t="e">
        <f t="shared" si="24"/>
        <v>#DIV/0!</v>
      </c>
      <c r="Z15" s="32">
        <f t="shared" si="25"/>
        <v>0</v>
      </c>
      <c r="AB15" s="58"/>
      <c r="AC15" s="9"/>
    </row>
    <row r="16" spans="1:29" x14ac:dyDescent="0.25">
      <c r="C16" s="25"/>
      <c r="D16" s="2"/>
      <c r="E16" s="26"/>
      <c r="F16" s="3">
        <f t="shared" si="13"/>
        <v>0</v>
      </c>
      <c r="G16" s="3"/>
      <c r="H16" s="4" t="e">
        <f t="shared" si="14"/>
        <v>#DIV/0!</v>
      </c>
      <c r="I16" s="3">
        <f t="shared" si="15"/>
        <v>0</v>
      </c>
      <c r="J16" s="26" t="e">
        <f t="shared" si="16"/>
        <v>#DIV/0!</v>
      </c>
      <c r="K16" s="27"/>
      <c r="L16">
        <f t="shared" si="17"/>
        <v>45058</v>
      </c>
      <c r="M16" s="5" t="e">
        <f t="shared" si="18"/>
        <v>#DIV/0!</v>
      </c>
      <c r="P16" s="30"/>
      <c r="Q16" s="28"/>
      <c r="R16" s="29">
        <f t="shared" si="19"/>
        <v>0</v>
      </c>
      <c r="S16" s="29"/>
      <c r="T16" s="28">
        <f t="shared" si="20"/>
        <v>0</v>
      </c>
      <c r="U16" s="28">
        <f t="shared" si="21"/>
        <v>0</v>
      </c>
      <c r="V16" s="28">
        <f t="shared" si="22"/>
        <v>0</v>
      </c>
      <c r="W16" s="28" t="e">
        <f t="shared" si="23"/>
        <v>#DIV/0!</v>
      </c>
      <c r="X16" s="29"/>
      <c r="Y16" s="5" t="e">
        <f t="shared" si="24"/>
        <v>#DIV/0!</v>
      </c>
      <c r="Z16" s="6">
        <f t="shared" si="25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3"/>
        <v>0</v>
      </c>
      <c r="G17" s="39"/>
      <c r="H17" s="40" t="e">
        <f t="shared" si="14"/>
        <v>#DIV/0!</v>
      </c>
      <c r="I17" s="39">
        <f t="shared" si="15"/>
        <v>0</v>
      </c>
      <c r="J17" s="38" t="e">
        <f t="shared" si="16"/>
        <v>#DIV/0!</v>
      </c>
      <c r="K17" s="41"/>
      <c r="L17" s="35">
        <f t="shared" si="17"/>
        <v>45058</v>
      </c>
      <c r="M17" s="42" t="e">
        <f t="shared" si="18"/>
        <v>#DIV/0!</v>
      </c>
      <c r="N17" s="35"/>
      <c r="O17" s="35"/>
      <c r="P17" s="43"/>
      <c r="Q17" s="44"/>
      <c r="R17" s="45">
        <f t="shared" si="19"/>
        <v>0</v>
      </c>
      <c r="S17" s="45"/>
      <c r="T17" s="46">
        <f t="shared" si="20"/>
        <v>0</v>
      </c>
      <c r="U17" s="44">
        <f t="shared" si="21"/>
        <v>0</v>
      </c>
      <c r="V17" s="44">
        <f t="shared" si="22"/>
        <v>0</v>
      </c>
      <c r="W17" s="44" t="e">
        <f t="shared" si="23"/>
        <v>#DIV/0!</v>
      </c>
      <c r="X17" s="45"/>
      <c r="Y17" s="42" t="e">
        <f t="shared" si="24"/>
        <v>#DIV/0!</v>
      </c>
      <c r="Z17" s="47">
        <f t="shared" si="25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92233.294167</v>
      </c>
      <c r="G18" s="3">
        <f>SUM(G6:G17)</f>
        <v>84384.540000000008</v>
      </c>
      <c r="H18" s="4"/>
      <c r="I18" s="3">
        <f>SUM(I6:I17)</f>
        <v>7848.7541669999991</v>
      </c>
      <c r="M18" s="5"/>
      <c r="Z18" s="6"/>
    </row>
    <row r="19" spans="1:29" x14ac:dyDescent="0.25">
      <c r="D19" s="2" t="s">
        <v>44</v>
      </c>
      <c r="F19" s="3">
        <v>596900</v>
      </c>
      <c r="G19" s="6">
        <f>F19/F20</f>
        <v>0.86616044392618075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689133.29416699999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'02-21-25'!F20</f>
        <v>697659.146526</v>
      </c>
      <c r="K21" s="1">
        <v>45657</v>
      </c>
      <c r="L21" s="50">
        <v>170762</v>
      </c>
      <c r="M21" s="50">
        <v>160301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-1.2220655891139061E-2</v>
      </c>
      <c r="K22" s="9" t="s">
        <v>50</v>
      </c>
      <c r="L22" s="6">
        <f>(M21-L21)/L21</f>
        <v>-6.1260702029725583E-2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  <c r="P25" s="9" t="s">
        <v>89</v>
      </c>
      <c r="S25" t="s">
        <v>88</v>
      </c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9" si="26">DAYS360(K26,L26)</f>
        <v>49</v>
      </c>
      <c r="Q26" s="28">
        <v>66.599999999999994</v>
      </c>
      <c r="S26" s="62">
        <f>(Q26-H26)/H26</f>
        <v>-3.7502735090080556E-2</v>
      </c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26"/>
        <v>7</v>
      </c>
      <c r="Q27" s="28">
        <v>65.3</v>
      </c>
      <c r="S27" s="62">
        <f t="shared" ref="S27:S39" si="27">(Q27-H27)/H27</f>
        <v>-0.21073259513795226</v>
      </c>
      <c r="U27" t="s">
        <v>90</v>
      </c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28">F28/D28</f>
        <v>44.698790833464948</v>
      </c>
      <c r="F28" s="3">
        <v>56489.42</v>
      </c>
      <c r="G28" s="56">
        <v>75501.87</v>
      </c>
      <c r="H28" s="57">
        <f t="shared" ref="H28:H35" si="29">G28/D28</f>
        <v>59.742909285764696</v>
      </c>
      <c r="I28" s="57">
        <f t="shared" ref="I28:I35" si="30">G28-F28</f>
        <v>19012.449999999997</v>
      </c>
      <c r="J28" s="6">
        <f t="shared" ref="J28:J35" si="31">I28/F28</f>
        <v>0.33656656414599401</v>
      </c>
      <c r="K28" s="1">
        <v>45527</v>
      </c>
      <c r="L28" s="1">
        <v>45688</v>
      </c>
      <c r="M28">
        <f t="shared" si="26"/>
        <v>158</v>
      </c>
      <c r="Q28" s="28">
        <v>48.48</v>
      </c>
      <c r="S28" s="62">
        <f t="shared" si="27"/>
        <v>-0.18852294641179085</v>
      </c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28"/>
        <v>169.90901206845703</v>
      </c>
      <c r="F29" s="3">
        <f>59492.79+21969.78</f>
        <v>81462.570000000007</v>
      </c>
      <c r="G29" s="56">
        <v>65047.58</v>
      </c>
      <c r="H29" s="57">
        <f t="shared" si="29"/>
        <v>135.67175765807443</v>
      </c>
      <c r="I29" s="57">
        <f t="shared" si="30"/>
        <v>-16414.990000000005</v>
      </c>
      <c r="J29" s="6">
        <f t="shared" si="31"/>
        <v>-0.20150346349249729</v>
      </c>
      <c r="K29" s="1">
        <v>45671</v>
      </c>
      <c r="L29" s="1">
        <v>45688</v>
      </c>
      <c r="M29">
        <f t="shared" si="26"/>
        <v>17</v>
      </c>
      <c r="Q29" s="28">
        <v>130.37</v>
      </c>
      <c r="S29" s="62">
        <f t="shared" si="27"/>
        <v>-3.9077828352722686E-2</v>
      </c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28"/>
        <v>18.702010092477405</v>
      </c>
      <c r="F30" s="3">
        <v>56486.59</v>
      </c>
      <c r="G30" s="56">
        <v>71124.88</v>
      </c>
      <c r="H30" s="57">
        <f t="shared" si="29"/>
        <v>23.548566546258936</v>
      </c>
      <c r="I30" s="57">
        <f t="shared" si="30"/>
        <v>14638.290000000008</v>
      </c>
      <c r="J30" s="6">
        <f t="shared" si="31"/>
        <v>0.25914628587068206</v>
      </c>
      <c r="K30" s="1">
        <v>45527</v>
      </c>
      <c r="L30" s="1">
        <v>45691</v>
      </c>
      <c r="M30">
        <f t="shared" si="26"/>
        <v>160</v>
      </c>
      <c r="Q30" s="28">
        <v>20.23</v>
      </c>
      <c r="S30" s="62">
        <f t="shared" si="27"/>
        <v>-0.14092435476868304</v>
      </c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28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29"/>
        <v>38.249853000000002</v>
      </c>
      <c r="I31" s="57">
        <f t="shared" si="30"/>
        <v>-6110.386336591735</v>
      </c>
      <c r="J31" s="6">
        <f t="shared" si="31"/>
        <v>-0.10005621882176895</v>
      </c>
      <c r="K31" s="1">
        <v>45706</v>
      </c>
      <c r="L31" s="1">
        <v>45708</v>
      </c>
      <c r="M31">
        <f t="shared" si="26"/>
        <v>2</v>
      </c>
      <c r="Q31" s="28">
        <v>38.6</v>
      </c>
      <c r="S31" s="62">
        <f t="shared" si="27"/>
        <v>9.1542051155072343E-3</v>
      </c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28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29"/>
        <v>531.63995279999995</v>
      </c>
      <c r="I32" s="57">
        <f t="shared" si="30"/>
        <v>-22176.243614196137</v>
      </c>
      <c r="J32" s="6">
        <f t="shared" si="31"/>
        <v>-0.24194911929355969</v>
      </c>
      <c r="K32" s="1">
        <v>45706</v>
      </c>
      <c r="L32" s="1">
        <v>45708</v>
      </c>
      <c r="M32">
        <f t="shared" si="26"/>
        <v>2</v>
      </c>
      <c r="Q32" s="28">
        <v>528.45000000000005</v>
      </c>
      <c r="S32" s="62">
        <f t="shared" si="27"/>
        <v>-6.0002127063613362E-3</v>
      </c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28"/>
        <v>368.56522253629635</v>
      </c>
      <c r="F33" s="3">
        <v>74438.86</v>
      </c>
      <c r="G33" s="56">
        <f>201.9693*360.5332483</f>
        <v>72816.647785877198</v>
      </c>
      <c r="H33" s="57">
        <f t="shared" si="29"/>
        <v>360.53324830000003</v>
      </c>
      <c r="I33" s="57">
        <f t="shared" si="30"/>
        <v>-1622.2122141228028</v>
      </c>
      <c r="J33" s="6">
        <f t="shared" si="31"/>
        <v>-2.1792545105107773E-2</v>
      </c>
      <c r="K33" s="1">
        <v>45664</v>
      </c>
      <c r="L33" s="1">
        <v>45708</v>
      </c>
      <c r="M33">
        <f t="shared" si="26"/>
        <v>43</v>
      </c>
      <c r="Q33" s="28">
        <v>335.14800000000002</v>
      </c>
      <c r="S33" s="62">
        <f t="shared" si="27"/>
        <v>-7.0410283710857405E-2</v>
      </c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28"/>
        <v>30.17825528482809</v>
      </c>
      <c r="F34" s="3">
        <v>37884.65</v>
      </c>
      <c r="G34" s="56">
        <f>1255.3625*39.762296</f>
        <v>49916.0953123</v>
      </c>
      <c r="H34" s="57">
        <f t="shared" si="29"/>
        <v>39.762295999999999</v>
      </c>
      <c r="I34" s="57">
        <f t="shared" si="30"/>
        <v>12031.445312299998</v>
      </c>
      <c r="J34" s="6">
        <f t="shared" si="31"/>
        <v>0.31758100740801348</v>
      </c>
      <c r="K34" s="1">
        <v>45663</v>
      </c>
      <c r="L34" s="1">
        <v>45709</v>
      </c>
      <c r="M34">
        <f t="shared" si="26"/>
        <v>45</v>
      </c>
      <c r="Q34" s="28">
        <v>33.39</v>
      </c>
      <c r="S34" s="62">
        <f t="shared" si="27"/>
        <v>-0.1602597596476823</v>
      </c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28"/>
        <v>242.26930551548847</v>
      </c>
      <c r="F35" s="3">
        <v>61221.72</v>
      </c>
      <c r="G35" s="56">
        <f>252.7011*226.6146532</f>
        <v>57265.772139758519</v>
      </c>
      <c r="H35" s="57">
        <f t="shared" si="29"/>
        <v>226.61465319999999</v>
      </c>
      <c r="I35" s="57">
        <f t="shared" si="30"/>
        <v>-3955.947860241482</v>
      </c>
      <c r="J35" s="6">
        <f t="shared" si="31"/>
        <v>-6.4616738311852093E-2</v>
      </c>
      <c r="K35" s="1">
        <v>45699</v>
      </c>
      <c r="L35" s="1">
        <v>45709</v>
      </c>
      <c r="M35">
        <f t="shared" si="26"/>
        <v>10</v>
      </c>
      <c r="Q35" s="28">
        <v>225.1</v>
      </c>
      <c r="S35" s="62">
        <f t="shared" si="27"/>
        <v>-6.6838272751199041E-3</v>
      </c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28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ref="H36:H37" si="32">G36/D36</f>
        <v>283.93999450000007</v>
      </c>
      <c r="I36" s="57">
        <f t="shared" ref="I36:I37" si="33">G36-F36</f>
        <v>19563.525282954361</v>
      </c>
      <c r="J36" s="6">
        <f t="shared" ref="J36:J37" si="34">I36/F36</f>
        <v>0.36434300703793465</v>
      </c>
      <c r="K36" s="1">
        <v>45580</v>
      </c>
      <c r="L36" s="1">
        <v>45712</v>
      </c>
      <c r="M36">
        <f t="shared" si="26"/>
        <v>129</v>
      </c>
      <c r="Q36" s="28">
        <v>255.59</v>
      </c>
      <c r="S36" s="62">
        <f t="shared" si="27"/>
        <v>-9.9845020247755406E-2</v>
      </c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28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32"/>
        <v>63.365330900000004</v>
      </c>
      <c r="I37" s="57">
        <f t="shared" si="33"/>
        <v>-4549.5912833559851</v>
      </c>
      <c r="J37" s="6">
        <f t="shared" si="34"/>
        <v>-5.9638082078758516E-2</v>
      </c>
      <c r="K37" s="1">
        <v>45673</v>
      </c>
      <c r="L37" s="1">
        <v>45712</v>
      </c>
      <c r="M37">
        <f t="shared" si="26"/>
        <v>38</v>
      </c>
      <c r="Q37" s="28">
        <v>52.47</v>
      </c>
      <c r="S37" s="62">
        <f t="shared" si="27"/>
        <v>-0.17194466982575174</v>
      </c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ref="H38" si="35">G38/D38</f>
        <v>50.021380499999999</v>
      </c>
      <c r="I38" s="57">
        <f t="shared" ref="I38" si="36">G38-F38</f>
        <v>6027.2875116823998</v>
      </c>
      <c r="J38" s="6">
        <f t="shared" ref="J38" si="37">I38/F38</f>
        <v>9.9771440635884723E-2</v>
      </c>
      <c r="K38" s="1">
        <v>45593</v>
      </c>
      <c r="L38" s="1">
        <v>45713</v>
      </c>
      <c r="M38">
        <f t="shared" si="26"/>
        <v>117</v>
      </c>
      <c r="Q38" s="28">
        <v>47.9</v>
      </c>
      <c r="S38" s="62">
        <f t="shared" si="27"/>
        <v>-4.2409475284273711E-2</v>
      </c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ref="H39" si="38">G39/D39</f>
        <v>12.519992000000002</v>
      </c>
      <c r="I39" s="57">
        <f t="shared" ref="I39" si="39">G39-F39</f>
        <v>-2230.6527810991975</v>
      </c>
      <c r="J39" s="6">
        <f t="shared" ref="J39" si="40">I39/F39</f>
        <v>-9.8609037242937694E-2</v>
      </c>
      <c r="K39" s="1">
        <v>45692</v>
      </c>
      <c r="L39" s="1">
        <v>45715</v>
      </c>
      <c r="M39">
        <f t="shared" si="26"/>
        <v>23</v>
      </c>
      <c r="Q39" s="28">
        <v>12.48</v>
      </c>
      <c r="S39" s="62">
        <f t="shared" si="27"/>
        <v>-3.1942512423331882E-3</v>
      </c>
    </row>
    <row r="40" spans="1:19" x14ac:dyDescent="0.25">
      <c r="D40" s="2"/>
      <c r="E40" s="57"/>
      <c r="F40" s="3"/>
      <c r="G40" s="56"/>
      <c r="H40" s="57"/>
      <c r="I40" s="57"/>
      <c r="J40" s="6"/>
      <c r="K40" s="1"/>
      <c r="L40" s="1"/>
    </row>
    <row r="41" spans="1:19" x14ac:dyDescent="0.25">
      <c r="D41" s="2"/>
      <c r="E41" s="57"/>
      <c r="F41" s="3"/>
      <c r="G41" s="56"/>
      <c r="H41" s="57"/>
      <c r="I41" s="57"/>
      <c r="J41" s="6"/>
      <c r="K41" s="1"/>
      <c r="L41" s="1"/>
    </row>
    <row r="42" spans="1:19" x14ac:dyDescent="0.25">
      <c r="D42" s="2"/>
      <c r="E42" s="57"/>
      <c r="F42" s="3"/>
      <c r="G42" s="56"/>
      <c r="H42" s="57"/>
      <c r="I42" s="57"/>
      <c r="J42" s="6"/>
      <c r="K42" s="1"/>
      <c r="L42" s="1"/>
    </row>
    <row r="43" spans="1:19" x14ac:dyDescent="0.25">
      <c r="F43" s="56"/>
      <c r="G43" s="56"/>
      <c r="H43" s="3"/>
      <c r="I43" s="3">
        <f>SUM(I26:I42)</f>
        <v>6448.9540173294226</v>
      </c>
      <c r="J43" s="13" t="s">
        <v>66</v>
      </c>
    </row>
    <row r="44" spans="1:19" x14ac:dyDescent="0.25">
      <c r="F44" s="56"/>
      <c r="G44" s="56"/>
      <c r="H44" s="3" t="s">
        <v>67</v>
      </c>
      <c r="I44" s="59">
        <v>8</v>
      </c>
      <c r="J44" s="5">
        <v>-0.1022</v>
      </c>
    </row>
    <row r="45" spans="1:19" x14ac:dyDescent="0.25">
      <c r="F45" s="56"/>
      <c r="G45" s="56"/>
      <c r="H45" s="3" t="s">
        <v>68</v>
      </c>
      <c r="I45" s="59">
        <v>5</v>
      </c>
      <c r="J45" s="5">
        <v>0.27560000000000001</v>
      </c>
    </row>
    <row r="46" spans="1:19" x14ac:dyDescent="0.25">
      <c r="F46" s="56"/>
      <c r="G46" s="56"/>
      <c r="J46" s="6"/>
    </row>
    <row r="47" spans="1:19" x14ac:dyDescent="0.25">
      <c r="F47" s="56"/>
      <c r="G47" s="56"/>
      <c r="J47" s="6"/>
    </row>
    <row r="48" spans="1:19" x14ac:dyDescent="0.25">
      <c r="F48" s="56"/>
      <c r="G48" s="56"/>
      <c r="J48" s="6"/>
    </row>
    <row r="49" spans="6:10" x14ac:dyDescent="0.25">
      <c r="F49" s="56"/>
      <c r="G49" s="56"/>
      <c r="J49" s="6"/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  <c r="J61" s="6"/>
    </row>
    <row r="62" spans="6:10" x14ac:dyDescent="0.25">
      <c r="F62" s="56"/>
      <c r="G62" s="56"/>
      <c r="J62" s="6"/>
    </row>
    <row r="63" spans="6:10" x14ac:dyDescent="0.25">
      <c r="F63" s="56"/>
      <c r="G63" s="56"/>
      <c r="J63" s="6"/>
    </row>
    <row r="64" spans="6:10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</row>
    <row r="70" spans="6:10" x14ac:dyDescent="0.25">
      <c r="F70" s="56"/>
      <c r="G70" s="56"/>
    </row>
    <row r="71" spans="6:10" x14ac:dyDescent="0.25">
      <c r="F71" s="56"/>
      <c r="G71" s="56"/>
    </row>
    <row r="72" spans="6:10" x14ac:dyDescent="0.25">
      <c r="F72" s="56"/>
      <c r="G72" s="56"/>
    </row>
    <row r="73" spans="6:10" x14ac:dyDescent="0.25">
      <c r="F73" s="56"/>
      <c r="G73" s="56"/>
    </row>
    <row r="74" spans="6:10" x14ac:dyDescent="0.25">
      <c r="F74" s="56"/>
      <c r="G74" s="56"/>
    </row>
  </sheetData>
  <sortState xmlns:xlrd2="http://schemas.microsoft.com/office/spreadsheetml/2017/richdata2" ref="A7:AC8">
    <sortCondition descending="1" ref="L7:L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6B07-20CB-4700-9BEF-FBEE6BF6334D}">
  <dimension ref="A1:AC74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9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45723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41</v>
      </c>
      <c r="B7" t="s">
        <v>30</v>
      </c>
      <c r="C7" s="25" t="s">
        <v>42</v>
      </c>
      <c r="D7" s="2">
        <v>2234.6064999999999</v>
      </c>
      <c r="E7" s="26">
        <v>17.73</v>
      </c>
      <c r="F7" s="3">
        <f>E7*D7</f>
        <v>39619.573245</v>
      </c>
      <c r="G7" s="3">
        <v>37971.83</v>
      </c>
      <c r="H7" s="4">
        <f>G7/D7</f>
        <v>16.992624876012847</v>
      </c>
      <c r="I7" s="3">
        <f>F7-G7</f>
        <v>1647.7432449999978</v>
      </c>
      <c r="J7" s="26">
        <f>E7-H7</f>
        <v>0.7373751239871531</v>
      </c>
      <c r="K7" s="27">
        <v>45652</v>
      </c>
      <c r="L7">
        <f>DAYS360(K7,$C$1)</f>
        <v>71</v>
      </c>
      <c r="M7" s="5">
        <f>(I7/G7)</f>
        <v>4.3393832875581656E-2</v>
      </c>
      <c r="N7">
        <v>111</v>
      </c>
      <c r="O7">
        <v>97</v>
      </c>
      <c r="P7" s="30">
        <v>80</v>
      </c>
      <c r="Q7" s="28">
        <v>15.9</v>
      </c>
      <c r="R7" s="29">
        <f>Q7*0.93</f>
        <v>14.787000000000001</v>
      </c>
      <c r="S7" s="29">
        <v>14</v>
      </c>
      <c r="T7" s="31">
        <f>Q7*1.25</f>
        <v>19.875</v>
      </c>
      <c r="U7" s="28">
        <f>Q7*1.5</f>
        <v>23.85</v>
      </c>
      <c r="V7" s="28">
        <f>Q7*2</f>
        <v>31.8</v>
      </c>
      <c r="W7" s="28">
        <f>H7-(H7*0.07)</f>
        <v>15.803141134691948</v>
      </c>
      <c r="X7" s="29">
        <v>15.65</v>
      </c>
      <c r="Y7" s="5">
        <f>(X7-H7)/H7</f>
        <v>-7.9012211815969929E-2</v>
      </c>
      <c r="Z7" s="6">
        <f>F7/F$20</f>
        <v>5.8171193329698175E-2</v>
      </c>
      <c r="AB7" s="58">
        <v>45777</v>
      </c>
      <c r="AC7" s="9">
        <v>93</v>
      </c>
    </row>
    <row r="8" spans="1:29" x14ac:dyDescent="0.25">
      <c r="A8" t="s">
        <v>79</v>
      </c>
      <c r="B8" t="s">
        <v>30</v>
      </c>
      <c r="C8" s="25" t="s">
        <v>80</v>
      </c>
      <c r="D8" s="2">
        <v>440.02980000000002</v>
      </c>
      <c r="E8" s="26">
        <v>101.28</v>
      </c>
      <c r="F8" s="3">
        <f>E8*D8</f>
        <v>44566.218144000006</v>
      </c>
      <c r="G8" s="3">
        <v>46412.71</v>
      </c>
      <c r="H8" s="4">
        <f>G8/D8</f>
        <v>105.47628819684485</v>
      </c>
      <c r="I8" s="3">
        <f>F8-G8</f>
        <v>-1846.4918559999933</v>
      </c>
      <c r="J8" s="26">
        <f>E8-H8</f>
        <v>-4.1962881968448471</v>
      </c>
      <c r="K8" s="27">
        <v>45695</v>
      </c>
      <c r="L8">
        <f>DAYS360(K8,$C$1)</f>
        <v>30</v>
      </c>
      <c r="M8" s="5">
        <f>(I8/G8)</f>
        <v>-3.9784185323373564E-2</v>
      </c>
      <c r="N8">
        <v>15</v>
      </c>
      <c r="O8">
        <v>94</v>
      </c>
      <c r="P8" s="30">
        <v>99</v>
      </c>
      <c r="Q8" s="28">
        <v>101</v>
      </c>
      <c r="R8" s="29">
        <f>Q8*0.93</f>
        <v>93.93</v>
      </c>
      <c r="S8" s="29">
        <v>94.1</v>
      </c>
      <c r="T8" s="31">
        <f>Q8*1.25</f>
        <v>126.25</v>
      </c>
      <c r="U8" s="28">
        <f>Q8*1.5</f>
        <v>151.5</v>
      </c>
      <c r="V8" s="28">
        <f>Q8*2</f>
        <v>202</v>
      </c>
      <c r="W8" s="28">
        <f>H8-(H8*0.07)</f>
        <v>98.092948023065702</v>
      </c>
      <c r="X8" s="29">
        <v>99</v>
      </c>
      <c r="Y8" s="5">
        <f>(X8-H8)/H8</f>
        <v>-6.1400418118226649E-2</v>
      </c>
      <c r="Z8" s="6">
        <f>F8/F$20</f>
        <v>6.5434074102635548E-2</v>
      </c>
      <c r="AB8" s="58">
        <v>45778</v>
      </c>
      <c r="AC8" s="9">
        <v>99</v>
      </c>
    </row>
    <row r="9" spans="1:29" x14ac:dyDescent="0.25">
      <c r="D9" s="2"/>
      <c r="E9" s="26"/>
      <c r="F9" s="3">
        <f>E9*D9</f>
        <v>0</v>
      </c>
      <c r="G9" s="3"/>
      <c r="H9" s="4" t="e">
        <f>G9/D9</f>
        <v>#DIV/0!</v>
      </c>
      <c r="I9" s="3">
        <f>F9-G9</f>
        <v>0</v>
      </c>
      <c r="J9" s="26" t="e">
        <f>E9-H9</f>
        <v>#DIV/0!</v>
      </c>
      <c r="K9" s="27"/>
      <c r="L9">
        <f>DAYS360(K9,$C$1)</f>
        <v>45067</v>
      </c>
      <c r="M9" s="5" t="e">
        <f>(I9/G9)</f>
        <v>#DIV/0!</v>
      </c>
      <c r="P9" s="33"/>
      <c r="Q9" s="28"/>
      <c r="R9" s="29">
        <f>Q9*0.93</f>
        <v>0</v>
      </c>
      <c r="S9" s="29"/>
      <c r="T9" s="28">
        <f>Q9*1.25</f>
        <v>0</v>
      </c>
      <c r="U9" s="28">
        <f>Q9*1.5</f>
        <v>0</v>
      </c>
      <c r="V9" s="28">
        <f>Q9*2</f>
        <v>0</v>
      </c>
      <c r="W9" s="28" t="e">
        <f>H9-(H9*0.07)</f>
        <v>#DIV/0!</v>
      </c>
      <c r="X9" s="29"/>
      <c r="Y9" s="5" t="e">
        <f>(X9-H9)/H9</f>
        <v>#DIV/0!</v>
      </c>
      <c r="Z9" s="32">
        <f>F9/F$20</f>
        <v>0</v>
      </c>
      <c r="AB9" s="58"/>
      <c r="AC9" s="9"/>
    </row>
    <row r="10" spans="1:29" x14ac:dyDescent="0.25">
      <c r="C10" s="25"/>
      <c r="D10" s="2"/>
      <c r="E10" s="26"/>
      <c r="F10" s="3">
        <f>E10*D10</f>
        <v>0</v>
      </c>
      <c r="G10" s="3"/>
      <c r="H10" s="4" t="e">
        <f>G10/D10</f>
        <v>#DIV/0!</v>
      </c>
      <c r="I10" s="3">
        <f>F10-G10</f>
        <v>0</v>
      </c>
      <c r="J10" s="26" t="e">
        <f>E10-H10</f>
        <v>#DIV/0!</v>
      </c>
      <c r="K10" s="27"/>
      <c r="L10">
        <f>DAYS360(K10,$C$1)</f>
        <v>45067</v>
      </c>
      <c r="M10" s="5" t="e">
        <f>(I10/G10)</f>
        <v>#DIV/0!</v>
      </c>
      <c r="P10" s="30"/>
      <c r="Q10" s="28"/>
      <c r="R10" s="29">
        <f>Q10*0.93</f>
        <v>0</v>
      </c>
      <c r="S10" s="29"/>
      <c r="T10" s="28">
        <f>Q10*1.25</f>
        <v>0</v>
      </c>
      <c r="U10" s="28">
        <f>Q10*1.5</f>
        <v>0</v>
      </c>
      <c r="V10" s="28">
        <f>Q10*2</f>
        <v>0</v>
      </c>
      <c r="W10" s="28" t="e">
        <f>H10-(H10*0.07)</f>
        <v>#DIV/0!</v>
      </c>
      <c r="X10" s="29"/>
      <c r="Y10" s="5" t="e">
        <f>(X10-H10)/H10</f>
        <v>#DIV/0!</v>
      </c>
      <c r="Z10" s="6">
        <f>F10/F$20</f>
        <v>0</v>
      </c>
      <c r="AB10" s="58"/>
      <c r="AC10" s="9"/>
    </row>
    <row r="11" spans="1:29" x14ac:dyDescent="0.25">
      <c r="C11" s="25"/>
      <c r="D11" s="2"/>
      <c r="E11" s="26"/>
      <c r="F11" s="3">
        <f t="shared" ref="F11:F17" si="0">E11*D11</f>
        <v>0</v>
      </c>
      <c r="G11" s="3"/>
      <c r="H11" s="4" t="e">
        <f t="shared" ref="H11:H17" si="1">G11/D11</f>
        <v>#DIV/0!</v>
      </c>
      <c r="I11" s="3">
        <f t="shared" ref="I11:I17" si="2">F11-G11</f>
        <v>0</v>
      </c>
      <c r="J11" s="26" t="e">
        <f t="shared" ref="J11:J17" si="3">E11-H11</f>
        <v>#DIV/0!</v>
      </c>
      <c r="K11" s="27"/>
      <c r="L11">
        <f t="shared" ref="L11:L17" si="4">DAYS360(K11,$C$1)</f>
        <v>45067</v>
      </c>
      <c r="M11" s="5" t="e">
        <f t="shared" ref="M11:M17" si="5">(I11/G11)</f>
        <v>#DIV/0!</v>
      </c>
      <c r="P11" s="30"/>
      <c r="Q11" s="28"/>
      <c r="R11" s="29">
        <f t="shared" ref="R11:R17" si="6">Q11*0.93</f>
        <v>0</v>
      </c>
      <c r="S11" s="29"/>
      <c r="T11" s="28">
        <f t="shared" ref="T11:T17" si="7">Q11*1.25</f>
        <v>0</v>
      </c>
      <c r="U11" s="28">
        <f t="shared" ref="U11:U17" si="8">Q11*1.5</f>
        <v>0</v>
      </c>
      <c r="V11" s="28">
        <f t="shared" ref="V11:V17" si="9">Q11*2</f>
        <v>0</v>
      </c>
      <c r="W11" s="28" t="e">
        <f t="shared" ref="W11:W17" si="10">H11-(H11*0.07)</f>
        <v>#DIV/0!</v>
      </c>
      <c r="X11" s="29"/>
      <c r="Y11" s="5" t="e">
        <f t="shared" ref="Y11:Y17" si="11">(X11-H11)/H11</f>
        <v>#DIV/0!</v>
      </c>
      <c r="Z11" s="32">
        <f t="shared" ref="Z11:Z17" si="12"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L12">
        <f t="shared" si="4"/>
        <v>45067</v>
      </c>
      <c r="M12" s="5" t="e">
        <f t="shared" si="5"/>
        <v>#DIV/0!</v>
      </c>
      <c r="P12" s="34"/>
      <c r="Q12" s="28"/>
      <c r="R12" s="29">
        <f t="shared" si="6"/>
        <v>0</v>
      </c>
      <c r="S12" s="29"/>
      <c r="T12" s="31">
        <f t="shared" si="7"/>
        <v>0</v>
      </c>
      <c r="U12" s="28">
        <f t="shared" si="8"/>
        <v>0</v>
      </c>
      <c r="V12" s="28">
        <f t="shared" si="9"/>
        <v>0</v>
      </c>
      <c r="W12" s="28" t="e">
        <f t="shared" si="10"/>
        <v>#DIV/0!</v>
      </c>
      <c r="X12" s="29"/>
      <c r="Y12" s="5" t="e">
        <f t="shared" si="11"/>
        <v>#DIV/0!</v>
      </c>
      <c r="Z12" s="6">
        <f t="shared" si="12"/>
        <v>0</v>
      </c>
      <c r="AB12" s="60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4"/>
        <v>45067</v>
      </c>
      <c r="M13" s="5" t="e">
        <f t="shared" si="5"/>
        <v>#DIV/0!</v>
      </c>
      <c r="P13" s="30"/>
      <c r="Q13" s="28"/>
      <c r="R13" s="29">
        <f t="shared" si="6"/>
        <v>0</v>
      </c>
      <c r="S13" s="29"/>
      <c r="T13" s="31">
        <f t="shared" si="7"/>
        <v>0</v>
      </c>
      <c r="U13" s="28">
        <f t="shared" si="8"/>
        <v>0</v>
      </c>
      <c r="V13" s="28">
        <f t="shared" si="9"/>
        <v>0</v>
      </c>
      <c r="W13" s="28" t="e">
        <f t="shared" si="10"/>
        <v>#DIV/0!</v>
      </c>
      <c r="X13" s="29"/>
      <c r="Y13" s="5" t="e">
        <f t="shared" si="11"/>
        <v>#DIV/0!</v>
      </c>
      <c r="Z13" s="32">
        <f t="shared" si="12"/>
        <v>0</v>
      </c>
      <c r="AB13" s="58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45067</v>
      </c>
      <c r="M14" s="5" t="e">
        <f t="shared" si="5"/>
        <v>#DIV/0!</v>
      </c>
      <c r="P14" s="30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8"/>
      <c r="AC14" s="9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45067</v>
      </c>
      <c r="M15" s="5" t="e">
        <f t="shared" si="5"/>
        <v>#DIV/0!</v>
      </c>
      <c r="P15" s="30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45067</v>
      </c>
      <c r="M16" s="5" t="e">
        <f t="shared" si="5"/>
        <v>#DIV/0!</v>
      </c>
      <c r="P16" s="30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6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45067</v>
      </c>
      <c r="M17" s="42" t="e">
        <f t="shared" si="5"/>
        <v>#DIV/0!</v>
      </c>
      <c r="N17" s="35"/>
      <c r="O17" s="35"/>
      <c r="P17" s="43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84185.791389000005</v>
      </c>
      <c r="G18" s="3">
        <f>SUM(G6:G17)</f>
        <v>84384.540000000008</v>
      </c>
      <c r="H18" s="4"/>
      <c r="I18" s="3">
        <f>SUM(I6:I17)</f>
        <v>-198.74861099999544</v>
      </c>
      <c r="M18" s="5"/>
      <c r="Z18" s="6"/>
    </row>
    <row r="19" spans="1:29" x14ac:dyDescent="0.25">
      <c r="D19" s="2" t="s">
        <v>44</v>
      </c>
      <c r="F19" s="3">
        <v>596900</v>
      </c>
      <c r="G19" s="6">
        <f>F19/F20</f>
        <v>0.8763947325676662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681085.79138900002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'02-28-25'!I21</f>
        <v>697659.146526</v>
      </c>
      <c r="K21" s="1">
        <v>45657</v>
      </c>
      <c r="L21" s="50">
        <v>170762</v>
      </c>
      <c r="M21" s="50">
        <v>156485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-2.3755662373993302E-2</v>
      </c>
      <c r="K22" s="9" t="s">
        <v>50</v>
      </c>
      <c r="L22" s="6">
        <f>(M21-L21)/L21</f>
        <v>-8.3607594195429902E-2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  <c r="P25" s="9" t="s">
        <v>91</v>
      </c>
      <c r="S25" t="s">
        <v>88</v>
      </c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9" si="13">DAYS360(K26,L26)</f>
        <v>49</v>
      </c>
      <c r="Q26" s="28">
        <v>62.93</v>
      </c>
      <c r="S26" s="62">
        <f>(Q26-H26)/H26</f>
        <v>-9.0541248036317787E-2</v>
      </c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>
        <v>60</v>
      </c>
      <c r="S27" s="62">
        <f t="shared" ref="S27:S39" si="14">(Q27-H27)/H27</f>
        <v>-0.27479258358770497</v>
      </c>
      <c r="U27" t="s">
        <v>90</v>
      </c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5">F28/D28</f>
        <v>44.698790833464948</v>
      </c>
      <c r="F28" s="3">
        <v>56489.42</v>
      </c>
      <c r="G28" s="56">
        <v>75501.87</v>
      </c>
      <c r="H28" s="57">
        <f t="shared" ref="H28:H39" si="16">G28/D28</f>
        <v>59.742909285764696</v>
      </c>
      <c r="I28" s="57">
        <f t="shared" ref="I28:I39" si="17">G28-F28</f>
        <v>19012.449999999997</v>
      </c>
      <c r="J28" s="6">
        <f t="shared" ref="J28:J39" si="18">I28/F28</f>
        <v>0.33656656414599401</v>
      </c>
      <c r="K28" s="1">
        <v>45527</v>
      </c>
      <c r="L28" s="1">
        <v>45688</v>
      </c>
      <c r="M28">
        <f t="shared" si="13"/>
        <v>158</v>
      </c>
      <c r="Q28" s="28">
        <v>46.66</v>
      </c>
      <c r="S28" s="62">
        <f t="shared" si="14"/>
        <v>-0.21898681269748682</v>
      </c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5"/>
        <v>169.90901206845703</v>
      </c>
      <c r="F29" s="3">
        <f>59492.79+21969.78</f>
        <v>81462.570000000007</v>
      </c>
      <c r="G29" s="56">
        <v>65047.58</v>
      </c>
      <c r="H29" s="57">
        <f t="shared" si="16"/>
        <v>135.67175765807443</v>
      </c>
      <c r="I29" s="57">
        <f t="shared" si="17"/>
        <v>-16414.990000000005</v>
      </c>
      <c r="J29" s="6">
        <f t="shared" si="18"/>
        <v>-0.20150346349249729</v>
      </c>
      <c r="K29" s="1">
        <v>45671</v>
      </c>
      <c r="L29" s="1">
        <v>45688</v>
      </c>
      <c r="M29">
        <f t="shared" si="13"/>
        <v>17</v>
      </c>
      <c r="Q29" s="28">
        <v>113.8</v>
      </c>
      <c r="S29" s="62">
        <f t="shared" si="14"/>
        <v>-0.16121083735936065</v>
      </c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5"/>
        <v>18.702010092477405</v>
      </c>
      <c r="F30" s="3">
        <v>56486.59</v>
      </c>
      <c r="G30" s="56">
        <v>71124.88</v>
      </c>
      <c r="H30" s="57">
        <f t="shared" si="16"/>
        <v>23.548566546258936</v>
      </c>
      <c r="I30" s="57">
        <f t="shared" si="17"/>
        <v>14638.290000000008</v>
      </c>
      <c r="J30" s="6">
        <f t="shared" si="18"/>
        <v>0.25914628587068206</v>
      </c>
      <c r="K30" s="1">
        <v>45527</v>
      </c>
      <c r="L30" s="1">
        <v>45691</v>
      </c>
      <c r="M30">
        <f t="shared" si="13"/>
        <v>160</v>
      </c>
      <c r="Q30" s="28">
        <v>18.260000000000002</v>
      </c>
      <c r="S30" s="62">
        <f t="shared" si="14"/>
        <v>-0.22458125151142616</v>
      </c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5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6"/>
        <v>38.249853000000002</v>
      </c>
      <c r="I31" s="57">
        <f t="shared" si="17"/>
        <v>-6110.386336591735</v>
      </c>
      <c r="J31" s="6">
        <f t="shared" si="18"/>
        <v>-0.10005621882176895</v>
      </c>
      <c r="K31" s="1">
        <v>45706</v>
      </c>
      <c r="L31" s="1">
        <v>45708</v>
      </c>
      <c r="M31">
        <f t="shared" si="13"/>
        <v>2</v>
      </c>
      <c r="Q31" s="28">
        <v>34.72</v>
      </c>
      <c r="S31" s="62">
        <f t="shared" si="14"/>
        <v>-9.2284093222528271E-2</v>
      </c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5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6"/>
        <v>531.63995279999995</v>
      </c>
      <c r="I32" s="57">
        <f t="shared" si="17"/>
        <v>-22176.243614196137</v>
      </c>
      <c r="J32" s="6">
        <f t="shared" si="18"/>
        <v>-0.24194911929355969</v>
      </c>
      <c r="K32" s="1">
        <v>45706</v>
      </c>
      <c r="L32" s="1">
        <v>45708</v>
      </c>
      <c r="M32">
        <f t="shared" si="13"/>
        <v>2</v>
      </c>
      <c r="Q32" s="28">
        <v>526.4</v>
      </c>
      <c r="S32" s="62">
        <f t="shared" si="14"/>
        <v>-9.8562058257709809E-3</v>
      </c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5"/>
        <v>368.56522253629635</v>
      </c>
      <c r="F33" s="3">
        <v>74438.86</v>
      </c>
      <c r="G33" s="56">
        <f>201.9693*360.5332483</f>
        <v>72816.647785877198</v>
      </c>
      <c r="H33" s="57">
        <f t="shared" si="16"/>
        <v>360.53324830000003</v>
      </c>
      <c r="I33" s="57">
        <f t="shared" si="17"/>
        <v>-1622.2122141228028</v>
      </c>
      <c r="J33" s="6">
        <f t="shared" si="18"/>
        <v>-2.1792545105107773E-2</v>
      </c>
      <c r="K33" s="1">
        <v>45664</v>
      </c>
      <c r="L33" s="1">
        <v>45708</v>
      </c>
      <c r="M33">
        <f t="shared" si="13"/>
        <v>43</v>
      </c>
      <c r="Q33" s="28">
        <v>289.3</v>
      </c>
      <c r="S33" s="62">
        <f t="shared" si="14"/>
        <v>-0.19757747346709828</v>
      </c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5"/>
        <v>30.17825528482809</v>
      </c>
      <c r="F34" s="3">
        <v>37884.65</v>
      </c>
      <c r="G34" s="56">
        <f>1255.3625*39.762296</f>
        <v>49916.0953123</v>
      </c>
      <c r="H34" s="57">
        <f t="shared" si="16"/>
        <v>39.762295999999999</v>
      </c>
      <c r="I34" s="57">
        <f t="shared" si="17"/>
        <v>12031.445312299998</v>
      </c>
      <c r="J34" s="6">
        <f t="shared" si="18"/>
        <v>0.31758100740801348</v>
      </c>
      <c r="K34" s="1">
        <v>45663</v>
      </c>
      <c r="L34" s="1">
        <v>45709</v>
      </c>
      <c r="M34">
        <f t="shared" si="13"/>
        <v>45</v>
      </c>
      <c r="Q34" s="28">
        <v>26.27</v>
      </c>
      <c r="S34" s="62">
        <f t="shared" si="14"/>
        <v>-0.33932386600612802</v>
      </c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5"/>
        <v>242.26930551548847</v>
      </c>
      <c r="F35" s="3">
        <v>61221.72</v>
      </c>
      <c r="G35" s="56">
        <f>252.7011*226.6146532</f>
        <v>57265.772139758519</v>
      </c>
      <c r="H35" s="57">
        <f t="shared" si="16"/>
        <v>226.61465319999999</v>
      </c>
      <c r="I35" s="57">
        <f t="shared" si="17"/>
        <v>-3955.947860241482</v>
      </c>
      <c r="J35" s="6">
        <f t="shared" si="18"/>
        <v>-6.4616738311852093E-2</v>
      </c>
      <c r="K35" s="1">
        <v>45699</v>
      </c>
      <c r="L35" s="1">
        <v>45709</v>
      </c>
      <c r="M35">
        <f t="shared" si="13"/>
        <v>10</v>
      </c>
      <c r="Q35" s="28">
        <v>214.26</v>
      </c>
      <c r="S35" s="62">
        <f t="shared" si="14"/>
        <v>-5.4518333327264301E-2</v>
      </c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5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6"/>
        <v>283.93999450000007</v>
      </c>
      <c r="I36" s="57">
        <f t="shared" si="17"/>
        <v>19563.525282954361</v>
      </c>
      <c r="J36" s="6">
        <f t="shared" si="18"/>
        <v>0.36434300703793465</v>
      </c>
      <c r="K36" s="1">
        <v>45580</v>
      </c>
      <c r="L36" s="1">
        <v>45712</v>
      </c>
      <c r="M36">
        <f t="shared" si="13"/>
        <v>129</v>
      </c>
      <c r="Q36" s="28">
        <v>287.18</v>
      </c>
      <c r="S36" s="62">
        <f t="shared" si="14"/>
        <v>1.1410881040923375E-2</v>
      </c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5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6"/>
        <v>63.365330900000004</v>
      </c>
      <c r="I37" s="57">
        <f t="shared" si="17"/>
        <v>-4549.5912833559851</v>
      </c>
      <c r="J37" s="6">
        <f t="shared" si="18"/>
        <v>-5.9638082078758516E-2</v>
      </c>
      <c r="K37" s="1">
        <v>45673</v>
      </c>
      <c r="L37" s="1">
        <v>45712</v>
      </c>
      <c r="M37">
        <f t="shared" si="13"/>
        <v>38</v>
      </c>
      <c r="Q37" s="28">
        <v>49.22</v>
      </c>
      <c r="S37" s="62">
        <f t="shared" si="14"/>
        <v>-0.22323454638504861</v>
      </c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6"/>
        <v>50.021380499999999</v>
      </c>
      <c r="I38" s="57">
        <f t="shared" si="17"/>
        <v>6027.2875116823998</v>
      </c>
      <c r="J38" s="6">
        <f t="shared" si="18"/>
        <v>9.9771440635884723E-2</v>
      </c>
      <c r="K38" s="1">
        <v>45593</v>
      </c>
      <c r="L38" s="1">
        <v>45713</v>
      </c>
      <c r="M38">
        <f t="shared" si="13"/>
        <v>117</v>
      </c>
      <c r="Q38" s="28">
        <v>49.43</v>
      </c>
      <c r="S38" s="62">
        <f t="shared" si="14"/>
        <v>-1.1822554557445684E-2</v>
      </c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6"/>
        <v>12.519992000000002</v>
      </c>
      <c r="I39" s="57">
        <f t="shared" si="17"/>
        <v>-2230.6527810991975</v>
      </c>
      <c r="J39" s="6">
        <f t="shared" si="18"/>
        <v>-9.8609037242937694E-2</v>
      </c>
      <c r="K39" s="1">
        <v>45692</v>
      </c>
      <c r="L39" s="1">
        <v>45715</v>
      </c>
      <c r="M39">
        <f t="shared" si="13"/>
        <v>23</v>
      </c>
      <c r="Q39" s="28">
        <v>11.78</v>
      </c>
      <c r="S39" s="62">
        <f t="shared" si="14"/>
        <v>-5.9104830098933171E-2</v>
      </c>
    </row>
    <row r="40" spans="1:19" x14ac:dyDescent="0.25">
      <c r="D40" s="2"/>
      <c r="E40" s="57"/>
      <c r="F40" s="3"/>
      <c r="G40" s="56"/>
      <c r="H40" s="57"/>
      <c r="I40" s="57"/>
      <c r="J40" s="6"/>
      <c r="K40" s="1"/>
      <c r="L40" s="1"/>
    </row>
    <row r="41" spans="1:19" x14ac:dyDescent="0.25">
      <c r="D41" s="2"/>
      <c r="E41" s="57"/>
      <c r="F41" s="3"/>
      <c r="G41" s="56"/>
      <c r="H41" s="57"/>
      <c r="I41" s="57"/>
      <c r="J41" s="6"/>
      <c r="K41" s="1"/>
      <c r="L41" s="1"/>
    </row>
    <row r="42" spans="1:19" x14ac:dyDescent="0.25">
      <c r="D42" s="2"/>
      <c r="E42" s="57"/>
      <c r="F42" s="3"/>
      <c r="G42" s="56"/>
      <c r="H42" s="57"/>
      <c r="I42" s="57"/>
      <c r="J42" s="6"/>
      <c r="K42" s="1"/>
      <c r="L42" s="1"/>
    </row>
    <row r="43" spans="1:19" x14ac:dyDescent="0.25">
      <c r="F43" s="56"/>
      <c r="G43" s="56"/>
      <c r="H43" s="3"/>
      <c r="I43" s="3">
        <f>SUM(I26:I42)</f>
        <v>6448.9540173294226</v>
      </c>
      <c r="J43" s="13" t="s">
        <v>66</v>
      </c>
    </row>
    <row r="44" spans="1:19" x14ac:dyDescent="0.25">
      <c r="F44" s="56"/>
      <c r="G44" s="56"/>
      <c r="H44" s="3" t="s">
        <v>67</v>
      </c>
      <c r="I44" s="59">
        <v>8</v>
      </c>
      <c r="J44" s="5">
        <v>-0.1022</v>
      </c>
    </row>
    <row r="45" spans="1:19" x14ac:dyDescent="0.25">
      <c r="F45" s="56"/>
      <c r="G45" s="56"/>
      <c r="H45" s="3" t="s">
        <v>68</v>
      </c>
      <c r="I45" s="59">
        <v>5</v>
      </c>
      <c r="J45" s="5">
        <v>0.27560000000000001</v>
      </c>
    </row>
    <row r="46" spans="1:19" x14ac:dyDescent="0.25">
      <c r="F46" s="56"/>
      <c r="G46" s="56"/>
      <c r="J46" s="6"/>
    </row>
    <row r="47" spans="1:19" x14ac:dyDescent="0.25">
      <c r="F47" s="56"/>
      <c r="G47" s="56"/>
      <c r="J47" s="6"/>
    </row>
    <row r="48" spans="1:19" x14ac:dyDescent="0.25">
      <c r="F48" s="56"/>
      <c r="G48" s="56"/>
      <c r="J48" s="6"/>
    </row>
    <row r="49" spans="6:10" x14ac:dyDescent="0.25">
      <c r="F49" s="56"/>
      <c r="G49" s="56"/>
      <c r="J49" s="6"/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  <c r="J61" s="6"/>
    </row>
    <row r="62" spans="6:10" x14ac:dyDescent="0.25">
      <c r="F62" s="56"/>
      <c r="G62" s="56"/>
      <c r="J62" s="6"/>
    </row>
    <row r="63" spans="6:10" x14ac:dyDescent="0.25">
      <c r="F63" s="56"/>
      <c r="G63" s="56"/>
      <c r="J63" s="6"/>
    </row>
    <row r="64" spans="6:10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</row>
    <row r="70" spans="6:10" x14ac:dyDescent="0.25">
      <c r="F70" s="56"/>
      <c r="G70" s="56"/>
    </row>
    <row r="71" spans="6:10" x14ac:dyDescent="0.25">
      <c r="F71" s="56"/>
      <c r="G71" s="56"/>
    </row>
    <row r="72" spans="6:10" x14ac:dyDescent="0.25">
      <c r="F72" s="56"/>
      <c r="G72" s="56"/>
    </row>
    <row r="73" spans="6:10" x14ac:dyDescent="0.25">
      <c r="F73" s="56"/>
      <c r="G73" s="56"/>
    </row>
    <row r="74" spans="6:10" x14ac:dyDescent="0.25">
      <c r="F74" s="56"/>
      <c r="G74" s="5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75B5-AAEC-4A73-8960-9A0EAC628616}">
  <dimension ref="A1:AC74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9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45730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41</v>
      </c>
      <c r="B7" t="s">
        <v>30</v>
      </c>
      <c r="C7" s="25" t="s">
        <v>42</v>
      </c>
      <c r="D7" s="2">
        <v>2234.6064999999999</v>
      </c>
      <c r="E7" s="26">
        <v>17.25</v>
      </c>
      <c r="F7" s="3">
        <f>E7*D7</f>
        <v>38546.962124999998</v>
      </c>
      <c r="G7" s="3">
        <v>37971.83</v>
      </c>
      <c r="H7" s="4">
        <f>G7/D7</f>
        <v>16.992624876012847</v>
      </c>
      <c r="I7" s="3">
        <f>F7-G7</f>
        <v>575.13212499999645</v>
      </c>
      <c r="J7" s="26">
        <f>E7-H7</f>
        <v>0.25737512398715268</v>
      </c>
      <c r="K7" s="27">
        <v>45652</v>
      </c>
      <c r="L7">
        <f>DAYS360(K7,$C$1)</f>
        <v>78</v>
      </c>
      <c r="M7" s="5">
        <f>(I7/G7)</f>
        <v>1.5146284100608172E-2</v>
      </c>
      <c r="N7">
        <v>110</v>
      </c>
      <c r="O7">
        <v>97</v>
      </c>
      <c r="P7" s="30">
        <v>80</v>
      </c>
      <c r="Q7" s="28">
        <v>15.9</v>
      </c>
      <c r="R7" s="29">
        <f>Q7*0.93</f>
        <v>14.787000000000001</v>
      </c>
      <c r="S7" s="29">
        <v>14</v>
      </c>
      <c r="T7" s="31">
        <f>Q7*1.25</f>
        <v>19.875</v>
      </c>
      <c r="U7" s="28">
        <f>Q7*1.5</f>
        <v>23.85</v>
      </c>
      <c r="V7" s="28">
        <f>Q7*2</f>
        <v>31.8</v>
      </c>
      <c r="W7" s="28">
        <f>H7-(H7*0.07)</f>
        <v>15.803141134691948</v>
      </c>
      <c r="X7" s="29">
        <v>15.65</v>
      </c>
      <c r="Y7" s="5">
        <f>(X7-H7)/H7</f>
        <v>-7.9012211815969929E-2</v>
      </c>
      <c r="Z7" s="6">
        <f>F7/F$20</f>
        <v>5.6850491752286923E-2</v>
      </c>
      <c r="AB7" s="58">
        <v>45777</v>
      </c>
      <c r="AC7" s="9">
        <v>93</v>
      </c>
    </row>
    <row r="8" spans="1:29" x14ac:dyDescent="0.25">
      <c r="C8" s="25"/>
      <c r="D8" s="2"/>
      <c r="E8" s="26"/>
      <c r="F8" s="3">
        <f>E8*D8</f>
        <v>0</v>
      </c>
      <c r="G8" s="3"/>
      <c r="H8" s="4" t="e">
        <f>G8/D8</f>
        <v>#DIV/0!</v>
      </c>
      <c r="I8" s="3">
        <f>F8-G8</f>
        <v>0</v>
      </c>
      <c r="J8" s="26" t="e">
        <f>E8-H8</f>
        <v>#DIV/0!</v>
      </c>
      <c r="K8" s="27"/>
      <c r="L8">
        <f>DAYS360(K8,$C$1)</f>
        <v>45074</v>
      </c>
      <c r="M8" s="5" t="e">
        <f>(I8/G8)</f>
        <v>#DIV/0!</v>
      </c>
      <c r="P8" s="30"/>
      <c r="Q8" s="28"/>
      <c r="R8" s="29">
        <f>Q8*0.93</f>
        <v>0</v>
      </c>
      <c r="S8" s="29"/>
      <c r="T8" s="31">
        <f>Q8*1.25</f>
        <v>0</v>
      </c>
      <c r="U8" s="28">
        <f>Q8*1.5</f>
        <v>0</v>
      </c>
      <c r="V8" s="28">
        <f>Q8*2</f>
        <v>0</v>
      </c>
      <c r="W8" s="28" t="e">
        <f>H8-(H8*0.07)</f>
        <v>#DIV/0!</v>
      </c>
      <c r="X8" s="29"/>
      <c r="Y8" s="5" t="e">
        <f>(X8-H8)/H8</f>
        <v>#DIV/0!</v>
      </c>
      <c r="Z8" s="6">
        <f>F8/F$20</f>
        <v>0</v>
      </c>
      <c r="AB8" s="58"/>
      <c r="AC8" s="9"/>
    </row>
    <row r="9" spans="1:29" x14ac:dyDescent="0.25">
      <c r="D9" s="2"/>
      <c r="E9" s="26"/>
      <c r="F9" s="3">
        <f>E9*D9</f>
        <v>0</v>
      </c>
      <c r="G9" s="3"/>
      <c r="H9" s="4" t="e">
        <f>G9/D9</f>
        <v>#DIV/0!</v>
      </c>
      <c r="I9" s="3">
        <f>F9-G9</f>
        <v>0</v>
      </c>
      <c r="J9" s="26" t="e">
        <f>E9-H9</f>
        <v>#DIV/0!</v>
      </c>
      <c r="K9" s="27"/>
      <c r="L9">
        <f>DAYS360(K9,$C$1)</f>
        <v>45074</v>
      </c>
      <c r="M9" s="5" t="e">
        <f>(I9/G9)</f>
        <v>#DIV/0!</v>
      </c>
      <c r="P9" s="33"/>
      <c r="Q9" s="28"/>
      <c r="R9" s="29">
        <f>Q9*0.93</f>
        <v>0</v>
      </c>
      <c r="S9" s="29"/>
      <c r="T9" s="28">
        <f>Q9*1.25</f>
        <v>0</v>
      </c>
      <c r="U9" s="28">
        <f>Q9*1.5</f>
        <v>0</v>
      </c>
      <c r="V9" s="28">
        <f>Q9*2</f>
        <v>0</v>
      </c>
      <c r="W9" s="28" t="e">
        <f>H9-(H9*0.07)</f>
        <v>#DIV/0!</v>
      </c>
      <c r="X9" s="29"/>
      <c r="Y9" s="5" t="e">
        <f>(X9-H9)/H9</f>
        <v>#DIV/0!</v>
      </c>
      <c r="Z9" s="32">
        <f>F9/F$20</f>
        <v>0</v>
      </c>
      <c r="AB9" s="58"/>
      <c r="AC9" s="9"/>
    </row>
    <row r="10" spans="1:29" x14ac:dyDescent="0.25">
      <c r="C10" s="25"/>
      <c r="D10" s="2"/>
      <c r="E10" s="26"/>
      <c r="F10" s="3">
        <f>E10*D10</f>
        <v>0</v>
      </c>
      <c r="G10" s="3"/>
      <c r="H10" s="4" t="e">
        <f>G10/D10</f>
        <v>#DIV/0!</v>
      </c>
      <c r="I10" s="3">
        <f>F10-G10</f>
        <v>0</v>
      </c>
      <c r="J10" s="26" t="e">
        <f>E10-H10</f>
        <v>#DIV/0!</v>
      </c>
      <c r="K10" s="27"/>
      <c r="L10">
        <f>DAYS360(K10,$C$1)</f>
        <v>45074</v>
      </c>
      <c r="M10" s="5" t="e">
        <f>(I10/G10)</f>
        <v>#DIV/0!</v>
      </c>
      <c r="P10" s="30"/>
      <c r="Q10" s="28"/>
      <c r="R10" s="29">
        <f>Q10*0.93</f>
        <v>0</v>
      </c>
      <c r="S10" s="29"/>
      <c r="T10" s="28">
        <f>Q10*1.25</f>
        <v>0</v>
      </c>
      <c r="U10" s="28">
        <f>Q10*1.5</f>
        <v>0</v>
      </c>
      <c r="V10" s="28">
        <f>Q10*2</f>
        <v>0</v>
      </c>
      <c r="W10" s="28" t="e">
        <f>H10-(H10*0.07)</f>
        <v>#DIV/0!</v>
      </c>
      <c r="X10" s="29"/>
      <c r="Y10" s="5" t="e">
        <f>(X10-H10)/H10</f>
        <v>#DIV/0!</v>
      </c>
      <c r="Z10" s="6">
        <f>F10/F$20</f>
        <v>0</v>
      </c>
      <c r="AB10" s="58"/>
      <c r="AC10" s="9"/>
    </row>
    <row r="11" spans="1:29" x14ac:dyDescent="0.25">
      <c r="C11" s="25"/>
      <c r="D11" s="2"/>
      <c r="E11" s="26"/>
      <c r="F11" s="3">
        <f t="shared" ref="F11:F17" si="0">E11*D11</f>
        <v>0</v>
      </c>
      <c r="G11" s="3"/>
      <c r="H11" s="4" t="e">
        <f t="shared" ref="H11:H17" si="1">G11/D11</f>
        <v>#DIV/0!</v>
      </c>
      <c r="I11" s="3">
        <f t="shared" ref="I11:I17" si="2">F11-G11</f>
        <v>0</v>
      </c>
      <c r="J11" s="26" t="e">
        <f t="shared" ref="J11:J17" si="3">E11-H11</f>
        <v>#DIV/0!</v>
      </c>
      <c r="K11" s="27"/>
      <c r="L11">
        <f t="shared" ref="L11:L17" si="4">DAYS360(K11,$C$1)</f>
        <v>45074</v>
      </c>
      <c r="M11" s="5" t="e">
        <f t="shared" ref="M11:M17" si="5">(I11/G11)</f>
        <v>#DIV/0!</v>
      </c>
      <c r="P11" s="30"/>
      <c r="Q11" s="28"/>
      <c r="R11" s="29">
        <f t="shared" ref="R11:R17" si="6">Q11*0.93</f>
        <v>0</v>
      </c>
      <c r="S11" s="29"/>
      <c r="T11" s="28">
        <f t="shared" ref="T11:T17" si="7">Q11*1.25</f>
        <v>0</v>
      </c>
      <c r="U11" s="28">
        <f t="shared" ref="U11:U17" si="8">Q11*1.5</f>
        <v>0</v>
      </c>
      <c r="V11" s="28">
        <f t="shared" ref="V11:V17" si="9">Q11*2</f>
        <v>0</v>
      </c>
      <c r="W11" s="28" t="e">
        <f t="shared" ref="W11:W17" si="10">H11-(H11*0.07)</f>
        <v>#DIV/0!</v>
      </c>
      <c r="X11" s="29"/>
      <c r="Y11" s="5" t="e">
        <f t="shared" ref="Y11:Y17" si="11">(X11-H11)/H11</f>
        <v>#DIV/0!</v>
      </c>
      <c r="Z11" s="32">
        <f t="shared" ref="Z11:Z17" si="12"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L12">
        <f t="shared" si="4"/>
        <v>45074</v>
      </c>
      <c r="M12" s="5" t="e">
        <f t="shared" si="5"/>
        <v>#DIV/0!</v>
      </c>
      <c r="P12" s="34"/>
      <c r="Q12" s="28"/>
      <c r="R12" s="29">
        <f t="shared" si="6"/>
        <v>0</v>
      </c>
      <c r="S12" s="29"/>
      <c r="T12" s="31">
        <f t="shared" si="7"/>
        <v>0</v>
      </c>
      <c r="U12" s="28">
        <f t="shared" si="8"/>
        <v>0</v>
      </c>
      <c r="V12" s="28">
        <f t="shared" si="9"/>
        <v>0</v>
      </c>
      <c r="W12" s="28" t="e">
        <f t="shared" si="10"/>
        <v>#DIV/0!</v>
      </c>
      <c r="X12" s="29"/>
      <c r="Y12" s="5" t="e">
        <f t="shared" si="11"/>
        <v>#DIV/0!</v>
      </c>
      <c r="Z12" s="6">
        <f t="shared" si="12"/>
        <v>0</v>
      </c>
      <c r="AB12" s="60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4"/>
        <v>45074</v>
      </c>
      <c r="M13" s="5" t="e">
        <f t="shared" si="5"/>
        <v>#DIV/0!</v>
      </c>
      <c r="P13" s="30"/>
      <c r="Q13" s="28"/>
      <c r="R13" s="29">
        <f t="shared" si="6"/>
        <v>0</v>
      </c>
      <c r="S13" s="29"/>
      <c r="T13" s="31">
        <f t="shared" si="7"/>
        <v>0</v>
      </c>
      <c r="U13" s="28">
        <f t="shared" si="8"/>
        <v>0</v>
      </c>
      <c r="V13" s="28">
        <f t="shared" si="9"/>
        <v>0</v>
      </c>
      <c r="W13" s="28" t="e">
        <f t="shared" si="10"/>
        <v>#DIV/0!</v>
      </c>
      <c r="X13" s="29"/>
      <c r="Y13" s="5" t="e">
        <f t="shared" si="11"/>
        <v>#DIV/0!</v>
      </c>
      <c r="Z13" s="32">
        <f t="shared" si="12"/>
        <v>0</v>
      </c>
      <c r="AB13" s="58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45074</v>
      </c>
      <c r="M14" s="5" t="e">
        <f t="shared" si="5"/>
        <v>#DIV/0!</v>
      </c>
      <c r="P14" s="30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8"/>
      <c r="AC14" s="9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45074</v>
      </c>
      <c r="M15" s="5" t="e">
        <f t="shared" si="5"/>
        <v>#DIV/0!</v>
      </c>
      <c r="P15" s="30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45074</v>
      </c>
      <c r="M16" s="5" t="e">
        <f t="shared" si="5"/>
        <v>#DIV/0!</v>
      </c>
      <c r="P16" s="30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6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45074</v>
      </c>
      <c r="M17" s="42" t="e">
        <f t="shared" si="5"/>
        <v>#DIV/0!</v>
      </c>
      <c r="N17" s="35"/>
      <c r="O17" s="35"/>
      <c r="P17" s="43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38546.962124999998</v>
      </c>
      <c r="G18" s="3">
        <f>SUM(G6:G17)</f>
        <v>37971.83</v>
      </c>
      <c r="H18" s="4"/>
      <c r="I18" s="3">
        <f>SUM(I6:I17)</f>
        <v>575.13212499999645</v>
      </c>
      <c r="M18" s="5"/>
      <c r="Z18" s="6"/>
    </row>
    <row r="19" spans="1:29" x14ac:dyDescent="0.25">
      <c r="D19" s="2" t="s">
        <v>44</v>
      </c>
      <c r="F19" s="3">
        <f>597832+41662</f>
        <v>639494</v>
      </c>
      <c r="G19" s="6">
        <f>F19/F20</f>
        <v>0.94314950824771315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678040.96212499996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'03-07-25'!F20</f>
        <v>681085.79138900002</v>
      </c>
      <c r="K21" s="1">
        <v>45657</v>
      </c>
      <c r="L21" s="50">
        <v>170762</v>
      </c>
      <c r="M21" s="50">
        <v>156482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-4.4705517315086866E-3</v>
      </c>
      <c r="K22" s="9" t="s">
        <v>50</v>
      </c>
      <c r="L22" s="6">
        <f>(M21-L21)/L21</f>
        <v>-8.3625162506880915E-2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  <c r="P25" s="9" t="s">
        <v>91</v>
      </c>
      <c r="S25" t="s">
        <v>88</v>
      </c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>
        <v>62.93</v>
      </c>
      <c r="S26" s="62">
        <f>(Q26-H26)/H26</f>
        <v>-9.0541248036317787E-2</v>
      </c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>
        <v>60</v>
      </c>
      <c r="S27" s="62">
        <f t="shared" ref="S27:S39" si="14">(Q27-H27)/H27</f>
        <v>-0.27479258358770497</v>
      </c>
      <c r="U27" t="s">
        <v>90</v>
      </c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5">F28/D28</f>
        <v>44.698790833464948</v>
      </c>
      <c r="F28" s="3">
        <v>56489.42</v>
      </c>
      <c r="G28" s="56">
        <v>75501.87</v>
      </c>
      <c r="H28" s="57">
        <f t="shared" ref="H28:H39" si="16">G28/D28</f>
        <v>59.742909285764696</v>
      </c>
      <c r="I28" s="57">
        <f t="shared" ref="I28:I39" si="17">G28-F28</f>
        <v>19012.449999999997</v>
      </c>
      <c r="J28" s="6">
        <f t="shared" ref="J28:J39" si="18">I28/F28</f>
        <v>0.33656656414599401</v>
      </c>
      <c r="K28" s="1">
        <v>45527</v>
      </c>
      <c r="L28" s="1">
        <v>45688</v>
      </c>
      <c r="M28">
        <f t="shared" si="13"/>
        <v>158</v>
      </c>
      <c r="Q28" s="28">
        <v>46.66</v>
      </c>
      <c r="S28" s="62">
        <f t="shared" si="14"/>
        <v>-0.21898681269748682</v>
      </c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5"/>
        <v>169.90901206845703</v>
      </c>
      <c r="F29" s="3">
        <f>59492.79+21969.78</f>
        <v>81462.570000000007</v>
      </c>
      <c r="G29" s="56">
        <v>65047.58</v>
      </c>
      <c r="H29" s="57">
        <f t="shared" si="16"/>
        <v>135.67175765807443</v>
      </c>
      <c r="I29" s="57">
        <f t="shared" si="17"/>
        <v>-16414.990000000005</v>
      </c>
      <c r="J29" s="6">
        <f t="shared" si="18"/>
        <v>-0.20150346349249729</v>
      </c>
      <c r="K29" s="1">
        <v>45671</v>
      </c>
      <c r="L29" s="1">
        <v>45688</v>
      </c>
      <c r="M29">
        <f t="shared" si="13"/>
        <v>17</v>
      </c>
      <c r="Q29" s="28">
        <v>113.8</v>
      </c>
      <c r="S29" s="62">
        <f t="shared" si="14"/>
        <v>-0.16121083735936065</v>
      </c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5"/>
        <v>18.702010092477405</v>
      </c>
      <c r="F30" s="3">
        <v>56486.59</v>
      </c>
      <c r="G30" s="56">
        <v>71124.88</v>
      </c>
      <c r="H30" s="57">
        <f t="shared" si="16"/>
        <v>23.548566546258936</v>
      </c>
      <c r="I30" s="57">
        <f t="shared" si="17"/>
        <v>14638.290000000008</v>
      </c>
      <c r="J30" s="6">
        <f t="shared" si="18"/>
        <v>0.25914628587068206</v>
      </c>
      <c r="K30" s="1">
        <v>45527</v>
      </c>
      <c r="L30" s="1">
        <v>45691</v>
      </c>
      <c r="M30">
        <f t="shared" si="13"/>
        <v>160</v>
      </c>
      <c r="Q30" s="28">
        <v>18.260000000000002</v>
      </c>
      <c r="S30" s="62">
        <f t="shared" si="14"/>
        <v>-0.22458125151142616</v>
      </c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5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6"/>
        <v>38.249853000000002</v>
      </c>
      <c r="I31" s="57">
        <f t="shared" si="17"/>
        <v>-6110.386336591735</v>
      </c>
      <c r="J31" s="6">
        <f t="shared" si="18"/>
        <v>-0.10005621882176895</v>
      </c>
      <c r="K31" s="1">
        <v>45706</v>
      </c>
      <c r="L31" s="1">
        <v>45708</v>
      </c>
      <c r="M31">
        <f t="shared" si="13"/>
        <v>2</v>
      </c>
      <c r="Q31" s="28">
        <v>34.72</v>
      </c>
      <c r="S31" s="62">
        <f t="shared" si="14"/>
        <v>-9.2284093222528271E-2</v>
      </c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5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6"/>
        <v>531.63995279999995</v>
      </c>
      <c r="I32" s="57">
        <f t="shared" si="17"/>
        <v>-22176.243614196137</v>
      </c>
      <c r="J32" s="6">
        <f t="shared" si="18"/>
        <v>-0.24194911929355969</v>
      </c>
      <c r="K32" s="1">
        <v>45706</v>
      </c>
      <c r="L32" s="1">
        <v>45708</v>
      </c>
      <c r="M32">
        <f t="shared" si="13"/>
        <v>2</v>
      </c>
      <c r="Q32" s="28">
        <v>526.4</v>
      </c>
      <c r="S32" s="62">
        <f t="shared" si="14"/>
        <v>-9.8562058257709809E-3</v>
      </c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5"/>
        <v>368.56522253629635</v>
      </c>
      <c r="F33" s="3">
        <v>74438.86</v>
      </c>
      <c r="G33" s="56">
        <f>201.9693*360.5332483</f>
        <v>72816.647785877198</v>
      </c>
      <c r="H33" s="57">
        <f t="shared" si="16"/>
        <v>360.53324830000003</v>
      </c>
      <c r="I33" s="57">
        <f t="shared" si="17"/>
        <v>-1622.2122141228028</v>
      </c>
      <c r="J33" s="6">
        <f t="shared" si="18"/>
        <v>-2.1792545105107773E-2</v>
      </c>
      <c r="K33" s="1">
        <v>45664</v>
      </c>
      <c r="L33" s="1">
        <v>45708</v>
      </c>
      <c r="M33">
        <f t="shared" si="13"/>
        <v>43</v>
      </c>
      <c r="Q33" s="28">
        <v>289.3</v>
      </c>
      <c r="S33" s="62">
        <f t="shared" si="14"/>
        <v>-0.19757747346709828</v>
      </c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5"/>
        <v>30.17825528482809</v>
      </c>
      <c r="F34" s="3">
        <v>37884.65</v>
      </c>
      <c r="G34" s="56">
        <f>1255.3625*39.762296</f>
        <v>49916.0953123</v>
      </c>
      <c r="H34" s="57">
        <f t="shared" si="16"/>
        <v>39.762295999999999</v>
      </c>
      <c r="I34" s="57">
        <f t="shared" si="17"/>
        <v>12031.445312299998</v>
      </c>
      <c r="J34" s="6">
        <f t="shared" si="18"/>
        <v>0.31758100740801348</v>
      </c>
      <c r="K34" s="1">
        <v>45663</v>
      </c>
      <c r="L34" s="1">
        <v>45709</v>
      </c>
      <c r="M34">
        <f t="shared" si="13"/>
        <v>45</v>
      </c>
      <c r="Q34" s="28">
        <v>26.27</v>
      </c>
      <c r="S34" s="62">
        <f t="shared" si="14"/>
        <v>-0.33932386600612802</v>
      </c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5"/>
        <v>242.26930551548847</v>
      </c>
      <c r="F35" s="3">
        <v>61221.72</v>
      </c>
      <c r="G35" s="56">
        <f>252.7011*226.6146532</f>
        <v>57265.772139758519</v>
      </c>
      <c r="H35" s="57">
        <f t="shared" si="16"/>
        <v>226.61465319999999</v>
      </c>
      <c r="I35" s="57">
        <f t="shared" si="17"/>
        <v>-3955.947860241482</v>
      </c>
      <c r="J35" s="6">
        <f t="shared" si="18"/>
        <v>-6.4616738311852093E-2</v>
      </c>
      <c r="K35" s="1">
        <v>45699</v>
      </c>
      <c r="L35" s="1">
        <v>45709</v>
      </c>
      <c r="M35">
        <f t="shared" si="13"/>
        <v>10</v>
      </c>
      <c r="Q35" s="28">
        <v>214.26</v>
      </c>
      <c r="S35" s="62">
        <f t="shared" si="14"/>
        <v>-5.4518333327264301E-2</v>
      </c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5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6"/>
        <v>283.93999450000007</v>
      </c>
      <c r="I36" s="57">
        <f t="shared" si="17"/>
        <v>19563.525282954361</v>
      </c>
      <c r="J36" s="6">
        <f t="shared" si="18"/>
        <v>0.36434300703793465</v>
      </c>
      <c r="K36" s="1">
        <v>45580</v>
      </c>
      <c r="L36" s="1">
        <v>45712</v>
      </c>
      <c r="M36">
        <f t="shared" si="13"/>
        <v>129</v>
      </c>
      <c r="Q36" s="28">
        <v>287.18</v>
      </c>
      <c r="S36" s="62">
        <f t="shared" si="14"/>
        <v>1.1410881040923375E-2</v>
      </c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5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6"/>
        <v>63.365330900000004</v>
      </c>
      <c r="I37" s="57">
        <f t="shared" si="17"/>
        <v>-4549.5912833559851</v>
      </c>
      <c r="J37" s="6">
        <f t="shared" si="18"/>
        <v>-5.9638082078758516E-2</v>
      </c>
      <c r="K37" s="1">
        <v>45673</v>
      </c>
      <c r="L37" s="1">
        <v>45712</v>
      </c>
      <c r="M37">
        <f t="shared" si="13"/>
        <v>38</v>
      </c>
      <c r="Q37" s="28">
        <v>49.22</v>
      </c>
      <c r="S37" s="62">
        <f t="shared" si="14"/>
        <v>-0.22323454638504861</v>
      </c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6"/>
        <v>50.021380499999999</v>
      </c>
      <c r="I38" s="57">
        <f t="shared" si="17"/>
        <v>6027.2875116823998</v>
      </c>
      <c r="J38" s="6">
        <f t="shared" si="18"/>
        <v>9.9771440635884723E-2</v>
      </c>
      <c r="K38" s="1">
        <v>45593</v>
      </c>
      <c r="L38" s="1">
        <v>45713</v>
      </c>
      <c r="M38">
        <f t="shared" si="13"/>
        <v>117</v>
      </c>
      <c r="Q38" s="28">
        <v>49.43</v>
      </c>
      <c r="S38" s="62">
        <f t="shared" si="14"/>
        <v>-1.1822554557445684E-2</v>
      </c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6"/>
        <v>12.519992000000002</v>
      </c>
      <c r="I39" s="57">
        <f t="shared" si="17"/>
        <v>-2230.6527810991975</v>
      </c>
      <c r="J39" s="6">
        <f t="shared" si="18"/>
        <v>-9.8609037242937694E-2</v>
      </c>
      <c r="K39" s="1">
        <v>45692</v>
      </c>
      <c r="L39" s="1">
        <v>45715</v>
      </c>
      <c r="M39">
        <f>DAYS360(K39,L39)</f>
        <v>23</v>
      </c>
      <c r="Q39" s="28">
        <v>11.78</v>
      </c>
      <c r="S39" s="62">
        <f t="shared" si="14"/>
        <v>-5.9104830098933171E-2</v>
      </c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ref="H40" si="19">G40/D40</f>
        <v>94.679995300000002</v>
      </c>
      <c r="I40" s="57">
        <f t="shared" ref="I40" si="20">G40-F40</f>
        <v>-4750.690604140058</v>
      </c>
      <c r="J40" s="6">
        <f t="shared" ref="J40" si="21">I40/F40</f>
        <v>-0.10235753534193669</v>
      </c>
      <c r="K40" s="1">
        <v>45695</v>
      </c>
      <c r="L40" s="1">
        <v>45729</v>
      </c>
      <c r="M40">
        <f>DAYS360(K40,L40)</f>
        <v>36</v>
      </c>
    </row>
    <row r="41" spans="1:19" x14ac:dyDescent="0.25">
      <c r="D41" s="2"/>
      <c r="E41" s="57"/>
      <c r="F41" s="3"/>
      <c r="G41" s="56"/>
      <c r="H41" s="57"/>
      <c r="I41" s="57"/>
      <c r="J41" s="6"/>
      <c r="K41" s="1"/>
      <c r="L41" s="1"/>
    </row>
    <row r="42" spans="1:19" x14ac:dyDescent="0.25">
      <c r="D42" s="2"/>
      <c r="E42" s="57"/>
      <c r="F42" s="3"/>
      <c r="G42" s="56"/>
      <c r="H42" s="57"/>
      <c r="I42" s="57"/>
      <c r="J42" s="6"/>
      <c r="K42" s="1"/>
      <c r="L42" s="1"/>
    </row>
    <row r="43" spans="1:19" x14ac:dyDescent="0.25">
      <c r="F43" s="56"/>
      <c r="G43" s="56"/>
      <c r="H43" s="3"/>
      <c r="I43" s="3">
        <f>SUM(I26:I42)</f>
        <v>1698.2634131893647</v>
      </c>
      <c r="J43" s="13" t="s">
        <v>66</v>
      </c>
    </row>
    <row r="44" spans="1:19" x14ac:dyDescent="0.25">
      <c r="F44" s="56"/>
      <c r="G44" s="56"/>
      <c r="H44" s="3" t="s">
        <v>67</v>
      </c>
      <c r="I44" s="59">
        <v>9</v>
      </c>
      <c r="J44" s="5">
        <v>-0.1022</v>
      </c>
    </row>
    <row r="45" spans="1:19" x14ac:dyDescent="0.25">
      <c r="F45" s="56"/>
      <c r="G45" s="56"/>
      <c r="H45" s="3" t="s">
        <v>68</v>
      </c>
      <c r="I45" s="59">
        <v>5</v>
      </c>
      <c r="J45" s="5">
        <v>0.27560000000000001</v>
      </c>
    </row>
    <row r="46" spans="1:19" x14ac:dyDescent="0.25">
      <c r="F46" s="56"/>
      <c r="G46" s="56"/>
      <c r="J46" s="6"/>
    </row>
    <row r="47" spans="1:19" x14ac:dyDescent="0.25">
      <c r="F47" s="56"/>
      <c r="G47" s="56"/>
      <c r="J47" s="6"/>
    </row>
    <row r="48" spans="1:19" x14ac:dyDescent="0.25">
      <c r="F48" s="56"/>
      <c r="G48" s="56"/>
      <c r="J48" s="6"/>
    </row>
    <row r="49" spans="6:10" x14ac:dyDescent="0.25">
      <c r="F49" s="56"/>
      <c r="G49" s="56"/>
      <c r="J49" s="6"/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  <c r="J61" s="6"/>
    </row>
    <row r="62" spans="6:10" x14ac:dyDescent="0.25">
      <c r="F62" s="56"/>
      <c r="G62" s="56"/>
      <c r="J62" s="6"/>
    </row>
    <row r="63" spans="6:10" x14ac:dyDescent="0.25">
      <c r="F63" s="56"/>
      <c r="G63" s="56"/>
      <c r="J63" s="6"/>
    </row>
    <row r="64" spans="6:10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</row>
    <row r="70" spans="6:10" x14ac:dyDescent="0.25">
      <c r="F70" s="56"/>
      <c r="G70" s="56"/>
    </row>
    <row r="71" spans="6:10" x14ac:dyDescent="0.25">
      <c r="F71" s="56"/>
      <c r="G71" s="56"/>
    </row>
    <row r="72" spans="6:10" x14ac:dyDescent="0.25">
      <c r="F72" s="56"/>
      <c r="G72" s="56"/>
    </row>
    <row r="73" spans="6:10" x14ac:dyDescent="0.25">
      <c r="F73" s="56"/>
      <c r="G73" s="56"/>
    </row>
    <row r="74" spans="6:10" x14ac:dyDescent="0.25">
      <c r="F74" s="56"/>
      <c r="G74" s="5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B918-DD86-4E51-9C5D-5F1098160B70}">
  <dimension ref="A1:AC74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9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45737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41</v>
      </c>
      <c r="B7" t="s">
        <v>30</v>
      </c>
      <c r="C7" s="25" t="s">
        <v>42</v>
      </c>
      <c r="D7" s="2">
        <v>2234.6064999999999</v>
      </c>
      <c r="E7" s="26">
        <v>17.72</v>
      </c>
      <c r="F7" s="3">
        <f>E7*D7</f>
        <v>39597.227179999994</v>
      </c>
      <c r="G7" s="3">
        <v>37971.83</v>
      </c>
      <c r="H7" s="4">
        <f>G7/D7</f>
        <v>16.992624876012847</v>
      </c>
      <c r="I7" s="3">
        <f>F7-G7</f>
        <v>1625.3971799999927</v>
      </c>
      <c r="J7" s="26">
        <f>E7-H7</f>
        <v>0.72737512398715154</v>
      </c>
      <c r="K7" s="27">
        <v>45652</v>
      </c>
      <c r="L7">
        <f>DAYS360(K7,$C$1)</f>
        <v>85</v>
      </c>
      <c r="M7" s="5">
        <f>(I7/G7)</f>
        <v>4.2805342276102908E-2</v>
      </c>
      <c r="N7">
        <v>110</v>
      </c>
      <c r="O7">
        <v>97</v>
      </c>
      <c r="P7" s="30">
        <v>80</v>
      </c>
      <c r="Q7" s="28">
        <v>15.9</v>
      </c>
      <c r="R7" s="29">
        <f>Q7*0.93</f>
        <v>14.787000000000001</v>
      </c>
      <c r="S7" s="29">
        <v>14</v>
      </c>
      <c r="T7" s="31">
        <f>Q7*1.25</f>
        <v>19.875</v>
      </c>
      <c r="U7" s="28">
        <f>Q7*1.5</f>
        <v>23.85</v>
      </c>
      <c r="V7" s="28">
        <f>Q7*2</f>
        <v>31.8</v>
      </c>
      <c r="W7" s="28">
        <f>H7-(H7*0.07)</f>
        <v>15.803141134691948</v>
      </c>
      <c r="X7" s="29">
        <v>16.5</v>
      </c>
      <c r="Y7" s="5">
        <f>(X7-H7)/H7</f>
        <v>-2.8990510860287814E-2</v>
      </c>
      <c r="Z7" s="6">
        <f>F7/F$20</f>
        <v>5.8309743615211719E-2</v>
      </c>
      <c r="AB7" s="58">
        <v>45777</v>
      </c>
      <c r="AC7" s="9">
        <v>94</v>
      </c>
    </row>
    <row r="8" spans="1:29" x14ac:dyDescent="0.25">
      <c r="C8" s="25"/>
      <c r="D8" s="2"/>
      <c r="E8" s="26"/>
      <c r="F8" s="3">
        <f>E8*D8</f>
        <v>0</v>
      </c>
      <c r="G8" s="3"/>
      <c r="H8" s="4" t="e">
        <f>G8/D8</f>
        <v>#DIV/0!</v>
      </c>
      <c r="I8" s="3">
        <f>F8-G8</f>
        <v>0</v>
      </c>
      <c r="J8" s="26" t="e">
        <f>E8-H8</f>
        <v>#DIV/0!</v>
      </c>
      <c r="K8" s="27"/>
      <c r="L8">
        <f>DAYS360(K8,$C$1)</f>
        <v>45081</v>
      </c>
      <c r="M8" s="5" t="e">
        <f>(I8/G8)</f>
        <v>#DIV/0!</v>
      </c>
      <c r="P8" s="30"/>
      <c r="Q8" s="28"/>
      <c r="R8" s="29">
        <f>Q8*0.93</f>
        <v>0</v>
      </c>
      <c r="S8" s="29"/>
      <c r="T8" s="31">
        <f>Q8*1.25</f>
        <v>0</v>
      </c>
      <c r="U8" s="28">
        <f>Q8*1.5</f>
        <v>0</v>
      </c>
      <c r="V8" s="28">
        <f>Q8*2</f>
        <v>0</v>
      </c>
      <c r="W8" s="28" t="e">
        <f>H8-(H8*0.07)</f>
        <v>#DIV/0!</v>
      </c>
      <c r="X8" s="29"/>
      <c r="Y8" s="5" t="e">
        <f>(X8-H8)/H8</f>
        <v>#DIV/0!</v>
      </c>
      <c r="Z8" s="6">
        <f>F8/F$20</f>
        <v>0</v>
      </c>
      <c r="AB8" s="58"/>
      <c r="AC8" s="9"/>
    </row>
    <row r="9" spans="1:29" x14ac:dyDescent="0.25">
      <c r="D9" s="2"/>
      <c r="E9" s="26"/>
      <c r="F9" s="3">
        <f>E9*D9</f>
        <v>0</v>
      </c>
      <c r="G9" s="3"/>
      <c r="H9" s="4" t="e">
        <f>G9/D9</f>
        <v>#DIV/0!</v>
      </c>
      <c r="I9" s="3">
        <f>F9-G9</f>
        <v>0</v>
      </c>
      <c r="J9" s="26" t="e">
        <f>E9-H9</f>
        <v>#DIV/0!</v>
      </c>
      <c r="K9" s="27"/>
      <c r="L9">
        <f>DAYS360(K9,$C$1)</f>
        <v>45081</v>
      </c>
      <c r="M9" s="5" t="e">
        <f>(I9/G9)</f>
        <v>#DIV/0!</v>
      </c>
      <c r="P9" s="33"/>
      <c r="Q9" s="28"/>
      <c r="R9" s="29">
        <f>Q9*0.93</f>
        <v>0</v>
      </c>
      <c r="S9" s="29"/>
      <c r="T9" s="28">
        <f>Q9*1.25</f>
        <v>0</v>
      </c>
      <c r="U9" s="28">
        <f>Q9*1.5</f>
        <v>0</v>
      </c>
      <c r="V9" s="28">
        <f>Q9*2</f>
        <v>0</v>
      </c>
      <c r="W9" s="28" t="e">
        <f>H9-(H9*0.07)</f>
        <v>#DIV/0!</v>
      </c>
      <c r="X9" s="29"/>
      <c r="Y9" s="5" t="e">
        <f>(X9-H9)/H9</f>
        <v>#DIV/0!</v>
      </c>
      <c r="Z9" s="32">
        <f>F9/F$20</f>
        <v>0</v>
      </c>
      <c r="AB9" s="58"/>
      <c r="AC9" s="9"/>
    </row>
    <row r="10" spans="1:29" x14ac:dyDescent="0.25">
      <c r="C10" s="25"/>
      <c r="D10" s="2"/>
      <c r="E10" s="26"/>
      <c r="F10" s="3">
        <f>E10*D10</f>
        <v>0</v>
      </c>
      <c r="G10" s="3"/>
      <c r="H10" s="4" t="e">
        <f>G10/D10</f>
        <v>#DIV/0!</v>
      </c>
      <c r="I10" s="3">
        <f>F10-G10</f>
        <v>0</v>
      </c>
      <c r="J10" s="26" t="e">
        <f>E10-H10</f>
        <v>#DIV/0!</v>
      </c>
      <c r="K10" s="27"/>
      <c r="L10">
        <f>DAYS360(K10,$C$1)</f>
        <v>45081</v>
      </c>
      <c r="M10" s="5" t="e">
        <f>(I10/G10)</f>
        <v>#DIV/0!</v>
      </c>
      <c r="P10" s="30"/>
      <c r="Q10" s="28"/>
      <c r="R10" s="29">
        <f>Q10*0.93</f>
        <v>0</v>
      </c>
      <c r="S10" s="29"/>
      <c r="T10" s="28">
        <f>Q10*1.25</f>
        <v>0</v>
      </c>
      <c r="U10" s="28">
        <f>Q10*1.5</f>
        <v>0</v>
      </c>
      <c r="V10" s="28">
        <f>Q10*2</f>
        <v>0</v>
      </c>
      <c r="W10" s="28" t="e">
        <f>H10-(H10*0.07)</f>
        <v>#DIV/0!</v>
      </c>
      <c r="X10" s="29"/>
      <c r="Y10" s="5" t="e">
        <f>(X10-H10)/H10</f>
        <v>#DIV/0!</v>
      </c>
      <c r="Z10" s="6">
        <f>F10/F$20</f>
        <v>0</v>
      </c>
      <c r="AB10" s="58"/>
      <c r="AC10" s="9"/>
    </row>
    <row r="11" spans="1:29" x14ac:dyDescent="0.25">
      <c r="C11" s="25"/>
      <c r="D11" s="2"/>
      <c r="E11" s="26"/>
      <c r="F11" s="3">
        <f t="shared" ref="F11:F17" si="0">E11*D11</f>
        <v>0</v>
      </c>
      <c r="G11" s="3"/>
      <c r="H11" s="4" t="e">
        <f t="shared" ref="H11:H17" si="1">G11/D11</f>
        <v>#DIV/0!</v>
      </c>
      <c r="I11" s="3">
        <f t="shared" ref="I11:I17" si="2">F11-G11</f>
        <v>0</v>
      </c>
      <c r="J11" s="26" t="e">
        <f t="shared" ref="J11:J17" si="3">E11-H11</f>
        <v>#DIV/0!</v>
      </c>
      <c r="K11" s="27"/>
      <c r="L11">
        <f t="shared" ref="L11:L17" si="4">DAYS360(K11,$C$1)</f>
        <v>45081</v>
      </c>
      <c r="M11" s="5" t="e">
        <f t="shared" ref="M11:M17" si="5">(I11/G11)</f>
        <v>#DIV/0!</v>
      </c>
      <c r="P11" s="30"/>
      <c r="Q11" s="28"/>
      <c r="R11" s="29">
        <f t="shared" ref="R11:R17" si="6">Q11*0.93</f>
        <v>0</v>
      </c>
      <c r="S11" s="29"/>
      <c r="T11" s="28">
        <f t="shared" ref="T11:T17" si="7">Q11*1.25</f>
        <v>0</v>
      </c>
      <c r="U11" s="28">
        <f t="shared" ref="U11:U17" si="8">Q11*1.5</f>
        <v>0</v>
      </c>
      <c r="V11" s="28">
        <f t="shared" ref="V11:V17" si="9">Q11*2</f>
        <v>0</v>
      </c>
      <c r="W11" s="28" t="e">
        <f t="shared" ref="W11:W17" si="10">H11-(H11*0.07)</f>
        <v>#DIV/0!</v>
      </c>
      <c r="X11" s="29"/>
      <c r="Y11" s="5" t="e">
        <f t="shared" ref="Y11:Y17" si="11">(X11-H11)/H11</f>
        <v>#DIV/0!</v>
      </c>
      <c r="Z11" s="32">
        <f t="shared" ref="Z11:Z17" si="12"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L12">
        <f t="shared" si="4"/>
        <v>45081</v>
      </c>
      <c r="M12" s="5" t="e">
        <f t="shared" si="5"/>
        <v>#DIV/0!</v>
      </c>
      <c r="P12" s="34"/>
      <c r="Q12" s="28"/>
      <c r="R12" s="29">
        <f t="shared" si="6"/>
        <v>0</v>
      </c>
      <c r="S12" s="29"/>
      <c r="T12" s="31">
        <f t="shared" si="7"/>
        <v>0</v>
      </c>
      <c r="U12" s="28">
        <f t="shared" si="8"/>
        <v>0</v>
      </c>
      <c r="V12" s="28">
        <f t="shared" si="9"/>
        <v>0</v>
      </c>
      <c r="W12" s="28" t="e">
        <f t="shared" si="10"/>
        <v>#DIV/0!</v>
      </c>
      <c r="X12" s="29"/>
      <c r="Y12" s="5" t="e">
        <f t="shared" si="11"/>
        <v>#DIV/0!</v>
      </c>
      <c r="Z12" s="6">
        <f t="shared" si="12"/>
        <v>0</v>
      </c>
      <c r="AB12" s="60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4"/>
        <v>45081</v>
      </c>
      <c r="M13" s="5" t="e">
        <f t="shared" si="5"/>
        <v>#DIV/0!</v>
      </c>
      <c r="P13" s="30"/>
      <c r="Q13" s="28"/>
      <c r="R13" s="29">
        <f t="shared" si="6"/>
        <v>0</v>
      </c>
      <c r="S13" s="29"/>
      <c r="T13" s="31">
        <f t="shared" si="7"/>
        <v>0</v>
      </c>
      <c r="U13" s="28">
        <f t="shared" si="8"/>
        <v>0</v>
      </c>
      <c r="V13" s="28">
        <f t="shared" si="9"/>
        <v>0</v>
      </c>
      <c r="W13" s="28" t="e">
        <f t="shared" si="10"/>
        <v>#DIV/0!</v>
      </c>
      <c r="X13" s="29"/>
      <c r="Y13" s="5" t="e">
        <f t="shared" si="11"/>
        <v>#DIV/0!</v>
      </c>
      <c r="Z13" s="32">
        <f t="shared" si="12"/>
        <v>0</v>
      </c>
      <c r="AB13" s="58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45081</v>
      </c>
      <c r="M14" s="5" t="e">
        <f t="shared" si="5"/>
        <v>#DIV/0!</v>
      </c>
      <c r="P14" s="30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8"/>
      <c r="AC14" s="9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45081</v>
      </c>
      <c r="M15" s="5" t="e">
        <f t="shared" si="5"/>
        <v>#DIV/0!</v>
      </c>
      <c r="P15" s="30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45081</v>
      </c>
      <c r="M16" s="5" t="e">
        <f t="shared" si="5"/>
        <v>#DIV/0!</v>
      </c>
      <c r="P16" s="30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6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45081</v>
      </c>
      <c r="M17" s="42" t="e">
        <f t="shared" si="5"/>
        <v>#DIV/0!</v>
      </c>
      <c r="N17" s="35"/>
      <c r="O17" s="35"/>
      <c r="P17" s="43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39597.227179999994</v>
      </c>
      <c r="G18" s="3">
        <f>SUM(G6:G17)</f>
        <v>37971.83</v>
      </c>
      <c r="H18" s="4"/>
      <c r="I18" s="3">
        <f>SUM(I6:I17)</f>
        <v>1625.3971799999927</v>
      </c>
      <c r="M18" s="5"/>
      <c r="Z18" s="6"/>
    </row>
    <row r="19" spans="1:29" x14ac:dyDescent="0.25">
      <c r="D19" s="2" t="s">
        <v>44</v>
      </c>
      <c r="F19" s="3">
        <v>639487</v>
      </c>
      <c r="G19" s="6">
        <f>F19/F20</f>
        <v>0.9416902563847882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679084.22718000005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'03-14-25'!F20</f>
        <v>678040.96212499996</v>
      </c>
      <c r="K21" s="1">
        <v>45657</v>
      </c>
      <c r="L21" s="50">
        <v>170762</v>
      </c>
      <c r="M21" s="50">
        <v>157852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1.538646060159051E-3</v>
      </c>
      <c r="K22" s="9" t="s">
        <v>50</v>
      </c>
      <c r="L22" s="6">
        <f>(M21-L21)/L21</f>
        <v>-7.5602300277579318E-2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  <c r="P25" s="9" t="s">
        <v>92</v>
      </c>
      <c r="S25" t="s">
        <v>88</v>
      </c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>
        <v>66.599999999999994</v>
      </c>
      <c r="S26" s="62">
        <f>(Q26-H26)/H26</f>
        <v>-3.7502735090080556E-2</v>
      </c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>
        <v>61.11</v>
      </c>
      <c r="S27" s="62">
        <f t="shared" ref="S27:S40" si="14">(Q27-H27)/H27</f>
        <v>-0.26137624638407753</v>
      </c>
      <c r="U27" t="s">
        <v>90</v>
      </c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5">F28/D28</f>
        <v>44.698790833464948</v>
      </c>
      <c r="F28" s="3">
        <v>56489.42</v>
      </c>
      <c r="G28" s="56">
        <v>75501.87</v>
      </c>
      <c r="H28" s="57">
        <f t="shared" ref="H28:H40" si="16">G28/D28</f>
        <v>59.742909285764696</v>
      </c>
      <c r="I28" s="57">
        <f t="shared" ref="I28:I40" si="17">G28-F28</f>
        <v>19012.449999999997</v>
      </c>
      <c r="J28" s="6">
        <f t="shared" ref="J28:J40" si="18">I28/F28</f>
        <v>0.33656656414599401</v>
      </c>
      <c r="K28" s="1">
        <v>45527</v>
      </c>
      <c r="L28" s="1">
        <v>45688</v>
      </c>
      <c r="M28">
        <f t="shared" si="13"/>
        <v>158</v>
      </c>
      <c r="Q28" s="28">
        <v>46.25</v>
      </c>
      <c r="S28" s="62">
        <f t="shared" si="14"/>
        <v>-0.22584955180580288</v>
      </c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5"/>
        <v>169.90901206845703</v>
      </c>
      <c r="F29" s="3">
        <f>59492.79+21969.78</f>
        <v>81462.570000000007</v>
      </c>
      <c r="G29" s="56">
        <v>65047.58</v>
      </c>
      <c r="H29" s="57">
        <f t="shared" si="16"/>
        <v>135.67175765807443</v>
      </c>
      <c r="I29" s="57">
        <f t="shared" si="17"/>
        <v>-16414.990000000005</v>
      </c>
      <c r="J29" s="6">
        <f t="shared" si="18"/>
        <v>-0.20150346349249729</v>
      </c>
      <c r="K29" s="1">
        <v>45671</v>
      </c>
      <c r="L29" s="1">
        <v>45688</v>
      </c>
      <c r="M29">
        <f t="shared" si="13"/>
        <v>17</v>
      </c>
      <c r="Q29" s="28">
        <v>120.6</v>
      </c>
      <c r="S29" s="62">
        <f t="shared" si="14"/>
        <v>-0.11108986806273195</v>
      </c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5"/>
        <v>18.702010092477405</v>
      </c>
      <c r="F30" s="3">
        <v>56486.59</v>
      </c>
      <c r="G30" s="56">
        <v>71124.88</v>
      </c>
      <c r="H30" s="57">
        <f t="shared" si="16"/>
        <v>23.548566546258936</v>
      </c>
      <c r="I30" s="57">
        <f t="shared" si="17"/>
        <v>14638.290000000008</v>
      </c>
      <c r="J30" s="6">
        <f t="shared" si="18"/>
        <v>0.25914628587068206</v>
      </c>
      <c r="K30" s="1">
        <v>45527</v>
      </c>
      <c r="L30" s="1">
        <v>45691</v>
      </c>
      <c r="M30">
        <f t="shared" si="13"/>
        <v>160</v>
      </c>
      <c r="Q30" s="28">
        <v>19.739999999999998</v>
      </c>
      <c r="S30" s="62">
        <f t="shared" si="14"/>
        <v>-0.1617324153798223</v>
      </c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5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6"/>
        <v>38.249853000000002</v>
      </c>
      <c r="I31" s="57">
        <f t="shared" si="17"/>
        <v>-6110.386336591735</v>
      </c>
      <c r="J31" s="6">
        <f t="shared" si="18"/>
        <v>-0.10005621882176895</v>
      </c>
      <c r="K31" s="1">
        <v>45706</v>
      </c>
      <c r="L31" s="1">
        <v>45708</v>
      </c>
      <c r="M31">
        <f t="shared" si="13"/>
        <v>2</v>
      </c>
      <c r="Q31" s="28">
        <v>35.19</v>
      </c>
      <c r="S31" s="62">
        <f t="shared" si="14"/>
        <v>-7.9996464300137404E-2</v>
      </c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5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6"/>
        <v>531.63995279999995</v>
      </c>
      <c r="I32" s="57">
        <f t="shared" si="17"/>
        <v>-22176.243614196137</v>
      </c>
      <c r="J32" s="6">
        <f t="shared" si="18"/>
        <v>-0.24194911929355969</v>
      </c>
      <c r="K32" s="1">
        <v>45706</v>
      </c>
      <c r="L32" s="1">
        <v>45708</v>
      </c>
      <c r="M32">
        <f t="shared" si="13"/>
        <v>2</v>
      </c>
      <c r="Q32" s="28">
        <v>560</v>
      </c>
      <c r="S32" s="62">
        <f t="shared" si="14"/>
        <v>5.3344461887477726E-2</v>
      </c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5"/>
        <v>368.56522253629635</v>
      </c>
      <c r="F33" s="3">
        <v>74438.86</v>
      </c>
      <c r="G33" s="56">
        <f>201.9693*360.5332483</f>
        <v>72816.647785877198</v>
      </c>
      <c r="H33" s="57">
        <f t="shared" si="16"/>
        <v>360.53324830000003</v>
      </c>
      <c r="I33" s="57">
        <f t="shared" si="17"/>
        <v>-1622.2122141228028</v>
      </c>
      <c r="J33" s="6">
        <f t="shared" si="18"/>
        <v>-2.1792545105107773E-2</v>
      </c>
      <c r="K33" s="1">
        <v>45664</v>
      </c>
      <c r="L33" s="1">
        <v>45708</v>
      </c>
      <c r="M33">
        <f t="shared" si="13"/>
        <v>43</v>
      </c>
      <c r="Q33" s="28">
        <v>333.87</v>
      </c>
      <c r="S33" s="62">
        <f t="shared" si="14"/>
        <v>-7.3955033067611864E-2</v>
      </c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5"/>
        <v>30.17825528482809</v>
      </c>
      <c r="F34" s="3">
        <v>37884.65</v>
      </c>
      <c r="G34" s="56">
        <f>1255.3625*39.762296</f>
        <v>49916.0953123</v>
      </c>
      <c r="H34" s="57">
        <f t="shared" si="16"/>
        <v>39.762295999999999</v>
      </c>
      <c r="I34" s="57">
        <f t="shared" si="17"/>
        <v>12031.445312299998</v>
      </c>
      <c r="J34" s="6">
        <f t="shared" si="18"/>
        <v>0.31758100740801348</v>
      </c>
      <c r="K34" s="1">
        <v>45663</v>
      </c>
      <c r="L34" s="1">
        <v>45709</v>
      </c>
      <c r="M34">
        <f t="shared" si="13"/>
        <v>45</v>
      </c>
      <c r="Q34" s="28">
        <v>27.16</v>
      </c>
      <c r="S34" s="62">
        <f t="shared" si="14"/>
        <v>-0.31694085271132227</v>
      </c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5"/>
        <v>242.26930551548847</v>
      </c>
      <c r="F35" s="3">
        <v>61221.72</v>
      </c>
      <c r="G35" s="56">
        <f>252.7011*226.6146532</f>
        <v>57265.772139758519</v>
      </c>
      <c r="H35" s="57">
        <f t="shared" si="16"/>
        <v>226.61465319999999</v>
      </c>
      <c r="I35" s="57">
        <f t="shared" si="17"/>
        <v>-3955.947860241482</v>
      </c>
      <c r="J35" s="6">
        <f t="shared" si="18"/>
        <v>-6.4616738311852093E-2</v>
      </c>
      <c r="K35" s="1">
        <v>45699</v>
      </c>
      <c r="L35" s="1">
        <v>45709</v>
      </c>
      <c r="M35">
        <f t="shared" si="13"/>
        <v>10</v>
      </c>
      <c r="Q35" s="28">
        <v>195.45</v>
      </c>
      <c r="S35" s="62">
        <f t="shared" si="14"/>
        <v>-0.13752267454874365</v>
      </c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5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6"/>
        <v>283.93999450000007</v>
      </c>
      <c r="I36" s="57">
        <f t="shared" si="17"/>
        <v>19563.525282954361</v>
      </c>
      <c r="J36" s="6">
        <f t="shared" si="18"/>
        <v>0.36434300703793465</v>
      </c>
      <c r="K36" s="1">
        <v>45580</v>
      </c>
      <c r="L36" s="1">
        <v>45712</v>
      </c>
      <c r="M36">
        <f t="shared" si="13"/>
        <v>129</v>
      </c>
      <c r="Q36" s="28">
        <v>304</v>
      </c>
      <c r="S36" s="62">
        <f t="shared" si="14"/>
        <v>7.0648749343410755E-2</v>
      </c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5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6"/>
        <v>63.365330900000004</v>
      </c>
      <c r="I37" s="57">
        <f t="shared" si="17"/>
        <v>-4549.5912833559851</v>
      </c>
      <c r="J37" s="6">
        <f t="shared" si="18"/>
        <v>-5.9638082078758516E-2</v>
      </c>
      <c r="K37" s="1">
        <v>45673</v>
      </c>
      <c r="L37" s="1">
        <v>45712</v>
      </c>
      <c r="M37">
        <f t="shared" si="13"/>
        <v>38</v>
      </c>
      <c r="Q37" s="28">
        <v>51.15</v>
      </c>
      <c r="S37" s="62">
        <f t="shared" si="14"/>
        <v>-0.19277625045906616</v>
      </c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6"/>
        <v>50.021380499999999</v>
      </c>
      <c r="I38" s="57">
        <f t="shared" si="17"/>
        <v>6027.2875116823998</v>
      </c>
      <c r="J38" s="6">
        <f t="shared" si="18"/>
        <v>9.9771440635884723E-2</v>
      </c>
      <c r="K38" s="1">
        <v>45593</v>
      </c>
      <c r="L38" s="1">
        <v>45713</v>
      </c>
      <c r="M38">
        <f t="shared" si="13"/>
        <v>117</v>
      </c>
      <c r="Q38" s="28">
        <v>47.7</v>
      </c>
      <c r="S38" s="62">
        <f t="shared" si="14"/>
        <v>-4.6407765575362248E-2</v>
      </c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6"/>
        <v>12.519992000000002</v>
      </c>
      <c r="I39" s="57">
        <f t="shared" si="17"/>
        <v>-2230.6527810991975</v>
      </c>
      <c r="J39" s="6">
        <f t="shared" si="18"/>
        <v>-9.8609037242937694E-2</v>
      </c>
      <c r="K39" s="1">
        <v>45692</v>
      </c>
      <c r="L39" s="1">
        <v>45715</v>
      </c>
      <c r="M39">
        <f>DAYS360(K39,L39)</f>
        <v>23</v>
      </c>
      <c r="Q39" s="28">
        <v>12.49</v>
      </c>
      <c r="S39" s="62">
        <f t="shared" si="14"/>
        <v>-2.3955286872389208E-3</v>
      </c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6"/>
        <v>94.679995300000002</v>
      </c>
      <c r="I40" s="57">
        <f t="shared" si="17"/>
        <v>-4750.690604140058</v>
      </c>
      <c r="J40" s="6">
        <f t="shared" si="18"/>
        <v>-0.10235753534193669</v>
      </c>
      <c r="K40" s="1">
        <v>45695</v>
      </c>
      <c r="L40" s="1">
        <v>45729</v>
      </c>
      <c r="M40">
        <f>DAYS360(K40,L40)</f>
        <v>36</v>
      </c>
      <c r="Q40" s="28">
        <v>98.64</v>
      </c>
      <c r="S40" s="62">
        <f t="shared" si="14"/>
        <v>4.1825146774167606E-2</v>
      </c>
    </row>
    <row r="41" spans="1:19" x14ac:dyDescent="0.25">
      <c r="D41" s="2"/>
      <c r="E41" s="57"/>
      <c r="F41" s="3"/>
      <c r="G41" s="56"/>
      <c r="H41" s="57"/>
      <c r="I41" s="57"/>
      <c r="J41" s="6"/>
      <c r="K41" s="1"/>
      <c r="L41" s="1"/>
    </row>
    <row r="42" spans="1:19" x14ac:dyDescent="0.25">
      <c r="D42" s="2"/>
      <c r="E42" s="57"/>
      <c r="F42" s="3"/>
      <c r="G42" s="56"/>
      <c r="H42" s="57"/>
      <c r="I42" s="57"/>
      <c r="J42" s="6"/>
      <c r="K42" s="1"/>
      <c r="L42" s="1"/>
    </row>
    <row r="43" spans="1:19" x14ac:dyDescent="0.25">
      <c r="F43" s="56"/>
      <c r="G43" s="56"/>
      <c r="H43" s="3"/>
      <c r="I43" s="3">
        <f>SUM(I26:I42)</f>
        <v>1698.2634131893647</v>
      </c>
      <c r="J43" s="13" t="s">
        <v>66</v>
      </c>
    </row>
    <row r="44" spans="1:19" x14ac:dyDescent="0.25">
      <c r="F44" s="56"/>
      <c r="G44" s="56"/>
      <c r="H44" s="3" t="s">
        <v>67</v>
      </c>
      <c r="I44" s="59">
        <v>9</v>
      </c>
      <c r="J44" s="5">
        <v>-0.1022</v>
      </c>
    </row>
    <row r="45" spans="1:19" x14ac:dyDescent="0.25">
      <c r="F45" s="56"/>
      <c r="G45" s="56"/>
      <c r="H45" s="3" t="s">
        <v>68</v>
      </c>
      <c r="I45" s="59">
        <v>5</v>
      </c>
      <c r="J45" s="5">
        <v>0.27560000000000001</v>
      </c>
    </row>
    <row r="46" spans="1:19" x14ac:dyDescent="0.25">
      <c r="F46" s="56"/>
      <c r="G46" s="56"/>
      <c r="J46" s="6"/>
    </row>
    <row r="47" spans="1:19" x14ac:dyDescent="0.25">
      <c r="F47" s="56"/>
      <c r="G47" s="56"/>
      <c r="J47" s="6"/>
    </row>
    <row r="48" spans="1:19" x14ac:dyDescent="0.25">
      <c r="F48" s="56"/>
      <c r="G48" s="56"/>
      <c r="J48" s="6"/>
    </row>
    <row r="49" spans="6:10" x14ac:dyDescent="0.25">
      <c r="F49" s="56"/>
      <c r="G49" s="56"/>
      <c r="J49" s="6"/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  <c r="J61" s="6"/>
    </row>
    <row r="62" spans="6:10" x14ac:dyDescent="0.25">
      <c r="F62" s="56"/>
      <c r="G62" s="56"/>
      <c r="J62" s="6"/>
    </row>
    <row r="63" spans="6:10" x14ac:dyDescent="0.25">
      <c r="F63" s="56"/>
      <c r="G63" s="56"/>
      <c r="J63" s="6"/>
    </row>
    <row r="64" spans="6:10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</row>
    <row r="70" spans="6:10" x14ac:dyDescent="0.25">
      <c r="F70" s="56"/>
      <c r="G70" s="56"/>
    </row>
    <row r="71" spans="6:10" x14ac:dyDescent="0.25">
      <c r="F71" s="56"/>
      <c r="G71" s="56"/>
    </row>
    <row r="72" spans="6:10" x14ac:dyDescent="0.25">
      <c r="F72" s="56"/>
      <c r="G72" s="56"/>
    </row>
    <row r="73" spans="6:10" x14ac:dyDescent="0.25">
      <c r="F73" s="56"/>
      <c r="G73" s="56"/>
    </row>
    <row r="74" spans="6:10" x14ac:dyDescent="0.25">
      <c r="F74" s="56"/>
      <c r="G74" s="5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C1A64-CE85-4547-B1BC-B6779870E426}">
  <dimension ref="A1:AC74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9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45744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41</v>
      </c>
      <c r="B7" t="s">
        <v>30</v>
      </c>
      <c r="C7" s="25" t="s">
        <v>42</v>
      </c>
      <c r="D7" s="2">
        <v>2234.6064999999999</v>
      </c>
      <c r="E7" s="26">
        <v>18.36</v>
      </c>
      <c r="F7" s="3">
        <f>E7*D7</f>
        <v>41027.375339999999</v>
      </c>
      <c r="G7" s="3">
        <v>37971.83</v>
      </c>
      <c r="H7" s="4">
        <f>G7/D7</f>
        <v>16.992624876012847</v>
      </c>
      <c r="I7" s="3">
        <f>F7-G7</f>
        <v>3055.5453399999969</v>
      </c>
      <c r="J7" s="26">
        <f>E7-H7</f>
        <v>1.3673751239871521</v>
      </c>
      <c r="K7" s="27">
        <v>45652</v>
      </c>
      <c r="L7">
        <f>DAYS360(K7,$C$1)</f>
        <v>92</v>
      </c>
      <c r="M7" s="5">
        <f>(I7/G7)</f>
        <v>8.0468740642734279E-2</v>
      </c>
      <c r="N7">
        <v>74</v>
      </c>
      <c r="O7">
        <v>98</v>
      </c>
      <c r="P7" s="30">
        <v>80</v>
      </c>
      <c r="Q7" s="28">
        <v>15.9</v>
      </c>
      <c r="R7" s="29">
        <f>Q7*0.93</f>
        <v>14.787000000000001</v>
      </c>
      <c r="S7" s="29">
        <v>14</v>
      </c>
      <c r="T7" s="31">
        <f>Q7*1.25</f>
        <v>19.875</v>
      </c>
      <c r="U7" s="28">
        <f>Q7*1.5</f>
        <v>23.85</v>
      </c>
      <c r="V7" s="28">
        <f>Q7*2</f>
        <v>31.8</v>
      </c>
      <c r="W7" s="28">
        <f>H7-(H7*0.07)</f>
        <v>15.803141134691948</v>
      </c>
      <c r="X7" s="29">
        <v>16.5</v>
      </c>
      <c r="Y7" s="5">
        <f>(X7-H7)/H7</f>
        <v>-2.8990510860287814E-2</v>
      </c>
      <c r="Z7" s="6">
        <f>F7/F$20</f>
        <v>6.0288771004288949E-2</v>
      </c>
      <c r="AB7" s="58">
        <v>45777</v>
      </c>
      <c r="AC7" s="9">
        <v>95</v>
      </c>
    </row>
    <row r="8" spans="1:29" x14ac:dyDescent="0.25">
      <c r="C8" s="25"/>
      <c r="D8" s="2"/>
      <c r="E8" s="26"/>
      <c r="F8" s="3">
        <f>E8*D8</f>
        <v>0</v>
      </c>
      <c r="G8" s="3"/>
      <c r="H8" s="4" t="e">
        <f>G8/D8</f>
        <v>#DIV/0!</v>
      </c>
      <c r="I8" s="3">
        <f>F8-G8</f>
        <v>0</v>
      </c>
      <c r="J8" s="26" t="e">
        <f>E8-H8</f>
        <v>#DIV/0!</v>
      </c>
      <c r="K8" s="27"/>
      <c r="L8">
        <f>DAYS360(K8,$C$1)</f>
        <v>45088</v>
      </c>
      <c r="M8" s="5" t="e">
        <f>(I8/G8)</f>
        <v>#DIV/0!</v>
      </c>
      <c r="P8" s="30"/>
      <c r="Q8" s="28"/>
      <c r="R8" s="29">
        <f>Q8*0.93</f>
        <v>0</v>
      </c>
      <c r="S8" s="29"/>
      <c r="T8" s="31">
        <f>Q8*1.25</f>
        <v>0</v>
      </c>
      <c r="U8" s="28">
        <f>Q8*1.5</f>
        <v>0</v>
      </c>
      <c r="V8" s="28">
        <f>Q8*2</f>
        <v>0</v>
      </c>
      <c r="W8" s="28" t="e">
        <f>H8-(H8*0.07)</f>
        <v>#DIV/0!</v>
      </c>
      <c r="X8" s="29"/>
      <c r="Y8" s="5" t="e">
        <f>(X8-H8)/H8</f>
        <v>#DIV/0!</v>
      </c>
      <c r="Z8" s="6">
        <f>F8/F$20</f>
        <v>0</v>
      </c>
      <c r="AB8" s="58"/>
      <c r="AC8" s="9"/>
    </row>
    <row r="9" spans="1:29" x14ac:dyDescent="0.25">
      <c r="D9" s="2"/>
      <c r="E9" s="26"/>
      <c r="F9" s="3">
        <f>E9*D9</f>
        <v>0</v>
      </c>
      <c r="G9" s="3"/>
      <c r="H9" s="4" t="e">
        <f>G9/D9</f>
        <v>#DIV/0!</v>
      </c>
      <c r="I9" s="3">
        <f>F9-G9</f>
        <v>0</v>
      </c>
      <c r="J9" s="26" t="e">
        <f>E9-H9</f>
        <v>#DIV/0!</v>
      </c>
      <c r="K9" s="27"/>
      <c r="L9">
        <f>DAYS360(K9,$C$1)</f>
        <v>45088</v>
      </c>
      <c r="M9" s="5" t="e">
        <f>(I9/G9)</f>
        <v>#DIV/0!</v>
      </c>
      <c r="P9" s="33"/>
      <c r="Q9" s="28"/>
      <c r="R9" s="29">
        <f>Q9*0.93</f>
        <v>0</v>
      </c>
      <c r="S9" s="29"/>
      <c r="T9" s="28">
        <f>Q9*1.25</f>
        <v>0</v>
      </c>
      <c r="U9" s="28">
        <f>Q9*1.5</f>
        <v>0</v>
      </c>
      <c r="V9" s="28">
        <f>Q9*2</f>
        <v>0</v>
      </c>
      <c r="W9" s="28" t="e">
        <f>H9-(H9*0.07)</f>
        <v>#DIV/0!</v>
      </c>
      <c r="X9" s="29"/>
      <c r="Y9" s="5" t="e">
        <f>(X9-H9)/H9</f>
        <v>#DIV/0!</v>
      </c>
      <c r="Z9" s="32">
        <f>F9/F$20</f>
        <v>0</v>
      </c>
      <c r="AB9" s="58"/>
      <c r="AC9" s="9"/>
    </row>
    <row r="10" spans="1:29" x14ac:dyDescent="0.25">
      <c r="C10" s="25"/>
      <c r="D10" s="2"/>
      <c r="E10" s="26"/>
      <c r="F10" s="3">
        <f>E10*D10</f>
        <v>0</v>
      </c>
      <c r="G10" s="3"/>
      <c r="H10" s="4" t="e">
        <f>G10/D10</f>
        <v>#DIV/0!</v>
      </c>
      <c r="I10" s="3">
        <f>F10-G10</f>
        <v>0</v>
      </c>
      <c r="J10" s="26" t="e">
        <f>E10-H10</f>
        <v>#DIV/0!</v>
      </c>
      <c r="K10" s="27"/>
      <c r="L10">
        <f>DAYS360(K10,$C$1)</f>
        <v>45088</v>
      </c>
      <c r="M10" s="5" t="e">
        <f>(I10/G10)</f>
        <v>#DIV/0!</v>
      </c>
      <c r="P10" s="30"/>
      <c r="Q10" s="28"/>
      <c r="R10" s="29">
        <f>Q10*0.93</f>
        <v>0</v>
      </c>
      <c r="S10" s="29"/>
      <c r="T10" s="28">
        <f>Q10*1.25</f>
        <v>0</v>
      </c>
      <c r="U10" s="28">
        <f>Q10*1.5</f>
        <v>0</v>
      </c>
      <c r="V10" s="28">
        <f>Q10*2</f>
        <v>0</v>
      </c>
      <c r="W10" s="28" t="e">
        <f>H10-(H10*0.07)</f>
        <v>#DIV/0!</v>
      </c>
      <c r="X10" s="29"/>
      <c r="Y10" s="5" t="e">
        <f>(X10-H10)/H10</f>
        <v>#DIV/0!</v>
      </c>
      <c r="Z10" s="6">
        <f>F10/F$20</f>
        <v>0</v>
      </c>
      <c r="AB10" s="58"/>
      <c r="AC10" s="9"/>
    </row>
    <row r="11" spans="1:29" x14ac:dyDescent="0.25">
      <c r="C11" s="25"/>
      <c r="D11" s="2"/>
      <c r="E11" s="26"/>
      <c r="F11" s="3">
        <f t="shared" ref="F11:F17" si="0">E11*D11</f>
        <v>0</v>
      </c>
      <c r="G11" s="3"/>
      <c r="H11" s="4" t="e">
        <f t="shared" ref="H11:H17" si="1">G11/D11</f>
        <v>#DIV/0!</v>
      </c>
      <c r="I11" s="3">
        <f t="shared" ref="I11:I17" si="2">F11-G11</f>
        <v>0</v>
      </c>
      <c r="J11" s="26" t="e">
        <f t="shared" ref="J11:J17" si="3">E11-H11</f>
        <v>#DIV/0!</v>
      </c>
      <c r="K11" s="27"/>
      <c r="L11">
        <f t="shared" ref="L11:L17" si="4">DAYS360(K11,$C$1)</f>
        <v>45088</v>
      </c>
      <c r="M11" s="5" t="e">
        <f t="shared" ref="M11:M17" si="5">(I11/G11)</f>
        <v>#DIV/0!</v>
      </c>
      <c r="P11" s="30"/>
      <c r="Q11" s="28"/>
      <c r="R11" s="29">
        <f t="shared" ref="R11:R17" si="6">Q11*0.93</f>
        <v>0</v>
      </c>
      <c r="S11" s="29"/>
      <c r="T11" s="28">
        <f t="shared" ref="T11:T17" si="7">Q11*1.25</f>
        <v>0</v>
      </c>
      <c r="U11" s="28">
        <f t="shared" ref="U11:U17" si="8">Q11*1.5</f>
        <v>0</v>
      </c>
      <c r="V11" s="28">
        <f t="shared" ref="V11:V17" si="9">Q11*2</f>
        <v>0</v>
      </c>
      <c r="W11" s="28" t="e">
        <f t="shared" ref="W11:W17" si="10">H11-(H11*0.07)</f>
        <v>#DIV/0!</v>
      </c>
      <c r="X11" s="29"/>
      <c r="Y11" s="5" t="e">
        <f t="shared" ref="Y11:Y17" si="11">(X11-H11)/H11</f>
        <v>#DIV/0!</v>
      </c>
      <c r="Z11" s="32">
        <f t="shared" ref="Z11:Z17" si="12"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L12">
        <f t="shared" si="4"/>
        <v>45088</v>
      </c>
      <c r="M12" s="5" t="e">
        <f t="shared" si="5"/>
        <v>#DIV/0!</v>
      </c>
      <c r="P12" s="34"/>
      <c r="Q12" s="28"/>
      <c r="R12" s="29">
        <f t="shared" si="6"/>
        <v>0</v>
      </c>
      <c r="S12" s="29"/>
      <c r="T12" s="31">
        <f t="shared" si="7"/>
        <v>0</v>
      </c>
      <c r="U12" s="28">
        <f t="shared" si="8"/>
        <v>0</v>
      </c>
      <c r="V12" s="28">
        <f t="shared" si="9"/>
        <v>0</v>
      </c>
      <c r="W12" s="28" t="e">
        <f t="shared" si="10"/>
        <v>#DIV/0!</v>
      </c>
      <c r="X12" s="29"/>
      <c r="Y12" s="5" t="e">
        <f t="shared" si="11"/>
        <v>#DIV/0!</v>
      </c>
      <c r="Z12" s="6">
        <f t="shared" si="12"/>
        <v>0</v>
      </c>
      <c r="AB12" s="60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4"/>
        <v>45088</v>
      </c>
      <c r="M13" s="5" t="e">
        <f t="shared" si="5"/>
        <v>#DIV/0!</v>
      </c>
      <c r="P13" s="30"/>
      <c r="Q13" s="28"/>
      <c r="R13" s="29">
        <f t="shared" si="6"/>
        <v>0</v>
      </c>
      <c r="S13" s="29"/>
      <c r="T13" s="31">
        <f t="shared" si="7"/>
        <v>0</v>
      </c>
      <c r="U13" s="28">
        <f t="shared" si="8"/>
        <v>0</v>
      </c>
      <c r="V13" s="28">
        <f t="shared" si="9"/>
        <v>0</v>
      </c>
      <c r="W13" s="28" t="e">
        <f t="shared" si="10"/>
        <v>#DIV/0!</v>
      </c>
      <c r="X13" s="29"/>
      <c r="Y13" s="5" t="e">
        <f t="shared" si="11"/>
        <v>#DIV/0!</v>
      </c>
      <c r="Z13" s="32">
        <f t="shared" si="12"/>
        <v>0</v>
      </c>
      <c r="AB13" s="58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45088</v>
      </c>
      <c r="M14" s="5" t="e">
        <f t="shared" si="5"/>
        <v>#DIV/0!</v>
      </c>
      <c r="P14" s="30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8"/>
      <c r="AC14" s="9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45088</v>
      </c>
      <c r="M15" s="5" t="e">
        <f t="shared" si="5"/>
        <v>#DIV/0!</v>
      </c>
      <c r="P15" s="30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45088</v>
      </c>
      <c r="M16" s="5" t="e">
        <f t="shared" si="5"/>
        <v>#DIV/0!</v>
      </c>
      <c r="P16" s="30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6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45088</v>
      </c>
      <c r="M17" s="42" t="e">
        <f t="shared" si="5"/>
        <v>#DIV/0!</v>
      </c>
      <c r="N17" s="35"/>
      <c r="O17" s="35"/>
      <c r="P17" s="43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41027.375339999999</v>
      </c>
      <c r="G18" s="3">
        <f>SUM(G6:G17)</f>
        <v>37971.83</v>
      </c>
      <c r="H18" s="4"/>
      <c r="I18" s="3">
        <f>SUM(I6:I17)</f>
        <v>3055.5453399999969</v>
      </c>
      <c r="M18" s="5"/>
      <c r="Z18" s="6"/>
    </row>
    <row r="19" spans="1:29" x14ac:dyDescent="0.25">
      <c r="D19" s="2" t="s">
        <v>44</v>
      </c>
      <c r="F19" s="3">
        <v>639487</v>
      </c>
      <c r="G19" s="6">
        <f>F19/F20</f>
        <v>0.93971122899571102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680514.37534000003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'03-21-25'!F20</f>
        <v>679084.22718000005</v>
      </c>
      <c r="K21" s="1">
        <v>45657</v>
      </c>
      <c r="L21" s="50">
        <v>170762</v>
      </c>
      <c r="M21" s="50">
        <v>158161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2.1059952547254541E-3</v>
      </c>
      <c r="K22" s="9" t="s">
        <v>50</v>
      </c>
      <c r="L22" s="6">
        <f>(M21-L21)/L21</f>
        <v>-7.3792764198123709E-2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  <c r="P25" s="9" t="s">
        <v>93</v>
      </c>
      <c r="S25" t="s">
        <v>88</v>
      </c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>
        <v>66.59</v>
      </c>
      <c r="S26" s="62">
        <f>(Q26-H26)/H26</f>
        <v>-3.7647254198925756E-2</v>
      </c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>
        <v>55.33</v>
      </c>
      <c r="S27" s="62">
        <f t="shared" ref="S27:S40" si="14">(Q27-H27)/H27</f>
        <v>-0.33123789416512861</v>
      </c>
      <c r="U27" t="s">
        <v>90</v>
      </c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5">F28/D28</f>
        <v>44.698790833464948</v>
      </c>
      <c r="F28" s="3">
        <v>56489.42</v>
      </c>
      <c r="G28" s="56">
        <v>75501.87</v>
      </c>
      <c r="H28" s="57">
        <f t="shared" ref="H28:H40" si="16">G28/D28</f>
        <v>59.742909285764696</v>
      </c>
      <c r="I28" s="57">
        <f t="shared" ref="I28:I40" si="17">G28-F28</f>
        <v>19012.449999999997</v>
      </c>
      <c r="J28" s="6">
        <f t="shared" ref="J28:J40" si="18">I28/F28</f>
        <v>0.33656656414599401</v>
      </c>
      <c r="K28" s="1">
        <v>45527</v>
      </c>
      <c r="L28" s="1">
        <v>45688</v>
      </c>
      <c r="M28">
        <f t="shared" si="13"/>
        <v>158</v>
      </c>
      <c r="Q28" s="28">
        <v>44.15</v>
      </c>
      <c r="S28" s="62">
        <f t="shared" si="14"/>
        <v>-0.2610001667508367</v>
      </c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5"/>
        <v>169.90901206845703</v>
      </c>
      <c r="F29" s="3">
        <f>59492.79+21969.78</f>
        <v>81462.570000000007</v>
      </c>
      <c r="G29" s="56">
        <v>65047.58</v>
      </c>
      <c r="H29" s="57">
        <f t="shared" si="16"/>
        <v>135.67175765807443</v>
      </c>
      <c r="I29" s="57">
        <f t="shared" si="17"/>
        <v>-16414.990000000005</v>
      </c>
      <c r="J29" s="6">
        <f t="shared" si="18"/>
        <v>-0.20150346349249729</v>
      </c>
      <c r="K29" s="1">
        <v>45671</v>
      </c>
      <c r="L29" s="1">
        <v>45688</v>
      </c>
      <c r="M29">
        <f t="shared" si="13"/>
        <v>17</v>
      </c>
      <c r="Q29" s="28">
        <v>138.12</v>
      </c>
      <c r="S29" s="62">
        <f t="shared" si="14"/>
        <v>1.8045335183876219E-2</v>
      </c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5"/>
        <v>18.702010092477405</v>
      </c>
      <c r="F30" s="3">
        <v>56486.59</v>
      </c>
      <c r="G30" s="56">
        <v>71124.88</v>
      </c>
      <c r="H30" s="57">
        <f t="shared" si="16"/>
        <v>23.548566546258936</v>
      </c>
      <c r="I30" s="57">
        <f t="shared" si="17"/>
        <v>14638.290000000008</v>
      </c>
      <c r="J30" s="6">
        <f t="shared" si="18"/>
        <v>0.25914628587068206</v>
      </c>
      <c r="K30" s="1">
        <v>45527</v>
      </c>
      <c r="L30" s="1">
        <v>45691</v>
      </c>
      <c r="M30">
        <f t="shared" si="13"/>
        <v>160</v>
      </c>
      <c r="Q30" s="28">
        <v>19.75</v>
      </c>
      <c r="S30" s="62">
        <f t="shared" si="14"/>
        <v>-0.16130776108163572</v>
      </c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5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6"/>
        <v>38.249853000000002</v>
      </c>
      <c r="I31" s="57">
        <f t="shared" si="17"/>
        <v>-6110.386336591735</v>
      </c>
      <c r="J31" s="6">
        <f t="shared" si="18"/>
        <v>-0.10005621882176895</v>
      </c>
      <c r="K31" s="1">
        <v>45706</v>
      </c>
      <c r="L31" s="1">
        <v>45708</v>
      </c>
      <c r="M31">
        <f t="shared" si="13"/>
        <v>2</v>
      </c>
      <c r="Q31" s="28">
        <v>33.58</v>
      </c>
      <c r="S31" s="62">
        <f t="shared" si="14"/>
        <v>-0.12208812933215725</v>
      </c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5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6"/>
        <v>531.63995279999995</v>
      </c>
      <c r="I32" s="57">
        <f t="shared" si="17"/>
        <v>-22176.243614196137</v>
      </c>
      <c r="J32" s="6">
        <f t="shared" si="18"/>
        <v>-0.24194911929355969</v>
      </c>
      <c r="K32" s="1">
        <v>45706</v>
      </c>
      <c r="L32" s="1">
        <v>45708</v>
      </c>
      <c r="M32">
        <f t="shared" si="13"/>
        <v>2</v>
      </c>
      <c r="Q32" s="28">
        <v>534.95000000000005</v>
      </c>
      <c r="S32" s="62">
        <f t="shared" si="14"/>
        <v>6.2261069405468873E-3</v>
      </c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5"/>
        <v>368.56522253629635</v>
      </c>
      <c r="F33" s="3">
        <v>74438.86</v>
      </c>
      <c r="G33" s="56">
        <f>201.9693*360.5332483</f>
        <v>72816.647785877198</v>
      </c>
      <c r="H33" s="57">
        <f t="shared" si="16"/>
        <v>360.53324830000003</v>
      </c>
      <c r="I33" s="57">
        <f t="shared" si="17"/>
        <v>-1622.2122141228028</v>
      </c>
      <c r="J33" s="6">
        <f t="shared" si="18"/>
        <v>-2.1792545105107773E-2</v>
      </c>
      <c r="K33" s="1">
        <v>45664</v>
      </c>
      <c r="L33" s="1">
        <v>45708</v>
      </c>
      <c r="M33">
        <f t="shared" si="13"/>
        <v>43</v>
      </c>
      <c r="Q33" s="28">
        <v>302.93</v>
      </c>
      <c r="S33" s="62">
        <f t="shared" si="14"/>
        <v>-0.15977236100030448</v>
      </c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5"/>
        <v>30.17825528482809</v>
      </c>
      <c r="F34" s="3">
        <v>37884.65</v>
      </c>
      <c r="G34" s="56">
        <f>1255.3625*39.762296</f>
        <v>49916.0953123</v>
      </c>
      <c r="H34" s="57">
        <f t="shared" si="16"/>
        <v>39.762295999999999</v>
      </c>
      <c r="I34" s="57">
        <f t="shared" si="17"/>
        <v>12031.445312299998</v>
      </c>
      <c r="J34" s="6">
        <f t="shared" si="18"/>
        <v>0.31758100740801348</v>
      </c>
      <c r="K34" s="1">
        <v>45663</v>
      </c>
      <c r="L34" s="1">
        <v>45709</v>
      </c>
      <c r="M34">
        <f t="shared" si="13"/>
        <v>45</v>
      </c>
      <c r="Q34" s="28">
        <v>22.39</v>
      </c>
      <c r="S34" s="62">
        <f t="shared" si="14"/>
        <v>-0.43690374419022482</v>
      </c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5"/>
        <v>242.26930551548847</v>
      </c>
      <c r="F35" s="3">
        <v>61221.72</v>
      </c>
      <c r="G35" s="56">
        <f>252.7011*226.6146532</f>
        <v>57265.772139758519</v>
      </c>
      <c r="H35" s="57">
        <f t="shared" si="16"/>
        <v>226.61465319999999</v>
      </c>
      <c r="I35" s="57">
        <f t="shared" si="17"/>
        <v>-3955.947860241482</v>
      </c>
      <c r="J35" s="6">
        <f t="shared" si="18"/>
        <v>-6.4616738311852093E-2</v>
      </c>
      <c r="K35" s="1">
        <v>45699</v>
      </c>
      <c r="L35" s="1">
        <v>45709</v>
      </c>
      <c r="M35">
        <f t="shared" si="13"/>
        <v>10</v>
      </c>
      <c r="Q35" s="28">
        <v>201.97</v>
      </c>
      <c r="S35" s="62">
        <f t="shared" si="14"/>
        <v>-0.10875136648047962</v>
      </c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5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6"/>
        <v>283.93999450000007</v>
      </c>
      <c r="I36" s="57">
        <f t="shared" si="17"/>
        <v>19563.525282954361</v>
      </c>
      <c r="J36" s="6">
        <f t="shared" si="18"/>
        <v>0.36434300703793465</v>
      </c>
      <c r="K36" s="1">
        <v>45580</v>
      </c>
      <c r="L36" s="1">
        <v>45712</v>
      </c>
      <c r="M36">
        <f t="shared" si="13"/>
        <v>129</v>
      </c>
      <c r="Q36" s="28">
        <v>289.41000000000003</v>
      </c>
      <c r="S36" s="62">
        <f t="shared" si="14"/>
        <v>1.9264653116699119E-2</v>
      </c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5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6"/>
        <v>63.365330900000004</v>
      </c>
      <c r="I37" s="57">
        <f t="shared" si="17"/>
        <v>-4549.5912833559851</v>
      </c>
      <c r="J37" s="6">
        <f t="shared" si="18"/>
        <v>-5.9638082078758516E-2</v>
      </c>
      <c r="K37" s="1">
        <v>45673</v>
      </c>
      <c r="L37" s="1">
        <v>45712</v>
      </c>
      <c r="M37">
        <f t="shared" si="13"/>
        <v>38</v>
      </c>
      <c r="Q37" s="28">
        <v>46</v>
      </c>
      <c r="S37" s="62">
        <f t="shared" si="14"/>
        <v>-0.27405097792995198</v>
      </c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6"/>
        <v>50.021380499999999</v>
      </c>
      <c r="I38" s="57">
        <f t="shared" si="17"/>
        <v>6027.2875116823998</v>
      </c>
      <c r="J38" s="6">
        <f t="shared" si="18"/>
        <v>9.9771440635884723E-2</v>
      </c>
      <c r="K38" s="1">
        <v>45593</v>
      </c>
      <c r="L38" s="1">
        <v>45713</v>
      </c>
      <c r="M38">
        <f t="shared" si="13"/>
        <v>117</v>
      </c>
      <c r="Q38" s="28">
        <v>47.56</v>
      </c>
      <c r="S38" s="62">
        <f t="shared" si="14"/>
        <v>-4.9206568779124299E-2</v>
      </c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6"/>
        <v>12.519992000000002</v>
      </c>
      <c r="I39" s="57">
        <f t="shared" si="17"/>
        <v>-2230.6527810991975</v>
      </c>
      <c r="J39" s="6">
        <f t="shared" si="18"/>
        <v>-9.8609037242937694E-2</v>
      </c>
      <c r="K39" s="1">
        <v>45692</v>
      </c>
      <c r="L39" s="1">
        <v>45715</v>
      </c>
      <c r="M39">
        <f>DAYS360(K39,L39)</f>
        <v>23</v>
      </c>
      <c r="Q39" s="28">
        <v>12.53</v>
      </c>
      <c r="S39" s="62">
        <f t="shared" si="14"/>
        <v>7.9936153313814827E-4</v>
      </c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6"/>
        <v>94.679995300000002</v>
      </c>
      <c r="I40" s="57">
        <f t="shared" si="17"/>
        <v>-4750.690604140058</v>
      </c>
      <c r="J40" s="6">
        <f t="shared" si="18"/>
        <v>-0.10235753534193669</v>
      </c>
      <c r="K40" s="1">
        <v>45695</v>
      </c>
      <c r="L40" s="1">
        <v>45729</v>
      </c>
      <c r="M40">
        <f>DAYS360(K40,L40)</f>
        <v>36</v>
      </c>
      <c r="Q40" s="28">
        <v>96.6</v>
      </c>
      <c r="S40" s="62">
        <f t="shared" si="14"/>
        <v>2.0278884614604462E-2</v>
      </c>
    </row>
    <row r="41" spans="1:19" x14ac:dyDescent="0.25">
      <c r="D41" s="2"/>
      <c r="E41" s="57"/>
      <c r="F41" s="3"/>
      <c r="G41" s="56"/>
      <c r="H41" s="57"/>
      <c r="I41" s="57"/>
      <c r="J41" s="6"/>
      <c r="K41" s="1"/>
      <c r="L41" s="1"/>
    </row>
    <row r="42" spans="1:19" x14ac:dyDescent="0.25">
      <c r="D42" s="2"/>
      <c r="E42" s="57"/>
      <c r="F42" s="3"/>
      <c r="G42" s="56"/>
      <c r="H42" s="57"/>
      <c r="I42" s="57"/>
      <c r="J42" s="6"/>
      <c r="K42" s="1"/>
      <c r="L42" s="1"/>
    </row>
    <row r="43" spans="1:19" x14ac:dyDescent="0.25">
      <c r="F43" s="56"/>
      <c r="G43" s="56"/>
      <c r="H43" s="3"/>
      <c r="I43" s="3">
        <f>SUM(I26:I42)</f>
        <v>1698.2634131893647</v>
      </c>
      <c r="J43" s="13" t="s">
        <v>66</v>
      </c>
    </row>
    <row r="44" spans="1:19" x14ac:dyDescent="0.25">
      <c r="F44" s="56"/>
      <c r="G44" s="56"/>
      <c r="H44" s="3" t="s">
        <v>67</v>
      </c>
      <c r="I44" s="59">
        <v>9</v>
      </c>
      <c r="J44" s="5">
        <v>-0.1022</v>
      </c>
    </row>
    <row r="45" spans="1:19" x14ac:dyDescent="0.25">
      <c r="F45" s="56"/>
      <c r="G45" s="56"/>
      <c r="H45" s="3" t="s">
        <v>68</v>
      </c>
      <c r="I45" s="59">
        <v>5</v>
      </c>
      <c r="J45" s="5">
        <v>0.27560000000000001</v>
      </c>
    </row>
    <row r="46" spans="1:19" x14ac:dyDescent="0.25">
      <c r="F46" s="56"/>
      <c r="G46" s="56"/>
      <c r="J46" s="6"/>
    </row>
    <row r="47" spans="1:19" x14ac:dyDescent="0.25">
      <c r="F47" s="56"/>
      <c r="G47" s="56"/>
      <c r="J47" s="6"/>
    </row>
    <row r="48" spans="1:19" x14ac:dyDescent="0.25">
      <c r="F48" s="56"/>
      <c r="G48" s="56"/>
      <c r="J48" s="6"/>
    </row>
    <row r="49" spans="6:10" x14ac:dyDescent="0.25">
      <c r="F49" s="56"/>
      <c r="G49" s="56"/>
      <c r="J49" s="6"/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  <c r="J61" s="6"/>
    </row>
    <row r="62" spans="6:10" x14ac:dyDescent="0.25">
      <c r="F62" s="56"/>
      <c r="G62" s="56"/>
      <c r="J62" s="6"/>
    </row>
    <row r="63" spans="6:10" x14ac:dyDescent="0.25">
      <c r="F63" s="56"/>
      <c r="G63" s="56"/>
      <c r="J63" s="6"/>
    </row>
    <row r="64" spans="6:10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</row>
    <row r="70" spans="6:10" x14ac:dyDescent="0.25">
      <c r="F70" s="56"/>
      <c r="G70" s="56"/>
    </row>
    <row r="71" spans="6:10" x14ac:dyDescent="0.25">
      <c r="F71" s="56"/>
      <c r="G71" s="56"/>
    </row>
    <row r="72" spans="6:10" x14ac:dyDescent="0.25">
      <c r="F72" s="56"/>
      <c r="G72" s="56"/>
    </row>
    <row r="73" spans="6:10" x14ac:dyDescent="0.25">
      <c r="F73" s="56"/>
      <c r="G73" s="56"/>
    </row>
    <row r="74" spans="6:10" x14ac:dyDescent="0.25">
      <c r="F74" s="56"/>
      <c r="G74" s="5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8D1F-8F8A-446C-8A20-452AFCD3F6AE}">
  <dimension ref="A1:AC74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9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45751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41</v>
      </c>
      <c r="B7" t="s">
        <v>30</v>
      </c>
      <c r="C7" s="25" t="s">
        <v>42</v>
      </c>
      <c r="D7" s="2">
        <v>2234.6064999999999</v>
      </c>
      <c r="E7" s="26">
        <v>16.22</v>
      </c>
      <c r="F7" s="3">
        <f>E7*D7</f>
        <v>36245.317429999996</v>
      </c>
      <c r="G7" s="3">
        <v>37971.83</v>
      </c>
      <c r="H7" s="4">
        <f>G7/D7</f>
        <v>16.992624876012847</v>
      </c>
      <c r="I7" s="3">
        <f>F7-G7</f>
        <v>-1726.5125700000062</v>
      </c>
      <c r="J7" s="26">
        <f>E7-H7</f>
        <v>-0.77262487601284846</v>
      </c>
      <c r="K7" s="27">
        <v>45652</v>
      </c>
      <c r="L7">
        <f>DAYS360(K7,$C$1)</f>
        <v>98</v>
      </c>
      <c r="M7" s="5">
        <f>(I7/G7)</f>
        <v>-4.5468247645689082E-2</v>
      </c>
      <c r="N7">
        <v>67</v>
      </c>
      <c r="O7">
        <v>98</v>
      </c>
      <c r="P7" s="30">
        <v>80</v>
      </c>
      <c r="Q7" s="28">
        <v>15.9</v>
      </c>
      <c r="R7" s="29">
        <f>Q7*0.93</f>
        <v>14.787000000000001</v>
      </c>
      <c r="S7" s="29">
        <v>14</v>
      </c>
      <c r="T7" s="31">
        <f>Q7*1.25</f>
        <v>19.875</v>
      </c>
      <c r="U7" s="28">
        <f>Q7*1.5</f>
        <v>23.85</v>
      </c>
      <c r="V7" s="28">
        <f>Q7*2</f>
        <v>31.8</v>
      </c>
      <c r="W7" s="28">
        <f>H7-(H7*0.07)</f>
        <v>15.803141134691948</v>
      </c>
      <c r="X7" s="29">
        <v>16.5</v>
      </c>
      <c r="Y7" s="5">
        <f>(X7-H7)/H7</f>
        <v>-2.8990510860287814E-2</v>
      </c>
      <c r="Z7" s="6">
        <f>F7/F$20</f>
        <v>5.3513289911734256E-2</v>
      </c>
      <c r="AB7" s="58">
        <v>45777</v>
      </c>
      <c r="AC7" s="9">
        <v>96</v>
      </c>
    </row>
    <row r="8" spans="1:29" x14ac:dyDescent="0.25">
      <c r="C8" s="25"/>
      <c r="D8" s="2"/>
      <c r="E8" s="26"/>
      <c r="F8" s="3">
        <f>E8*D8</f>
        <v>0</v>
      </c>
      <c r="G8" s="3"/>
      <c r="H8" s="4" t="e">
        <f>G8/D8</f>
        <v>#DIV/0!</v>
      </c>
      <c r="I8" s="3">
        <f>F8-G8</f>
        <v>0</v>
      </c>
      <c r="J8" s="26" t="e">
        <f>E8-H8</f>
        <v>#DIV/0!</v>
      </c>
      <c r="K8" s="27"/>
      <c r="L8">
        <f>DAYS360(K8,$C$1)</f>
        <v>45094</v>
      </c>
      <c r="M8" s="5" t="e">
        <f>(I8/G8)</f>
        <v>#DIV/0!</v>
      </c>
      <c r="P8" s="30"/>
      <c r="Q8" s="28"/>
      <c r="R8" s="29">
        <f>Q8*0.93</f>
        <v>0</v>
      </c>
      <c r="S8" s="29"/>
      <c r="T8" s="31">
        <f>Q8*1.25</f>
        <v>0</v>
      </c>
      <c r="U8" s="28">
        <f>Q8*1.5</f>
        <v>0</v>
      </c>
      <c r="V8" s="28">
        <f>Q8*2</f>
        <v>0</v>
      </c>
      <c r="W8" s="28" t="e">
        <f>H8-(H8*0.07)</f>
        <v>#DIV/0!</v>
      </c>
      <c r="X8" s="29"/>
      <c r="Y8" s="5" t="e">
        <f>(X8-H8)/H8</f>
        <v>#DIV/0!</v>
      </c>
      <c r="Z8" s="6">
        <f>F8/F$20</f>
        <v>0</v>
      </c>
      <c r="AB8" s="58"/>
      <c r="AC8" s="9"/>
    </row>
    <row r="9" spans="1:29" x14ac:dyDescent="0.25">
      <c r="D9" s="2"/>
      <c r="E9" s="26"/>
      <c r="F9" s="3">
        <f>E9*D9</f>
        <v>0</v>
      </c>
      <c r="G9" s="3"/>
      <c r="H9" s="4" t="e">
        <f>G9/D9</f>
        <v>#DIV/0!</v>
      </c>
      <c r="I9" s="3">
        <f>F9-G9</f>
        <v>0</v>
      </c>
      <c r="J9" s="26" t="e">
        <f>E9-H9</f>
        <v>#DIV/0!</v>
      </c>
      <c r="K9" s="27"/>
      <c r="L9">
        <f>DAYS360(K9,$C$1)</f>
        <v>45094</v>
      </c>
      <c r="M9" s="5" t="e">
        <f>(I9/G9)</f>
        <v>#DIV/0!</v>
      </c>
      <c r="P9" s="33"/>
      <c r="Q9" s="28"/>
      <c r="R9" s="29">
        <f>Q9*0.93</f>
        <v>0</v>
      </c>
      <c r="S9" s="29"/>
      <c r="T9" s="28">
        <f>Q9*1.25</f>
        <v>0</v>
      </c>
      <c r="U9" s="28">
        <f>Q9*1.5</f>
        <v>0</v>
      </c>
      <c r="V9" s="28">
        <f>Q9*2</f>
        <v>0</v>
      </c>
      <c r="W9" s="28" t="e">
        <f>H9-(H9*0.07)</f>
        <v>#DIV/0!</v>
      </c>
      <c r="X9" s="29"/>
      <c r="Y9" s="5" t="e">
        <f>(X9-H9)/H9</f>
        <v>#DIV/0!</v>
      </c>
      <c r="Z9" s="32">
        <f>F9/F$20</f>
        <v>0</v>
      </c>
      <c r="AB9" s="58"/>
      <c r="AC9" s="9"/>
    </row>
    <row r="10" spans="1:29" x14ac:dyDescent="0.25">
      <c r="C10" s="25"/>
      <c r="D10" s="2"/>
      <c r="E10" s="26"/>
      <c r="F10" s="3">
        <f>E10*D10</f>
        <v>0</v>
      </c>
      <c r="G10" s="3"/>
      <c r="H10" s="4" t="e">
        <f>G10/D10</f>
        <v>#DIV/0!</v>
      </c>
      <c r="I10" s="3">
        <f>F10-G10</f>
        <v>0</v>
      </c>
      <c r="J10" s="26" t="e">
        <f>E10-H10</f>
        <v>#DIV/0!</v>
      </c>
      <c r="K10" s="27"/>
      <c r="L10">
        <f>DAYS360(K10,$C$1)</f>
        <v>45094</v>
      </c>
      <c r="M10" s="5" t="e">
        <f>(I10/G10)</f>
        <v>#DIV/0!</v>
      </c>
      <c r="P10" s="30"/>
      <c r="Q10" s="28"/>
      <c r="R10" s="29">
        <f>Q10*0.93</f>
        <v>0</v>
      </c>
      <c r="S10" s="29"/>
      <c r="T10" s="28">
        <f>Q10*1.25</f>
        <v>0</v>
      </c>
      <c r="U10" s="28">
        <f>Q10*1.5</f>
        <v>0</v>
      </c>
      <c r="V10" s="28">
        <f>Q10*2</f>
        <v>0</v>
      </c>
      <c r="W10" s="28" t="e">
        <f>H10-(H10*0.07)</f>
        <v>#DIV/0!</v>
      </c>
      <c r="X10" s="29"/>
      <c r="Y10" s="5" t="e">
        <f>(X10-H10)/H10</f>
        <v>#DIV/0!</v>
      </c>
      <c r="Z10" s="6">
        <f>F10/F$20</f>
        <v>0</v>
      </c>
      <c r="AB10" s="58"/>
      <c r="AC10" s="9"/>
    </row>
    <row r="11" spans="1:29" x14ac:dyDescent="0.25">
      <c r="C11" s="25"/>
      <c r="D11" s="2"/>
      <c r="E11" s="26"/>
      <c r="F11" s="3">
        <f t="shared" ref="F11:F17" si="0">E11*D11</f>
        <v>0</v>
      </c>
      <c r="G11" s="3"/>
      <c r="H11" s="4" t="e">
        <f t="shared" ref="H11:H17" si="1">G11/D11</f>
        <v>#DIV/0!</v>
      </c>
      <c r="I11" s="3">
        <f t="shared" ref="I11:I17" si="2">F11-G11</f>
        <v>0</v>
      </c>
      <c r="J11" s="26" t="e">
        <f t="shared" ref="J11:J17" si="3">E11-H11</f>
        <v>#DIV/0!</v>
      </c>
      <c r="K11" s="27"/>
      <c r="L11">
        <f t="shared" ref="L11:L17" si="4">DAYS360(K11,$C$1)</f>
        <v>45094</v>
      </c>
      <c r="M11" s="5" t="e">
        <f t="shared" ref="M11:M17" si="5">(I11/G11)</f>
        <v>#DIV/0!</v>
      </c>
      <c r="P11" s="30"/>
      <c r="Q11" s="28"/>
      <c r="R11" s="29">
        <f t="shared" ref="R11:R17" si="6">Q11*0.93</f>
        <v>0</v>
      </c>
      <c r="S11" s="29"/>
      <c r="T11" s="28">
        <f t="shared" ref="T11:T17" si="7">Q11*1.25</f>
        <v>0</v>
      </c>
      <c r="U11" s="28">
        <f t="shared" ref="U11:U17" si="8">Q11*1.5</f>
        <v>0</v>
      </c>
      <c r="V11" s="28">
        <f t="shared" ref="V11:V17" si="9">Q11*2</f>
        <v>0</v>
      </c>
      <c r="W11" s="28" t="e">
        <f t="shared" ref="W11:W17" si="10">H11-(H11*0.07)</f>
        <v>#DIV/0!</v>
      </c>
      <c r="X11" s="29"/>
      <c r="Y11" s="5" t="e">
        <f t="shared" ref="Y11:Y17" si="11">(X11-H11)/H11</f>
        <v>#DIV/0!</v>
      </c>
      <c r="Z11" s="32">
        <f t="shared" ref="Z11:Z17" si="12"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L12">
        <f t="shared" si="4"/>
        <v>45094</v>
      </c>
      <c r="M12" s="5" t="e">
        <f t="shared" si="5"/>
        <v>#DIV/0!</v>
      </c>
      <c r="P12" s="34"/>
      <c r="Q12" s="28"/>
      <c r="R12" s="29">
        <f t="shared" si="6"/>
        <v>0</v>
      </c>
      <c r="S12" s="29"/>
      <c r="T12" s="31">
        <f t="shared" si="7"/>
        <v>0</v>
      </c>
      <c r="U12" s="28">
        <f t="shared" si="8"/>
        <v>0</v>
      </c>
      <c r="V12" s="28">
        <f t="shared" si="9"/>
        <v>0</v>
      </c>
      <c r="W12" s="28" t="e">
        <f t="shared" si="10"/>
        <v>#DIV/0!</v>
      </c>
      <c r="X12" s="29"/>
      <c r="Y12" s="5" t="e">
        <f t="shared" si="11"/>
        <v>#DIV/0!</v>
      </c>
      <c r="Z12" s="6">
        <f t="shared" si="12"/>
        <v>0</v>
      </c>
      <c r="AB12" s="60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4"/>
        <v>45094</v>
      </c>
      <c r="M13" s="5" t="e">
        <f t="shared" si="5"/>
        <v>#DIV/0!</v>
      </c>
      <c r="P13" s="30"/>
      <c r="Q13" s="28"/>
      <c r="R13" s="29">
        <f t="shared" si="6"/>
        <v>0</v>
      </c>
      <c r="S13" s="29"/>
      <c r="T13" s="31">
        <f t="shared" si="7"/>
        <v>0</v>
      </c>
      <c r="U13" s="28">
        <f t="shared" si="8"/>
        <v>0</v>
      </c>
      <c r="V13" s="28">
        <f t="shared" si="9"/>
        <v>0</v>
      </c>
      <c r="W13" s="28" t="e">
        <f t="shared" si="10"/>
        <v>#DIV/0!</v>
      </c>
      <c r="X13" s="29"/>
      <c r="Y13" s="5" t="e">
        <f t="shared" si="11"/>
        <v>#DIV/0!</v>
      </c>
      <c r="Z13" s="32">
        <f t="shared" si="12"/>
        <v>0</v>
      </c>
      <c r="AB13" s="58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45094</v>
      </c>
      <c r="M14" s="5" t="e">
        <f t="shared" si="5"/>
        <v>#DIV/0!</v>
      </c>
      <c r="P14" s="30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8"/>
      <c r="AC14" s="9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45094</v>
      </c>
      <c r="M15" s="5" t="e">
        <f t="shared" si="5"/>
        <v>#DIV/0!</v>
      </c>
      <c r="P15" s="30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45094</v>
      </c>
      <c r="M16" s="5" t="e">
        <f t="shared" si="5"/>
        <v>#DIV/0!</v>
      </c>
      <c r="P16" s="30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6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45094</v>
      </c>
      <c r="M17" s="42" t="e">
        <f t="shared" si="5"/>
        <v>#DIV/0!</v>
      </c>
      <c r="N17" s="35"/>
      <c r="O17" s="35"/>
      <c r="P17" s="43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36245.317429999996</v>
      </c>
      <c r="G18" s="3">
        <f>SUM(G6:G17)</f>
        <v>37971.83</v>
      </c>
      <c r="H18" s="4"/>
      <c r="I18" s="3">
        <f>SUM(I6:I17)</f>
        <v>-1726.5125700000062</v>
      </c>
      <c r="M18" s="5"/>
      <c r="Z18" s="6"/>
    </row>
    <row r="19" spans="1:29" x14ac:dyDescent="0.25">
      <c r="D19" s="2" t="s">
        <v>44</v>
      </c>
      <c r="F19" s="3">
        <v>641069</v>
      </c>
      <c r="G19" s="6">
        <f>F19/F20</f>
        <v>0.94648671008826568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677314.31743000005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'03-28-25'!F20</f>
        <v>680514.37534000003</v>
      </c>
      <c r="K21" s="1">
        <v>45657</v>
      </c>
      <c r="L21" s="50">
        <v>170762</v>
      </c>
      <c r="M21" s="50">
        <v>157492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-4.7024104500381116E-3</v>
      </c>
      <c r="K22" s="9" t="s">
        <v>50</v>
      </c>
      <c r="L22" s="6">
        <f>(M21-L21)/L21</f>
        <v>-7.7710497651702376E-2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  <c r="P25" s="9" t="s">
        <v>94</v>
      </c>
      <c r="S25" t="s">
        <v>88</v>
      </c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>
        <v>59.09</v>
      </c>
      <c r="S26" s="62">
        <f>(Q26-H26)/H26</f>
        <v>-0.1460365858329257</v>
      </c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>
        <v>50.26</v>
      </c>
      <c r="S27" s="62">
        <f t="shared" ref="S27:S40" si="14">(Q27-H27)/H27</f>
        <v>-0.39251792085196757</v>
      </c>
      <c r="U27" t="s">
        <v>90</v>
      </c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5">F28/D28</f>
        <v>44.698790833464948</v>
      </c>
      <c r="F28" s="3">
        <v>56489.42</v>
      </c>
      <c r="G28" s="56">
        <v>75501.87</v>
      </c>
      <c r="H28" s="57">
        <f t="shared" ref="H28:H40" si="16">G28/D28</f>
        <v>59.742909285764696</v>
      </c>
      <c r="I28" s="57">
        <f t="shared" ref="I28:I40" si="17">G28-F28</f>
        <v>19012.449999999997</v>
      </c>
      <c r="J28" s="6">
        <f t="shared" ref="J28:J40" si="18">I28/F28</f>
        <v>0.33656656414599401</v>
      </c>
      <c r="K28" s="1">
        <v>45527</v>
      </c>
      <c r="L28" s="1">
        <v>45688</v>
      </c>
      <c r="M28">
        <f t="shared" si="13"/>
        <v>158</v>
      </c>
      <c r="Q28" s="28">
        <v>39.61</v>
      </c>
      <c r="S28" s="62">
        <f t="shared" si="14"/>
        <v>-0.33699244858438598</v>
      </c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5"/>
        <v>169.90901206845703</v>
      </c>
      <c r="F29" s="3">
        <f>59492.79+21969.78</f>
        <v>81462.570000000007</v>
      </c>
      <c r="G29" s="56">
        <v>65047.58</v>
      </c>
      <c r="H29" s="57">
        <f t="shared" si="16"/>
        <v>135.67175765807443</v>
      </c>
      <c r="I29" s="57">
        <f t="shared" si="17"/>
        <v>-16414.990000000005</v>
      </c>
      <c r="J29" s="6">
        <f t="shared" si="18"/>
        <v>-0.20150346349249729</v>
      </c>
      <c r="K29" s="1">
        <v>45671</v>
      </c>
      <c r="L29" s="1">
        <v>45688</v>
      </c>
      <c r="M29">
        <f t="shared" si="13"/>
        <v>17</v>
      </c>
      <c r="Q29" s="28">
        <v>120.08</v>
      </c>
      <c r="S29" s="62">
        <f t="shared" si="14"/>
        <v>-0.11492264806776824</v>
      </c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5"/>
        <v>18.702010092477405</v>
      </c>
      <c r="F30" s="3">
        <v>56486.59</v>
      </c>
      <c r="G30" s="56">
        <v>71124.88</v>
      </c>
      <c r="H30" s="57">
        <f t="shared" si="16"/>
        <v>23.548566546258936</v>
      </c>
      <c r="I30" s="57">
        <f t="shared" si="17"/>
        <v>14638.290000000008</v>
      </c>
      <c r="J30" s="6">
        <f t="shared" si="18"/>
        <v>0.25914628587068206</v>
      </c>
      <c r="K30" s="1">
        <v>45527</v>
      </c>
      <c r="L30" s="1">
        <v>45691</v>
      </c>
      <c r="M30">
        <f t="shared" si="13"/>
        <v>160</v>
      </c>
      <c r="Q30" s="28">
        <v>18.37</v>
      </c>
      <c r="S30" s="62">
        <f t="shared" si="14"/>
        <v>-0.21991005423137455</v>
      </c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5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6"/>
        <v>38.249853000000002</v>
      </c>
      <c r="I31" s="57">
        <f t="shared" si="17"/>
        <v>-6110.386336591735</v>
      </c>
      <c r="J31" s="6">
        <f t="shared" si="18"/>
        <v>-0.10005621882176895</v>
      </c>
      <c r="K31" s="1">
        <v>45706</v>
      </c>
      <c r="L31" s="1">
        <v>45708</v>
      </c>
      <c r="M31">
        <f t="shared" si="13"/>
        <v>2</v>
      </c>
      <c r="Q31" s="28">
        <v>30.54</v>
      </c>
      <c r="S31" s="62">
        <f t="shared" si="14"/>
        <v>-0.20156555895783448</v>
      </c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5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6"/>
        <v>531.63995279999995</v>
      </c>
      <c r="I32" s="57">
        <f t="shared" si="17"/>
        <v>-22176.243614196137</v>
      </c>
      <c r="J32" s="6">
        <f t="shared" si="18"/>
        <v>-0.24194911929355969</v>
      </c>
      <c r="K32" s="1">
        <v>45706</v>
      </c>
      <c r="L32" s="1">
        <v>45708</v>
      </c>
      <c r="M32">
        <f t="shared" si="13"/>
        <v>2</v>
      </c>
      <c r="Q32" s="28">
        <v>497.13</v>
      </c>
      <c r="S32" s="62">
        <f t="shared" si="14"/>
        <v>-6.4912263681925361E-2</v>
      </c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5"/>
        <v>368.56522253629635</v>
      </c>
      <c r="F33" s="3">
        <v>74438.86</v>
      </c>
      <c r="G33" s="56">
        <f>201.9693*360.5332483</f>
        <v>72816.647785877198</v>
      </c>
      <c r="H33" s="57">
        <f t="shared" si="16"/>
        <v>360.53324830000003</v>
      </c>
      <c r="I33" s="57">
        <f t="shared" si="17"/>
        <v>-1622.2122141228028</v>
      </c>
      <c r="J33" s="6">
        <f t="shared" si="18"/>
        <v>-2.1792545105107773E-2</v>
      </c>
      <c r="K33" s="1">
        <v>45664</v>
      </c>
      <c r="L33" s="1">
        <v>45708</v>
      </c>
      <c r="M33">
        <f t="shared" si="13"/>
        <v>43</v>
      </c>
      <c r="Q33" s="28">
        <v>271.48</v>
      </c>
      <c r="S33" s="62">
        <f t="shared" si="14"/>
        <v>-0.24700426027254696</v>
      </c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5"/>
        <v>30.17825528482809</v>
      </c>
      <c r="F34" s="3">
        <v>37884.65</v>
      </c>
      <c r="G34" s="56">
        <f>1255.3625*39.762296</f>
        <v>49916.0953123</v>
      </c>
      <c r="H34" s="57">
        <f t="shared" si="16"/>
        <v>39.762295999999999</v>
      </c>
      <c r="I34" s="57">
        <f t="shared" si="17"/>
        <v>12031.445312299998</v>
      </c>
      <c r="J34" s="6">
        <f t="shared" si="18"/>
        <v>0.31758100740801348</v>
      </c>
      <c r="K34" s="1">
        <v>45663</v>
      </c>
      <c r="L34" s="1">
        <v>45709</v>
      </c>
      <c r="M34">
        <f t="shared" si="13"/>
        <v>45</v>
      </c>
      <c r="Q34" s="28">
        <v>19.8</v>
      </c>
      <c r="S34" s="62">
        <f t="shared" si="14"/>
        <v>-0.50204082782342341</v>
      </c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5"/>
        <v>242.26930551548847</v>
      </c>
      <c r="F35" s="3">
        <v>61221.72</v>
      </c>
      <c r="G35" s="56">
        <f>252.7011*226.6146532</f>
        <v>57265.772139758519</v>
      </c>
      <c r="H35" s="57">
        <f t="shared" si="16"/>
        <v>226.61465319999999</v>
      </c>
      <c r="I35" s="57">
        <f t="shared" si="17"/>
        <v>-3955.947860241482</v>
      </c>
      <c r="J35" s="6">
        <f t="shared" si="18"/>
        <v>-6.4616738311852093E-2</v>
      </c>
      <c r="K35" s="1">
        <v>45699</v>
      </c>
      <c r="L35" s="1">
        <v>45709</v>
      </c>
      <c r="M35">
        <f t="shared" si="13"/>
        <v>10</v>
      </c>
      <c r="Q35" s="28">
        <v>182.87</v>
      </c>
      <c r="S35" s="62">
        <f t="shared" si="14"/>
        <v>-0.19303541312217312</v>
      </c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5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6"/>
        <v>283.93999450000007</v>
      </c>
      <c r="I36" s="57">
        <f t="shared" si="17"/>
        <v>19563.525282954361</v>
      </c>
      <c r="J36" s="6">
        <f t="shared" si="18"/>
        <v>0.36434300703793465</v>
      </c>
      <c r="K36" s="1">
        <v>45580</v>
      </c>
      <c r="L36" s="1">
        <v>45712</v>
      </c>
      <c r="M36">
        <f t="shared" si="13"/>
        <v>129</v>
      </c>
      <c r="Q36" s="28">
        <v>293.61</v>
      </c>
      <c r="S36" s="62">
        <f t="shared" si="14"/>
        <v>3.4056510837890935E-2</v>
      </c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5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6"/>
        <v>63.365330900000004</v>
      </c>
      <c r="I37" s="57">
        <f t="shared" si="17"/>
        <v>-4549.5912833559851</v>
      </c>
      <c r="J37" s="6">
        <f t="shared" si="18"/>
        <v>-5.9638082078758516E-2</v>
      </c>
      <c r="K37" s="1">
        <v>45673</v>
      </c>
      <c r="L37" s="1">
        <v>45712</v>
      </c>
      <c r="M37">
        <f t="shared" si="13"/>
        <v>38</v>
      </c>
      <c r="Q37" s="28">
        <v>37.18</v>
      </c>
      <c r="S37" s="62">
        <f t="shared" si="14"/>
        <v>-0.4132438121616438</v>
      </c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6"/>
        <v>50.021380499999999</v>
      </c>
      <c r="I38" s="57">
        <f t="shared" si="17"/>
        <v>6027.2875116823998</v>
      </c>
      <c r="J38" s="6">
        <f t="shared" si="18"/>
        <v>9.9771440635884723E-2</v>
      </c>
      <c r="K38" s="1">
        <v>45593</v>
      </c>
      <c r="L38" s="1">
        <v>45713</v>
      </c>
      <c r="M38">
        <f t="shared" si="13"/>
        <v>117</v>
      </c>
      <c r="Q38" s="28">
        <v>47.71</v>
      </c>
      <c r="S38" s="62">
        <f t="shared" si="14"/>
        <v>-4.620785106080786E-2</v>
      </c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6"/>
        <v>12.519992000000002</v>
      </c>
      <c r="I39" s="57">
        <f t="shared" si="17"/>
        <v>-2230.6527810991975</v>
      </c>
      <c r="J39" s="6">
        <f t="shared" si="18"/>
        <v>-9.8609037242937694E-2</v>
      </c>
      <c r="K39" s="1">
        <v>45692</v>
      </c>
      <c r="L39" s="1">
        <v>45715</v>
      </c>
      <c r="M39">
        <f>DAYS360(K39,L39)</f>
        <v>23</v>
      </c>
      <c r="Q39" s="28">
        <v>10.050000000000001</v>
      </c>
      <c r="S39" s="62">
        <f t="shared" si="14"/>
        <v>-0.19728383213024425</v>
      </c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6"/>
        <v>94.679995300000002</v>
      </c>
      <c r="I40" s="57">
        <f t="shared" si="17"/>
        <v>-4750.690604140058</v>
      </c>
      <c r="J40" s="6">
        <f t="shared" si="18"/>
        <v>-0.10235753534193669</v>
      </c>
      <c r="K40" s="1">
        <v>45695</v>
      </c>
      <c r="L40" s="1">
        <v>45729</v>
      </c>
      <c r="M40">
        <f>DAYS360(K40,L40)</f>
        <v>36</v>
      </c>
      <c r="Q40" s="28">
        <v>84.71</v>
      </c>
      <c r="S40" s="62">
        <f t="shared" si="14"/>
        <v>-0.10530202571735878</v>
      </c>
    </row>
    <row r="41" spans="1:19" x14ac:dyDescent="0.25">
      <c r="D41" s="2"/>
      <c r="E41" s="57"/>
      <c r="F41" s="3"/>
      <c r="G41" s="56"/>
      <c r="H41" s="57"/>
      <c r="I41" s="57"/>
      <c r="J41" s="6"/>
      <c r="K41" s="1"/>
      <c r="L41" s="1"/>
    </row>
    <row r="42" spans="1:19" x14ac:dyDescent="0.25">
      <c r="D42" s="2"/>
      <c r="E42" s="57"/>
      <c r="F42" s="3"/>
      <c r="G42" s="56"/>
      <c r="H42" s="57"/>
      <c r="I42" s="57"/>
      <c r="J42" s="6"/>
      <c r="K42" s="1"/>
      <c r="L42" s="1"/>
    </row>
    <row r="43" spans="1:19" x14ac:dyDescent="0.25">
      <c r="F43" s="56"/>
      <c r="G43" s="56"/>
      <c r="H43" s="3"/>
      <c r="I43" s="3">
        <f>SUM(I26:I42)</f>
        <v>1698.2634131893647</v>
      </c>
      <c r="J43" s="13" t="s">
        <v>66</v>
      </c>
    </row>
    <row r="44" spans="1:19" x14ac:dyDescent="0.25">
      <c r="F44" s="56"/>
      <c r="G44" s="56"/>
      <c r="H44" s="3" t="s">
        <v>67</v>
      </c>
      <c r="I44" s="59">
        <v>9</v>
      </c>
      <c r="J44" s="5">
        <v>-0.1022</v>
      </c>
    </row>
    <row r="45" spans="1:19" x14ac:dyDescent="0.25">
      <c r="F45" s="56"/>
      <c r="G45" s="56"/>
      <c r="H45" s="3" t="s">
        <v>68</v>
      </c>
      <c r="I45" s="59">
        <v>5</v>
      </c>
      <c r="J45" s="5">
        <v>0.27560000000000001</v>
      </c>
    </row>
    <row r="46" spans="1:19" x14ac:dyDescent="0.25">
      <c r="F46" s="56"/>
      <c r="G46" s="56"/>
      <c r="J46" s="6"/>
    </row>
    <row r="47" spans="1:19" x14ac:dyDescent="0.25">
      <c r="F47" s="56"/>
      <c r="G47" s="56"/>
      <c r="J47" s="6"/>
    </row>
    <row r="48" spans="1:19" x14ac:dyDescent="0.25">
      <c r="F48" s="56"/>
      <c r="G48" s="56"/>
      <c r="J48" s="6"/>
    </row>
    <row r="49" spans="6:10" x14ac:dyDescent="0.25">
      <c r="F49" s="56"/>
      <c r="G49" s="56"/>
      <c r="J49" s="6"/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  <c r="J61" s="6"/>
    </row>
    <row r="62" spans="6:10" x14ac:dyDescent="0.25">
      <c r="F62" s="56"/>
      <c r="G62" s="56"/>
      <c r="J62" s="6"/>
    </row>
    <row r="63" spans="6:10" x14ac:dyDescent="0.25">
      <c r="F63" s="56"/>
      <c r="G63" s="56"/>
      <c r="J63" s="6"/>
    </row>
    <row r="64" spans="6:10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</row>
    <row r="70" spans="6:10" x14ac:dyDescent="0.25">
      <c r="F70" s="56"/>
      <c r="G70" s="56"/>
    </row>
    <row r="71" spans="6:10" x14ac:dyDescent="0.25">
      <c r="F71" s="56"/>
      <c r="G71" s="56"/>
    </row>
    <row r="72" spans="6:10" x14ac:dyDescent="0.25">
      <c r="F72" s="56"/>
      <c r="G72" s="56"/>
    </row>
    <row r="73" spans="6:10" x14ac:dyDescent="0.25">
      <c r="F73" s="56"/>
      <c r="G73" s="56"/>
    </row>
    <row r="74" spans="6:10" x14ac:dyDescent="0.25">
      <c r="F74" s="56"/>
      <c r="G74" s="5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9200-CEFC-42FF-A964-82D9161E15F3}">
  <dimension ref="A1:AC74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9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45758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41</v>
      </c>
      <c r="B7" t="s">
        <v>30</v>
      </c>
      <c r="C7" s="25" t="s">
        <v>42</v>
      </c>
      <c r="D7" s="2">
        <v>2234.6064999999999</v>
      </c>
      <c r="E7" s="26">
        <v>15.89</v>
      </c>
      <c r="F7" s="3">
        <f>E7*D7</f>
        <v>35507.897284999999</v>
      </c>
      <c r="G7" s="3">
        <v>37971.83</v>
      </c>
      <c r="H7" s="4">
        <f>G7/D7</f>
        <v>16.992624876012847</v>
      </c>
      <c r="I7" s="3">
        <f>F7-G7</f>
        <v>-2463.9327150000026</v>
      </c>
      <c r="J7" s="26">
        <f>E7-H7</f>
        <v>-1.1026248760128468</v>
      </c>
      <c r="K7" s="27">
        <v>45652</v>
      </c>
      <c r="L7">
        <f>DAYS360(K7,$C$1)</f>
        <v>105</v>
      </c>
      <c r="M7" s="5">
        <f>(I7/G7)</f>
        <v>-6.4888437428483228E-2</v>
      </c>
      <c r="N7">
        <v>73</v>
      </c>
      <c r="O7">
        <v>97</v>
      </c>
      <c r="P7" s="30">
        <v>80</v>
      </c>
      <c r="Q7" s="28">
        <v>15.9</v>
      </c>
      <c r="R7" s="29">
        <f>Q7*0.93</f>
        <v>14.787000000000001</v>
      </c>
      <c r="S7" s="29">
        <v>14</v>
      </c>
      <c r="T7" s="31">
        <f>Q7*1.25</f>
        <v>19.875</v>
      </c>
      <c r="U7" s="28">
        <f>Q7*1.5</f>
        <v>23.85</v>
      </c>
      <c r="V7" s="28">
        <f>Q7*2</f>
        <v>31.8</v>
      </c>
      <c r="W7" s="28">
        <f>H7-(H7*0.07)</f>
        <v>15.803141134691948</v>
      </c>
      <c r="X7" s="29">
        <v>16.5</v>
      </c>
      <c r="Y7" s="5">
        <f>(X7-H7)/H7</f>
        <v>-2.8990510860287814E-2</v>
      </c>
      <c r="Z7" s="6">
        <f>F7/F$20</f>
        <v>5.2481687488130001E-2</v>
      </c>
      <c r="AB7" s="58">
        <v>45777</v>
      </c>
      <c r="AC7" s="9">
        <v>97</v>
      </c>
    </row>
    <row r="8" spans="1:29" x14ac:dyDescent="0.25">
      <c r="C8" s="25"/>
      <c r="D8" s="2"/>
      <c r="E8" s="26"/>
      <c r="F8" s="3">
        <f>E8*D8</f>
        <v>0</v>
      </c>
      <c r="G8" s="3"/>
      <c r="H8" s="4" t="e">
        <f>G8/D8</f>
        <v>#DIV/0!</v>
      </c>
      <c r="I8" s="3">
        <f>F8-G8</f>
        <v>0</v>
      </c>
      <c r="J8" s="26" t="e">
        <f>E8-H8</f>
        <v>#DIV/0!</v>
      </c>
      <c r="K8" s="27"/>
      <c r="L8">
        <f>DAYS360(K8,$C$1)</f>
        <v>45101</v>
      </c>
      <c r="M8" s="5" t="e">
        <f>(I8/G8)</f>
        <v>#DIV/0!</v>
      </c>
      <c r="P8" s="30"/>
      <c r="Q8" s="28"/>
      <c r="R8" s="29">
        <f>Q8*0.93</f>
        <v>0</v>
      </c>
      <c r="S8" s="29"/>
      <c r="T8" s="31">
        <f>Q8*1.25</f>
        <v>0</v>
      </c>
      <c r="U8" s="28">
        <f>Q8*1.5</f>
        <v>0</v>
      </c>
      <c r="V8" s="28">
        <f>Q8*2</f>
        <v>0</v>
      </c>
      <c r="W8" s="28" t="e">
        <f>H8-(H8*0.07)</f>
        <v>#DIV/0!</v>
      </c>
      <c r="X8" s="29"/>
      <c r="Y8" s="5" t="e">
        <f>(X8-H8)/H8</f>
        <v>#DIV/0!</v>
      </c>
      <c r="Z8" s="6">
        <f>F8/F$20</f>
        <v>0</v>
      </c>
      <c r="AB8" s="58"/>
      <c r="AC8" s="9"/>
    </row>
    <row r="9" spans="1:29" x14ac:dyDescent="0.25">
      <c r="D9" s="2"/>
      <c r="E9" s="26"/>
      <c r="F9" s="3">
        <f>E9*D9</f>
        <v>0</v>
      </c>
      <c r="G9" s="3"/>
      <c r="H9" s="4" t="e">
        <f>G9/D9</f>
        <v>#DIV/0!</v>
      </c>
      <c r="I9" s="3">
        <f>F9-G9</f>
        <v>0</v>
      </c>
      <c r="J9" s="26" t="e">
        <f>E9-H9</f>
        <v>#DIV/0!</v>
      </c>
      <c r="K9" s="27"/>
      <c r="L9">
        <f>DAYS360(K9,$C$1)</f>
        <v>45101</v>
      </c>
      <c r="M9" s="5" t="e">
        <f>(I9/G9)</f>
        <v>#DIV/0!</v>
      </c>
      <c r="P9" s="33"/>
      <c r="Q9" s="28"/>
      <c r="R9" s="29">
        <f>Q9*0.93</f>
        <v>0</v>
      </c>
      <c r="S9" s="29"/>
      <c r="T9" s="28">
        <f>Q9*1.25</f>
        <v>0</v>
      </c>
      <c r="U9" s="28">
        <f>Q9*1.5</f>
        <v>0</v>
      </c>
      <c r="V9" s="28">
        <f>Q9*2</f>
        <v>0</v>
      </c>
      <c r="W9" s="28" t="e">
        <f>H9-(H9*0.07)</f>
        <v>#DIV/0!</v>
      </c>
      <c r="X9" s="29"/>
      <c r="Y9" s="5" t="e">
        <f>(X9-H9)/H9</f>
        <v>#DIV/0!</v>
      </c>
      <c r="Z9" s="32">
        <f>F9/F$20</f>
        <v>0</v>
      </c>
      <c r="AB9" s="58"/>
      <c r="AC9" s="9"/>
    </row>
    <row r="10" spans="1:29" x14ac:dyDescent="0.25">
      <c r="C10" s="25"/>
      <c r="D10" s="2"/>
      <c r="E10" s="26"/>
      <c r="F10" s="3">
        <f>E10*D10</f>
        <v>0</v>
      </c>
      <c r="G10" s="3"/>
      <c r="H10" s="4" t="e">
        <f>G10/D10</f>
        <v>#DIV/0!</v>
      </c>
      <c r="I10" s="3">
        <f>F10-G10</f>
        <v>0</v>
      </c>
      <c r="J10" s="26" t="e">
        <f>E10-H10</f>
        <v>#DIV/0!</v>
      </c>
      <c r="K10" s="27"/>
      <c r="L10">
        <f>DAYS360(K10,$C$1)</f>
        <v>45101</v>
      </c>
      <c r="M10" s="5" t="e">
        <f>(I10/G10)</f>
        <v>#DIV/0!</v>
      </c>
      <c r="P10" s="30"/>
      <c r="Q10" s="28"/>
      <c r="R10" s="29">
        <f>Q10*0.93</f>
        <v>0</v>
      </c>
      <c r="S10" s="29"/>
      <c r="T10" s="28">
        <f>Q10*1.25</f>
        <v>0</v>
      </c>
      <c r="U10" s="28">
        <f>Q10*1.5</f>
        <v>0</v>
      </c>
      <c r="V10" s="28">
        <f>Q10*2</f>
        <v>0</v>
      </c>
      <c r="W10" s="28" t="e">
        <f>H10-(H10*0.07)</f>
        <v>#DIV/0!</v>
      </c>
      <c r="X10" s="29"/>
      <c r="Y10" s="5" t="e">
        <f>(X10-H10)/H10</f>
        <v>#DIV/0!</v>
      </c>
      <c r="Z10" s="6">
        <f>F10/F$20</f>
        <v>0</v>
      </c>
      <c r="AB10" s="58"/>
      <c r="AC10" s="9"/>
    </row>
    <row r="11" spans="1:29" x14ac:dyDescent="0.25">
      <c r="C11" s="25"/>
      <c r="D11" s="2"/>
      <c r="E11" s="26"/>
      <c r="F11" s="3">
        <f t="shared" ref="F11:F17" si="0">E11*D11</f>
        <v>0</v>
      </c>
      <c r="G11" s="3"/>
      <c r="H11" s="4" t="e">
        <f t="shared" ref="H11:H17" si="1">G11/D11</f>
        <v>#DIV/0!</v>
      </c>
      <c r="I11" s="3">
        <f t="shared" ref="I11:I17" si="2">F11-G11</f>
        <v>0</v>
      </c>
      <c r="J11" s="26" t="e">
        <f t="shared" ref="J11:J17" si="3">E11-H11</f>
        <v>#DIV/0!</v>
      </c>
      <c r="K11" s="27"/>
      <c r="L11">
        <f t="shared" ref="L11:L17" si="4">DAYS360(K11,$C$1)</f>
        <v>45101</v>
      </c>
      <c r="M11" s="5" t="e">
        <f t="shared" ref="M11:M17" si="5">(I11/G11)</f>
        <v>#DIV/0!</v>
      </c>
      <c r="P11" s="30"/>
      <c r="Q11" s="28"/>
      <c r="R11" s="29">
        <f t="shared" ref="R11:R17" si="6">Q11*0.93</f>
        <v>0</v>
      </c>
      <c r="S11" s="29"/>
      <c r="T11" s="28">
        <f t="shared" ref="T11:T17" si="7">Q11*1.25</f>
        <v>0</v>
      </c>
      <c r="U11" s="28">
        <f t="shared" ref="U11:U17" si="8">Q11*1.5</f>
        <v>0</v>
      </c>
      <c r="V11" s="28">
        <f t="shared" ref="V11:V17" si="9">Q11*2</f>
        <v>0</v>
      </c>
      <c r="W11" s="28" t="e">
        <f t="shared" ref="W11:W17" si="10">H11-(H11*0.07)</f>
        <v>#DIV/0!</v>
      </c>
      <c r="X11" s="29"/>
      <c r="Y11" s="5" t="e">
        <f t="shared" ref="Y11:Y17" si="11">(X11-H11)/H11</f>
        <v>#DIV/0!</v>
      </c>
      <c r="Z11" s="32">
        <f t="shared" ref="Z11:Z17" si="12"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L12">
        <f t="shared" si="4"/>
        <v>45101</v>
      </c>
      <c r="M12" s="5" t="e">
        <f t="shared" si="5"/>
        <v>#DIV/0!</v>
      </c>
      <c r="P12" s="34"/>
      <c r="Q12" s="28"/>
      <c r="R12" s="29">
        <f t="shared" si="6"/>
        <v>0</v>
      </c>
      <c r="S12" s="29"/>
      <c r="T12" s="31">
        <f t="shared" si="7"/>
        <v>0</v>
      </c>
      <c r="U12" s="28">
        <f t="shared" si="8"/>
        <v>0</v>
      </c>
      <c r="V12" s="28">
        <f t="shared" si="9"/>
        <v>0</v>
      </c>
      <c r="W12" s="28" t="e">
        <f t="shared" si="10"/>
        <v>#DIV/0!</v>
      </c>
      <c r="X12" s="29"/>
      <c r="Y12" s="5" t="e">
        <f t="shared" si="11"/>
        <v>#DIV/0!</v>
      </c>
      <c r="Z12" s="6">
        <f t="shared" si="12"/>
        <v>0</v>
      </c>
      <c r="AB12" s="60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4"/>
        <v>45101</v>
      </c>
      <c r="M13" s="5" t="e">
        <f t="shared" si="5"/>
        <v>#DIV/0!</v>
      </c>
      <c r="P13" s="30"/>
      <c r="Q13" s="28"/>
      <c r="R13" s="29">
        <f t="shared" si="6"/>
        <v>0</v>
      </c>
      <c r="S13" s="29"/>
      <c r="T13" s="31">
        <f t="shared" si="7"/>
        <v>0</v>
      </c>
      <c r="U13" s="28">
        <f t="shared" si="8"/>
        <v>0</v>
      </c>
      <c r="V13" s="28">
        <f t="shared" si="9"/>
        <v>0</v>
      </c>
      <c r="W13" s="28" t="e">
        <f t="shared" si="10"/>
        <v>#DIV/0!</v>
      </c>
      <c r="X13" s="29"/>
      <c r="Y13" s="5" t="e">
        <f t="shared" si="11"/>
        <v>#DIV/0!</v>
      </c>
      <c r="Z13" s="32">
        <f t="shared" si="12"/>
        <v>0</v>
      </c>
      <c r="AB13" s="58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45101</v>
      </c>
      <c r="M14" s="5" t="e">
        <f t="shared" si="5"/>
        <v>#DIV/0!</v>
      </c>
      <c r="P14" s="30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8"/>
      <c r="AC14" s="9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45101</v>
      </c>
      <c r="M15" s="5" t="e">
        <f t="shared" si="5"/>
        <v>#DIV/0!</v>
      </c>
      <c r="P15" s="30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45101</v>
      </c>
      <c r="M16" s="5" t="e">
        <f t="shared" si="5"/>
        <v>#DIV/0!</v>
      </c>
      <c r="P16" s="30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6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45101</v>
      </c>
      <c r="M17" s="42" t="e">
        <f t="shared" si="5"/>
        <v>#DIV/0!</v>
      </c>
      <c r="N17" s="35"/>
      <c r="O17" s="35"/>
      <c r="P17" s="43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35507.897284999999</v>
      </c>
      <c r="G18" s="3">
        <f>SUM(G6:G17)</f>
        <v>37971.83</v>
      </c>
      <c r="H18" s="4"/>
      <c r="I18" s="3">
        <f>SUM(I6:I17)</f>
        <v>-2463.9327150000026</v>
      </c>
      <c r="M18" s="5"/>
      <c r="Z18" s="6"/>
    </row>
    <row r="19" spans="1:29" x14ac:dyDescent="0.25">
      <c r="D19" s="2" t="s">
        <v>44</v>
      </c>
      <c r="F19" s="3">
        <v>641069</v>
      </c>
      <c r="G19" s="6">
        <f>F19/F20</f>
        <v>0.94751831251187002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676576.89728499996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'04-04-25'!F20</f>
        <v>677314.31743000005</v>
      </c>
      <c r="K21" s="1">
        <v>45657</v>
      </c>
      <c r="L21" s="50">
        <v>170762</v>
      </c>
      <c r="M21" s="50">
        <v>157316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-1.0887414100415943E-3</v>
      </c>
      <c r="K22" s="9" t="s">
        <v>50</v>
      </c>
      <c r="L22" s="6">
        <f>(M21-L21)/L21</f>
        <v>-7.8741171923495862E-2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  <c r="P25" s="9" t="s">
        <v>95</v>
      </c>
      <c r="S25" t="s">
        <v>88</v>
      </c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>
        <v>65.400000000000006</v>
      </c>
      <c r="S26" s="62">
        <f>(Q26-H26)/H26</f>
        <v>-5.4845028151520384E-2</v>
      </c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>
        <v>53.94</v>
      </c>
      <c r="S27" s="62">
        <f t="shared" ref="S27:S40" si="14">(Q27-H27)/H27</f>
        <v>-0.34803853264534679</v>
      </c>
      <c r="U27" t="s">
        <v>90</v>
      </c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5">F28/D28</f>
        <v>44.698790833464948</v>
      </c>
      <c r="F28" s="3">
        <v>56489.42</v>
      </c>
      <c r="G28" s="56">
        <v>75501.87</v>
      </c>
      <c r="H28" s="57">
        <f t="shared" ref="H28:H40" si="16">G28/D28</f>
        <v>59.742909285764696</v>
      </c>
      <c r="I28" s="57">
        <f t="shared" ref="I28:I40" si="17">G28-F28</f>
        <v>19012.449999999997</v>
      </c>
      <c r="J28" s="6">
        <f t="shared" ref="J28:J40" si="18">I28/F28</f>
        <v>0.33656656414599401</v>
      </c>
      <c r="K28" s="1">
        <v>45527</v>
      </c>
      <c r="L28" s="1">
        <v>45688</v>
      </c>
      <c r="M28">
        <f t="shared" si="13"/>
        <v>158</v>
      </c>
      <c r="Q28" s="28">
        <v>43.51</v>
      </c>
      <c r="S28" s="62">
        <f t="shared" si="14"/>
        <v>-0.27171273511503752</v>
      </c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5"/>
        <v>169.90901206845703</v>
      </c>
      <c r="F29" s="3">
        <f>59492.79+21969.78</f>
        <v>81462.570000000007</v>
      </c>
      <c r="G29" s="56">
        <v>65047.58</v>
      </c>
      <c r="H29" s="57">
        <f t="shared" si="16"/>
        <v>135.67175765807443</v>
      </c>
      <c r="I29" s="57">
        <f t="shared" si="17"/>
        <v>-16414.990000000005</v>
      </c>
      <c r="J29" s="6">
        <f t="shared" si="18"/>
        <v>-0.20150346349249729</v>
      </c>
      <c r="K29" s="1">
        <v>45671</v>
      </c>
      <c r="L29" s="1">
        <v>45688</v>
      </c>
      <c r="M29">
        <f t="shared" si="13"/>
        <v>17</v>
      </c>
      <c r="Q29" s="28">
        <v>148.16999999999999</v>
      </c>
      <c r="S29" s="62">
        <f t="shared" si="14"/>
        <v>9.212117951198176E-2</v>
      </c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5"/>
        <v>18.702010092477405</v>
      </c>
      <c r="F30" s="3">
        <v>56486.59</v>
      </c>
      <c r="G30" s="56">
        <v>71124.88</v>
      </c>
      <c r="H30" s="57">
        <f t="shared" si="16"/>
        <v>23.548566546258936</v>
      </c>
      <c r="I30" s="57">
        <f t="shared" si="17"/>
        <v>14638.290000000008</v>
      </c>
      <c r="J30" s="6">
        <f t="shared" si="18"/>
        <v>0.25914628587068206</v>
      </c>
      <c r="K30" s="1">
        <v>45527</v>
      </c>
      <c r="L30" s="1">
        <v>45691</v>
      </c>
      <c r="M30">
        <f t="shared" si="13"/>
        <v>160</v>
      </c>
      <c r="Q30" s="28">
        <v>18.82</v>
      </c>
      <c r="S30" s="62">
        <f t="shared" si="14"/>
        <v>-0.20080061081298148</v>
      </c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5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6"/>
        <v>38.249853000000002</v>
      </c>
      <c r="I31" s="57">
        <f t="shared" si="17"/>
        <v>-6110.386336591735</v>
      </c>
      <c r="J31" s="6">
        <f t="shared" si="18"/>
        <v>-0.10005621882176895</v>
      </c>
      <c r="K31" s="1">
        <v>45706</v>
      </c>
      <c r="L31" s="1">
        <v>45708</v>
      </c>
      <c r="M31">
        <f t="shared" si="13"/>
        <v>2</v>
      </c>
      <c r="Q31" s="28">
        <v>34.08</v>
      </c>
      <c r="S31" s="62">
        <f t="shared" si="14"/>
        <v>-0.10901618367003929</v>
      </c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5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6"/>
        <v>531.63995279999995</v>
      </c>
      <c r="I32" s="57">
        <f t="shared" si="17"/>
        <v>-22176.243614196137</v>
      </c>
      <c r="J32" s="6">
        <f t="shared" si="18"/>
        <v>-0.24194911929355969</v>
      </c>
      <c r="K32" s="1">
        <v>45706</v>
      </c>
      <c r="L32" s="1">
        <v>45708</v>
      </c>
      <c r="M32">
        <f t="shared" si="13"/>
        <v>2</v>
      </c>
      <c r="Q32" s="28">
        <v>567.98</v>
      </c>
      <c r="S32" s="62">
        <f t="shared" si="14"/>
        <v>6.8354620469374322E-2</v>
      </c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5"/>
        <v>368.56522253629635</v>
      </c>
      <c r="F33" s="3">
        <v>74438.86</v>
      </c>
      <c r="G33" s="56">
        <f>201.9693*360.5332483</f>
        <v>72816.647785877198</v>
      </c>
      <c r="H33" s="57">
        <f t="shared" si="16"/>
        <v>360.53324830000003</v>
      </c>
      <c r="I33" s="57">
        <f t="shared" si="17"/>
        <v>-1622.2122141228028</v>
      </c>
      <c r="J33" s="6">
        <f t="shared" si="18"/>
        <v>-2.1792545105107773E-2</v>
      </c>
      <c r="K33" s="1">
        <v>45664</v>
      </c>
      <c r="L33" s="1">
        <v>45708</v>
      </c>
      <c r="M33">
        <f t="shared" si="13"/>
        <v>43</v>
      </c>
      <c r="Q33" s="28">
        <v>321.43</v>
      </c>
      <c r="S33" s="62">
        <f t="shared" si="14"/>
        <v>-0.10845947907545596</v>
      </c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5"/>
        <v>30.17825528482809</v>
      </c>
      <c r="F34" s="3">
        <v>37884.65</v>
      </c>
      <c r="G34" s="56">
        <f>1255.3625*39.762296</f>
        <v>49916.0953123</v>
      </c>
      <c r="H34" s="57">
        <f t="shared" si="16"/>
        <v>39.762295999999999</v>
      </c>
      <c r="I34" s="57">
        <f t="shared" si="17"/>
        <v>12031.445312299998</v>
      </c>
      <c r="J34" s="6">
        <f t="shared" si="18"/>
        <v>0.31758100740801348</v>
      </c>
      <c r="K34" s="1">
        <v>45663</v>
      </c>
      <c r="L34" s="1">
        <v>45709</v>
      </c>
      <c r="M34">
        <f t="shared" si="13"/>
        <v>45</v>
      </c>
      <c r="Q34" s="28">
        <v>22.5</v>
      </c>
      <c r="S34" s="62">
        <f t="shared" si="14"/>
        <v>-0.43413730434479941</v>
      </c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5"/>
        <v>242.26930551548847</v>
      </c>
      <c r="F35" s="3">
        <v>61221.72</v>
      </c>
      <c r="G35" s="56">
        <f>252.7011*226.6146532</f>
        <v>57265.772139758519</v>
      </c>
      <c r="H35" s="57">
        <f t="shared" si="16"/>
        <v>226.61465319999999</v>
      </c>
      <c r="I35" s="57">
        <f t="shared" si="17"/>
        <v>-3955.947860241482</v>
      </c>
      <c r="J35" s="6">
        <f t="shared" si="18"/>
        <v>-6.4616738311852093E-2</v>
      </c>
      <c r="K35" s="1">
        <v>45699</v>
      </c>
      <c r="L35" s="1">
        <v>45709</v>
      </c>
      <c r="M35">
        <f t="shared" si="13"/>
        <v>10</v>
      </c>
      <c r="Q35" s="28">
        <v>185.93</v>
      </c>
      <c r="S35" s="62">
        <f t="shared" si="14"/>
        <v>-0.17953231455025781</v>
      </c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5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6"/>
        <v>283.93999450000007</v>
      </c>
      <c r="I36" s="57">
        <f t="shared" si="17"/>
        <v>19563.525282954361</v>
      </c>
      <c r="J36" s="6">
        <f t="shared" si="18"/>
        <v>0.36434300703793465</v>
      </c>
      <c r="K36" s="1">
        <v>45580</v>
      </c>
      <c r="L36" s="1">
        <v>45712</v>
      </c>
      <c r="M36">
        <f t="shared" si="13"/>
        <v>129</v>
      </c>
      <c r="Q36" s="28">
        <v>299.98</v>
      </c>
      <c r="S36" s="62">
        <f t="shared" si="14"/>
        <v>5.6490828381698603E-2</v>
      </c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5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6"/>
        <v>63.365330900000004</v>
      </c>
      <c r="I37" s="57">
        <f t="shared" si="17"/>
        <v>-4549.5912833559851</v>
      </c>
      <c r="J37" s="6">
        <f t="shared" si="18"/>
        <v>-5.9638082078758516E-2</v>
      </c>
      <c r="K37" s="1">
        <v>45673</v>
      </c>
      <c r="L37" s="1">
        <v>45712</v>
      </c>
      <c r="M37">
        <f t="shared" si="13"/>
        <v>38</v>
      </c>
      <c r="Q37" s="28">
        <v>41.08</v>
      </c>
      <c r="S37" s="62">
        <f t="shared" si="14"/>
        <v>-0.35169596029048755</v>
      </c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6"/>
        <v>50.021380499999999</v>
      </c>
      <c r="I38" s="57">
        <f t="shared" si="17"/>
        <v>6027.2875116823998</v>
      </c>
      <c r="J38" s="6">
        <f t="shared" si="18"/>
        <v>9.9771440635884723E-2</v>
      </c>
      <c r="K38" s="1">
        <v>45593</v>
      </c>
      <c r="L38" s="1">
        <v>45713</v>
      </c>
      <c r="M38">
        <f t="shared" si="13"/>
        <v>117</v>
      </c>
      <c r="Q38" s="28">
        <v>47.67</v>
      </c>
      <c r="S38" s="62">
        <f t="shared" si="14"/>
        <v>-4.700750911902557E-2</v>
      </c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6"/>
        <v>12.519992000000002</v>
      </c>
      <c r="I39" s="57">
        <f t="shared" si="17"/>
        <v>-2230.6527810991975</v>
      </c>
      <c r="J39" s="6">
        <f t="shared" si="18"/>
        <v>-9.8609037242937694E-2</v>
      </c>
      <c r="K39" s="1">
        <v>45692</v>
      </c>
      <c r="L39" s="1">
        <v>45715</v>
      </c>
      <c r="M39">
        <f>DAYS360(K39,L39)</f>
        <v>23</v>
      </c>
      <c r="Q39" s="28">
        <v>10.19</v>
      </c>
      <c r="S39" s="62">
        <f t="shared" si="14"/>
        <v>-0.18610171635892436</v>
      </c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6"/>
        <v>94.679995300000002</v>
      </c>
      <c r="I40" s="57">
        <f t="shared" si="17"/>
        <v>-4750.690604140058</v>
      </c>
      <c r="J40" s="6">
        <f t="shared" si="18"/>
        <v>-0.10235753534193669</v>
      </c>
      <c r="K40" s="1">
        <v>45695</v>
      </c>
      <c r="L40" s="1">
        <v>45729</v>
      </c>
      <c r="M40">
        <f>DAYS360(K40,L40)</f>
        <v>36</v>
      </c>
      <c r="Q40" s="28">
        <v>97.73</v>
      </c>
      <c r="S40" s="62">
        <f t="shared" si="14"/>
        <v>3.2213823948088034E-2</v>
      </c>
    </row>
    <row r="41" spans="1:19" x14ac:dyDescent="0.25">
      <c r="D41" s="2"/>
      <c r="E41" s="57"/>
      <c r="F41" s="3"/>
      <c r="G41" s="56"/>
      <c r="H41" s="57"/>
      <c r="I41" s="57"/>
      <c r="J41" s="6"/>
      <c r="K41" s="1"/>
      <c r="L41" s="1"/>
    </row>
    <row r="42" spans="1:19" x14ac:dyDescent="0.25">
      <c r="D42" s="2"/>
      <c r="E42" s="57"/>
      <c r="F42" s="3"/>
      <c r="G42" s="56"/>
      <c r="H42" s="57"/>
      <c r="I42" s="57"/>
      <c r="J42" s="6"/>
      <c r="K42" s="1"/>
      <c r="L42" s="1"/>
    </row>
    <row r="43" spans="1:19" x14ac:dyDescent="0.25">
      <c r="F43" s="56"/>
      <c r="G43" s="56"/>
      <c r="H43" s="3"/>
      <c r="I43" s="3">
        <f>SUM(I26:I42)</f>
        <v>1698.2634131893647</v>
      </c>
      <c r="J43" s="13" t="s">
        <v>66</v>
      </c>
    </row>
    <row r="44" spans="1:19" x14ac:dyDescent="0.25">
      <c r="F44" s="56"/>
      <c r="G44" s="56"/>
      <c r="H44" s="3" t="s">
        <v>67</v>
      </c>
      <c r="I44" s="59">
        <v>9</v>
      </c>
      <c r="J44" s="5">
        <v>-0.1022</v>
      </c>
    </row>
    <row r="45" spans="1:19" x14ac:dyDescent="0.25">
      <c r="F45" s="56"/>
      <c r="G45" s="56"/>
      <c r="H45" s="3" t="s">
        <v>68</v>
      </c>
      <c r="I45" s="59">
        <v>5</v>
      </c>
      <c r="J45" s="5">
        <v>0.27560000000000001</v>
      </c>
    </row>
    <row r="46" spans="1:19" x14ac:dyDescent="0.25">
      <c r="F46" s="56"/>
      <c r="G46" s="56"/>
      <c r="J46" s="6"/>
    </row>
    <row r="47" spans="1:19" x14ac:dyDescent="0.25">
      <c r="F47" s="56"/>
      <c r="G47" s="56"/>
      <c r="J47" s="6"/>
    </row>
    <row r="48" spans="1:19" x14ac:dyDescent="0.25">
      <c r="F48" s="56"/>
      <c r="G48" s="56"/>
      <c r="J48" s="6"/>
    </row>
    <row r="49" spans="6:10" x14ac:dyDescent="0.25">
      <c r="F49" s="56"/>
      <c r="G49" s="56"/>
      <c r="J49" s="6"/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  <c r="J61" s="6"/>
    </row>
    <row r="62" spans="6:10" x14ac:dyDescent="0.25">
      <c r="F62" s="56"/>
      <c r="G62" s="56"/>
      <c r="J62" s="6"/>
    </row>
    <row r="63" spans="6:10" x14ac:dyDescent="0.25">
      <c r="F63" s="56"/>
      <c r="G63" s="56"/>
      <c r="J63" s="6"/>
    </row>
    <row r="64" spans="6:10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</row>
    <row r="70" spans="6:10" x14ac:dyDescent="0.25">
      <c r="F70" s="56"/>
      <c r="G70" s="56"/>
    </row>
    <row r="71" spans="6:10" x14ac:dyDescent="0.25">
      <c r="F71" s="56"/>
      <c r="G71" s="56"/>
    </row>
    <row r="72" spans="6:10" x14ac:dyDescent="0.25">
      <c r="F72" s="56"/>
      <c r="G72" s="56"/>
    </row>
    <row r="73" spans="6:10" x14ac:dyDescent="0.25">
      <c r="F73" s="56"/>
      <c r="G73" s="56"/>
    </row>
    <row r="74" spans="6:10" x14ac:dyDescent="0.25">
      <c r="F74" s="56"/>
      <c r="G74" s="5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E65D-7A77-4B25-A0AF-542CDE1FF791}">
  <dimension ref="A1:AC74"/>
  <sheetViews>
    <sheetView workbookViewId="0">
      <selection activeCell="M22" sqref="M22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9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45765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41</v>
      </c>
      <c r="B7" t="s">
        <v>30</v>
      </c>
      <c r="C7" s="25" t="s">
        <v>42</v>
      </c>
      <c r="D7" s="2">
        <v>2234.6064999999999</v>
      </c>
      <c r="E7" s="26">
        <v>15.57</v>
      </c>
      <c r="F7" s="3">
        <f>E7*D7</f>
        <v>34792.823205000001</v>
      </c>
      <c r="G7" s="3">
        <v>37971.83</v>
      </c>
      <c r="H7" s="4">
        <f>G7/D7</f>
        <v>16.992624876012847</v>
      </c>
      <c r="I7" s="3">
        <f>F7-G7</f>
        <v>-3179.0067950000011</v>
      </c>
      <c r="J7" s="26">
        <f>E7-H7</f>
        <v>-1.422624876012847</v>
      </c>
      <c r="K7" s="27">
        <v>45652</v>
      </c>
      <c r="L7">
        <f>DAYS360(K7,$C$1)</f>
        <v>112</v>
      </c>
      <c r="M7" s="5">
        <f>(I7/G7)</f>
        <v>-8.372013661179882E-2</v>
      </c>
      <c r="N7">
        <v>81</v>
      </c>
      <c r="O7">
        <v>97</v>
      </c>
      <c r="P7" s="63">
        <v>80</v>
      </c>
      <c r="Q7" s="28">
        <v>15.9</v>
      </c>
      <c r="R7" s="29">
        <f>Q7*0.93</f>
        <v>14.787000000000001</v>
      </c>
      <c r="S7" s="29">
        <v>14</v>
      </c>
      <c r="T7" s="31">
        <f>Q7*1.25</f>
        <v>19.875</v>
      </c>
      <c r="U7" s="28">
        <f>Q7*1.5</f>
        <v>23.85</v>
      </c>
      <c r="V7" s="28">
        <f>Q7*2</f>
        <v>31.8</v>
      </c>
      <c r="W7" s="28">
        <f>H7-(H7*0.07)</f>
        <v>15.803141134691948</v>
      </c>
      <c r="X7" s="29">
        <v>16.5</v>
      </c>
      <c r="Y7" s="5">
        <f>(X7-H7)/H7</f>
        <v>-2.8990510860287814E-2</v>
      </c>
      <c r="Z7" s="6">
        <f>F7/F$20</f>
        <v>5.1781317820679379E-2</v>
      </c>
      <c r="AB7" s="58">
        <v>45777</v>
      </c>
      <c r="AC7" s="9">
        <v>95</v>
      </c>
    </row>
    <row r="8" spans="1:29" x14ac:dyDescent="0.25">
      <c r="A8" t="s">
        <v>96</v>
      </c>
      <c r="B8" t="s">
        <v>30</v>
      </c>
      <c r="C8" s="25" t="s">
        <v>97</v>
      </c>
      <c r="D8" s="2">
        <v>889.76149999999996</v>
      </c>
      <c r="E8" s="26">
        <v>38.32</v>
      </c>
      <c r="F8" s="3">
        <f>E8*D8</f>
        <v>34095.660680000001</v>
      </c>
      <c r="G8" s="3">
        <f>889.7615*38.093859</f>
        <v>33894.449124628503</v>
      </c>
      <c r="H8" s="4">
        <f>G8/D8</f>
        <v>38.093859000000009</v>
      </c>
      <c r="I8" s="3">
        <f>F8-G8</f>
        <v>201.21155537149752</v>
      </c>
      <c r="J8" s="26">
        <f>E8-H8</f>
        <v>0.22614099999999127</v>
      </c>
      <c r="K8" s="27">
        <v>45761</v>
      </c>
      <c r="L8">
        <f>DAYS360(K8,$C$1)</f>
        <v>4</v>
      </c>
      <c r="M8" s="5">
        <f>(I8/G8)</f>
        <v>5.9364161556852823E-3</v>
      </c>
      <c r="N8">
        <v>67</v>
      </c>
      <c r="O8">
        <v>98</v>
      </c>
      <c r="P8" s="63">
        <v>38</v>
      </c>
      <c r="Q8" s="28">
        <v>34.58</v>
      </c>
      <c r="R8" s="29">
        <f>Q8*0.93</f>
        <v>32.159399999999998</v>
      </c>
      <c r="S8" s="29">
        <v>31</v>
      </c>
      <c r="T8" s="31">
        <f>Q8*1.25</f>
        <v>43.224999999999994</v>
      </c>
      <c r="U8" s="28">
        <f>Q8*1.5</f>
        <v>51.87</v>
      </c>
      <c r="V8" s="28">
        <f>Q8*2</f>
        <v>69.16</v>
      </c>
      <c r="W8" s="28">
        <f>H8-(H8*0.07)</f>
        <v>35.427288870000005</v>
      </c>
      <c r="X8" s="29">
        <v>34.5</v>
      </c>
      <c r="Y8" s="5">
        <f>(X8-H8)/H8</f>
        <v>-9.4342214056076817E-2</v>
      </c>
      <c r="Z8" s="6">
        <f>F8/F$20</f>
        <v>5.0743747685396294E-2</v>
      </c>
      <c r="AB8" s="58">
        <v>45783</v>
      </c>
      <c r="AC8" s="9">
        <v>97</v>
      </c>
    </row>
    <row r="9" spans="1:29" x14ac:dyDescent="0.25">
      <c r="A9" t="s">
        <v>98</v>
      </c>
      <c r="B9" t="s">
        <v>30</v>
      </c>
      <c r="C9" t="s">
        <v>99</v>
      </c>
      <c r="D9" s="2">
        <v>1312.6138000000001</v>
      </c>
      <c r="E9" s="26">
        <v>18.96</v>
      </c>
      <c r="F9" s="3">
        <f>E9*D9</f>
        <v>24887.157648000004</v>
      </c>
      <c r="G9" s="3">
        <f>1312.6138*20.657667</f>
        <v>27115.538780004601</v>
      </c>
      <c r="H9" s="4">
        <f>G9/D9</f>
        <v>20.657667</v>
      </c>
      <c r="I9" s="3">
        <f>F9-G9</f>
        <v>-2228.381132004597</v>
      </c>
      <c r="J9" s="26">
        <f>E9-H9</f>
        <v>-1.6976669999999991</v>
      </c>
      <c r="K9" s="27">
        <v>45761</v>
      </c>
      <c r="L9">
        <f>DAYS360(K9,$C$1)</f>
        <v>4</v>
      </c>
      <c r="M9" s="5">
        <f>(I9/G9)</f>
        <v>-8.2180964578429772E-2</v>
      </c>
      <c r="N9">
        <v>67</v>
      </c>
      <c r="O9">
        <v>98</v>
      </c>
      <c r="P9" s="33">
        <v>80</v>
      </c>
      <c r="Q9" s="28">
        <v>20.7</v>
      </c>
      <c r="R9" s="29">
        <f>Q9*0.93</f>
        <v>19.251000000000001</v>
      </c>
      <c r="S9" s="29">
        <v>16.510000000000002</v>
      </c>
      <c r="T9" s="28">
        <f>Q9*1.25</f>
        <v>25.875</v>
      </c>
      <c r="U9" s="28">
        <f>Q9*1.5</f>
        <v>31.049999999999997</v>
      </c>
      <c r="V9" s="28">
        <f>Q9*2</f>
        <v>41.4</v>
      </c>
      <c r="W9" s="28">
        <f>H9-(H9*0.07)</f>
        <v>19.21163031</v>
      </c>
      <c r="X9" s="29">
        <v>19.25</v>
      </c>
      <c r="Y9" s="5">
        <f>(X9-H9)/H9</f>
        <v>-6.8142593256053555E-2</v>
      </c>
      <c r="Z9" s="32">
        <f>F9/F$20</f>
        <v>3.7038955195772813E-2</v>
      </c>
      <c r="AB9" s="58">
        <v>45784</v>
      </c>
      <c r="AC9" s="9">
        <v>98</v>
      </c>
    </row>
    <row r="10" spans="1:29" x14ac:dyDescent="0.25">
      <c r="A10" t="s">
        <v>100</v>
      </c>
      <c r="B10" t="s">
        <v>30</v>
      </c>
      <c r="C10" s="25" t="s">
        <v>101</v>
      </c>
      <c r="D10" s="2">
        <v>352.97579999999999</v>
      </c>
      <c r="E10" s="26">
        <v>89.83</v>
      </c>
      <c r="F10" s="3">
        <f>E10*D10</f>
        <v>31707.816113999997</v>
      </c>
      <c r="G10" s="3">
        <f>352.9758*96.3364165</f>
        <v>34004.423683220695</v>
      </c>
      <c r="H10" s="4">
        <f>G10/D10</f>
        <v>96.336416499999984</v>
      </c>
      <c r="I10" s="3">
        <f>F10-G10</f>
        <v>-2296.6075692206978</v>
      </c>
      <c r="J10" s="26">
        <f>E10-H10</f>
        <v>-6.5064164999999861</v>
      </c>
      <c r="K10" s="27">
        <v>45762</v>
      </c>
      <c r="L10">
        <f>DAYS360(K10,$C$1)</f>
        <v>3</v>
      </c>
      <c r="M10" s="5">
        <f>(I10/G10)</f>
        <v>-6.7538494126984622E-2</v>
      </c>
      <c r="N10">
        <v>43</v>
      </c>
      <c r="O10">
        <v>99</v>
      </c>
      <c r="P10" s="63">
        <v>98</v>
      </c>
      <c r="Q10" s="28">
        <v>98.17</v>
      </c>
      <c r="R10" s="29">
        <f>Q10*0.93</f>
        <v>91.298100000000005</v>
      </c>
      <c r="S10" s="29">
        <v>66.12</v>
      </c>
      <c r="T10" s="28">
        <f>Q10*1.25</f>
        <v>122.71250000000001</v>
      </c>
      <c r="U10" s="28">
        <f>Q10*1.5</f>
        <v>147.255</v>
      </c>
      <c r="V10" s="28">
        <f>Q10*2</f>
        <v>196.34</v>
      </c>
      <c r="W10" s="28">
        <f>H10-(H10*0.07)</f>
        <v>89.592867344999988</v>
      </c>
      <c r="X10" s="29">
        <v>89.5</v>
      </c>
      <c r="Y10" s="5">
        <f>(X10-H10)/H10</f>
        <v>-7.0963990029668439E-2</v>
      </c>
      <c r="Z10" s="6">
        <f>F10/F$20</f>
        <v>4.7189976332899106E-2</v>
      </c>
      <c r="AB10" s="58">
        <v>45782</v>
      </c>
      <c r="AC10" s="9">
        <v>99</v>
      </c>
    </row>
    <row r="11" spans="1:29" x14ac:dyDescent="0.25">
      <c r="C11" s="25"/>
      <c r="D11" s="2"/>
      <c r="E11" s="26"/>
      <c r="F11" s="3">
        <f t="shared" ref="F11:F17" si="0">E11*D11</f>
        <v>0</v>
      </c>
      <c r="G11" s="3"/>
      <c r="H11" s="4" t="e">
        <f t="shared" ref="H11:H17" si="1">G11/D11</f>
        <v>#DIV/0!</v>
      </c>
      <c r="I11" s="3">
        <f t="shared" ref="I11:I17" si="2">F11-G11</f>
        <v>0</v>
      </c>
      <c r="J11" s="26" t="e">
        <f t="shared" ref="J11:J17" si="3">E11-H11</f>
        <v>#DIV/0!</v>
      </c>
      <c r="K11" s="27"/>
      <c r="L11">
        <f t="shared" ref="L11:L17" si="4">DAYS360(K11,$C$1)</f>
        <v>45108</v>
      </c>
      <c r="M11" s="5" t="e">
        <f t="shared" ref="M11:M17" si="5">(I11/G11)</f>
        <v>#DIV/0!</v>
      </c>
      <c r="P11" s="63"/>
      <c r="Q11" s="28"/>
      <c r="R11" s="29">
        <f t="shared" ref="R11:R17" si="6">Q11*0.93</f>
        <v>0</v>
      </c>
      <c r="S11" s="29"/>
      <c r="T11" s="28">
        <f t="shared" ref="T11:T17" si="7">Q11*1.25</f>
        <v>0</v>
      </c>
      <c r="U11" s="28">
        <f t="shared" ref="U11:U17" si="8">Q11*1.5</f>
        <v>0</v>
      </c>
      <c r="V11" s="28">
        <f t="shared" ref="V11:V17" si="9">Q11*2</f>
        <v>0</v>
      </c>
      <c r="W11" s="28" t="e">
        <f t="shared" ref="W11:W17" si="10">H11-(H11*0.07)</f>
        <v>#DIV/0!</v>
      </c>
      <c r="X11" s="29"/>
      <c r="Y11" s="5" t="e">
        <f t="shared" ref="Y11:Y17" si="11">(X11-H11)/H11</f>
        <v>#DIV/0!</v>
      </c>
      <c r="Z11" s="32">
        <f t="shared" ref="Z11:Z17" si="12"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L12">
        <f t="shared" si="4"/>
        <v>45108</v>
      </c>
      <c r="M12" s="5" t="e">
        <f t="shared" si="5"/>
        <v>#DIV/0!</v>
      </c>
      <c r="P12" s="64"/>
      <c r="Q12" s="28"/>
      <c r="R12" s="29">
        <f t="shared" si="6"/>
        <v>0</v>
      </c>
      <c r="S12" s="29"/>
      <c r="T12" s="31">
        <f t="shared" si="7"/>
        <v>0</v>
      </c>
      <c r="U12" s="28">
        <f t="shared" si="8"/>
        <v>0</v>
      </c>
      <c r="V12" s="28">
        <f t="shared" si="9"/>
        <v>0</v>
      </c>
      <c r="W12" s="28" t="e">
        <f t="shared" si="10"/>
        <v>#DIV/0!</v>
      </c>
      <c r="X12" s="29"/>
      <c r="Y12" s="5" t="e">
        <f t="shared" si="11"/>
        <v>#DIV/0!</v>
      </c>
      <c r="Z12" s="6">
        <f t="shared" si="12"/>
        <v>0</v>
      </c>
      <c r="AB12" s="60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4"/>
        <v>45108</v>
      </c>
      <c r="M13" s="5" t="e">
        <f t="shared" si="5"/>
        <v>#DIV/0!</v>
      </c>
      <c r="P13" s="63"/>
      <c r="Q13" s="28"/>
      <c r="R13" s="29">
        <f t="shared" si="6"/>
        <v>0</v>
      </c>
      <c r="S13" s="29"/>
      <c r="T13" s="31">
        <f t="shared" si="7"/>
        <v>0</v>
      </c>
      <c r="U13" s="28">
        <f t="shared" si="8"/>
        <v>0</v>
      </c>
      <c r="V13" s="28">
        <f t="shared" si="9"/>
        <v>0</v>
      </c>
      <c r="W13" s="28" t="e">
        <f t="shared" si="10"/>
        <v>#DIV/0!</v>
      </c>
      <c r="X13" s="29"/>
      <c r="Y13" s="5" t="e">
        <f t="shared" si="11"/>
        <v>#DIV/0!</v>
      </c>
      <c r="Z13" s="32">
        <f t="shared" si="12"/>
        <v>0</v>
      </c>
      <c r="AB13" s="58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45108</v>
      </c>
      <c r="M14" s="5" t="e">
        <f t="shared" si="5"/>
        <v>#DIV/0!</v>
      </c>
      <c r="P14" s="63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8"/>
      <c r="AC14" s="9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45108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45108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6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45108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125483.457647</v>
      </c>
      <c r="G18" s="3">
        <f>SUM(G6:G17)</f>
        <v>132986.24158785382</v>
      </c>
      <c r="H18" s="4"/>
      <c r="I18" s="3">
        <f>SUM(I6:I17)</f>
        <v>-7502.7839408537984</v>
      </c>
      <c r="M18" s="5"/>
      <c r="Z18" s="6"/>
    </row>
    <row r="19" spans="1:29" x14ac:dyDescent="0.25">
      <c r="D19" s="2" t="s">
        <v>44</v>
      </c>
      <c r="F19" s="3">
        <v>546435</v>
      </c>
      <c r="G19" s="6">
        <f>F19/F20</f>
        <v>0.81324600296525251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671918.45764699997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'04-11-25'!F20</f>
        <v>676576.89728499996</v>
      </c>
      <c r="K21" s="1">
        <v>45657</v>
      </c>
      <c r="L21" s="50">
        <v>170762</v>
      </c>
      <c r="M21" s="50">
        <v>157270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-6.885306986823804E-3</v>
      </c>
      <c r="K22" s="9" t="s">
        <v>50</v>
      </c>
      <c r="L22" s="6">
        <f>(M21-L21)/L21</f>
        <v>-7.9010552699078251E-2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  <c r="P25" s="9" t="s">
        <v>102</v>
      </c>
      <c r="S25" t="s">
        <v>88</v>
      </c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>
        <v>65.06</v>
      </c>
      <c r="S26" s="62">
        <f>(Q26-H26)/H26</f>
        <v>-5.9758677852261757E-2</v>
      </c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>
        <v>53.9</v>
      </c>
      <c r="S27" s="62">
        <f t="shared" ref="S27:S40" si="14">(Q27-H27)/H27</f>
        <v>-0.34852200425628832</v>
      </c>
      <c r="U27" t="s">
        <v>90</v>
      </c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5">F28/D28</f>
        <v>44.698790833464948</v>
      </c>
      <c r="F28" s="3">
        <v>56489.42</v>
      </c>
      <c r="G28" s="56">
        <v>75501.87</v>
      </c>
      <c r="H28" s="57">
        <f t="shared" ref="H28:H40" si="16">G28/D28</f>
        <v>59.742909285764696</v>
      </c>
      <c r="I28" s="57">
        <f t="shared" ref="I28:I40" si="17">G28-F28</f>
        <v>19012.449999999997</v>
      </c>
      <c r="J28" s="6">
        <f t="shared" ref="J28:J40" si="18">I28/F28</f>
        <v>0.33656656414599401</v>
      </c>
      <c r="K28" s="1">
        <v>45527</v>
      </c>
      <c r="L28" s="1">
        <v>45688</v>
      </c>
      <c r="M28">
        <f t="shared" si="13"/>
        <v>158</v>
      </c>
      <c r="Q28" s="28">
        <v>42.5</v>
      </c>
      <c r="S28" s="62">
        <f t="shared" si="14"/>
        <v>-0.28861850706479186</v>
      </c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5"/>
        <v>169.90901206845703</v>
      </c>
      <c r="F29" s="3">
        <f>59492.79+21969.78</f>
        <v>81462.570000000007</v>
      </c>
      <c r="G29" s="56">
        <v>65047.58</v>
      </c>
      <c r="H29" s="57">
        <f t="shared" si="16"/>
        <v>135.67175765807443</v>
      </c>
      <c r="I29" s="57">
        <f t="shared" si="17"/>
        <v>-16414.990000000005</v>
      </c>
      <c r="J29" s="6">
        <f t="shared" si="18"/>
        <v>-0.20150346349249729</v>
      </c>
      <c r="K29" s="1">
        <v>45671</v>
      </c>
      <c r="L29" s="1">
        <v>45688</v>
      </c>
      <c r="M29">
        <f t="shared" si="13"/>
        <v>17</v>
      </c>
      <c r="Q29" s="28">
        <v>146</v>
      </c>
      <c r="S29" s="62">
        <f t="shared" si="14"/>
        <v>7.6126693721734168E-2</v>
      </c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5"/>
        <v>18.702010092477405</v>
      </c>
      <c r="F30" s="3">
        <v>56486.59</v>
      </c>
      <c r="G30" s="56">
        <v>71124.88</v>
      </c>
      <c r="H30" s="57">
        <f t="shared" si="16"/>
        <v>23.548566546258936</v>
      </c>
      <c r="I30" s="57">
        <f t="shared" si="17"/>
        <v>14638.290000000008</v>
      </c>
      <c r="J30" s="6">
        <f t="shared" si="18"/>
        <v>0.25914628587068206</v>
      </c>
      <c r="K30" s="1">
        <v>45527</v>
      </c>
      <c r="L30" s="1">
        <v>45691</v>
      </c>
      <c r="M30">
        <f t="shared" si="13"/>
        <v>160</v>
      </c>
      <c r="Q30" s="28">
        <v>18.579999999999998</v>
      </c>
      <c r="S30" s="62">
        <f t="shared" si="14"/>
        <v>-0.21099231396945786</v>
      </c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5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6"/>
        <v>38.249853000000002</v>
      </c>
      <c r="I31" s="57">
        <f t="shared" si="17"/>
        <v>-6110.386336591735</v>
      </c>
      <c r="J31" s="6">
        <f t="shared" si="18"/>
        <v>-0.10005621882176895</v>
      </c>
      <c r="K31" s="1">
        <v>45706</v>
      </c>
      <c r="L31" s="1">
        <v>45708</v>
      </c>
      <c r="M31">
        <f t="shared" si="13"/>
        <v>2</v>
      </c>
      <c r="Q31" s="28">
        <v>34.29</v>
      </c>
      <c r="S31" s="62">
        <f t="shared" si="14"/>
        <v>-0.10352596649194971</v>
      </c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5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6"/>
        <v>531.63995279999995</v>
      </c>
      <c r="I32" s="57">
        <f t="shared" si="17"/>
        <v>-22176.243614196137</v>
      </c>
      <c r="J32" s="6">
        <f t="shared" si="18"/>
        <v>-0.24194911929355969</v>
      </c>
      <c r="K32" s="1">
        <v>45706</v>
      </c>
      <c r="L32" s="1">
        <v>45708</v>
      </c>
      <c r="M32">
        <f t="shared" si="13"/>
        <v>2</v>
      </c>
      <c r="Q32" s="28">
        <v>559.53</v>
      </c>
      <c r="S32" s="62">
        <f t="shared" si="14"/>
        <v>5.2460404928393538E-2</v>
      </c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5"/>
        <v>368.56522253629635</v>
      </c>
      <c r="F33" s="3">
        <v>74438.86</v>
      </c>
      <c r="G33" s="56">
        <f>201.9693*360.5332483</f>
        <v>72816.647785877198</v>
      </c>
      <c r="H33" s="57">
        <f t="shared" si="16"/>
        <v>360.53324830000003</v>
      </c>
      <c r="I33" s="57">
        <f t="shared" si="17"/>
        <v>-1622.2122141228028</v>
      </c>
      <c r="J33" s="6">
        <f t="shared" si="18"/>
        <v>-2.1792545105107773E-2</v>
      </c>
      <c r="K33" s="1">
        <v>45664</v>
      </c>
      <c r="L33" s="1">
        <v>45708</v>
      </c>
      <c r="M33">
        <f t="shared" si="13"/>
        <v>43</v>
      </c>
      <c r="Q33" s="28">
        <v>323.55</v>
      </c>
      <c r="S33" s="62">
        <f t="shared" si="14"/>
        <v>-0.10257930017379763</v>
      </c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5"/>
        <v>30.17825528482809</v>
      </c>
      <c r="F34" s="3">
        <v>37884.65</v>
      </c>
      <c r="G34" s="56">
        <f>1255.3625*39.762296</f>
        <v>49916.0953123</v>
      </c>
      <c r="H34" s="57">
        <f t="shared" si="16"/>
        <v>39.762295999999999</v>
      </c>
      <c r="I34" s="57">
        <f t="shared" si="17"/>
        <v>12031.445312299998</v>
      </c>
      <c r="J34" s="6">
        <f t="shared" si="18"/>
        <v>0.31758100740801348</v>
      </c>
      <c r="K34" s="1">
        <v>45663</v>
      </c>
      <c r="L34" s="1">
        <v>45709</v>
      </c>
      <c r="M34">
        <f t="shared" si="13"/>
        <v>45</v>
      </c>
      <c r="Q34" s="28">
        <v>21.98</v>
      </c>
      <c r="S34" s="62">
        <f t="shared" si="14"/>
        <v>-0.44721501997771956</v>
      </c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5"/>
        <v>242.26930551548847</v>
      </c>
      <c r="F35" s="3">
        <v>61221.72</v>
      </c>
      <c r="G35" s="56">
        <f>252.7011*226.6146532</f>
        <v>57265.772139758519</v>
      </c>
      <c r="H35" s="57">
        <f t="shared" si="16"/>
        <v>226.61465319999999</v>
      </c>
      <c r="I35" s="57">
        <f t="shared" si="17"/>
        <v>-3955.947860241482</v>
      </c>
      <c r="J35" s="6">
        <f t="shared" si="18"/>
        <v>-6.4616738311852093E-2</v>
      </c>
      <c r="K35" s="1">
        <v>45699</v>
      </c>
      <c r="L35" s="1">
        <v>45709</v>
      </c>
      <c r="M35">
        <f t="shared" si="13"/>
        <v>10</v>
      </c>
      <c r="Q35" s="28">
        <v>185.554</v>
      </c>
      <c r="S35" s="62">
        <f t="shared" si="14"/>
        <v>-0.18119151881922518</v>
      </c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5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6"/>
        <v>283.93999450000007</v>
      </c>
      <c r="I36" s="57">
        <f t="shared" si="17"/>
        <v>19563.525282954361</v>
      </c>
      <c r="J36" s="6">
        <f t="shared" si="18"/>
        <v>0.36434300703793465</v>
      </c>
      <c r="K36" s="1">
        <v>45580</v>
      </c>
      <c r="L36" s="1">
        <v>45712</v>
      </c>
      <c r="M36">
        <f t="shared" si="13"/>
        <v>129</v>
      </c>
      <c r="Q36" s="28">
        <v>317.2</v>
      </c>
      <c r="S36" s="62">
        <f t="shared" si="14"/>
        <v>0.11713744503858513</v>
      </c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5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6"/>
        <v>63.365330900000004</v>
      </c>
      <c r="I37" s="57">
        <f t="shared" si="17"/>
        <v>-4549.5912833559851</v>
      </c>
      <c r="J37" s="6">
        <f t="shared" si="18"/>
        <v>-5.9638082078758516E-2</v>
      </c>
      <c r="K37" s="1">
        <v>45673</v>
      </c>
      <c r="L37" s="1">
        <v>45712</v>
      </c>
      <c r="M37">
        <f t="shared" si="13"/>
        <v>38</v>
      </c>
      <c r="Q37" s="28">
        <v>41.75</v>
      </c>
      <c r="S37" s="62">
        <f t="shared" si="14"/>
        <v>-0.34112235496903248</v>
      </c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6"/>
        <v>50.021380499999999</v>
      </c>
      <c r="I38" s="57">
        <f t="shared" si="17"/>
        <v>6027.2875116823998</v>
      </c>
      <c r="J38" s="6">
        <f t="shared" si="18"/>
        <v>9.9771440635884723E-2</v>
      </c>
      <c r="K38" s="1">
        <v>45593</v>
      </c>
      <c r="L38" s="1">
        <v>45713</v>
      </c>
      <c r="M38">
        <f t="shared" si="13"/>
        <v>117</v>
      </c>
      <c r="Q38" s="28">
        <v>48.26</v>
      </c>
      <c r="S38" s="62">
        <f t="shared" si="14"/>
        <v>-3.5212552760314188E-2</v>
      </c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6"/>
        <v>12.519992000000002</v>
      </c>
      <c r="I39" s="57">
        <f t="shared" si="17"/>
        <v>-2230.6527810991975</v>
      </c>
      <c r="J39" s="6">
        <f t="shared" si="18"/>
        <v>-9.8609037242937694E-2</v>
      </c>
      <c r="K39" s="1">
        <v>45692</v>
      </c>
      <c r="L39" s="1">
        <v>45715</v>
      </c>
      <c r="M39">
        <f>DAYS360(K39,L39)</f>
        <v>23</v>
      </c>
      <c r="Q39" s="28">
        <v>10.86</v>
      </c>
      <c r="S39" s="62">
        <f t="shared" si="14"/>
        <v>-0.13258730516760733</v>
      </c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6"/>
        <v>94.679995300000002</v>
      </c>
      <c r="I40" s="57">
        <f t="shared" si="17"/>
        <v>-4750.690604140058</v>
      </c>
      <c r="J40" s="6">
        <f t="shared" si="18"/>
        <v>-0.10235753534193669</v>
      </c>
      <c r="K40" s="1">
        <v>45695</v>
      </c>
      <c r="L40" s="1">
        <v>45729</v>
      </c>
      <c r="M40">
        <f>DAYS360(K40,L40)</f>
        <v>36</v>
      </c>
      <c r="Q40" s="28">
        <v>96.13</v>
      </c>
      <c r="S40" s="62">
        <f t="shared" si="14"/>
        <v>1.5314794803332588E-2</v>
      </c>
    </row>
    <row r="41" spans="1:19" x14ac:dyDescent="0.25">
      <c r="D41" s="2"/>
      <c r="E41" s="57"/>
      <c r="F41" s="3"/>
      <c r="G41" s="56"/>
      <c r="H41" s="57"/>
      <c r="I41" s="57"/>
      <c r="J41" s="6"/>
      <c r="K41" s="1"/>
      <c r="L41" s="1"/>
    </row>
    <row r="42" spans="1:19" x14ac:dyDescent="0.25">
      <c r="C42" s="25"/>
      <c r="D42" s="2"/>
      <c r="E42" s="57"/>
      <c r="F42" s="3"/>
      <c r="G42" s="56"/>
      <c r="H42" s="57"/>
      <c r="I42" s="57"/>
      <c r="J42" s="6"/>
      <c r="K42" s="1"/>
      <c r="L42" s="1"/>
    </row>
    <row r="43" spans="1:19" x14ac:dyDescent="0.25">
      <c r="F43" s="56"/>
      <c r="G43" s="56"/>
      <c r="H43" s="3"/>
      <c r="I43" s="3">
        <f>SUM(I26:I42)</f>
        <v>1698.2634131893647</v>
      </c>
      <c r="J43" s="13" t="s">
        <v>66</v>
      </c>
    </row>
    <row r="44" spans="1:19" x14ac:dyDescent="0.25">
      <c r="F44" s="56"/>
      <c r="G44" s="56"/>
      <c r="H44" s="3" t="s">
        <v>67</v>
      </c>
      <c r="I44" s="59">
        <v>9</v>
      </c>
      <c r="J44" s="5">
        <v>-0.1022</v>
      </c>
    </row>
    <row r="45" spans="1:19" x14ac:dyDescent="0.25">
      <c r="F45" s="56"/>
      <c r="G45" s="56"/>
      <c r="H45" s="3" t="s">
        <v>68</v>
      </c>
      <c r="I45" s="59">
        <v>5</v>
      </c>
      <c r="J45" s="5">
        <v>0.27560000000000001</v>
      </c>
    </row>
    <row r="46" spans="1:19" x14ac:dyDescent="0.25">
      <c r="F46" s="56"/>
      <c r="G46" s="56"/>
      <c r="J46" s="6"/>
    </row>
    <row r="47" spans="1:19" x14ac:dyDescent="0.25">
      <c r="F47" s="56"/>
      <c r="G47" s="56"/>
      <c r="J47" s="6"/>
    </row>
    <row r="48" spans="1:19" x14ac:dyDescent="0.25">
      <c r="F48" s="56"/>
      <c r="G48" s="56"/>
      <c r="J48" s="6"/>
    </row>
    <row r="49" spans="6:10" x14ac:dyDescent="0.25">
      <c r="F49" s="56"/>
      <c r="G49" s="56"/>
      <c r="J49" s="6"/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  <c r="J61" s="6"/>
    </row>
    <row r="62" spans="6:10" x14ac:dyDescent="0.25">
      <c r="F62" s="56"/>
      <c r="G62" s="56"/>
      <c r="J62" s="6"/>
    </row>
    <row r="63" spans="6:10" x14ac:dyDescent="0.25">
      <c r="F63" s="56"/>
      <c r="G63" s="56"/>
      <c r="J63" s="6"/>
    </row>
    <row r="64" spans="6:10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</row>
    <row r="70" spans="6:10" x14ac:dyDescent="0.25">
      <c r="F70" s="56"/>
      <c r="G70" s="56"/>
    </row>
    <row r="71" spans="6:10" x14ac:dyDescent="0.25">
      <c r="F71" s="56"/>
      <c r="G71" s="56"/>
    </row>
    <row r="72" spans="6:10" x14ac:dyDescent="0.25">
      <c r="F72" s="56"/>
      <c r="G72" s="56"/>
    </row>
    <row r="73" spans="6:10" x14ac:dyDescent="0.25">
      <c r="F73" s="56"/>
      <c r="G73" s="56"/>
    </row>
    <row r="74" spans="6:10" x14ac:dyDescent="0.25">
      <c r="F74" s="56"/>
      <c r="G74" s="5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BDD93-FFA9-4D46-8DD0-6EA9D33C9F8E}">
  <dimension ref="A1:AC78"/>
  <sheetViews>
    <sheetView workbookViewId="0">
      <selection activeCell="I21" sqref="I21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9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45771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41</v>
      </c>
      <c r="B7" t="s">
        <v>30</v>
      </c>
      <c r="C7" s="25" t="s">
        <v>42</v>
      </c>
      <c r="D7" s="2">
        <v>2234.6064999999999</v>
      </c>
      <c r="E7" s="26">
        <v>16.399999999999999</v>
      </c>
      <c r="F7" s="3">
        <f>E7*D7</f>
        <v>36647.546599999994</v>
      </c>
      <c r="G7" s="3">
        <v>37971.83</v>
      </c>
      <c r="H7" s="4">
        <f>G7/D7</f>
        <v>16.992624876012847</v>
      </c>
      <c r="I7" s="3">
        <f>F7-G7</f>
        <v>-1324.2834000000075</v>
      </c>
      <c r="J7" s="26">
        <f>E7-H7</f>
        <v>-0.59262487601284874</v>
      </c>
      <c r="K7" s="27">
        <v>45652</v>
      </c>
      <c r="L7">
        <f>DAYS360(K7,$C$1)</f>
        <v>118</v>
      </c>
      <c r="M7" s="5">
        <f>(I7/G7)</f>
        <v>-3.4875416855074073E-2</v>
      </c>
      <c r="N7">
        <v>71</v>
      </c>
      <c r="O7">
        <v>97</v>
      </c>
      <c r="P7" s="63">
        <v>80</v>
      </c>
      <c r="Q7" s="28">
        <v>15.9</v>
      </c>
      <c r="R7" s="29">
        <f>Q7*0.93</f>
        <v>14.787000000000001</v>
      </c>
      <c r="S7" s="29">
        <v>14</v>
      </c>
      <c r="T7" s="31">
        <f>Q7*1.25</f>
        <v>19.875</v>
      </c>
      <c r="U7" s="28">
        <f>Q7*1.5</f>
        <v>23.85</v>
      </c>
      <c r="V7" s="28">
        <f>Q7*2</f>
        <v>31.8</v>
      </c>
      <c r="W7" s="28">
        <f>H7-(H7*0.07)</f>
        <v>15.803141134691948</v>
      </c>
      <c r="X7" s="29">
        <v>16.5</v>
      </c>
      <c r="Y7" s="5">
        <f>(X7-H7)/H7</f>
        <v>-2.8990510860287814E-2</v>
      </c>
      <c r="Z7" s="6">
        <f>F7/F$20</f>
        <v>5.3981528908448879E-2</v>
      </c>
      <c r="AB7" s="58">
        <v>45785</v>
      </c>
      <c r="AC7" s="9">
        <v>97</v>
      </c>
    </row>
    <row r="8" spans="1:29" x14ac:dyDescent="0.25">
      <c r="A8" t="s">
        <v>96</v>
      </c>
      <c r="B8" t="s">
        <v>30</v>
      </c>
      <c r="C8" s="25" t="s">
        <v>97</v>
      </c>
      <c r="D8" s="2">
        <v>889.76149999999996</v>
      </c>
      <c r="E8" s="26">
        <v>41.33</v>
      </c>
      <c r="F8" s="3">
        <f>E8*D8</f>
        <v>36773.842794999997</v>
      </c>
      <c r="G8" s="3">
        <f>889.7615*38.093859</f>
        <v>33894.449124628503</v>
      </c>
      <c r="H8" s="4">
        <f>G8/D8</f>
        <v>38.093859000000009</v>
      </c>
      <c r="I8" s="3">
        <f>F8-G8</f>
        <v>2879.3936703714935</v>
      </c>
      <c r="J8" s="26">
        <f>E8-H8</f>
        <v>3.2361409999999893</v>
      </c>
      <c r="K8" s="27">
        <v>45761</v>
      </c>
      <c r="L8">
        <f>DAYS360(K8,$C$1)</f>
        <v>10</v>
      </c>
      <c r="M8" s="5">
        <f>(I8/G8)</f>
        <v>8.4951776610502822E-2</v>
      </c>
      <c r="N8">
        <v>63</v>
      </c>
      <c r="O8">
        <v>98</v>
      </c>
      <c r="P8" s="63">
        <v>37</v>
      </c>
      <c r="Q8" s="28">
        <v>34.58</v>
      </c>
      <c r="R8" s="29">
        <f>Q8*0.93</f>
        <v>32.159399999999998</v>
      </c>
      <c r="S8" s="29">
        <v>31</v>
      </c>
      <c r="T8" s="31">
        <f>Q8*1.25</f>
        <v>43.224999999999994</v>
      </c>
      <c r="U8" s="28">
        <f>Q8*1.5</f>
        <v>51.87</v>
      </c>
      <c r="V8" s="28">
        <f>Q8*2</f>
        <v>69.16</v>
      </c>
      <c r="W8" s="28">
        <f>H8-(H8*0.07)</f>
        <v>35.427288870000005</v>
      </c>
      <c r="X8" s="29">
        <v>34.5</v>
      </c>
      <c r="Y8" s="5">
        <f>(X8-H8)/H8</f>
        <v>-9.4342214056076817E-2</v>
      </c>
      <c r="Z8" s="6">
        <f>F8/F$20</f>
        <v>5.4167562144884406E-2</v>
      </c>
      <c r="AB8" s="58">
        <v>45783</v>
      </c>
      <c r="AC8" s="9">
        <v>94</v>
      </c>
    </row>
    <row r="9" spans="1:29" x14ac:dyDescent="0.25">
      <c r="A9" t="s">
        <v>71</v>
      </c>
      <c r="B9" t="s">
        <v>30</v>
      </c>
      <c r="C9" t="s">
        <v>72</v>
      </c>
      <c r="D9" s="2">
        <v>151.7295</v>
      </c>
      <c r="E9" s="26">
        <v>372.42</v>
      </c>
      <c r="F9" s="3">
        <f>E9*D9</f>
        <v>56507.10039</v>
      </c>
      <c r="G9" s="3">
        <f>151.7295*356.030819</f>
        <v>54020.3781514605</v>
      </c>
      <c r="H9" s="4">
        <f>G9/D9</f>
        <v>356.03081900000001</v>
      </c>
      <c r="I9" s="3">
        <f t="shared" ref="I9:I10" si="0">F9-G9</f>
        <v>2486.7222385394998</v>
      </c>
      <c r="J9" s="26">
        <f>E9-H9</f>
        <v>16.389181000000008</v>
      </c>
      <c r="K9" s="27">
        <v>45771</v>
      </c>
      <c r="L9">
        <f>DAYS360(K9,$C$1)</f>
        <v>0</v>
      </c>
      <c r="M9" s="5">
        <f>(I9/G9)</f>
        <v>4.60330401902651E-2</v>
      </c>
      <c r="N9">
        <v>65</v>
      </c>
      <c r="O9">
        <v>97</v>
      </c>
      <c r="P9" s="33">
        <v>80</v>
      </c>
      <c r="Q9" s="28">
        <v>349.62</v>
      </c>
      <c r="R9" s="29">
        <f>Q9*0.93</f>
        <v>325.14660000000003</v>
      </c>
      <c r="S9" s="29">
        <v>306.20999999999998</v>
      </c>
      <c r="T9" s="28">
        <f>Q9*1.25</f>
        <v>437.02499999999998</v>
      </c>
      <c r="U9" s="28">
        <f>Q9*1.5</f>
        <v>524.43000000000006</v>
      </c>
      <c r="V9" s="28">
        <f>Q9*2</f>
        <v>699.24</v>
      </c>
      <c r="W9" s="28">
        <f>H9-(H9*0.07)</f>
        <v>331.10866167</v>
      </c>
      <c r="X9" s="29">
        <v>330</v>
      </c>
      <c r="Y9" s="5">
        <f>(X9-H9)/H9</f>
        <v>-7.311394859892735E-2</v>
      </c>
      <c r="Z9" s="32">
        <f>F9/F$20</f>
        <v>8.3234485149284415E-2</v>
      </c>
      <c r="AB9" s="58">
        <v>45861</v>
      </c>
      <c r="AC9" s="9">
        <v>93</v>
      </c>
    </row>
    <row r="10" spans="1:29" x14ac:dyDescent="0.25">
      <c r="C10" s="25"/>
      <c r="D10" s="2"/>
      <c r="E10" s="26"/>
      <c r="F10" s="3">
        <f>E10*D10</f>
        <v>0</v>
      </c>
      <c r="G10" s="3"/>
      <c r="H10" s="4" t="e">
        <f>G10/D10</f>
        <v>#DIV/0!</v>
      </c>
      <c r="I10" s="3">
        <f t="shared" si="0"/>
        <v>0</v>
      </c>
      <c r="J10" s="26" t="e">
        <f>E10-H10</f>
        <v>#DIV/0!</v>
      </c>
      <c r="K10" s="27"/>
      <c r="L10">
        <f>DAYS360(K10,$C$1)</f>
        <v>45114</v>
      </c>
      <c r="M10" s="5" t="e">
        <f>(I10/G10)</f>
        <v>#DIV/0!</v>
      </c>
      <c r="P10" s="63"/>
      <c r="Q10" s="28"/>
      <c r="R10" s="29">
        <f>Q10*0.93</f>
        <v>0</v>
      </c>
      <c r="S10" s="29"/>
      <c r="T10" s="28">
        <f>Q10*1.25</f>
        <v>0</v>
      </c>
      <c r="U10" s="28">
        <f>Q10*1.5</f>
        <v>0</v>
      </c>
      <c r="V10" s="28">
        <f>Q10*2</f>
        <v>0</v>
      </c>
      <c r="W10" s="28" t="e">
        <f>H10-(H10*0.07)</f>
        <v>#DIV/0!</v>
      </c>
      <c r="X10" s="29"/>
      <c r="Y10" s="5" t="e">
        <f>(X10-H10)/H10</f>
        <v>#DIV/0!</v>
      </c>
      <c r="Z10" s="6">
        <f>F10/F$20</f>
        <v>0</v>
      </c>
      <c r="AB10" s="58"/>
      <c r="AC10" s="9"/>
    </row>
    <row r="11" spans="1:29" x14ac:dyDescent="0.25">
      <c r="C11" s="25"/>
      <c r="D11" s="2"/>
      <c r="E11" s="26"/>
      <c r="F11" s="3">
        <f t="shared" ref="F11:F17" si="1">E11*D11</f>
        <v>0</v>
      </c>
      <c r="G11" s="3"/>
      <c r="H11" s="4" t="e">
        <f t="shared" ref="H11:H17" si="2">G11/D11</f>
        <v>#DIV/0!</v>
      </c>
      <c r="I11" s="3">
        <f t="shared" ref="I11:I17" si="3">F11-G11</f>
        <v>0</v>
      </c>
      <c r="J11" s="26" t="e">
        <f t="shared" ref="J11:J17" si="4">E11-H11</f>
        <v>#DIV/0!</v>
      </c>
      <c r="K11" s="27"/>
      <c r="L11">
        <f t="shared" ref="L11:L17" si="5">DAYS360(K11,$C$1)</f>
        <v>45114</v>
      </c>
      <c r="M11" s="5" t="e">
        <f t="shared" ref="M11:M17" si="6">(I11/G11)</f>
        <v>#DIV/0!</v>
      </c>
      <c r="P11" s="63"/>
      <c r="Q11" s="28"/>
      <c r="R11" s="29">
        <f t="shared" ref="R11:R17" si="7">Q11*0.93</f>
        <v>0</v>
      </c>
      <c r="S11" s="29"/>
      <c r="T11" s="28">
        <f t="shared" ref="T11:T17" si="8">Q11*1.25</f>
        <v>0</v>
      </c>
      <c r="U11" s="28">
        <f t="shared" ref="U11:U17" si="9">Q11*1.5</f>
        <v>0</v>
      </c>
      <c r="V11" s="28">
        <f t="shared" ref="V11:V17" si="10">Q11*2</f>
        <v>0</v>
      </c>
      <c r="W11" s="28" t="e">
        <f t="shared" ref="W11:W17" si="11">H11-(H11*0.07)</f>
        <v>#DIV/0!</v>
      </c>
      <c r="X11" s="29"/>
      <c r="Y11" s="5" t="e">
        <f t="shared" ref="Y11:Y17" si="12">(X11-H11)/H11</f>
        <v>#DIV/0!</v>
      </c>
      <c r="Z11" s="32">
        <f t="shared" ref="Z11:Z17" si="13"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si="1"/>
        <v>0</v>
      </c>
      <c r="G12" s="3"/>
      <c r="H12" s="4" t="e">
        <f t="shared" si="2"/>
        <v>#DIV/0!</v>
      </c>
      <c r="I12" s="3">
        <f t="shared" si="3"/>
        <v>0</v>
      </c>
      <c r="J12" s="26" t="e">
        <f t="shared" si="4"/>
        <v>#DIV/0!</v>
      </c>
      <c r="K12" s="27"/>
      <c r="L12">
        <f t="shared" si="5"/>
        <v>45114</v>
      </c>
      <c r="M12" s="5" t="e">
        <f t="shared" si="6"/>
        <v>#DIV/0!</v>
      </c>
      <c r="P12" s="64"/>
      <c r="Q12" s="28"/>
      <c r="R12" s="29">
        <f t="shared" si="7"/>
        <v>0</v>
      </c>
      <c r="S12" s="29"/>
      <c r="T12" s="31">
        <f t="shared" si="8"/>
        <v>0</v>
      </c>
      <c r="U12" s="28">
        <f t="shared" si="9"/>
        <v>0</v>
      </c>
      <c r="V12" s="28">
        <f t="shared" si="10"/>
        <v>0</v>
      </c>
      <c r="W12" s="28" t="e">
        <f t="shared" si="11"/>
        <v>#DIV/0!</v>
      </c>
      <c r="X12" s="29"/>
      <c r="Y12" s="5" t="e">
        <f t="shared" si="12"/>
        <v>#DIV/0!</v>
      </c>
      <c r="Z12" s="6">
        <f t="shared" si="13"/>
        <v>0</v>
      </c>
      <c r="AB12" s="60"/>
      <c r="AC12" s="9"/>
    </row>
    <row r="13" spans="1:29" x14ac:dyDescent="0.25">
      <c r="C13" s="25"/>
      <c r="D13" s="2"/>
      <c r="E13" s="26"/>
      <c r="F13" s="3">
        <f t="shared" si="1"/>
        <v>0</v>
      </c>
      <c r="G13" s="3"/>
      <c r="H13" s="4" t="e">
        <f t="shared" si="2"/>
        <v>#DIV/0!</v>
      </c>
      <c r="I13" s="3">
        <f t="shared" si="3"/>
        <v>0</v>
      </c>
      <c r="J13" s="26" t="e">
        <f t="shared" si="4"/>
        <v>#DIV/0!</v>
      </c>
      <c r="K13" s="27"/>
      <c r="L13">
        <f t="shared" si="5"/>
        <v>45114</v>
      </c>
      <c r="M13" s="5" t="e">
        <f t="shared" si="6"/>
        <v>#DIV/0!</v>
      </c>
      <c r="P13" s="63"/>
      <c r="Q13" s="28"/>
      <c r="R13" s="29">
        <f t="shared" si="7"/>
        <v>0</v>
      </c>
      <c r="S13" s="29"/>
      <c r="T13" s="31">
        <f t="shared" si="8"/>
        <v>0</v>
      </c>
      <c r="U13" s="28">
        <f t="shared" si="9"/>
        <v>0</v>
      </c>
      <c r="V13" s="28">
        <f t="shared" si="10"/>
        <v>0</v>
      </c>
      <c r="W13" s="28" t="e">
        <f t="shared" si="11"/>
        <v>#DIV/0!</v>
      </c>
      <c r="X13" s="29"/>
      <c r="Y13" s="5" t="e">
        <f t="shared" si="12"/>
        <v>#DIV/0!</v>
      </c>
      <c r="Z13" s="32">
        <f t="shared" si="13"/>
        <v>0</v>
      </c>
      <c r="AB13" s="58"/>
      <c r="AC13" s="9"/>
    </row>
    <row r="14" spans="1:29" x14ac:dyDescent="0.25">
      <c r="C14" s="25"/>
      <c r="D14" s="2"/>
      <c r="E14" s="26"/>
      <c r="F14" s="3">
        <f t="shared" si="1"/>
        <v>0</v>
      </c>
      <c r="G14" s="3"/>
      <c r="H14" s="4" t="e">
        <f t="shared" si="2"/>
        <v>#DIV/0!</v>
      </c>
      <c r="I14" s="3">
        <f t="shared" si="3"/>
        <v>0</v>
      </c>
      <c r="J14" s="26" t="e">
        <f t="shared" si="4"/>
        <v>#DIV/0!</v>
      </c>
      <c r="K14" s="27"/>
      <c r="L14">
        <f t="shared" si="5"/>
        <v>45114</v>
      </c>
      <c r="M14" s="5" t="e">
        <f t="shared" si="6"/>
        <v>#DIV/0!</v>
      </c>
      <c r="P14" s="63"/>
      <c r="Q14" s="28"/>
      <c r="R14" s="29">
        <f t="shared" si="7"/>
        <v>0</v>
      </c>
      <c r="S14" s="29"/>
      <c r="T14" s="28">
        <f t="shared" si="8"/>
        <v>0</v>
      </c>
      <c r="U14" s="28">
        <f t="shared" si="9"/>
        <v>0</v>
      </c>
      <c r="V14" s="28">
        <f t="shared" si="10"/>
        <v>0</v>
      </c>
      <c r="W14" s="28" t="e">
        <f t="shared" si="11"/>
        <v>#DIV/0!</v>
      </c>
      <c r="X14" s="29"/>
      <c r="Y14" s="5" t="e">
        <f t="shared" si="12"/>
        <v>#DIV/0!</v>
      </c>
      <c r="Z14" s="6">
        <f t="shared" si="13"/>
        <v>0</v>
      </c>
      <c r="AB14" s="58"/>
      <c r="AC14" s="9"/>
    </row>
    <row r="15" spans="1:29" x14ac:dyDescent="0.25">
      <c r="C15" s="25"/>
      <c r="D15" s="2"/>
      <c r="E15" s="26"/>
      <c r="F15" s="3">
        <f t="shared" si="1"/>
        <v>0</v>
      </c>
      <c r="G15" s="3"/>
      <c r="H15" s="4" t="e">
        <f t="shared" si="2"/>
        <v>#DIV/0!</v>
      </c>
      <c r="I15" s="3">
        <f t="shared" si="3"/>
        <v>0</v>
      </c>
      <c r="J15" s="26" t="e">
        <f t="shared" si="4"/>
        <v>#DIV/0!</v>
      </c>
      <c r="K15" s="27"/>
      <c r="L15">
        <f t="shared" si="5"/>
        <v>45114</v>
      </c>
      <c r="M15" s="5" t="e">
        <f t="shared" si="6"/>
        <v>#DIV/0!</v>
      </c>
      <c r="P15" s="63"/>
      <c r="Q15" s="28"/>
      <c r="R15" s="29">
        <f t="shared" si="7"/>
        <v>0</v>
      </c>
      <c r="S15" s="29"/>
      <c r="T15" s="28">
        <f t="shared" si="8"/>
        <v>0</v>
      </c>
      <c r="U15" s="28">
        <f t="shared" si="9"/>
        <v>0</v>
      </c>
      <c r="V15" s="28">
        <f t="shared" si="10"/>
        <v>0</v>
      </c>
      <c r="W15" s="28" t="e">
        <f t="shared" si="11"/>
        <v>#DIV/0!</v>
      </c>
      <c r="X15" s="29"/>
      <c r="Y15" s="5" t="e">
        <f t="shared" si="12"/>
        <v>#DIV/0!</v>
      </c>
      <c r="Z15" s="32">
        <f t="shared" si="13"/>
        <v>0</v>
      </c>
      <c r="AB15" s="58"/>
      <c r="AC15" s="9"/>
    </row>
    <row r="16" spans="1:29" x14ac:dyDescent="0.25">
      <c r="C16" s="25"/>
      <c r="D16" s="2"/>
      <c r="E16" s="26"/>
      <c r="F16" s="3">
        <f t="shared" si="1"/>
        <v>0</v>
      </c>
      <c r="G16" s="3"/>
      <c r="H16" s="4" t="e">
        <f t="shared" si="2"/>
        <v>#DIV/0!</v>
      </c>
      <c r="I16" s="3">
        <f t="shared" si="3"/>
        <v>0</v>
      </c>
      <c r="J16" s="26" t="e">
        <f t="shared" si="4"/>
        <v>#DIV/0!</v>
      </c>
      <c r="K16" s="27"/>
      <c r="L16">
        <f t="shared" si="5"/>
        <v>45114</v>
      </c>
      <c r="M16" s="5" t="e">
        <f t="shared" si="6"/>
        <v>#DIV/0!</v>
      </c>
      <c r="P16" s="63"/>
      <c r="Q16" s="28"/>
      <c r="R16" s="29">
        <f t="shared" si="7"/>
        <v>0</v>
      </c>
      <c r="S16" s="29"/>
      <c r="T16" s="28">
        <f t="shared" si="8"/>
        <v>0</v>
      </c>
      <c r="U16" s="28">
        <f t="shared" si="9"/>
        <v>0</v>
      </c>
      <c r="V16" s="28">
        <f t="shared" si="10"/>
        <v>0</v>
      </c>
      <c r="W16" s="28" t="e">
        <f t="shared" si="11"/>
        <v>#DIV/0!</v>
      </c>
      <c r="X16" s="29"/>
      <c r="Y16" s="5" t="e">
        <f t="shared" si="12"/>
        <v>#DIV/0!</v>
      </c>
      <c r="Z16" s="6">
        <f t="shared" si="13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"/>
        <v>0</v>
      </c>
      <c r="G17" s="39"/>
      <c r="H17" s="40" t="e">
        <f t="shared" si="2"/>
        <v>#DIV/0!</v>
      </c>
      <c r="I17" s="39">
        <f t="shared" si="3"/>
        <v>0</v>
      </c>
      <c r="J17" s="38" t="e">
        <f t="shared" si="4"/>
        <v>#DIV/0!</v>
      </c>
      <c r="K17" s="41"/>
      <c r="L17" s="35">
        <f t="shared" si="5"/>
        <v>45114</v>
      </c>
      <c r="M17" s="42" t="e">
        <f t="shared" si="6"/>
        <v>#DIV/0!</v>
      </c>
      <c r="N17" s="35"/>
      <c r="O17" s="35"/>
      <c r="P17" s="65"/>
      <c r="Q17" s="44"/>
      <c r="R17" s="45">
        <f t="shared" si="7"/>
        <v>0</v>
      </c>
      <c r="S17" s="45"/>
      <c r="T17" s="46">
        <f t="shared" si="8"/>
        <v>0</v>
      </c>
      <c r="U17" s="44">
        <f t="shared" si="9"/>
        <v>0</v>
      </c>
      <c r="V17" s="44">
        <f t="shared" si="10"/>
        <v>0</v>
      </c>
      <c r="W17" s="44" t="e">
        <f t="shared" si="11"/>
        <v>#DIV/0!</v>
      </c>
      <c r="X17" s="45"/>
      <c r="Y17" s="42" t="e">
        <f t="shared" si="12"/>
        <v>#DIV/0!</v>
      </c>
      <c r="Z17" s="47">
        <f t="shared" si="13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129928.48978499998</v>
      </c>
      <c r="G18" s="3">
        <f>SUM(G6:G17)</f>
        <v>125886.65727608901</v>
      </c>
      <c r="H18" s="4"/>
      <c r="I18" s="3">
        <f>SUM(I6:I17)</f>
        <v>4041.8325089109858</v>
      </c>
      <c r="M18" s="5"/>
      <c r="Z18" s="6"/>
    </row>
    <row r="19" spans="1:29" x14ac:dyDescent="0.25">
      <c r="D19" s="2" t="s">
        <v>44</v>
      </c>
      <c r="F19" s="3">
        <v>548962</v>
      </c>
      <c r="G19" s="6">
        <f>F19/F20</f>
        <v>0.8086164237973823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678890.48978499998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'04-18-25'!F20</f>
        <v>671918.45764699997</v>
      </c>
      <c r="K21" s="1">
        <v>45657</v>
      </c>
      <c r="L21" s="50">
        <v>170762</v>
      </c>
      <c r="M21" s="50">
        <v>157766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1.0376306914406637E-2</v>
      </c>
      <c r="K22" s="9" t="s">
        <v>50</v>
      </c>
      <c r="L22" s="6">
        <f>(M21-L21)/L21</f>
        <v>-7.6105925205842043E-2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  <c r="P25" s="9" t="s">
        <v>103</v>
      </c>
      <c r="S25" t="s">
        <v>88</v>
      </c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4">DAYS360(K26,L26)</f>
        <v>49</v>
      </c>
      <c r="Q26" s="28">
        <v>75.849999999999994</v>
      </c>
      <c r="S26" s="62">
        <f>(Q26-H26)/H26</f>
        <v>9.6177440591852709E-2</v>
      </c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4"/>
        <v>7</v>
      </c>
      <c r="Q27" s="28">
        <v>58.09</v>
      </c>
      <c r="S27" s="62">
        <f t="shared" ref="S27:S42" si="15">(Q27-H27)/H27</f>
        <v>-0.29787835301016297</v>
      </c>
      <c r="U27" t="s">
        <v>90</v>
      </c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6">F28/D28</f>
        <v>44.698790833464948</v>
      </c>
      <c r="F28" s="3">
        <v>56489.42</v>
      </c>
      <c r="G28" s="56">
        <v>75501.87</v>
      </c>
      <c r="H28" s="57">
        <f t="shared" ref="H28:H42" si="17">G28/D28</f>
        <v>59.742909285764696</v>
      </c>
      <c r="I28" s="57">
        <f t="shared" ref="I28:I42" si="18">G28-F28</f>
        <v>19012.449999999997</v>
      </c>
      <c r="J28" s="6">
        <f t="shared" ref="J28:J42" si="19">I28/F28</f>
        <v>0.33656656414599401</v>
      </c>
      <c r="K28" s="1">
        <v>45527</v>
      </c>
      <c r="L28" s="1">
        <v>45688</v>
      </c>
      <c r="M28">
        <f t="shared" si="14"/>
        <v>158</v>
      </c>
      <c r="Q28" s="28">
        <v>45.03</v>
      </c>
      <c r="S28" s="62">
        <f t="shared" si="15"/>
        <v>-0.24627038525006062</v>
      </c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6"/>
        <v>169.90901206845703</v>
      </c>
      <c r="F29" s="3">
        <f>59492.79+21969.78</f>
        <v>81462.570000000007</v>
      </c>
      <c r="G29" s="56">
        <v>65047.58</v>
      </c>
      <c r="H29" s="57">
        <f t="shared" si="17"/>
        <v>135.67175765807443</v>
      </c>
      <c r="I29" s="57">
        <f t="shared" si="18"/>
        <v>-16414.990000000005</v>
      </c>
      <c r="J29" s="6">
        <f t="shared" si="19"/>
        <v>-0.20150346349249729</v>
      </c>
      <c r="K29" s="1">
        <v>45671</v>
      </c>
      <c r="L29" s="1">
        <v>45688</v>
      </c>
      <c r="M29">
        <f t="shared" si="14"/>
        <v>17</v>
      </c>
      <c r="Q29" s="28">
        <v>151.56</v>
      </c>
      <c r="S29" s="62">
        <f t="shared" si="15"/>
        <v>0.11710795685250708</v>
      </c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6"/>
        <v>18.702010092477405</v>
      </c>
      <c r="F30" s="3">
        <v>56486.59</v>
      </c>
      <c r="G30" s="56">
        <v>71124.88</v>
      </c>
      <c r="H30" s="57">
        <f t="shared" si="17"/>
        <v>23.548566546258936</v>
      </c>
      <c r="I30" s="57">
        <f t="shared" si="18"/>
        <v>14638.290000000008</v>
      </c>
      <c r="J30" s="6">
        <f t="shared" si="19"/>
        <v>0.25914628587068206</v>
      </c>
      <c r="K30" s="1">
        <v>45527</v>
      </c>
      <c r="L30" s="1">
        <v>45691</v>
      </c>
      <c r="M30">
        <f t="shared" si="14"/>
        <v>160</v>
      </c>
      <c r="Q30" s="28">
        <v>18.75</v>
      </c>
      <c r="S30" s="62">
        <f t="shared" si="15"/>
        <v>-0.20377319090028706</v>
      </c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6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7"/>
        <v>38.249853000000002</v>
      </c>
      <c r="I31" s="57">
        <f t="shared" si="18"/>
        <v>-6110.386336591735</v>
      </c>
      <c r="J31" s="6">
        <f t="shared" si="19"/>
        <v>-0.10005621882176895</v>
      </c>
      <c r="K31" s="1">
        <v>45706</v>
      </c>
      <c r="L31" s="1">
        <v>45708</v>
      </c>
      <c r="M31">
        <f t="shared" si="14"/>
        <v>2</v>
      </c>
      <c r="Q31" s="28">
        <v>36.1</v>
      </c>
      <c r="S31" s="62">
        <f t="shared" si="15"/>
        <v>-5.620552319508261E-2</v>
      </c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6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7"/>
        <v>531.63995279999995</v>
      </c>
      <c r="I32" s="57">
        <f t="shared" si="18"/>
        <v>-22176.243614196137</v>
      </c>
      <c r="J32" s="6">
        <f t="shared" si="19"/>
        <v>-0.24194911929355969</v>
      </c>
      <c r="K32" s="1">
        <v>45706</v>
      </c>
      <c r="L32" s="1">
        <v>45708</v>
      </c>
      <c r="M32">
        <f t="shared" si="14"/>
        <v>2</v>
      </c>
      <c r="Q32" s="28">
        <v>603.78</v>
      </c>
      <c r="S32" s="62">
        <f t="shared" si="15"/>
        <v>0.13569342714003799</v>
      </c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6"/>
        <v>368.56522253629635</v>
      </c>
      <c r="F33" s="3">
        <v>74438.86</v>
      </c>
      <c r="G33" s="56">
        <f>201.9693*360.5332483</f>
        <v>72816.647785877198</v>
      </c>
      <c r="H33" s="57">
        <f t="shared" si="17"/>
        <v>360.53324830000003</v>
      </c>
      <c r="I33" s="57">
        <f t="shared" si="18"/>
        <v>-1622.2122141228028</v>
      </c>
      <c r="J33" s="6">
        <f t="shared" si="19"/>
        <v>-2.1792545105107773E-2</v>
      </c>
      <c r="K33" s="1">
        <v>45664</v>
      </c>
      <c r="L33" s="1">
        <v>45708</v>
      </c>
      <c r="M33">
        <f t="shared" si="14"/>
        <v>43</v>
      </c>
      <c r="Q33" s="28">
        <v>372.55</v>
      </c>
      <c r="S33" s="62">
        <f t="shared" si="15"/>
        <v>3.3330495194720117E-2</v>
      </c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6"/>
        <v>30.17825528482809</v>
      </c>
      <c r="F34" s="3">
        <v>37884.65</v>
      </c>
      <c r="G34" s="56">
        <f>1255.3625*39.762296</f>
        <v>49916.0953123</v>
      </c>
      <c r="H34" s="57">
        <f t="shared" si="17"/>
        <v>39.762295999999999</v>
      </c>
      <c r="I34" s="57">
        <f t="shared" si="18"/>
        <v>12031.445312299998</v>
      </c>
      <c r="J34" s="6">
        <f t="shared" si="19"/>
        <v>0.31758100740801348</v>
      </c>
      <c r="K34" s="1">
        <v>45663</v>
      </c>
      <c r="L34" s="1">
        <v>45709</v>
      </c>
      <c r="M34">
        <f t="shared" si="14"/>
        <v>45</v>
      </c>
      <c r="Q34" s="28">
        <v>23.74</v>
      </c>
      <c r="S34" s="62">
        <f t="shared" si="15"/>
        <v>-0.40295198245091285</v>
      </c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6"/>
        <v>242.26930551548847</v>
      </c>
      <c r="F35" s="3">
        <v>61221.72</v>
      </c>
      <c r="G35" s="56">
        <f>252.7011*226.6146532</f>
        <v>57265.772139758519</v>
      </c>
      <c r="H35" s="57">
        <f t="shared" si="17"/>
        <v>226.61465319999999</v>
      </c>
      <c r="I35" s="57">
        <f t="shared" si="18"/>
        <v>-3955.947860241482</v>
      </c>
      <c r="J35" s="6">
        <f t="shared" si="19"/>
        <v>-6.4616738311852093E-2</v>
      </c>
      <c r="K35" s="1">
        <v>45699</v>
      </c>
      <c r="L35" s="1">
        <v>45709</v>
      </c>
      <c r="M35">
        <f t="shared" si="14"/>
        <v>10</v>
      </c>
      <c r="Q35" s="28">
        <v>187.77</v>
      </c>
      <c r="S35" s="62">
        <f t="shared" si="15"/>
        <v>-0.17141280429786429</v>
      </c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6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7"/>
        <v>283.93999450000007</v>
      </c>
      <c r="I36" s="57">
        <f t="shared" si="18"/>
        <v>19563.525282954361</v>
      </c>
      <c r="J36" s="6">
        <f t="shared" si="19"/>
        <v>0.36434300703793465</v>
      </c>
      <c r="K36" s="1">
        <v>45580</v>
      </c>
      <c r="L36" s="1">
        <v>45712</v>
      </c>
      <c r="M36">
        <f t="shared" si="14"/>
        <v>129</v>
      </c>
      <c r="Q36" s="28">
        <v>368.71</v>
      </c>
      <c r="S36" s="62">
        <f t="shared" si="15"/>
        <v>0.29854901437634523</v>
      </c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6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7"/>
        <v>63.365330900000004</v>
      </c>
      <c r="I37" s="57">
        <f t="shared" si="18"/>
        <v>-4549.5912833559851</v>
      </c>
      <c r="J37" s="6">
        <f t="shared" si="19"/>
        <v>-5.9638082078758516E-2</v>
      </c>
      <c r="K37" s="1">
        <v>45673</v>
      </c>
      <c r="L37" s="1">
        <v>45712</v>
      </c>
      <c r="M37">
        <f t="shared" si="14"/>
        <v>38</v>
      </c>
      <c r="Q37" s="28">
        <v>45.7</v>
      </c>
      <c r="S37" s="62">
        <f t="shared" si="15"/>
        <v>-0.27878542807388701</v>
      </c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7"/>
        <v>50.021380499999999</v>
      </c>
      <c r="I38" s="57">
        <f t="shared" si="18"/>
        <v>6027.2875116823998</v>
      </c>
      <c r="J38" s="6">
        <f t="shared" si="19"/>
        <v>9.9771440635884723E-2</v>
      </c>
      <c r="K38" s="1">
        <v>45593</v>
      </c>
      <c r="L38" s="1">
        <v>45713</v>
      </c>
      <c r="M38">
        <f t="shared" si="14"/>
        <v>117</v>
      </c>
      <c r="Q38" s="28">
        <v>54.27</v>
      </c>
      <c r="S38" s="62">
        <f t="shared" si="15"/>
        <v>8.4936070486899176E-2</v>
      </c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7"/>
        <v>12.519992000000002</v>
      </c>
      <c r="I39" s="57">
        <f t="shared" si="18"/>
        <v>-2230.6527810991975</v>
      </c>
      <c r="J39" s="6">
        <f t="shared" si="19"/>
        <v>-9.8609037242937694E-2</v>
      </c>
      <c r="K39" s="1">
        <v>45692</v>
      </c>
      <c r="L39" s="1">
        <v>45715</v>
      </c>
      <c r="M39">
        <f>DAYS360(K39,L39)</f>
        <v>23</v>
      </c>
      <c r="Q39" s="28">
        <v>11.9</v>
      </c>
      <c r="S39" s="62">
        <f t="shared" si="15"/>
        <v>-4.9520159437801685E-2</v>
      </c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7"/>
        <v>94.679995300000002</v>
      </c>
      <c r="I40" s="57">
        <f t="shared" si="18"/>
        <v>-4750.690604140058</v>
      </c>
      <c r="J40" s="6">
        <f t="shared" si="19"/>
        <v>-0.10235753534193669</v>
      </c>
      <c r="K40" s="1">
        <v>45695</v>
      </c>
      <c r="L40" s="1">
        <v>45729</v>
      </c>
      <c r="M40">
        <f>DAYS360(K40,L40)</f>
        <v>36</v>
      </c>
      <c r="Q40" s="28">
        <v>101.8</v>
      </c>
      <c r="S40" s="62">
        <f t="shared" si="15"/>
        <v>7.5200729335059391E-2</v>
      </c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42" si="20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7"/>
        <v>18.9477051</v>
      </c>
      <c r="I41" s="57">
        <f t="shared" si="18"/>
        <v>-2244.5195874142191</v>
      </c>
      <c r="J41" s="6">
        <f t="shared" si="19"/>
        <v>-8.2776138273503941E-2</v>
      </c>
      <c r="K41" s="1">
        <v>45761</v>
      </c>
      <c r="L41" s="1">
        <v>45768</v>
      </c>
      <c r="M41">
        <f t="shared" ref="M41:M42" si="21">DAYS360(K41,L41)</f>
        <v>7</v>
      </c>
      <c r="Q41" s="28">
        <v>21.86</v>
      </c>
      <c r="S41" s="62">
        <f t="shared" si="15"/>
        <v>0.15370172190404205</v>
      </c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20"/>
        <v>96.336406065231671</v>
      </c>
      <c r="F42" s="3">
        <v>34004.42</v>
      </c>
      <c r="G42" s="56">
        <f>352.9758*89.7849585</f>
        <v>31691.9175545043</v>
      </c>
      <c r="H42" s="57">
        <f t="shared" si="17"/>
        <v>89.784958500000002</v>
      </c>
      <c r="I42" s="57">
        <f t="shared" si="18"/>
        <v>-2312.5024454956983</v>
      </c>
      <c r="J42" s="6">
        <f t="shared" si="19"/>
        <v>-6.8005937036882222E-2</v>
      </c>
      <c r="K42" s="1">
        <v>45762</v>
      </c>
      <c r="L42" s="1">
        <v>45768</v>
      </c>
      <c r="M42">
        <f t="shared" si="21"/>
        <v>6</v>
      </c>
      <c r="Q42" s="28">
        <v>112.78</v>
      </c>
      <c r="S42" s="62">
        <f t="shared" si="15"/>
        <v>0.25611240328189266</v>
      </c>
    </row>
    <row r="43" spans="1:19" x14ac:dyDescent="0.25">
      <c r="C43" s="25"/>
      <c r="D43" s="2"/>
      <c r="E43" s="57"/>
      <c r="F43" s="3"/>
      <c r="G43" s="56"/>
      <c r="H43" s="57"/>
      <c r="I43" s="57"/>
      <c r="J43" s="6"/>
      <c r="K43" s="1"/>
      <c r="L43" s="1"/>
    </row>
    <row r="44" spans="1:19" x14ac:dyDescent="0.25">
      <c r="C44" s="25"/>
      <c r="D44" s="2"/>
      <c r="E44" s="57"/>
      <c r="F44" s="3"/>
      <c r="G44" s="56"/>
      <c r="H44" s="57"/>
      <c r="I44" s="57"/>
      <c r="J44" s="6"/>
      <c r="K44" s="1"/>
      <c r="L44" s="1"/>
    </row>
    <row r="45" spans="1:19" x14ac:dyDescent="0.25">
      <c r="C45" s="25"/>
      <c r="D45" s="2"/>
      <c r="E45" s="57"/>
      <c r="F45" s="3"/>
      <c r="G45" s="56"/>
      <c r="H45" s="57"/>
      <c r="I45" s="57"/>
      <c r="J45" s="6"/>
      <c r="K45" s="1"/>
      <c r="L45" s="1"/>
    </row>
    <row r="46" spans="1:19" x14ac:dyDescent="0.25">
      <c r="C46" s="25"/>
      <c r="D46" s="2"/>
      <c r="E46" s="57"/>
      <c r="F46" s="3"/>
      <c r="G46" s="56"/>
      <c r="H46" s="57"/>
      <c r="I46" s="57"/>
      <c r="J46" s="6"/>
      <c r="K46" s="1"/>
      <c r="L46" s="1"/>
    </row>
    <row r="47" spans="1:19" x14ac:dyDescent="0.25">
      <c r="F47" s="56"/>
      <c r="G47" s="56"/>
      <c r="H47" s="3"/>
      <c r="I47" s="3">
        <f>SUM(I26:I46)</f>
        <v>-2858.7586197205528</v>
      </c>
      <c r="J47" s="13" t="s">
        <v>66</v>
      </c>
    </row>
    <row r="48" spans="1:19" x14ac:dyDescent="0.25">
      <c r="F48" s="56"/>
      <c r="G48" s="56"/>
      <c r="H48" s="3" t="s">
        <v>67</v>
      </c>
      <c r="I48" s="59">
        <v>11</v>
      </c>
      <c r="J48" s="5">
        <v>-9.7299999999999998E-2</v>
      </c>
    </row>
    <row r="49" spans="6:10" x14ac:dyDescent="0.25">
      <c r="F49" s="56"/>
      <c r="G49" s="56"/>
      <c r="H49" s="3" t="s">
        <v>68</v>
      </c>
      <c r="I49" s="59">
        <v>5</v>
      </c>
      <c r="J49" s="5">
        <v>0.27560000000000001</v>
      </c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  <c r="J61" s="6"/>
    </row>
    <row r="62" spans="6:10" x14ac:dyDescent="0.25">
      <c r="F62" s="56"/>
      <c r="G62" s="56"/>
      <c r="J62" s="6"/>
    </row>
    <row r="63" spans="6:10" x14ac:dyDescent="0.25">
      <c r="F63" s="56"/>
      <c r="G63" s="56"/>
      <c r="J63" s="6"/>
    </row>
    <row r="64" spans="6:10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</row>
    <row r="74" spans="6:10" x14ac:dyDescent="0.25">
      <c r="F74" s="56"/>
      <c r="G74" s="56"/>
    </row>
    <row r="75" spans="6:10" x14ac:dyDescent="0.25">
      <c r="F75" s="56"/>
      <c r="G75" s="56"/>
    </row>
    <row r="76" spans="6:10" x14ac:dyDescent="0.25">
      <c r="F76" s="56"/>
      <c r="G76" s="56"/>
    </row>
    <row r="77" spans="6:10" x14ac:dyDescent="0.25">
      <c r="F77" s="56"/>
      <c r="G77" s="56"/>
    </row>
    <row r="78" spans="6:10" x14ac:dyDescent="0.25">
      <c r="F78" s="56"/>
      <c r="G78" s="5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B138-6381-452C-921A-0245BFC7DAA0}">
  <dimension ref="A1:AC78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9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45779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41</v>
      </c>
      <c r="B7" t="s">
        <v>30</v>
      </c>
      <c r="C7" s="25" t="s">
        <v>42</v>
      </c>
      <c r="D7" s="2">
        <v>2234.6064999999999</v>
      </c>
      <c r="E7" s="26">
        <v>17.13</v>
      </c>
      <c r="F7" s="3">
        <f>E7*D7</f>
        <v>38278.809344999994</v>
      </c>
      <c r="G7" s="3">
        <v>37971.83</v>
      </c>
      <c r="H7" s="4">
        <f>G7/D7</f>
        <v>16.992624876012847</v>
      </c>
      <c r="I7" s="3">
        <f>F7-G7</f>
        <v>306.97934499999246</v>
      </c>
      <c r="J7" s="26">
        <f>E7-H7</f>
        <v>0.13737512398715168</v>
      </c>
      <c r="K7" s="27">
        <v>45652</v>
      </c>
      <c r="L7">
        <f>DAYS360(K7,$C$1)</f>
        <v>126</v>
      </c>
      <c r="M7" s="5">
        <f>(I7/G7)</f>
        <v>8.0843969068647055E-3</v>
      </c>
      <c r="N7">
        <v>77</v>
      </c>
      <c r="O7">
        <v>97</v>
      </c>
      <c r="P7" s="63">
        <v>80</v>
      </c>
      <c r="Q7" s="28">
        <v>15.9</v>
      </c>
      <c r="R7" s="29">
        <f>Q7*0.93</f>
        <v>14.787000000000001</v>
      </c>
      <c r="S7" s="29">
        <v>14</v>
      </c>
      <c r="T7" s="31">
        <f>Q7*1.25</f>
        <v>19.875</v>
      </c>
      <c r="U7" s="28">
        <f>Q7*1.5</f>
        <v>23.85</v>
      </c>
      <c r="V7" s="28">
        <f>Q7*2</f>
        <v>31.8</v>
      </c>
      <c r="W7" s="28">
        <f>H7-(H7*0.07)</f>
        <v>15.803141134691948</v>
      </c>
      <c r="X7" s="29">
        <v>16.5</v>
      </c>
      <c r="Y7" s="5">
        <f>(X7-H7)/H7</f>
        <v>-2.8990510860287814E-2</v>
      </c>
      <c r="Z7" s="6">
        <f>F7/F$20</f>
        <v>5.582702482617876E-2</v>
      </c>
      <c r="AB7" s="60">
        <v>45785</v>
      </c>
      <c r="AC7" s="9">
        <v>96</v>
      </c>
    </row>
    <row r="8" spans="1:29" x14ac:dyDescent="0.25">
      <c r="A8" t="s">
        <v>96</v>
      </c>
      <c r="B8" t="s">
        <v>30</v>
      </c>
      <c r="C8" s="25" t="s">
        <v>97</v>
      </c>
      <c r="D8" s="2">
        <v>889.76149999999996</v>
      </c>
      <c r="E8" s="26">
        <v>43.44</v>
      </c>
      <c r="F8" s="3">
        <f>E8*D8</f>
        <v>38651.239559999995</v>
      </c>
      <c r="G8" s="3">
        <f>889.7615*38.093859</f>
        <v>33894.449124628503</v>
      </c>
      <c r="H8" s="4">
        <f>G8/D8</f>
        <v>38.093859000000009</v>
      </c>
      <c r="I8" s="3">
        <f>F8-G8</f>
        <v>4756.7904353714912</v>
      </c>
      <c r="J8" s="26">
        <f>E8-H8</f>
        <v>5.3461409999999887</v>
      </c>
      <c r="K8" s="27">
        <v>45761</v>
      </c>
      <c r="L8">
        <f>DAYS360(K8,$C$1)</f>
        <v>18</v>
      </c>
      <c r="M8" s="5">
        <f>(I8/G8)</f>
        <v>0.14034128177982677</v>
      </c>
      <c r="N8">
        <v>76</v>
      </c>
      <c r="O8">
        <v>98</v>
      </c>
      <c r="P8" s="63">
        <v>38</v>
      </c>
      <c r="Q8" s="28">
        <v>34.58</v>
      </c>
      <c r="R8" s="29">
        <f>Q8*0.93</f>
        <v>32.159399999999998</v>
      </c>
      <c r="S8" s="29">
        <v>31</v>
      </c>
      <c r="T8" s="31">
        <f>Q8*1.25</f>
        <v>43.224999999999994</v>
      </c>
      <c r="U8" s="28">
        <f>Q8*1.5</f>
        <v>51.87</v>
      </c>
      <c r="V8" s="28">
        <f>Q8*2</f>
        <v>69.16</v>
      </c>
      <c r="W8" s="28">
        <f>H8-(H8*0.07)</f>
        <v>35.427288870000005</v>
      </c>
      <c r="X8" s="29">
        <v>34.5</v>
      </c>
      <c r="Y8" s="5">
        <f>(X8-H8)/H8</f>
        <v>-9.4342214056076817E-2</v>
      </c>
      <c r="Z8" s="6">
        <f>F8/F$20</f>
        <v>5.6370188817290202E-2</v>
      </c>
      <c r="AB8" s="60">
        <v>45782</v>
      </c>
      <c r="AC8" s="9">
        <v>93</v>
      </c>
    </row>
    <row r="9" spans="1:29" x14ac:dyDescent="0.25">
      <c r="A9" t="s">
        <v>71</v>
      </c>
      <c r="B9" t="s">
        <v>30</v>
      </c>
      <c r="C9" t="s">
        <v>72</v>
      </c>
      <c r="D9" s="2">
        <v>151.7295</v>
      </c>
      <c r="E9" s="26">
        <v>396.32</v>
      </c>
      <c r="F9" s="3">
        <f>E9*D9</f>
        <v>60133.435440000001</v>
      </c>
      <c r="G9" s="3">
        <f>151.7295*356.030819</f>
        <v>54020.3781514605</v>
      </c>
      <c r="H9" s="4">
        <f>G9/D9</f>
        <v>356.03081900000001</v>
      </c>
      <c r="I9" s="3">
        <f t="shared" ref="I9:I17" si="0">F9-G9</f>
        <v>6113.0572885395013</v>
      </c>
      <c r="J9" s="26">
        <f>E9-H9</f>
        <v>40.289180999999985</v>
      </c>
      <c r="K9" s="27">
        <v>45771</v>
      </c>
      <c r="L9">
        <f>DAYS360(K9,$C$1)</f>
        <v>8</v>
      </c>
      <c r="M9" s="5">
        <f>(I9/G9)</f>
        <v>0.11316206027658524</v>
      </c>
      <c r="N9">
        <v>75</v>
      </c>
      <c r="O9">
        <v>97</v>
      </c>
      <c r="P9" s="33">
        <v>81</v>
      </c>
      <c r="Q9" s="28">
        <v>349.62</v>
      </c>
      <c r="R9" s="29">
        <f>Q9*0.93</f>
        <v>325.14660000000003</v>
      </c>
      <c r="S9" s="29">
        <v>306.20999999999998</v>
      </c>
      <c r="T9" s="28">
        <f>Q9*1.25</f>
        <v>437.02499999999998</v>
      </c>
      <c r="U9" s="28">
        <f>Q9*1.5</f>
        <v>524.43000000000006</v>
      </c>
      <c r="V9" s="28">
        <f>Q9*2</f>
        <v>699.24</v>
      </c>
      <c r="W9" s="28">
        <f>H9-(H9*0.07)</f>
        <v>331.10866167</v>
      </c>
      <c r="X9" s="29">
        <v>330</v>
      </c>
      <c r="Y9" s="5">
        <f>(X9-H9)/H9</f>
        <v>-7.311394859892735E-2</v>
      </c>
      <c r="Z9" s="32">
        <f>F9/F$20</f>
        <v>8.7700501939222436E-2</v>
      </c>
      <c r="AB9" s="58">
        <v>45861</v>
      </c>
      <c r="AC9" s="9">
        <v>94</v>
      </c>
    </row>
    <row r="10" spans="1:29" x14ac:dyDescent="0.25">
      <c r="A10" t="s">
        <v>104</v>
      </c>
      <c r="B10" t="s">
        <v>30</v>
      </c>
      <c r="C10" s="25" t="s">
        <v>99</v>
      </c>
      <c r="D10" s="2">
        <v>927.6617</v>
      </c>
      <c r="E10" s="26">
        <v>23.52</v>
      </c>
      <c r="F10" s="3">
        <f>E10*D10</f>
        <v>21818.603184</v>
      </c>
      <c r="G10" s="3">
        <f>927.6617*23.7570536</f>
        <v>22038.508729567118</v>
      </c>
      <c r="H10" s="4">
        <f>G10/D10</f>
        <v>23.757053599999999</v>
      </c>
      <c r="I10" s="3">
        <f t="shared" si="0"/>
        <v>-219.90554556711868</v>
      </c>
      <c r="J10" s="26">
        <f>E10-H10</f>
        <v>-0.23705359999999942</v>
      </c>
      <c r="K10" s="27">
        <v>45776</v>
      </c>
      <c r="L10">
        <f>DAYS360(K10,$C$1)</f>
        <v>3</v>
      </c>
      <c r="M10" s="5">
        <f>(I10/G10)</f>
        <v>-9.9782407360481176E-3</v>
      </c>
      <c r="N10">
        <v>76</v>
      </c>
      <c r="O10">
        <v>98</v>
      </c>
      <c r="P10" s="63">
        <v>80</v>
      </c>
      <c r="Q10" s="28">
        <v>22.73</v>
      </c>
      <c r="R10" s="29">
        <f>Q10*0.93</f>
        <v>21.138900000000003</v>
      </c>
      <c r="S10" s="29">
        <v>19.64</v>
      </c>
      <c r="T10" s="28">
        <f>Q10*1.25</f>
        <v>28.412500000000001</v>
      </c>
      <c r="U10" s="28">
        <f>Q10*1.5</f>
        <v>34.094999999999999</v>
      </c>
      <c r="V10" s="28">
        <f>Q10*2</f>
        <v>45.46</v>
      </c>
      <c r="W10" s="28">
        <f>H10-(H10*0.07)</f>
        <v>22.094059848000001</v>
      </c>
      <c r="X10" s="29">
        <v>22.43</v>
      </c>
      <c r="Y10" s="5">
        <f>(X10-H10)/H10</f>
        <v>-5.5859351178127549E-2</v>
      </c>
      <c r="Z10" s="6">
        <f>F10/F$20</f>
        <v>3.1820940161630597E-2</v>
      </c>
      <c r="AB10" s="60">
        <v>45784</v>
      </c>
      <c r="AC10" s="9">
        <v>98</v>
      </c>
    </row>
    <row r="11" spans="1:29" x14ac:dyDescent="0.25">
      <c r="C11" s="25"/>
      <c r="D11" s="2"/>
      <c r="E11" s="26"/>
      <c r="F11" s="3">
        <f t="shared" ref="F11:F17" si="1">E11*D11</f>
        <v>0</v>
      </c>
      <c r="G11" s="3"/>
      <c r="H11" s="4" t="e">
        <f t="shared" ref="H11:H17" si="2">G11/D11</f>
        <v>#DIV/0!</v>
      </c>
      <c r="I11" s="3">
        <f t="shared" si="0"/>
        <v>0</v>
      </c>
      <c r="J11" s="26" t="e">
        <f t="shared" ref="J11:J17" si="3">E11-H11</f>
        <v>#DIV/0!</v>
      </c>
      <c r="K11" s="27"/>
      <c r="L11">
        <f t="shared" ref="L11:L17" si="4">DAYS360(K11,$C$1)</f>
        <v>45122</v>
      </c>
      <c r="M11" s="5" t="e">
        <f t="shared" ref="M11:M17" si="5">(I11/G11)</f>
        <v>#DIV/0!</v>
      </c>
      <c r="P11" s="63"/>
      <c r="Q11" s="28"/>
      <c r="R11" s="29">
        <f t="shared" ref="R11:R17" si="6">Q11*0.93</f>
        <v>0</v>
      </c>
      <c r="S11" s="29"/>
      <c r="T11" s="28">
        <f t="shared" ref="T11:T17" si="7">Q11*1.25</f>
        <v>0</v>
      </c>
      <c r="U11" s="28">
        <f t="shared" ref="U11:U17" si="8">Q11*1.5</f>
        <v>0</v>
      </c>
      <c r="V11" s="28">
        <f t="shared" ref="V11:V17" si="9">Q11*2</f>
        <v>0</v>
      </c>
      <c r="W11" s="28" t="e">
        <f t="shared" ref="W11:W17" si="10">H11-(H11*0.07)</f>
        <v>#DIV/0!</v>
      </c>
      <c r="X11" s="29"/>
      <c r="Y11" s="5" t="e">
        <f t="shared" ref="Y11:Y17" si="11">(X11-H11)/H11</f>
        <v>#DIV/0!</v>
      </c>
      <c r="Z11" s="32">
        <f t="shared" ref="Z11:Z17" si="12"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si="1"/>
        <v>0</v>
      </c>
      <c r="G12" s="3"/>
      <c r="H12" s="4" t="e">
        <f t="shared" si="2"/>
        <v>#DIV/0!</v>
      </c>
      <c r="I12" s="3">
        <f t="shared" si="0"/>
        <v>0</v>
      </c>
      <c r="J12" s="26" t="e">
        <f t="shared" si="3"/>
        <v>#DIV/0!</v>
      </c>
      <c r="K12" s="27"/>
      <c r="L12">
        <f t="shared" si="4"/>
        <v>45122</v>
      </c>
      <c r="M12" s="5" t="e">
        <f t="shared" si="5"/>
        <v>#DIV/0!</v>
      </c>
      <c r="P12" s="64"/>
      <c r="Q12" s="28"/>
      <c r="R12" s="29">
        <f t="shared" si="6"/>
        <v>0</v>
      </c>
      <c r="S12" s="29"/>
      <c r="T12" s="31">
        <f t="shared" si="7"/>
        <v>0</v>
      </c>
      <c r="U12" s="28">
        <f t="shared" si="8"/>
        <v>0</v>
      </c>
      <c r="V12" s="28">
        <f t="shared" si="9"/>
        <v>0</v>
      </c>
      <c r="W12" s="28" t="e">
        <f t="shared" si="10"/>
        <v>#DIV/0!</v>
      </c>
      <c r="X12" s="29"/>
      <c r="Y12" s="5" t="e">
        <f t="shared" si="11"/>
        <v>#DIV/0!</v>
      </c>
      <c r="Z12" s="6">
        <f t="shared" si="12"/>
        <v>0</v>
      </c>
      <c r="AB12" s="60"/>
      <c r="AC12" s="9"/>
    </row>
    <row r="13" spans="1:29" x14ac:dyDescent="0.25">
      <c r="C13" s="25"/>
      <c r="D13" s="2"/>
      <c r="E13" s="26"/>
      <c r="F13" s="3">
        <f t="shared" si="1"/>
        <v>0</v>
      </c>
      <c r="G13" s="3"/>
      <c r="H13" s="4" t="e">
        <f t="shared" si="2"/>
        <v>#DIV/0!</v>
      </c>
      <c r="I13" s="3">
        <f t="shared" si="0"/>
        <v>0</v>
      </c>
      <c r="J13" s="26" t="e">
        <f t="shared" si="3"/>
        <v>#DIV/0!</v>
      </c>
      <c r="K13" s="27"/>
      <c r="L13">
        <f t="shared" si="4"/>
        <v>45122</v>
      </c>
      <c r="M13" s="5" t="e">
        <f t="shared" si="5"/>
        <v>#DIV/0!</v>
      </c>
      <c r="P13" s="63"/>
      <c r="Q13" s="28"/>
      <c r="R13" s="29">
        <f t="shared" si="6"/>
        <v>0</v>
      </c>
      <c r="S13" s="29"/>
      <c r="T13" s="31">
        <f t="shared" si="7"/>
        <v>0</v>
      </c>
      <c r="U13" s="28">
        <f t="shared" si="8"/>
        <v>0</v>
      </c>
      <c r="V13" s="28">
        <f t="shared" si="9"/>
        <v>0</v>
      </c>
      <c r="W13" s="28" t="e">
        <f t="shared" si="10"/>
        <v>#DIV/0!</v>
      </c>
      <c r="X13" s="29"/>
      <c r="Y13" s="5" t="e">
        <f t="shared" si="11"/>
        <v>#DIV/0!</v>
      </c>
      <c r="Z13" s="32">
        <f t="shared" si="12"/>
        <v>0</v>
      </c>
      <c r="AB13" s="58"/>
      <c r="AC13" s="9"/>
    </row>
    <row r="14" spans="1:29" x14ac:dyDescent="0.25">
      <c r="C14" s="25"/>
      <c r="D14" s="2"/>
      <c r="E14" s="26"/>
      <c r="F14" s="3">
        <f t="shared" si="1"/>
        <v>0</v>
      </c>
      <c r="G14" s="3"/>
      <c r="H14" s="4" t="e">
        <f t="shared" si="2"/>
        <v>#DIV/0!</v>
      </c>
      <c r="I14" s="3">
        <f t="shared" si="0"/>
        <v>0</v>
      </c>
      <c r="J14" s="26" t="e">
        <f t="shared" si="3"/>
        <v>#DIV/0!</v>
      </c>
      <c r="K14" s="27"/>
      <c r="L14">
        <f t="shared" si="4"/>
        <v>45122</v>
      </c>
      <c r="M14" s="5" t="e">
        <f t="shared" si="5"/>
        <v>#DIV/0!</v>
      </c>
      <c r="P14" s="63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8"/>
      <c r="AC14" s="9"/>
    </row>
    <row r="15" spans="1:29" x14ac:dyDescent="0.25">
      <c r="C15" s="25"/>
      <c r="D15" s="2"/>
      <c r="E15" s="26"/>
      <c r="F15" s="3">
        <f t="shared" si="1"/>
        <v>0</v>
      </c>
      <c r="G15" s="3"/>
      <c r="H15" s="4" t="e">
        <f t="shared" si="2"/>
        <v>#DIV/0!</v>
      </c>
      <c r="I15" s="3">
        <f t="shared" si="0"/>
        <v>0</v>
      </c>
      <c r="J15" s="26" t="e">
        <f t="shared" si="3"/>
        <v>#DIV/0!</v>
      </c>
      <c r="K15" s="27"/>
      <c r="L15">
        <f t="shared" si="4"/>
        <v>45122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1"/>
        <v>0</v>
      </c>
      <c r="G16" s="3"/>
      <c r="H16" s="4" t="e">
        <f t="shared" si="2"/>
        <v>#DIV/0!</v>
      </c>
      <c r="I16" s="3">
        <f t="shared" si="0"/>
        <v>0</v>
      </c>
      <c r="J16" s="26" t="e">
        <f t="shared" si="3"/>
        <v>#DIV/0!</v>
      </c>
      <c r="K16" s="27"/>
      <c r="L16">
        <f t="shared" si="4"/>
        <v>45122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6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"/>
        <v>0</v>
      </c>
      <c r="G17" s="39"/>
      <c r="H17" s="40" t="e">
        <f t="shared" si="2"/>
        <v>#DIV/0!</v>
      </c>
      <c r="I17" s="39">
        <f t="shared" si="0"/>
        <v>0</v>
      </c>
      <c r="J17" s="38" t="e">
        <f t="shared" si="3"/>
        <v>#DIV/0!</v>
      </c>
      <c r="K17" s="41"/>
      <c r="L17" s="35">
        <f t="shared" si="4"/>
        <v>45122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158882.08752900001</v>
      </c>
      <c r="G18" s="3">
        <f>SUM(G6:G17)</f>
        <v>147925.16600565612</v>
      </c>
      <c r="H18" s="4"/>
      <c r="I18" s="3">
        <f>SUM(I6:I17)</f>
        <v>10956.921523343866</v>
      </c>
      <c r="M18" s="5"/>
      <c r="Z18" s="6"/>
    </row>
    <row r="19" spans="1:29" x14ac:dyDescent="0.25">
      <c r="D19" s="2" t="s">
        <v>44</v>
      </c>
      <c r="F19" s="3">
        <v>526786</v>
      </c>
      <c r="G19" s="6">
        <f>F19/F20</f>
        <v>0.76828134425567796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685668.08752900001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'04-25-25'!F20</f>
        <v>678890.48978499998</v>
      </c>
      <c r="K21" s="1">
        <v>45657</v>
      </c>
      <c r="L21" s="50">
        <v>170762</v>
      </c>
      <c r="M21" s="50">
        <v>159530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9.9833446571720979E-3</v>
      </c>
      <c r="K22" s="9" t="s">
        <v>50</v>
      </c>
      <c r="L22" s="6">
        <f>(M21-L21)/L21</f>
        <v>-6.5775758072639107E-2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  <c r="P25" s="9" t="s">
        <v>105</v>
      </c>
      <c r="S25" t="s">
        <v>88</v>
      </c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>
        <v>80.66</v>
      </c>
      <c r="S26" s="62">
        <f>(Q26-H26)/H26</f>
        <v>0.16569113194645804</v>
      </c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>
        <v>46.53</v>
      </c>
      <c r="S27" s="62">
        <f t="shared" ref="S27:S42" si="14">(Q27-H27)/H27</f>
        <v>-0.43760164857226519</v>
      </c>
      <c r="U27" t="s">
        <v>90</v>
      </c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5">F28/D28</f>
        <v>44.698790833464948</v>
      </c>
      <c r="F28" s="3">
        <v>56489.42</v>
      </c>
      <c r="G28" s="56">
        <v>75501.87</v>
      </c>
      <c r="H28" s="57">
        <f t="shared" ref="H28:H42" si="16">G28/D28</f>
        <v>59.742909285764696</v>
      </c>
      <c r="I28" s="57">
        <f t="shared" ref="I28:I42" si="17">G28-F28</f>
        <v>19012.449999999997</v>
      </c>
      <c r="J28" s="6">
        <f t="shared" ref="J28:J42" si="18">I28/F28</f>
        <v>0.33656656414599401</v>
      </c>
      <c r="K28" s="1">
        <v>45527</v>
      </c>
      <c r="L28" s="1">
        <v>45688</v>
      </c>
      <c r="M28">
        <f t="shared" si="13"/>
        <v>158</v>
      </c>
      <c r="Q28" s="28">
        <v>48.91</v>
      </c>
      <c r="S28" s="62">
        <f t="shared" si="14"/>
        <v>-0.18132543954209346</v>
      </c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5"/>
        <v>169.90901206845703</v>
      </c>
      <c r="F29" s="3">
        <f>59492.79+21969.78</f>
        <v>81462.570000000007</v>
      </c>
      <c r="G29" s="56">
        <v>65047.58</v>
      </c>
      <c r="H29" s="57">
        <f t="shared" si="16"/>
        <v>135.67175765807443</v>
      </c>
      <c r="I29" s="57">
        <f t="shared" si="17"/>
        <v>-16414.990000000005</v>
      </c>
      <c r="J29" s="6">
        <f t="shared" si="18"/>
        <v>-0.20150346349249729</v>
      </c>
      <c r="K29" s="1">
        <v>45671</v>
      </c>
      <c r="L29" s="1">
        <v>45688</v>
      </c>
      <c r="M29">
        <f t="shared" si="13"/>
        <v>17</v>
      </c>
      <c r="Q29" s="28">
        <v>163.77000000000001</v>
      </c>
      <c r="S29" s="62">
        <f t="shared" si="14"/>
        <v>0.20710457966307133</v>
      </c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5"/>
        <v>18.702010092477405</v>
      </c>
      <c r="F30" s="3">
        <v>56486.59</v>
      </c>
      <c r="G30" s="56">
        <v>71124.88</v>
      </c>
      <c r="H30" s="57">
        <f t="shared" si="16"/>
        <v>23.548566546258936</v>
      </c>
      <c r="I30" s="57">
        <f t="shared" si="17"/>
        <v>14638.290000000008</v>
      </c>
      <c r="J30" s="6">
        <f t="shared" si="18"/>
        <v>0.25914628587068206</v>
      </c>
      <c r="K30" s="1">
        <v>45527</v>
      </c>
      <c r="L30" s="1">
        <v>45691</v>
      </c>
      <c r="M30">
        <f t="shared" si="13"/>
        <v>160</v>
      </c>
      <c r="Q30" s="28">
        <v>19.23</v>
      </c>
      <c r="S30" s="62">
        <f t="shared" si="14"/>
        <v>-0.1833897845873344</v>
      </c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5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6"/>
        <v>38.249853000000002</v>
      </c>
      <c r="I31" s="57">
        <f t="shared" si="17"/>
        <v>-6110.386336591735</v>
      </c>
      <c r="J31" s="6">
        <f t="shared" si="18"/>
        <v>-0.10005621882176895</v>
      </c>
      <c r="K31" s="1">
        <v>45706</v>
      </c>
      <c r="L31" s="1">
        <v>45708</v>
      </c>
      <c r="M31">
        <f t="shared" si="13"/>
        <v>2</v>
      </c>
      <c r="Q31" s="28">
        <v>36.01</v>
      </c>
      <c r="S31" s="62">
        <f t="shared" si="14"/>
        <v>-5.8558473414263935E-2</v>
      </c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5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6"/>
        <v>531.63995279999995</v>
      </c>
      <c r="I32" s="57">
        <f t="shared" si="17"/>
        <v>-22176.243614196137</v>
      </c>
      <c r="J32" s="6">
        <f t="shared" si="18"/>
        <v>-0.24194911929355969</v>
      </c>
      <c r="K32" s="1">
        <v>45706</v>
      </c>
      <c r="L32" s="1">
        <v>45708</v>
      </c>
      <c r="M32">
        <f t="shared" si="13"/>
        <v>2</v>
      </c>
      <c r="Q32" s="28">
        <v>628.16</v>
      </c>
      <c r="S32" s="62">
        <f t="shared" si="14"/>
        <v>0.18155153067721067</v>
      </c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5"/>
        <v>368.56522253629635</v>
      </c>
      <c r="F33" s="3">
        <v>74438.86</v>
      </c>
      <c r="G33" s="56">
        <f>201.9693*360.5332483</f>
        <v>72816.647785877198</v>
      </c>
      <c r="H33" s="57">
        <f t="shared" si="16"/>
        <v>360.53324830000003</v>
      </c>
      <c r="I33" s="57">
        <f t="shared" si="17"/>
        <v>-1622.2122141228028</v>
      </c>
      <c r="J33" s="6">
        <f t="shared" si="18"/>
        <v>-2.1792545105107773E-2</v>
      </c>
      <c r="K33" s="1">
        <v>45664</v>
      </c>
      <c r="L33" s="1">
        <v>45708</v>
      </c>
      <c r="M33">
        <f t="shared" si="13"/>
        <v>43</v>
      </c>
      <c r="Q33" s="28">
        <v>396.32</v>
      </c>
      <c r="S33" s="62">
        <f t="shared" si="14"/>
        <v>9.9260614294917351E-2</v>
      </c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5"/>
        <v>30.17825528482809</v>
      </c>
      <c r="F34" s="3">
        <v>37884.65</v>
      </c>
      <c r="G34" s="56">
        <f>1255.3625*39.762296</f>
        <v>49916.0953123</v>
      </c>
      <c r="H34" s="57">
        <f t="shared" si="16"/>
        <v>39.762295999999999</v>
      </c>
      <c r="I34" s="57">
        <f t="shared" si="17"/>
        <v>12031.445312299998</v>
      </c>
      <c r="J34" s="6">
        <f t="shared" si="18"/>
        <v>0.31758100740801348</v>
      </c>
      <c r="K34" s="1">
        <v>45663</v>
      </c>
      <c r="L34" s="1">
        <v>45709</v>
      </c>
      <c r="M34">
        <f t="shared" si="13"/>
        <v>45</v>
      </c>
      <c r="Q34" s="28">
        <v>26.24</v>
      </c>
      <c r="S34" s="62">
        <f t="shared" si="14"/>
        <v>-0.34007834960033495</v>
      </c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5"/>
        <v>242.26930551548847</v>
      </c>
      <c r="F35" s="3">
        <v>61221.72</v>
      </c>
      <c r="G35" s="56">
        <f>252.7011*226.6146532</f>
        <v>57265.772139758519</v>
      </c>
      <c r="H35" s="57">
        <f t="shared" si="16"/>
        <v>226.61465319999999</v>
      </c>
      <c r="I35" s="57">
        <f t="shared" si="17"/>
        <v>-3955.947860241482</v>
      </c>
      <c r="J35" s="6">
        <f t="shared" si="18"/>
        <v>-6.4616738311852093E-2</v>
      </c>
      <c r="K35" s="1">
        <v>45699</v>
      </c>
      <c r="L35" s="1">
        <v>45709</v>
      </c>
      <c r="M35">
        <f t="shared" si="13"/>
        <v>10</v>
      </c>
      <c r="Q35" s="28">
        <v>196.78</v>
      </c>
      <c r="S35" s="62">
        <f t="shared" si="14"/>
        <v>-0.13165368072500261</v>
      </c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5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6"/>
        <v>283.93999450000007</v>
      </c>
      <c r="I36" s="57">
        <f t="shared" si="17"/>
        <v>19563.525282954361</v>
      </c>
      <c r="J36" s="6">
        <f t="shared" si="18"/>
        <v>0.36434300703793465</v>
      </c>
      <c r="K36" s="1">
        <v>45580</v>
      </c>
      <c r="L36" s="1">
        <v>45712</v>
      </c>
      <c r="M36">
        <f t="shared" si="13"/>
        <v>129</v>
      </c>
      <c r="Q36" s="28">
        <v>394.37</v>
      </c>
      <c r="S36" s="62">
        <f t="shared" si="14"/>
        <v>0.38892022131105558</v>
      </c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5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6"/>
        <v>63.365330900000004</v>
      </c>
      <c r="I37" s="57">
        <f t="shared" si="17"/>
        <v>-4549.5912833559851</v>
      </c>
      <c r="J37" s="6">
        <f t="shared" si="18"/>
        <v>-5.9638082078758516E-2</v>
      </c>
      <c r="K37" s="1">
        <v>45673</v>
      </c>
      <c r="L37" s="1">
        <v>45712</v>
      </c>
      <c r="M37">
        <f t="shared" si="13"/>
        <v>38</v>
      </c>
      <c r="Q37" s="28">
        <v>47.84</v>
      </c>
      <c r="S37" s="62">
        <f t="shared" si="14"/>
        <v>-0.24501301704714998</v>
      </c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6"/>
        <v>50.021380499999999</v>
      </c>
      <c r="I38" s="57">
        <f t="shared" si="17"/>
        <v>6027.2875116823998</v>
      </c>
      <c r="J38" s="6">
        <f t="shared" si="18"/>
        <v>9.9771440635884723E-2</v>
      </c>
      <c r="K38" s="1">
        <v>45593</v>
      </c>
      <c r="L38" s="1">
        <v>45713</v>
      </c>
      <c r="M38">
        <f t="shared" si="13"/>
        <v>117</v>
      </c>
      <c r="Q38" s="28">
        <v>55.19</v>
      </c>
      <c r="S38" s="62">
        <f t="shared" si="14"/>
        <v>0.10332820582590675</v>
      </c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6"/>
        <v>12.519992000000002</v>
      </c>
      <c r="I39" s="57">
        <f t="shared" si="17"/>
        <v>-2230.6527810991975</v>
      </c>
      <c r="J39" s="6">
        <f t="shared" si="18"/>
        <v>-9.8609037242937694E-2</v>
      </c>
      <c r="K39" s="1">
        <v>45692</v>
      </c>
      <c r="L39" s="1">
        <v>45715</v>
      </c>
      <c r="M39">
        <f>DAYS360(K39,L39)</f>
        <v>23</v>
      </c>
      <c r="Q39" s="28">
        <v>12.49</v>
      </c>
      <c r="S39" s="62">
        <f t="shared" si="14"/>
        <v>-2.3955286872389208E-3</v>
      </c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6"/>
        <v>94.679995300000002</v>
      </c>
      <c r="I40" s="57">
        <f t="shared" si="17"/>
        <v>-4750.690604140058</v>
      </c>
      <c r="J40" s="6">
        <f t="shared" si="18"/>
        <v>-0.10235753534193669</v>
      </c>
      <c r="K40" s="1">
        <v>45695</v>
      </c>
      <c r="L40" s="1">
        <v>45729</v>
      </c>
      <c r="M40">
        <f>DAYS360(K40,L40)</f>
        <v>36</v>
      </c>
      <c r="Q40" s="28">
        <v>106.18</v>
      </c>
      <c r="S40" s="62">
        <f t="shared" si="14"/>
        <v>0.12146182161882728</v>
      </c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42" si="19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6"/>
        <v>18.9477051</v>
      </c>
      <c r="I41" s="57">
        <f t="shared" si="17"/>
        <v>-2244.5195874142191</v>
      </c>
      <c r="J41" s="6">
        <f t="shared" si="18"/>
        <v>-8.2776138273503941E-2</v>
      </c>
      <c r="K41" s="1">
        <v>45761</v>
      </c>
      <c r="L41" s="1">
        <v>45768</v>
      </c>
      <c r="M41">
        <f t="shared" ref="M41:M42" si="20">DAYS360(K41,L41)</f>
        <v>7</v>
      </c>
      <c r="Q41" s="28">
        <v>23.52</v>
      </c>
      <c r="S41" s="62">
        <f t="shared" si="14"/>
        <v>0.2413112762663801</v>
      </c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9"/>
        <v>96.336406065231671</v>
      </c>
      <c r="F42" s="3">
        <v>34004.42</v>
      </c>
      <c r="G42" s="56">
        <f>352.9758*89.7849585</f>
        <v>31691.9175545043</v>
      </c>
      <c r="H42" s="57">
        <f t="shared" si="16"/>
        <v>89.784958500000002</v>
      </c>
      <c r="I42" s="57">
        <f t="shared" si="17"/>
        <v>-2312.5024454956983</v>
      </c>
      <c r="J42" s="6">
        <f t="shared" si="18"/>
        <v>-6.8005937036882222E-2</v>
      </c>
      <c r="K42" s="1">
        <v>45762</v>
      </c>
      <c r="L42" s="1">
        <v>45768</v>
      </c>
      <c r="M42">
        <f t="shared" si="20"/>
        <v>6</v>
      </c>
      <c r="Q42" s="28">
        <v>124.28</v>
      </c>
      <c r="S42" s="62">
        <f t="shared" si="14"/>
        <v>0.38419621812266025</v>
      </c>
    </row>
    <row r="43" spans="1:19" x14ac:dyDescent="0.25">
      <c r="C43" s="25"/>
      <c r="D43" s="2"/>
      <c r="E43" s="57"/>
      <c r="F43" s="3"/>
      <c r="G43" s="56"/>
      <c r="H43" s="57"/>
      <c r="I43" s="57"/>
      <c r="J43" s="6"/>
      <c r="K43" s="1"/>
      <c r="L43" s="1"/>
    </row>
    <row r="44" spans="1:19" x14ac:dyDescent="0.25">
      <c r="C44" s="25"/>
      <c r="D44" s="2"/>
      <c r="E44" s="57"/>
      <c r="F44" s="3"/>
      <c r="G44" s="56"/>
      <c r="H44" s="57"/>
      <c r="I44" s="57"/>
      <c r="J44" s="6"/>
      <c r="K44" s="1"/>
      <c r="L44" s="1"/>
    </row>
    <row r="45" spans="1:19" x14ac:dyDescent="0.25">
      <c r="C45" s="25"/>
      <c r="D45" s="2"/>
      <c r="E45" s="57"/>
      <c r="F45" s="3"/>
      <c r="G45" s="56"/>
      <c r="H45" s="57"/>
      <c r="I45" s="57"/>
      <c r="J45" s="6"/>
      <c r="K45" s="1"/>
      <c r="L45" s="1"/>
    </row>
    <row r="46" spans="1:19" x14ac:dyDescent="0.25">
      <c r="C46" s="25"/>
      <c r="D46" s="2"/>
      <c r="E46" s="57"/>
      <c r="F46" s="3"/>
      <c r="G46" s="56"/>
      <c r="H46" s="57"/>
      <c r="I46" s="57"/>
      <c r="J46" s="6"/>
      <c r="K46" s="1"/>
      <c r="L46" s="1"/>
    </row>
    <row r="47" spans="1:19" x14ac:dyDescent="0.25">
      <c r="F47" s="56"/>
      <c r="G47" s="56"/>
      <c r="H47" s="3"/>
      <c r="I47" s="3">
        <f>SUM(I26:I46)</f>
        <v>-2858.7586197205528</v>
      </c>
      <c r="J47" s="13" t="s">
        <v>66</v>
      </c>
    </row>
    <row r="48" spans="1:19" x14ac:dyDescent="0.25">
      <c r="F48" s="56"/>
      <c r="G48" s="56"/>
      <c r="H48" s="3" t="s">
        <v>67</v>
      </c>
      <c r="I48" s="59">
        <v>11</v>
      </c>
      <c r="J48" s="5">
        <v>-9.7299999999999998E-2</v>
      </c>
    </row>
    <row r="49" spans="6:10" x14ac:dyDescent="0.25">
      <c r="F49" s="56"/>
      <c r="G49" s="56"/>
      <c r="H49" s="3" t="s">
        <v>68</v>
      </c>
      <c r="I49" s="59">
        <v>5</v>
      </c>
      <c r="J49" s="5">
        <v>0.27560000000000001</v>
      </c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  <c r="J61" s="6"/>
    </row>
    <row r="62" spans="6:10" x14ac:dyDescent="0.25">
      <c r="F62" s="56"/>
      <c r="G62" s="56"/>
      <c r="J62" s="6"/>
    </row>
    <row r="63" spans="6:10" x14ac:dyDescent="0.25">
      <c r="F63" s="56"/>
      <c r="G63" s="56"/>
      <c r="J63" s="6"/>
    </row>
    <row r="64" spans="6:10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</row>
    <row r="74" spans="6:10" x14ac:dyDescent="0.25">
      <c r="F74" s="56"/>
      <c r="G74" s="56"/>
    </row>
    <row r="75" spans="6:10" x14ac:dyDescent="0.25">
      <c r="F75" s="56"/>
      <c r="G75" s="56"/>
    </row>
    <row r="76" spans="6:10" x14ac:dyDescent="0.25">
      <c r="F76" s="56"/>
      <c r="G76" s="56"/>
    </row>
    <row r="77" spans="6:10" x14ac:dyDescent="0.25">
      <c r="F77" s="56"/>
      <c r="G77" s="56"/>
    </row>
    <row r="78" spans="6:10" x14ac:dyDescent="0.25">
      <c r="F78" s="56"/>
      <c r="G78" s="56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A3D7-025C-412E-BC65-373B7C567BC4}">
  <sheetPr>
    <pageSetUpPr fitToPage="1"/>
  </sheetPr>
  <dimension ref="A1:AC78"/>
  <sheetViews>
    <sheetView workbookViewId="0">
      <selection activeCell="F20" sqref="F20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9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45786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C7" s="25"/>
      <c r="D7" s="2"/>
      <c r="E7" s="26"/>
      <c r="F7" s="3">
        <f>E7*D7</f>
        <v>0</v>
      </c>
      <c r="G7" s="3"/>
      <c r="H7" s="4" t="e">
        <f>G7/D7</f>
        <v>#DIV/0!</v>
      </c>
      <c r="I7" s="3">
        <f>F7-G7</f>
        <v>0</v>
      </c>
      <c r="J7" s="26" t="e">
        <f>E7-H7</f>
        <v>#DIV/0!</v>
      </c>
      <c r="K7" s="27"/>
      <c r="L7">
        <f>DAYS360(K7,$C$1)</f>
        <v>45129</v>
      </c>
      <c r="M7" s="5" t="e">
        <f>(I7/G7)</f>
        <v>#DIV/0!</v>
      </c>
      <c r="P7" s="63"/>
      <c r="Q7" s="28"/>
      <c r="R7" s="29">
        <f>Q7*0.93</f>
        <v>0</v>
      </c>
      <c r="S7" s="29"/>
      <c r="T7" s="31">
        <f>Q7*1.25</f>
        <v>0</v>
      </c>
      <c r="U7" s="28">
        <f>Q7*1.5</f>
        <v>0</v>
      </c>
      <c r="V7" s="28">
        <f>Q7*2</f>
        <v>0</v>
      </c>
      <c r="W7" s="28" t="e">
        <f>H7-(H7*0.07)</f>
        <v>#DIV/0!</v>
      </c>
      <c r="X7" s="29"/>
      <c r="Y7" s="5" t="e">
        <f>(X7-H7)/H7</f>
        <v>#DIV/0!</v>
      </c>
      <c r="Z7" s="6">
        <f>F7/F$20</f>
        <v>0</v>
      </c>
      <c r="AB7" s="60"/>
      <c r="AC7" s="9"/>
    </row>
    <row r="8" spans="1:29" x14ac:dyDescent="0.25">
      <c r="A8" t="s">
        <v>96</v>
      </c>
      <c r="B8" t="s">
        <v>30</v>
      </c>
      <c r="C8" s="25" t="s">
        <v>97</v>
      </c>
      <c r="D8" s="2">
        <v>575.84820000000002</v>
      </c>
      <c r="E8" s="26">
        <v>33.64</v>
      </c>
      <c r="F8" s="3">
        <f>E8*D8</f>
        <v>19371.533448000002</v>
      </c>
      <c r="G8" s="3">
        <f>575.8482*38.1018073</f>
        <v>21940.857150451859</v>
      </c>
      <c r="H8" s="4">
        <f>G8/D8</f>
        <v>38.101807299999997</v>
      </c>
      <c r="I8" s="3">
        <f>F8-G8</f>
        <v>-2569.3237024518567</v>
      </c>
      <c r="J8" s="26">
        <f>E8-H8</f>
        <v>-4.4618072999999967</v>
      </c>
      <c r="K8" s="27">
        <v>45761</v>
      </c>
      <c r="L8">
        <f>DAYS360(K8,$C$1)</f>
        <v>25</v>
      </c>
      <c r="M8" s="5">
        <f>(I8/G8)</f>
        <v>-0.11710224832300788</v>
      </c>
      <c r="N8">
        <v>72</v>
      </c>
      <c r="O8">
        <v>95</v>
      </c>
      <c r="P8" s="63">
        <v>80</v>
      </c>
      <c r="Q8" s="28">
        <v>34.58</v>
      </c>
      <c r="R8" s="29">
        <f>Q8*0.93</f>
        <v>32.159399999999998</v>
      </c>
      <c r="S8" s="29">
        <v>31</v>
      </c>
      <c r="T8" s="31">
        <f>Q8*1.25</f>
        <v>43.224999999999994</v>
      </c>
      <c r="U8" s="28">
        <f>Q8*1.5</f>
        <v>51.87</v>
      </c>
      <c r="V8" s="28">
        <f>Q8*2</f>
        <v>69.16</v>
      </c>
      <c r="W8" s="28">
        <f>H8-(H8*0.07)</f>
        <v>35.434680788999998</v>
      </c>
      <c r="X8" s="29">
        <v>34.5</v>
      </c>
      <c r="Y8" s="5">
        <f>(X8-H8)/H8</f>
        <v>-9.4531140521515303E-2</v>
      </c>
      <c r="Z8" s="6">
        <f>F8/F$20</f>
        <v>4.364118182567997E-2</v>
      </c>
      <c r="AB8" s="58">
        <v>45874</v>
      </c>
      <c r="AC8" s="9">
        <v>93</v>
      </c>
    </row>
    <row r="9" spans="1:29" x14ac:dyDescent="0.25">
      <c r="A9" t="s">
        <v>71</v>
      </c>
      <c r="B9" t="s">
        <v>30</v>
      </c>
      <c r="C9" t="s">
        <v>72</v>
      </c>
      <c r="D9" s="2">
        <v>98.187700000000007</v>
      </c>
      <c r="E9" s="26">
        <v>399.26</v>
      </c>
      <c r="F9" s="3">
        <f>E9*D9</f>
        <v>39202.421102</v>
      </c>
      <c r="G9" s="3">
        <f>98.1877*356.0822435</f>
        <v>34962.896500104951</v>
      </c>
      <c r="H9" s="4">
        <f>G9/D9</f>
        <v>356.0822435</v>
      </c>
      <c r="I9" s="3">
        <f t="shared" ref="I9:I17" si="0">F9-G9</f>
        <v>4239.5246018950493</v>
      </c>
      <c r="J9" s="26">
        <f>E9-H9</f>
        <v>43.177756499999987</v>
      </c>
      <c r="K9" s="27">
        <v>45771</v>
      </c>
      <c r="L9">
        <f>DAYS360(K9,$C$1)</f>
        <v>15</v>
      </c>
      <c r="M9" s="5">
        <f>(I9/G9)</f>
        <v>0.12125781975421639</v>
      </c>
      <c r="N9">
        <v>50</v>
      </c>
      <c r="O9">
        <v>97</v>
      </c>
      <c r="P9" s="33">
        <v>81</v>
      </c>
      <c r="Q9" s="28">
        <v>349.62</v>
      </c>
      <c r="R9" s="29">
        <f>Q9*0.93</f>
        <v>325.14660000000003</v>
      </c>
      <c r="S9" s="29">
        <v>306.20999999999998</v>
      </c>
      <c r="T9" s="28">
        <f>Q9*1.25</f>
        <v>437.02499999999998</v>
      </c>
      <c r="U9" s="28">
        <f>Q9*1.5</f>
        <v>524.43000000000006</v>
      </c>
      <c r="V9" s="28">
        <f>Q9*2</f>
        <v>699.24</v>
      </c>
      <c r="W9" s="28">
        <f>H9-(H9*0.07)</f>
        <v>331.15648645499999</v>
      </c>
      <c r="X9" s="29">
        <v>330</v>
      </c>
      <c r="Y9" s="5">
        <f>(X9-H9)/H9</f>
        <v>-7.324780714599155E-2</v>
      </c>
      <c r="Z9" s="32">
        <f>F9/F$20</f>
        <v>8.8317220312565892E-2</v>
      </c>
      <c r="AB9" s="58">
        <v>45861</v>
      </c>
      <c r="AC9" s="9">
        <v>95</v>
      </c>
    </row>
    <row r="10" spans="1:29" x14ac:dyDescent="0.25">
      <c r="A10" t="s">
        <v>104</v>
      </c>
      <c r="B10" t="s">
        <v>30</v>
      </c>
      <c r="C10" s="25" t="s">
        <v>99</v>
      </c>
      <c r="D10" s="2">
        <v>960.15710000000001</v>
      </c>
      <c r="E10" s="26">
        <v>19.98</v>
      </c>
      <c r="F10" s="3">
        <f>E10*D10</f>
        <v>19183.938858000001</v>
      </c>
      <c r="G10" s="3">
        <f>960.1571*24.5702931</f>
        <v>23591.341369046011</v>
      </c>
      <c r="H10" s="4">
        <f>G10/D10</f>
        <v>24.570293100000001</v>
      </c>
      <c r="I10" s="3">
        <f t="shared" si="0"/>
        <v>-4407.4025110460097</v>
      </c>
      <c r="J10" s="26">
        <f>E10-H10</f>
        <v>-4.5902931000000002</v>
      </c>
      <c r="K10" s="27">
        <v>45776</v>
      </c>
      <c r="L10">
        <f>DAYS360(K10,$C$1)</f>
        <v>10</v>
      </c>
      <c r="M10" s="5">
        <f>(I10/G10)</f>
        <v>-0.18682288735090424</v>
      </c>
      <c r="N10">
        <v>72</v>
      </c>
      <c r="O10">
        <v>95</v>
      </c>
      <c r="P10" s="63">
        <v>80</v>
      </c>
      <c r="Q10" s="28">
        <v>22.73</v>
      </c>
      <c r="R10" s="29">
        <f>Q10*0.93</f>
        <v>21.138900000000003</v>
      </c>
      <c r="S10" s="29">
        <v>19.64</v>
      </c>
      <c r="T10" s="28">
        <f>Q10*1.25</f>
        <v>28.412500000000001</v>
      </c>
      <c r="U10" s="28">
        <f>Q10*1.5</f>
        <v>34.094999999999999</v>
      </c>
      <c r="V10" s="28">
        <f>Q10*2</f>
        <v>45.46</v>
      </c>
      <c r="W10" s="28">
        <f>H10-(H10*0.07)</f>
        <v>22.850372583000002</v>
      </c>
      <c r="X10" s="29">
        <v>22.43</v>
      </c>
      <c r="Y10" s="5">
        <f>(X10-H10)/H10</f>
        <v>-8.7108977141180335E-2</v>
      </c>
      <c r="Z10" s="6">
        <f>F10/F$20</f>
        <v>4.3218559133796526E-2</v>
      </c>
      <c r="AB10" s="58">
        <v>45875</v>
      </c>
      <c r="AC10" s="9">
        <v>97</v>
      </c>
    </row>
    <row r="11" spans="1:29" x14ac:dyDescent="0.25">
      <c r="A11" t="s">
        <v>106</v>
      </c>
      <c r="B11" t="s">
        <v>30</v>
      </c>
      <c r="C11" s="25" t="s">
        <v>108</v>
      </c>
      <c r="D11" s="2">
        <v>279.89909999999998</v>
      </c>
      <c r="E11" s="26">
        <v>95.88</v>
      </c>
      <c r="F11" s="3">
        <f t="shared" ref="F11:F17" si="1">E11*D11</f>
        <v>26836.725707999998</v>
      </c>
      <c r="G11" s="3">
        <f>279.8991*98.0004109</f>
        <v>27430.226810540189</v>
      </c>
      <c r="H11" s="4">
        <f t="shared" ref="H11:H17" si="2">G11/D11</f>
        <v>98.000410900000006</v>
      </c>
      <c r="I11" s="3">
        <f t="shared" si="0"/>
        <v>-593.50110254019091</v>
      </c>
      <c r="J11" s="26">
        <f t="shared" ref="J11:J17" si="3">E11-H11</f>
        <v>-2.1204109000000102</v>
      </c>
      <c r="K11" s="27">
        <v>45782</v>
      </c>
      <c r="L11">
        <f t="shared" ref="L11:L17" si="4">DAYS360(K11,$C$1)</f>
        <v>4</v>
      </c>
      <c r="M11" s="5">
        <f t="shared" ref="M11:M17" si="5">(I11/G11)</f>
        <v>-2.16367551985438E-2</v>
      </c>
      <c r="N11">
        <v>6</v>
      </c>
      <c r="O11">
        <v>96</v>
      </c>
      <c r="P11" s="63">
        <v>80</v>
      </c>
      <c r="Q11" s="28">
        <v>90.79</v>
      </c>
      <c r="R11" s="29">
        <f t="shared" ref="R11:R17" si="6">Q11*0.93</f>
        <v>84.434700000000007</v>
      </c>
      <c r="S11" s="29">
        <v>90</v>
      </c>
      <c r="T11" s="28">
        <f t="shared" ref="T11:T17" si="7">Q11*1.25</f>
        <v>113.48750000000001</v>
      </c>
      <c r="U11" s="28">
        <f t="shared" ref="U11:U17" si="8">Q11*1.5</f>
        <v>136.185</v>
      </c>
      <c r="V11" s="28">
        <f t="shared" ref="V11:V17" si="9">Q11*2</f>
        <v>181.58</v>
      </c>
      <c r="W11" s="28">
        <f t="shared" ref="W11:W17" si="10">H11-(H11*0.07)</f>
        <v>91.140382137000003</v>
      </c>
      <c r="X11" s="29">
        <v>90</v>
      </c>
      <c r="Y11" s="5">
        <f t="shared" ref="Y11:Y17" si="11">(X11-H11)/H11</f>
        <v>-8.1636503628170043E-2</v>
      </c>
      <c r="Z11" s="32">
        <f t="shared" ref="Z11:Z17" si="12">F11/F$20</f>
        <v>6.0459148955481691E-2</v>
      </c>
      <c r="AB11" s="60">
        <v>45790</v>
      </c>
      <c r="AC11" s="9">
        <v>99</v>
      </c>
    </row>
    <row r="12" spans="1:29" x14ac:dyDescent="0.25">
      <c r="A12" t="s">
        <v>100</v>
      </c>
      <c r="B12" t="s">
        <v>30</v>
      </c>
      <c r="C12" s="25" t="s">
        <v>101</v>
      </c>
      <c r="D12" s="2">
        <v>183.48310000000001</v>
      </c>
      <c r="E12" s="26">
        <v>117.3</v>
      </c>
      <c r="F12" s="3">
        <f t="shared" si="1"/>
        <v>21522.567630000001</v>
      </c>
      <c r="G12" s="3">
        <f>183.4831*124.6799869</f>
        <v>22876.670504371392</v>
      </c>
      <c r="H12" s="4">
        <f t="shared" si="2"/>
        <v>124.6799869</v>
      </c>
      <c r="I12" s="3">
        <f t="shared" si="0"/>
        <v>-1354.1028743713905</v>
      </c>
      <c r="J12" s="26">
        <f t="shared" si="3"/>
        <v>-7.3799869000000058</v>
      </c>
      <c r="K12" s="27">
        <v>45782</v>
      </c>
      <c r="L12">
        <f t="shared" si="4"/>
        <v>4</v>
      </c>
      <c r="M12" s="5">
        <f t="shared" si="5"/>
        <v>-5.9191431467819654E-2</v>
      </c>
      <c r="N12">
        <v>49</v>
      </c>
      <c r="O12">
        <v>99</v>
      </c>
      <c r="P12" s="64">
        <v>98</v>
      </c>
      <c r="Q12" s="28">
        <v>125.41</v>
      </c>
      <c r="R12" s="29">
        <f t="shared" si="6"/>
        <v>116.6313</v>
      </c>
      <c r="S12" s="29">
        <v>89.31</v>
      </c>
      <c r="T12" s="31">
        <f t="shared" si="7"/>
        <v>156.76249999999999</v>
      </c>
      <c r="U12" s="28">
        <f t="shared" si="8"/>
        <v>188.11500000000001</v>
      </c>
      <c r="V12" s="28">
        <f t="shared" si="9"/>
        <v>250.82</v>
      </c>
      <c r="W12" s="28">
        <f t="shared" si="10"/>
        <v>115.952387817</v>
      </c>
      <c r="X12" s="29">
        <v>105</v>
      </c>
      <c r="Y12" s="5">
        <f t="shared" si="11"/>
        <v>-0.15784399236249841</v>
      </c>
      <c r="Z12" s="6">
        <f t="shared" si="12"/>
        <v>4.8487141702935152E-2</v>
      </c>
      <c r="AB12" s="58">
        <v>45880</v>
      </c>
      <c r="AC12" s="9">
        <v>99</v>
      </c>
    </row>
    <row r="13" spans="1:29" x14ac:dyDescent="0.25">
      <c r="A13" t="s">
        <v>107</v>
      </c>
      <c r="B13" t="s">
        <v>30</v>
      </c>
      <c r="C13" s="25" t="s">
        <v>109</v>
      </c>
      <c r="D13" s="2">
        <v>553.20609999999999</v>
      </c>
      <c r="E13" s="26">
        <v>40.01</v>
      </c>
      <c r="F13" s="3">
        <f t="shared" si="1"/>
        <v>22133.776060999997</v>
      </c>
      <c r="G13" s="3">
        <f>553.2061*41.35364</f>
        <v>22877.085905204</v>
      </c>
      <c r="H13" s="4">
        <f t="shared" si="2"/>
        <v>41.353639999999999</v>
      </c>
      <c r="I13" s="3">
        <f t="shared" si="0"/>
        <v>-743.30984420400273</v>
      </c>
      <c r="J13" s="26">
        <f t="shared" si="3"/>
        <v>-1.3436400000000006</v>
      </c>
      <c r="K13" s="27">
        <v>45782</v>
      </c>
      <c r="L13">
        <f t="shared" si="4"/>
        <v>4</v>
      </c>
      <c r="M13" s="5">
        <f t="shared" si="5"/>
        <v>-3.2491456616636528E-2</v>
      </c>
      <c r="N13">
        <v>33</v>
      </c>
      <c r="O13">
        <v>95</v>
      </c>
      <c r="P13" s="63">
        <v>82</v>
      </c>
      <c r="Q13" s="28">
        <v>40</v>
      </c>
      <c r="R13" s="29">
        <f t="shared" si="6"/>
        <v>37.200000000000003</v>
      </c>
      <c r="S13" s="29">
        <v>35.53</v>
      </c>
      <c r="T13" s="31">
        <f t="shared" si="7"/>
        <v>50</v>
      </c>
      <c r="U13" s="28">
        <f t="shared" si="8"/>
        <v>60</v>
      </c>
      <c r="V13" s="28">
        <f t="shared" si="9"/>
        <v>80</v>
      </c>
      <c r="W13" s="28">
        <f t="shared" si="10"/>
        <v>38.458885199999997</v>
      </c>
      <c r="X13" s="29">
        <v>38.46</v>
      </c>
      <c r="Y13" s="5">
        <f t="shared" si="11"/>
        <v>-6.9973042276326766E-2</v>
      </c>
      <c r="Z13" s="32">
        <f t="shared" si="12"/>
        <v>4.9864103332857811E-2</v>
      </c>
      <c r="AB13" s="58">
        <v>45875</v>
      </c>
      <c r="AC13" s="9">
        <v>98</v>
      </c>
    </row>
    <row r="14" spans="1:29" x14ac:dyDescent="0.25">
      <c r="C14" s="25"/>
      <c r="D14" s="2"/>
      <c r="E14" s="26"/>
      <c r="F14" s="3">
        <f t="shared" si="1"/>
        <v>0</v>
      </c>
      <c r="G14" s="3"/>
      <c r="H14" s="4" t="e">
        <f t="shared" si="2"/>
        <v>#DIV/0!</v>
      </c>
      <c r="I14" s="3">
        <f t="shared" si="0"/>
        <v>0</v>
      </c>
      <c r="J14" s="26" t="e">
        <f t="shared" si="3"/>
        <v>#DIV/0!</v>
      </c>
      <c r="K14" s="27"/>
      <c r="L14">
        <f t="shared" si="4"/>
        <v>45129</v>
      </c>
      <c r="M14" s="5" t="e">
        <f t="shared" si="5"/>
        <v>#DIV/0!</v>
      </c>
      <c r="P14" s="63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8"/>
      <c r="AC14" s="9"/>
    </row>
    <row r="15" spans="1:29" x14ac:dyDescent="0.25">
      <c r="C15" s="25"/>
      <c r="D15" s="2"/>
      <c r="E15" s="26"/>
      <c r="F15" s="3">
        <f t="shared" si="1"/>
        <v>0</v>
      </c>
      <c r="G15" s="3"/>
      <c r="H15" s="4" t="e">
        <f t="shared" si="2"/>
        <v>#DIV/0!</v>
      </c>
      <c r="I15" s="3">
        <f t="shared" si="0"/>
        <v>0</v>
      </c>
      <c r="J15" s="26" t="e">
        <f t="shared" si="3"/>
        <v>#DIV/0!</v>
      </c>
      <c r="K15" s="27"/>
      <c r="L15">
        <f t="shared" si="4"/>
        <v>45129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1"/>
        <v>0</v>
      </c>
      <c r="G16" s="3"/>
      <c r="H16" s="4" t="e">
        <f t="shared" si="2"/>
        <v>#DIV/0!</v>
      </c>
      <c r="I16" s="3">
        <f t="shared" si="0"/>
        <v>0</v>
      </c>
      <c r="J16" s="26" t="e">
        <f t="shared" si="3"/>
        <v>#DIV/0!</v>
      </c>
      <c r="K16" s="27"/>
      <c r="L16">
        <f t="shared" si="4"/>
        <v>45129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6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"/>
        <v>0</v>
      </c>
      <c r="G17" s="39"/>
      <c r="H17" s="40" t="e">
        <f t="shared" si="2"/>
        <v>#DIV/0!</v>
      </c>
      <c r="I17" s="39">
        <f t="shared" si="0"/>
        <v>0</v>
      </c>
      <c r="J17" s="38" t="e">
        <f t="shared" si="3"/>
        <v>#DIV/0!</v>
      </c>
      <c r="K17" s="41"/>
      <c r="L17" s="35">
        <f t="shared" si="4"/>
        <v>45129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148250.962807</v>
      </c>
      <c r="G18" s="3">
        <f>SUM(G6:G17)</f>
        <v>153679.07823971839</v>
      </c>
      <c r="H18" s="4"/>
      <c r="I18" s="3">
        <f>SUM(I6:I17)</f>
        <v>-5428.1154327184013</v>
      </c>
      <c r="M18" s="5"/>
      <c r="Z18" s="6"/>
    </row>
    <row r="19" spans="1:29" x14ac:dyDescent="0.25">
      <c r="D19" s="2" t="s">
        <v>44</v>
      </c>
      <c r="F19" s="3">
        <v>295631</v>
      </c>
      <c r="G19" s="6">
        <f>F19/F20</f>
        <v>0.66601264473668287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443881.96280700003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'05-02-25'!F20</f>
        <v>685668.08752900001</v>
      </c>
      <c r="K21" s="1">
        <v>45657</v>
      </c>
      <c r="L21" s="50">
        <v>170762</v>
      </c>
      <c r="M21" s="50">
        <v>153507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-0.35262852263307903</v>
      </c>
      <c r="K22" s="9" t="s">
        <v>50</v>
      </c>
      <c r="L22" s="6">
        <f>(M21-L21)/L21</f>
        <v>-0.10104707136248112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  <c r="P25" s="9" t="s">
        <v>110</v>
      </c>
      <c r="S25" t="s">
        <v>88</v>
      </c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>
        <v>80.88</v>
      </c>
      <c r="S26" s="62">
        <f>(Q26-H26)/H26</f>
        <v>0.16887055234105536</v>
      </c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>
        <v>50.36</v>
      </c>
      <c r="S27" s="62">
        <f t="shared" ref="S27:S43" si="14">(Q27-H27)/H27</f>
        <v>-0.39130924182461368</v>
      </c>
      <c r="U27" t="s">
        <v>90</v>
      </c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5">F28/D28</f>
        <v>44.698790833464948</v>
      </c>
      <c r="F28" s="3">
        <v>56489.42</v>
      </c>
      <c r="G28" s="56">
        <v>75501.87</v>
      </c>
      <c r="H28" s="57">
        <f t="shared" ref="H28:H42" si="16">G28/D28</f>
        <v>59.742909285764696</v>
      </c>
      <c r="I28" s="57">
        <f t="shared" ref="I28:I42" si="17">G28-F28</f>
        <v>19012.449999999997</v>
      </c>
      <c r="J28" s="6">
        <f t="shared" ref="J28:J42" si="18">I28/F28</f>
        <v>0.33656656414599401</v>
      </c>
      <c r="K28" s="1">
        <v>45527</v>
      </c>
      <c r="L28" s="1">
        <v>45688</v>
      </c>
      <c r="M28">
        <f t="shared" si="13"/>
        <v>158</v>
      </c>
      <c r="Q28" s="28">
        <v>49.42</v>
      </c>
      <c r="S28" s="62">
        <f t="shared" si="14"/>
        <v>-0.17278886162687088</v>
      </c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5"/>
        <v>169.90901206845703</v>
      </c>
      <c r="F29" s="3">
        <f>59492.79+21969.78</f>
        <v>81462.570000000007</v>
      </c>
      <c r="G29" s="56">
        <v>65047.58</v>
      </c>
      <c r="H29" s="57">
        <f t="shared" si="16"/>
        <v>135.67175765807443</v>
      </c>
      <c r="I29" s="57">
        <f t="shared" si="17"/>
        <v>-16414.990000000005</v>
      </c>
      <c r="J29" s="6">
        <f t="shared" si="18"/>
        <v>-0.20150346349249729</v>
      </c>
      <c r="K29" s="1">
        <v>45671</v>
      </c>
      <c r="L29" s="1">
        <v>45688</v>
      </c>
      <c r="M29">
        <f t="shared" si="13"/>
        <v>17</v>
      </c>
      <c r="Q29" s="28">
        <v>170.28</v>
      </c>
      <c r="S29" s="62">
        <f t="shared" si="14"/>
        <v>0.25508803703381433</v>
      </c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5"/>
        <v>18.702010092477405</v>
      </c>
      <c r="F30" s="3">
        <v>56486.59</v>
      </c>
      <c r="G30" s="56">
        <v>71124.88</v>
      </c>
      <c r="H30" s="57">
        <f t="shared" si="16"/>
        <v>23.548566546258936</v>
      </c>
      <c r="I30" s="57">
        <f t="shared" si="17"/>
        <v>14638.290000000008</v>
      </c>
      <c r="J30" s="6">
        <f t="shared" si="18"/>
        <v>0.25914628587068206</v>
      </c>
      <c r="K30" s="1">
        <v>45527</v>
      </c>
      <c r="L30" s="1">
        <v>45691</v>
      </c>
      <c r="M30">
        <f t="shared" si="13"/>
        <v>160</v>
      </c>
      <c r="Q30" s="28">
        <v>20.66</v>
      </c>
      <c r="S30" s="62">
        <f t="shared" si="14"/>
        <v>-0.12266421994666298</v>
      </c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5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6"/>
        <v>38.249853000000002</v>
      </c>
      <c r="I31" s="57">
        <f t="shared" si="17"/>
        <v>-6110.386336591735</v>
      </c>
      <c r="J31" s="6">
        <f t="shared" si="18"/>
        <v>-0.10005621882176895</v>
      </c>
      <c r="K31" s="1">
        <v>45706</v>
      </c>
      <c r="L31" s="1">
        <v>45708</v>
      </c>
      <c r="M31">
        <f t="shared" si="13"/>
        <v>2</v>
      </c>
      <c r="Q31" s="28">
        <v>40.840000000000003</v>
      </c>
      <c r="S31" s="62">
        <f t="shared" si="14"/>
        <v>6.7716521681795788E-2</v>
      </c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5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6"/>
        <v>531.63995279999995</v>
      </c>
      <c r="I32" s="57">
        <f t="shared" si="17"/>
        <v>-22176.243614196137</v>
      </c>
      <c r="J32" s="6">
        <f t="shared" si="18"/>
        <v>-0.24194911929355969</v>
      </c>
      <c r="K32" s="1">
        <v>45706</v>
      </c>
      <c r="L32" s="1">
        <v>45708</v>
      </c>
      <c r="M32">
        <f t="shared" si="13"/>
        <v>2</v>
      </c>
      <c r="Q32" s="28">
        <v>684.59</v>
      </c>
      <c r="S32" s="62">
        <f t="shared" si="14"/>
        <v>0.28769479493490785</v>
      </c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5"/>
        <v>368.56522253629635</v>
      </c>
      <c r="F33" s="3">
        <v>74438.86</v>
      </c>
      <c r="G33" s="56">
        <f>201.9693*360.5332483</f>
        <v>72816.647785877198</v>
      </c>
      <c r="H33" s="57">
        <f t="shared" si="16"/>
        <v>360.53324830000003</v>
      </c>
      <c r="I33" s="57">
        <f t="shared" si="17"/>
        <v>-1622.2122141228028</v>
      </c>
      <c r="J33" s="6">
        <f t="shared" si="18"/>
        <v>-2.1792545105107773E-2</v>
      </c>
      <c r="K33" s="1">
        <v>45664</v>
      </c>
      <c r="L33" s="1">
        <v>45708</v>
      </c>
      <c r="M33">
        <f t="shared" si="13"/>
        <v>43</v>
      </c>
      <c r="Q33" s="28">
        <v>399.26</v>
      </c>
      <c r="S33" s="62">
        <f t="shared" si="14"/>
        <v>0.10741520201702841</v>
      </c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5"/>
        <v>30.17825528482809</v>
      </c>
      <c r="F34" s="3">
        <v>37884.65</v>
      </c>
      <c r="G34" s="56">
        <f>1255.3625*39.762296</f>
        <v>49916.0953123</v>
      </c>
      <c r="H34" s="57">
        <f t="shared" si="16"/>
        <v>39.762295999999999</v>
      </c>
      <c r="I34" s="57">
        <f t="shared" si="17"/>
        <v>12031.445312299998</v>
      </c>
      <c r="J34" s="6">
        <f t="shared" si="18"/>
        <v>0.31758100740801348</v>
      </c>
      <c r="K34" s="1">
        <v>45663</v>
      </c>
      <c r="L34" s="1">
        <v>45709</v>
      </c>
      <c r="M34">
        <f t="shared" si="13"/>
        <v>45</v>
      </c>
      <c r="Q34" s="28">
        <v>28.09</v>
      </c>
      <c r="S34" s="62">
        <f t="shared" si="14"/>
        <v>-0.29355186129090732</v>
      </c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5"/>
        <v>242.26930551548847</v>
      </c>
      <c r="F35" s="3">
        <v>61221.72</v>
      </c>
      <c r="G35" s="56">
        <f>252.7011*226.6146532</f>
        <v>57265.772139758519</v>
      </c>
      <c r="H35" s="57">
        <f t="shared" si="16"/>
        <v>226.61465319999999</v>
      </c>
      <c r="I35" s="57">
        <f t="shared" si="17"/>
        <v>-3955.947860241482</v>
      </c>
      <c r="J35" s="6">
        <f t="shared" si="18"/>
        <v>-6.4616738311852093E-2</v>
      </c>
      <c r="K35" s="1">
        <v>45699</v>
      </c>
      <c r="L35" s="1">
        <v>45709</v>
      </c>
      <c r="M35">
        <f t="shared" si="13"/>
        <v>10</v>
      </c>
      <c r="Q35" s="28">
        <v>190.88</v>
      </c>
      <c r="S35" s="62">
        <f t="shared" si="14"/>
        <v>-0.15768906686039488</v>
      </c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5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6"/>
        <v>283.93999450000007</v>
      </c>
      <c r="I36" s="57">
        <f t="shared" si="17"/>
        <v>19563.525282954361</v>
      </c>
      <c r="J36" s="6">
        <f t="shared" si="18"/>
        <v>0.36434300703793465</v>
      </c>
      <c r="K36" s="1">
        <v>45580</v>
      </c>
      <c r="L36" s="1">
        <v>45712</v>
      </c>
      <c r="M36">
        <f t="shared" si="13"/>
        <v>129</v>
      </c>
      <c r="Q36" s="28">
        <v>416.03</v>
      </c>
      <c r="S36" s="62">
        <f t="shared" si="14"/>
        <v>0.46520394470177351</v>
      </c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5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6"/>
        <v>63.365330900000004</v>
      </c>
      <c r="I37" s="57">
        <f t="shared" si="17"/>
        <v>-4549.5912833559851</v>
      </c>
      <c r="J37" s="6">
        <f t="shared" si="18"/>
        <v>-5.9638082078758516E-2</v>
      </c>
      <c r="K37" s="1">
        <v>45673</v>
      </c>
      <c r="L37" s="1">
        <v>45712</v>
      </c>
      <c r="M37">
        <f t="shared" si="13"/>
        <v>38</v>
      </c>
      <c r="Q37" s="28">
        <v>48.7</v>
      </c>
      <c r="S37" s="62">
        <f t="shared" si="14"/>
        <v>-0.23144092663453605</v>
      </c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6"/>
        <v>50.021380499999999</v>
      </c>
      <c r="I38" s="57">
        <f t="shared" si="17"/>
        <v>6027.2875116823998</v>
      </c>
      <c r="J38" s="6">
        <f t="shared" si="18"/>
        <v>9.9771440635884723E-2</v>
      </c>
      <c r="K38" s="1">
        <v>45593</v>
      </c>
      <c r="L38" s="1">
        <v>45713</v>
      </c>
      <c r="M38">
        <f t="shared" si="13"/>
        <v>117</v>
      </c>
      <c r="Q38" s="28">
        <v>58.66</v>
      </c>
      <c r="S38" s="62">
        <f t="shared" si="14"/>
        <v>0.17269854237629442</v>
      </c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6"/>
        <v>12.519992000000002</v>
      </c>
      <c r="I39" s="57">
        <f t="shared" si="17"/>
        <v>-2230.6527810991975</v>
      </c>
      <c r="J39" s="6">
        <f t="shared" si="18"/>
        <v>-9.8609037242937694E-2</v>
      </c>
      <c r="K39" s="1">
        <v>45692</v>
      </c>
      <c r="L39" s="1">
        <v>45715</v>
      </c>
      <c r="M39">
        <f>DAYS360(K39,L39)</f>
        <v>23</v>
      </c>
      <c r="Q39" s="28">
        <v>12.43</v>
      </c>
      <c r="S39" s="62">
        <f t="shared" si="14"/>
        <v>-7.1878640178046661E-3</v>
      </c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6"/>
        <v>94.679995300000002</v>
      </c>
      <c r="I40" s="57">
        <f t="shared" si="17"/>
        <v>-4750.690604140058</v>
      </c>
      <c r="J40" s="6">
        <f t="shared" si="18"/>
        <v>-0.10235753534193669</v>
      </c>
      <c r="K40" s="1">
        <v>45695</v>
      </c>
      <c r="L40" s="1">
        <v>45729</v>
      </c>
      <c r="M40">
        <f>DAYS360(K40,L40)</f>
        <v>36</v>
      </c>
      <c r="Q40" s="28">
        <v>97.42</v>
      </c>
      <c r="S40" s="62">
        <f t="shared" si="14"/>
        <v>2.8939637051291659E-2</v>
      </c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43" si="19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6"/>
        <v>18.9477051</v>
      </c>
      <c r="I41" s="57">
        <f t="shared" si="17"/>
        <v>-2244.5195874142191</v>
      </c>
      <c r="J41" s="6">
        <f t="shared" si="18"/>
        <v>-8.2776138273503941E-2</v>
      </c>
      <c r="K41" s="1">
        <v>45761</v>
      </c>
      <c r="L41" s="1">
        <v>45768</v>
      </c>
      <c r="M41">
        <f t="shared" ref="M41:M43" si="20">DAYS360(K41,L41)</f>
        <v>7</v>
      </c>
      <c r="Q41" s="28">
        <v>19.98</v>
      </c>
      <c r="S41" s="62">
        <f t="shared" si="14"/>
        <v>5.4481262746695382E-2</v>
      </c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9"/>
        <v>96.336406065231671</v>
      </c>
      <c r="F42" s="3">
        <v>34004.42</v>
      </c>
      <c r="G42" s="56">
        <f>352.9758*89.7849585</f>
        <v>31691.9175545043</v>
      </c>
      <c r="H42" s="57">
        <f t="shared" si="16"/>
        <v>89.784958500000002</v>
      </c>
      <c r="I42" s="57">
        <f t="shared" si="17"/>
        <v>-2312.5024454956983</v>
      </c>
      <c r="J42" s="6">
        <f t="shared" si="18"/>
        <v>-6.8005937036882222E-2</v>
      </c>
      <c r="K42" s="1">
        <v>45762</v>
      </c>
      <c r="L42" s="1">
        <v>45768</v>
      </c>
      <c r="M42">
        <f t="shared" si="20"/>
        <v>6</v>
      </c>
      <c r="Q42" s="28">
        <v>117.3</v>
      </c>
      <c r="S42" s="62">
        <f t="shared" si="14"/>
        <v>0.30645491137582909</v>
      </c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9"/>
        <v>16.992624876012847</v>
      </c>
      <c r="F43" s="3">
        <v>37971.83</v>
      </c>
      <c r="G43" s="56">
        <f>2234.6065*13.3067232</f>
        <v>29735.2901564208</v>
      </c>
      <c r="H43" s="57">
        <f t="shared" ref="H43" si="21">G43/D43</f>
        <v>13.3067232</v>
      </c>
      <c r="I43" s="57">
        <f t="shared" ref="I43" si="22">G43-F43</f>
        <v>-8236.5398435792013</v>
      </c>
      <c r="J43" s="6">
        <f t="shared" ref="J43" si="23">I43/F43</f>
        <v>-0.21691184869360261</v>
      </c>
      <c r="K43" s="1">
        <v>45652</v>
      </c>
      <c r="L43" s="1">
        <v>45785</v>
      </c>
      <c r="M43">
        <f t="shared" si="20"/>
        <v>132</v>
      </c>
      <c r="Q43" s="28">
        <v>11.37</v>
      </c>
      <c r="S43" s="62">
        <f t="shared" si="14"/>
        <v>-0.14554471231504998</v>
      </c>
    </row>
    <row r="44" spans="1:19" x14ac:dyDescent="0.25">
      <c r="C44" s="25"/>
      <c r="D44" s="2"/>
      <c r="E44" s="57"/>
      <c r="F44" s="3"/>
      <c r="G44" s="56"/>
      <c r="H44" s="57"/>
      <c r="I44" s="57"/>
      <c r="J44" s="6"/>
      <c r="K44" s="1"/>
      <c r="L44" s="1"/>
    </row>
    <row r="45" spans="1:19" x14ac:dyDescent="0.25">
      <c r="C45" s="25"/>
      <c r="D45" s="2"/>
      <c r="E45" s="57"/>
      <c r="F45" s="3"/>
      <c r="G45" s="56"/>
      <c r="H45" s="57"/>
      <c r="I45" s="57"/>
      <c r="J45" s="6"/>
      <c r="K45" s="1"/>
      <c r="L45" s="1"/>
    </row>
    <row r="46" spans="1:19" x14ac:dyDescent="0.25">
      <c r="C46" s="25"/>
      <c r="D46" s="2"/>
      <c r="E46" s="57"/>
      <c r="F46" s="3"/>
      <c r="G46" s="56"/>
      <c r="H46" s="57"/>
      <c r="I46" s="57"/>
      <c r="J46" s="6"/>
      <c r="K46" s="1"/>
      <c r="L46" s="1"/>
    </row>
    <row r="47" spans="1:19" x14ac:dyDescent="0.25">
      <c r="F47" s="56"/>
      <c r="G47" s="56"/>
      <c r="H47" s="3"/>
      <c r="I47" s="3">
        <f>SUM(I26:I46)</f>
        <v>-11095.298463299754</v>
      </c>
      <c r="J47" s="13" t="s">
        <v>66</v>
      </c>
    </row>
    <row r="48" spans="1:19" x14ac:dyDescent="0.25">
      <c r="F48" s="56"/>
      <c r="G48" s="56"/>
      <c r="H48" s="3" t="s">
        <v>67</v>
      </c>
      <c r="I48" s="59">
        <v>11</v>
      </c>
      <c r="J48" s="5">
        <v>-9.7299999999999998E-2</v>
      </c>
    </row>
    <row r="49" spans="6:10" x14ac:dyDescent="0.25">
      <c r="F49" s="56"/>
      <c r="G49" s="56"/>
      <c r="H49" s="3" t="s">
        <v>68</v>
      </c>
      <c r="I49" s="59">
        <v>5</v>
      </c>
      <c r="J49" s="5">
        <v>0.27560000000000001</v>
      </c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  <c r="J61" s="6"/>
    </row>
    <row r="62" spans="6:10" x14ac:dyDescent="0.25">
      <c r="F62" s="56"/>
      <c r="G62" s="56"/>
      <c r="J62" s="6"/>
    </row>
    <row r="63" spans="6:10" x14ac:dyDescent="0.25">
      <c r="F63" s="56"/>
      <c r="G63" s="56"/>
      <c r="J63" s="6"/>
    </row>
    <row r="64" spans="6:10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</row>
    <row r="74" spans="6:10" x14ac:dyDescent="0.25">
      <c r="F74" s="56"/>
      <c r="G74" s="56"/>
    </row>
    <row r="75" spans="6:10" x14ac:dyDescent="0.25">
      <c r="F75" s="56"/>
      <c r="G75" s="56"/>
    </row>
    <row r="76" spans="6:10" x14ac:dyDescent="0.25">
      <c r="F76" s="56"/>
      <c r="G76" s="56"/>
    </row>
    <row r="77" spans="6:10" x14ac:dyDescent="0.25">
      <c r="F77" s="56"/>
      <c r="G77" s="56"/>
    </row>
    <row r="78" spans="6:10" x14ac:dyDescent="0.25">
      <c r="F78" s="56"/>
      <c r="G78" s="56"/>
    </row>
  </sheetData>
  <pageMargins left="0.7" right="0.7" top="0.75" bottom="0.75" header="0.3" footer="0.3"/>
  <pageSetup scale="47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914D-CB62-4646-9695-56FC674808D3}">
  <dimension ref="A1:AC78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9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45793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71</v>
      </c>
      <c r="B7" t="s">
        <v>30</v>
      </c>
      <c r="C7" t="s">
        <v>72</v>
      </c>
      <c r="D7" s="2">
        <v>98.187700000000007</v>
      </c>
      <c r="E7" s="26">
        <v>428.06</v>
      </c>
      <c r="F7" s="3">
        <f t="shared" ref="F7:F15" si="0">E7*D7</f>
        <v>42030.226862000003</v>
      </c>
      <c r="G7" s="3">
        <f>98.1877*356.0822435</f>
        <v>34962.896500104951</v>
      </c>
      <c r="H7" s="4">
        <f t="shared" ref="H7:H15" si="1">G7/D7</f>
        <v>356.0822435</v>
      </c>
      <c r="I7" s="3">
        <f t="shared" ref="I7:I15" si="2">F7-G7</f>
        <v>7067.3303618950522</v>
      </c>
      <c r="J7" s="26">
        <f t="shared" ref="J7:J15" si="3">E7-H7</f>
        <v>71.977756499999998</v>
      </c>
      <c r="K7" s="27">
        <v>45771</v>
      </c>
      <c r="L7">
        <f t="shared" ref="L7:L15" si="4">DAYS360(K7,$C$1)</f>
        <v>22</v>
      </c>
      <c r="M7" s="5">
        <f t="shared" ref="M7:M15" si="5">(I7/G7)</f>
        <v>0.20213801113056631</v>
      </c>
      <c r="N7">
        <v>13</v>
      </c>
      <c r="O7">
        <v>97</v>
      </c>
      <c r="P7" s="33">
        <v>81</v>
      </c>
      <c r="Q7" s="28">
        <v>349.62</v>
      </c>
      <c r="R7" s="29">
        <f t="shared" ref="R7:R15" si="6">Q7*0.93</f>
        <v>325.14660000000003</v>
      </c>
      <c r="S7" s="29">
        <v>387.03</v>
      </c>
      <c r="T7" s="28">
        <f t="shared" ref="T7:T15" si="7">Q7*1.25</f>
        <v>437.02499999999998</v>
      </c>
      <c r="U7" s="28">
        <f t="shared" ref="U7:U15" si="8">Q7*1.5</f>
        <v>524.43000000000006</v>
      </c>
      <c r="V7" s="28">
        <f t="shared" ref="V7:V15" si="9">Q7*2</f>
        <v>699.24</v>
      </c>
      <c r="W7" s="28">
        <f t="shared" ref="W7:W15" si="10">H7-(H7*0.07)</f>
        <v>331.15648645499999</v>
      </c>
      <c r="X7" s="29">
        <v>385</v>
      </c>
      <c r="Y7" s="5">
        <f t="shared" ref="Y7:Y15" si="11">(X7-H7)/H7</f>
        <v>8.1210891663009863E-2</v>
      </c>
      <c r="Z7" s="32">
        <f t="shared" ref="Z7:Z15" si="12">F7/F$20</f>
        <v>9.3381124537188429E-2</v>
      </c>
      <c r="AB7" s="58">
        <v>45861</v>
      </c>
      <c r="AC7" s="9">
        <v>97</v>
      </c>
    </row>
    <row r="8" spans="1:29" x14ac:dyDescent="0.25">
      <c r="A8" t="s">
        <v>104</v>
      </c>
      <c r="B8" t="s">
        <v>30</v>
      </c>
      <c r="C8" s="25" t="s">
        <v>99</v>
      </c>
      <c r="D8" s="2">
        <v>960.15710000000001</v>
      </c>
      <c r="E8" s="26">
        <v>19.690000000000001</v>
      </c>
      <c r="F8" s="3">
        <f t="shared" si="0"/>
        <v>18905.493299000002</v>
      </c>
      <c r="G8" s="3">
        <f>960.1571*24.5702931</f>
        <v>23591.341369046011</v>
      </c>
      <c r="H8" s="4">
        <f t="shared" si="1"/>
        <v>24.570293100000001</v>
      </c>
      <c r="I8" s="3">
        <f t="shared" si="2"/>
        <v>-4685.8480700460095</v>
      </c>
      <c r="J8" s="26">
        <f t="shared" si="3"/>
        <v>-4.8802930999999994</v>
      </c>
      <c r="K8" s="27">
        <v>45776</v>
      </c>
      <c r="L8">
        <f t="shared" si="4"/>
        <v>17</v>
      </c>
      <c r="M8" s="5">
        <f t="shared" si="5"/>
        <v>-0.19862575835532054</v>
      </c>
      <c r="N8">
        <v>49</v>
      </c>
      <c r="O8">
        <v>95</v>
      </c>
      <c r="P8" s="63">
        <v>80</v>
      </c>
      <c r="Q8" s="28">
        <v>22.73</v>
      </c>
      <c r="R8" s="29">
        <f t="shared" si="6"/>
        <v>21.138900000000003</v>
      </c>
      <c r="S8" s="29">
        <v>18.75</v>
      </c>
      <c r="T8" s="28">
        <f t="shared" si="7"/>
        <v>28.412500000000001</v>
      </c>
      <c r="U8" s="28">
        <f t="shared" si="8"/>
        <v>34.094999999999999</v>
      </c>
      <c r="V8" s="28">
        <f t="shared" si="9"/>
        <v>45.46</v>
      </c>
      <c r="W8" s="28">
        <f t="shared" si="10"/>
        <v>22.850372583000002</v>
      </c>
      <c r="X8" s="29">
        <v>22.43</v>
      </c>
      <c r="Y8" s="5">
        <f t="shared" si="11"/>
        <v>-8.7108977141180335E-2</v>
      </c>
      <c r="Z8" s="6">
        <f t="shared" si="12"/>
        <v>4.2003490249704858E-2</v>
      </c>
      <c r="AB8" s="58">
        <v>45875</v>
      </c>
      <c r="AC8" s="9">
        <v>96</v>
      </c>
    </row>
    <row r="9" spans="1:29" x14ac:dyDescent="0.25">
      <c r="A9" t="s">
        <v>106</v>
      </c>
      <c r="B9" t="s">
        <v>30</v>
      </c>
      <c r="C9" s="25" t="s">
        <v>108</v>
      </c>
      <c r="D9" s="2">
        <v>279.89909999999998</v>
      </c>
      <c r="E9" s="26">
        <v>85.59</v>
      </c>
      <c r="F9" s="3">
        <f t="shared" si="0"/>
        <v>23956.563968999999</v>
      </c>
      <c r="G9" s="3">
        <f>279.8991*98.0004109</f>
        <v>27430.226810540189</v>
      </c>
      <c r="H9" s="4">
        <f t="shared" si="1"/>
        <v>98.000410900000006</v>
      </c>
      <c r="I9" s="3">
        <f t="shared" si="2"/>
        <v>-3473.6628415401901</v>
      </c>
      <c r="J9" s="26">
        <f t="shared" si="3"/>
        <v>-12.410410900000002</v>
      </c>
      <c r="K9" s="27">
        <v>45782</v>
      </c>
      <c r="L9">
        <f t="shared" si="4"/>
        <v>11</v>
      </c>
      <c r="M9" s="5">
        <f t="shared" si="5"/>
        <v>-0.12663631495038968</v>
      </c>
      <c r="N9">
        <v>7</v>
      </c>
      <c r="O9">
        <v>93</v>
      </c>
      <c r="P9" s="63">
        <v>81</v>
      </c>
      <c r="Q9" s="28">
        <v>90.79</v>
      </c>
      <c r="R9" s="29">
        <f t="shared" si="6"/>
        <v>84.434700000000007</v>
      </c>
      <c r="S9" s="29">
        <v>81.349999999999994</v>
      </c>
      <c r="T9" s="28">
        <f t="shared" si="7"/>
        <v>113.48750000000001</v>
      </c>
      <c r="U9" s="28">
        <f t="shared" si="8"/>
        <v>136.185</v>
      </c>
      <c r="V9" s="28">
        <f t="shared" si="9"/>
        <v>181.58</v>
      </c>
      <c r="W9" s="28">
        <f t="shared" si="10"/>
        <v>91.140382137000003</v>
      </c>
      <c r="X9" s="29">
        <v>90</v>
      </c>
      <c r="Y9" s="5">
        <f t="shared" si="11"/>
        <v>-8.1636503628170043E-2</v>
      </c>
      <c r="Z9" s="32">
        <f t="shared" si="12"/>
        <v>5.3225762754444912E-2</v>
      </c>
      <c r="AB9" s="58">
        <v>45888</v>
      </c>
      <c r="AC9" s="9">
        <v>99</v>
      </c>
    </row>
    <row r="10" spans="1:29" x14ac:dyDescent="0.25">
      <c r="A10" t="s">
        <v>100</v>
      </c>
      <c r="B10" t="s">
        <v>30</v>
      </c>
      <c r="C10" s="25" t="s">
        <v>101</v>
      </c>
      <c r="D10" s="2">
        <f>183.4831+120.5473+115.3915</f>
        <v>419.42189999999999</v>
      </c>
      <c r="E10" s="26">
        <v>129.47999999999999</v>
      </c>
      <c r="F10" s="3">
        <f t="shared" si="0"/>
        <v>54306.747611999992</v>
      </c>
      <c r="G10" s="3">
        <f>22876.67+14197.82+14808.77</f>
        <v>51883.259999999995</v>
      </c>
      <c r="H10" s="4">
        <f t="shared" si="1"/>
        <v>123.70183817297092</v>
      </c>
      <c r="I10" s="3">
        <f t="shared" si="2"/>
        <v>2423.4876119999972</v>
      </c>
      <c r="J10" s="26">
        <f t="shared" si="3"/>
        <v>5.7781618270290664</v>
      </c>
      <c r="K10" s="27">
        <v>45782</v>
      </c>
      <c r="L10">
        <f t="shared" si="4"/>
        <v>11</v>
      </c>
      <c r="M10" s="5">
        <f t="shared" si="5"/>
        <v>4.6710395838657735E-2</v>
      </c>
      <c r="N10">
        <v>30</v>
      </c>
      <c r="O10">
        <v>99</v>
      </c>
      <c r="P10" s="64">
        <v>98</v>
      </c>
      <c r="Q10" s="28">
        <v>125.41</v>
      </c>
      <c r="R10" s="29">
        <f t="shared" si="6"/>
        <v>116.6313</v>
      </c>
      <c r="S10" s="29">
        <v>105.32</v>
      </c>
      <c r="T10" s="31">
        <f t="shared" si="7"/>
        <v>156.76249999999999</v>
      </c>
      <c r="U10" s="28">
        <f t="shared" si="8"/>
        <v>188.11500000000001</v>
      </c>
      <c r="V10" s="28">
        <f t="shared" si="9"/>
        <v>250.82</v>
      </c>
      <c r="W10" s="28">
        <f t="shared" si="10"/>
        <v>115.04270950086295</v>
      </c>
      <c r="X10" s="29">
        <v>105</v>
      </c>
      <c r="Y10" s="5">
        <f t="shared" si="11"/>
        <v>-0.15118480411600957</v>
      </c>
      <c r="Z10" s="6">
        <f t="shared" si="12"/>
        <v>0.12065662121254889</v>
      </c>
      <c r="AB10" s="58">
        <v>45880</v>
      </c>
      <c r="AC10" s="9">
        <v>99</v>
      </c>
    </row>
    <row r="11" spans="1:29" x14ac:dyDescent="0.25">
      <c r="A11" t="s">
        <v>107</v>
      </c>
      <c r="B11" t="s">
        <v>30</v>
      </c>
      <c r="C11" s="25" t="s">
        <v>109</v>
      </c>
      <c r="D11" s="2">
        <f>553.2061+364.8063</f>
        <v>918.01240000000007</v>
      </c>
      <c r="E11" s="26">
        <v>39.340000000000003</v>
      </c>
      <c r="F11" s="3">
        <f t="shared" si="0"/>
        <v>36114.607816000003</v>
      </c>
      <c r="G11" s="3">
        <f>22877.09+14244.67</f>
        <v>37121.760000000002</v>
      </c>
      <c r="H11" s="4">
        <f t="shared" si="1"/>
        <v>40.437100849618155</v>
      </c>
      <c r="I11" s="3">
        <f t="shared" si="2"/>
        <v>-1007.1521839999987</v>
      </c>
      <c r="J11" s="26">
        <f t="shared" si="3"/>
        <v>-1.0971008496181511</v>
      </c>
      <c r="K11" s="27">
        <v>45782</v>
      </c>
      <c r="L11">
        <f t="shared" si="4"/>
        <v>11</v>
      </c>
      <c r="M11" s="5">
        <f t="shared" si="5"/>
        <v>-2.7131046157294229E-2</v>
      </c>
      <c r="N11">
        <v>26</v>
      </c>
      <c r="O11">
        <v>93</v>
      </c>
      <c r="P11" s="63">
        <v>82</v>
      </c>
      <c r="Q11" s="28">
        <v>40</v>
      </c>
      <c r="R11" s="29">
        <f t="shared" si="6"/>
        <v>37.200000000000003</v>
      </c>
      <c r="S11" s="29">
        <v>37.520000000000003</v>
      </c>
      <c r="T11" s="31">
        <f t="shared" si="7"/>
        <v>50</v>
      </c>
      <c r="U11" s="28">
        <f t="shared" si="8"/>
        <v>60</v>
      </c>
      <c r="V11" s="28">
        <f t="shared" si="9"/>
        <v>80</v>
      </c>
      <c r="W11" s="28">
        <f t="shared" si="10"/>
        <v>37.606503790144885</v>
      </c>
      <c r="X11" s="29">
        <v>37</v>
      </c>
      <c r="Y11" s="5">
        <f t="shared" si="11"/>
        <v>-8.4998696182508618E-2</v>
      </c>
      <c r="Z11" s="32">
        <f t="shared" si="12"/>
        <v>8.0238032051324945E-2</v>
      </c>
      <c r="AB11" s="58">
        <v>45875</v>
      </c>
      <c r="AC11" s="9">
        <v>97</v>
      </c>
    </row>
    <row r="12" spans="1:29" x14ac:dyDescent="0.25">
      <c r="A12" t="s">
        <v>111</v>
      </c>
      <c r="B12" t="s">
        <v>30</v>
      </c>
      <c r="C12" s="25" t="s">
        <v>112</v>
      </c>
      <c r="D12" s="2">
        <f>362.8226+163.9908</f>
        <v>526.8134</v>
      </c>
      <c r="E12" s="26">
        <v>81.27</v>
      </c>
      <c r="F12" s="3">
        <f t="shared" si="0"/>
        <v>42814.125017999999</v>
      </c>
      <c r="G12" s="3">
        <f>26856.13+12527.28</f>
        <v>39383.410000000003</v>
      </c>
      <c r="H12" s="4">
        <f t="shared" si="1"/>
        <v>74.757798491837917</v>
      </c>
      <c r="I12" s="3">
        <f t="shared" si="2"/>
        <v>3430.7150179999953</v>
      </c>
      <c r="J12" s="26">
        <f t="shared" si="3"/>
        <v>6.5122015081620788</v>
      </c>
      <c r="K12" s="27">
        <v>45789</v>
      </c>
      <c r="L12">
        <f t="shared" si="4"/>
        <v>4</v>
      </c>
      <c r="M12" s="5">
        <f t="shared" si="5"/>
        <v>8.7110664566628304E-2</v>
      </c>
      <c r="N12">
        <v>21</v>
      </c>
      <c r="O12">
        <v>97</v>
      </c>
      <c r="P12" s="63">
        <v>40</v>
      </c>
      <c r="Q12" s="28">
        <v>74.239999999999995</v>
      </c>
      <c r="R12" s="29">
        <f t="shared" si="6"/>
        <v>69.043199999999999</v>
      </c>
      <c r="S12" s="29">
        <v>68.55</v>
      </c>
      <c r="T12" s="28">
        <f t="shared" si="7"/>
        <v>92.8</v>
      </c>
      <c r="U12" s="28">
        <f t="shared" si="8"/>
        <v>111.35999999999999</v>
      </c>
      <c r="V12" s="28">
        <f t="shared" si="9"/>
        <v>148.47999999999999</v>
      </c>
      <c r="W12" s="28">
        <f t="shared" si="10"/>
        <v>69.524752597409261</v>
      </c>
      <c r="X12" s="29">
        <v>73</v>
      </c>
      <c r="Y12" s="5">
        <f t="shared" si="11"/>
        <v>-2.3513245805784854E-2</v>
      </c>
      <c r="Z12" s="6">
        <f t="shared" si="12"/>
        <v>9.5122758993986714E-2</v>
      </c>
      <c r="AB12" s="58">
        <v>45875</v>
      </c>
      <c r="AC12" s="9">
        <v>92</v>
      </c>
    </row>
    <row r="13" spans="1:29" x14ac:dyDescent="0.25">
      <c r="A13" t="s">
        <v>113</v>
      </c>
      <c r="B13" t="s">
        <v>30</v>
      </c>
      <c r="C13" s="25" t="s">
        <v>114</v>
      </c>
      <c r="D13" s="2">
        <v>392.39159999999998</v>
      </c>
      <c r="E13" s="26">
        <v>91.79</v>
      </c>
      <c r="F13" s="3">
        <f t="shared" si="0"/>
        <v>36017.624964000002</v>
      </c>
      <c r="G13" s="3">
        <v>35895.15</v>
      </c>
      <c r="H13" s="4">
        <f t="shared" si="1"/>
        <v>91.477875673179554</v>
      </c>
      <c r="I13" s="3">
        <f t="shared" si="2"/>
        <v>122.47496400000091</v>
      </c>
      <c r="J13" s="26">
        <f t="shared" si="3"/>
        <v>0.31212432682045232</v>
      </c>
      <c r="K13" s="27">
        <v>45793</v>
      </c>
      <c r="L13">
        <f t="shared" si="4"/>
        <v>0</v>
      </c>
      <c r="M13" s="5">
        <f t="shared" si="5"/>
        <v>3.4120198411206224E-3</v>
      </c>
      <c r="N13">
        <v>79</v>
      </c>
      <c r="O13">
        <v>92</v>
      </c>
      <c r="P13" s="63">
        <v>82</v>
      </c>
      <c r="Q13" s="28">
        <v>87</v>
      </c>
      <c r="R13" s="29">
        <f t="shared" si="6"/>
        <v>80.910000000000011</v>
      </c>
      <c r="S13" s="29">
        <v>80.12</v>
      </c>
      <c r="T13" s="28">
        <f t="shared" si="7"/>
        <v>108.75</v>
      </c>
      <c r="U13" s="28">
        <f t="shared" si="8"/>
        <v>130.5</v>
      </c>
      <c r="V13" s="28">
        <f t="shared" si="9"/>
        <v>174</v>
      </c>
      <c r="W13" s="28">
        <f t="shared" si="10"/>
        <v>85.074424376056982</v>
      </c>
      <c r="X13" s="29">
        <v>85</v>
      </c>
      <c r="Y13" s="5">
        <f t="shared" si="11"/>
        <v>-7.0813577878905701E-2</v>
      </c>
      <c r="Z13" s="32">
        <f t="shared" si="12"/>
        <v>8.0022559319989972E-2</v>
      </c>
      <c r="AB13" s="58">
        <v>45874</v>
      </c>
      <c r="AC13" s="9">
        <v>94</v>
      </c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45136</v>
      </c>
      <c r="M14" s="5" t="e">
        <f t="shared" si="5"/>
        <v>#DIV/0!</v>
      </c>
      <c r="P14" s="63"/>
      <c r="Q14" s="28"/>
      <c r="R14" s="29">
        <f t="shared" si="6"/>
        <v>0</v>
      </c>
      <c r="S14" s="29"/>
      <c r="T14" s="31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60"/>
      <c r="AC14" s="9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45136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31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6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ref="F16:F17" si="13">E16*D16</f>
        <v>0</v>
      </c>
      <c r="G16" s="3"/>
      <c r="H16" s="4" t="e">
        <f t="shared" ref="H16:H17" si="14">G16/D16</f>
        <v>#DIV/0!</v>
      </c>
      <c r="I16" s="3">
        <f t="shared" ref="I16:I17" si="15">F16-G16</f>
        <v>0</v>
      </c>
      <c r="J16" s="26" t="e">
        <f t="shared" ref="J16:J17" si="16">E16-H16</f>
        <v>#DIV/0!</v>
      </c>
      <c r="K16" s="27"/>
      <c r="L16">
        <f t="shared" ref="L16:L17" si="17">DAYS360(K16,$C$1)</f>
        <v>45136</v>
      </c>
      <c r="M16" s="5" t="e">
        <f t="shared" ref="M16:M17" si="18">(I16/G16)</f>
        <v>#DIV/0!</v>
      </c>
      <c r="P16" s="63"/>
      <c r="Q16" s="28"/>
      <c r="R16" s="29">
        <f t="shared" ref="R16:R17" si="19">Q16*0.93</f>
        <v>0</v>
      </c>
      <c r="S16" s="29"/>
      <c r="T16" s="28">
        <f t="shared" ref="T16:T17" si="20">Q16*1.25</f>
        <v>0</v>
      </c>
      <c r="U16" s="28">
        <f t="shared" ref="U16:U17" si="21">Q16*1.5</f>
        <v>0</v>
      </c>
      <c r="V16" s="28">
        <f t="shared" ref="V16:V17" si="22">Q16*2</f>
        <v>0</v>
      </c>
      <c r="W16" s="28" t="e">
        <f t="shared" ref="W16:W17" si="23">H16-(H16*0.07)</f>
        <v>#DIV/0!</v>
      </c>
      <c r="X16" s="29"/>
      <c r="Y16" s="5" t="e">
        <f t="shared" ref="Y16:Y17" si="24">(X16-H16)/H16</f>
        <v>#DIV/0!</v>
      </c>
      <c r="Z16" s="6">
        <f t="shared" ref="Z16:Z17" si="25">F16/F$20</f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3"/>
        <v>0</v>
      </c>
      <c r="G17" s="39"/>
      <c r="H17" s="40" t="e">
        <f t="shared" si="14"/>
        <v>#DIV/0!</v>
      </c>
      <c r="I17" s="39">
        <f t="shared" si="15"/>
        <v>0</v>
      </c>
      <c r="J17" s="38" t="e">
        <f t="shared" si="16"/>
        <v>#DIV/0!</v>
      </c>
      <c r="K17" s="41"/>
      <c r="L17" s="35">
        <f t="shared" si="17"/>
        <v>45136</v>
      </c>
      <c r="M17" s="42" t="e">
        <f t="shared" si="18"/>
        <v>#DIV/0!</v>
      </c>
      <c r="N17" s="35"/>
      <c r="O17" s="35"/>
      <c r="P17" s="65"/>
      <c r="Q17" s="44"/>
      <c r="R17" s="45">
        <f t="shared" si="19"/>
        <v>0</v>
      </c>
      <c r="S17" s="45"/>
      <c r="T17" s="46">
        <f t="shared" si="20"/>
        <v>0</v>
      </c>
      <c r="U17" s="44">
        <f t="shared" si="21"/>
        <v>0</v>
      </c>
      <c r="V17" s="44">
        <f t="shared" si="22"/>
        <v>0</v>
      </c>
      <c r="W17" s="44" t="e">
        <f t="shared" si="23"/>
        <v>#DIV/0!</v>
      </c>
      <c r="X17" s="45"/>
      <c r="Y17" s="42" t="e">
        <f t="shared" si="24"/>
        <v>#DIV/0!</v>
      </c>
      <c r="Z17" s="47">
        <f t="shared" si="25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254145.38954</v>
      </c>
      <c r="G18" s="3">
        <f>SUM(G6:G17)</f>
        <v>250268.04467969114</v>
      </c>
      <c r="H18" s="4"/>
      <c r="I18" s="3">
        <f>SUM(I6:I17)</f>
        <v>3877.3448603088473</v>
      </c>
      <c r="M18" s="5"/>
      <c r="Z18" s="6"/>
    </row>
    <row r="19" spans="1:29" x14ac:dyDescent="0.25">
      <c r="D19" s="2" t="s">
        <v>44</v>
      </c>
      <c r="F19" s="3">
        <v>195948</v>
      </c>
      <c r="G19" s="6">
        <f>F19/F20</f>
        <v>0.43534965088081129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450093.38954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'05-09-25'!F20</f>
        <v>443881.96280700003</v>
      </c>
      <c r="K21" s="1">
        <v>45657</v>
      </c>
      <c r="L21" s="50">
        <v>170762</v>
      </c>
      <c r="M21" s="50">
        <v>155656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1.3993419993280288E-2</v>
      </c>
      <c r="K22" s="9" t="s">
        <v>50</v>
      </c>
      <c r="L22" s="6">
        <f>(M21-L21)/L21</f>
        <v>-8.846230425972991E-2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  <c r="P25" s="9" t="s">
        <v>115</v>
      </c>
      <c r="S25" t="s">
        <v>88</v>
      </c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26">DAYS360(K26,L26)</f>
        <v>49</v>
      </c>
      <c r="Q26" s="28">
        <v>86.88</v>
      </c>
      <c r="S26" s="62">
        <f>(Q26-H26)/H26</f>
        <v>0.25558201764825533</v>
      </c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26"/>
        <v>7</v>
      </c>
      <c r="Q27" s="28">
        <v>57.66</v>
      </c>
      <c r="S27" s="62">
        <f t="shared" ref="S27:S44" si="27">(Q27-H27)/H27</f>
        <v>-0.30307567282778453</v>
      </c>
      <c r="U27" t="s">
        <v>90</v>
      </c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28">F28/D28</f>
        <v>44.698790833464948</v>
      </c>
      <c r="F28" s="3">
        <v>56489.42</v>
      </c>
      <c r="G28" s="56">
        <v>75501.87</v>
      </c>
      <c r="H28" s="57">
        <f t="shared" ref="H28:H43" si="29">G28/D28</f>
        <v>59.742909285764696</v>
      </c>
      <c r="I28" s="57">
        <f t="shared" ref="I28:I43" si="30">G28-F28</f>
        <v>19012.449999999997</v>
      </c>
      <c r="J28" s="6">
        <f t="shared" ref="J28:J43" si="31">I28/F28</f>
        <v>0.33656656414599401</v>
      </c>
      <c r="K28" s="1">
        <v>45527</v>
      </c>
      <c r="L28" s="1">
        <v>45688</v>
      </c>
      <c r="M28">
        <f t="shared" si="26"/>
        <v>158</v>
      </c>
      <c r="Q28" s="28">
        <v>59.9</v>
      </c>
      <c r="S28" s="62">
        <f t="shared" si="27"/>
        <v>2.6294453369168805E-3</v>
      </c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28"/>
        <v>169.90901206845703</v>
      </c>
      <c r="F29" s="3">
        <f>59492.79+21969.78</f>
        <v>81462.570000000007</v>
      </c>
      <c r="G29" s="56">
        <v>65047.58</v>
      </c>
      <c r="H29" s="57">
        <f t="shared" si="29"/>
        <v>135.67175765807443</v>
      </c>
      <c r="I29" s="57">
        <f t="shared" si="30"/>
        <v>-16414.990000000005</v>
      </c>
      <c r="J29" s="6">
        <f t="shared" si="31"/>
        <v>-0.20150346349249729</v>
      </c>
      <c r="K29" s="1">
        <v>45671</v>
      </c>
      <c r="L29" s="1">
        <v>45688</v>
      </c>
      <c r="M29">
        <f t="shared" si="26"/>
        <v>17</v>
      </c>
      <c r="Q29" s="28">
        <v>188.5</v>
      </c>
      <c r="S29" s="62">
        <f t="shared" si="27"/>
        <v>0.38938275182566362</v>
      </c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28"/>
        <v>18.702010092477405</v>
      </c>
      <c r="F30" s="3">
        <v>56486.59</v>
      </c>
      <c r="G30" s="56">
        <v>71124.88</v>
      </c>
      <c r="H30" s="57">
        <f t="shared" si="29"/>
        <v>23.548566546258936</v>
      </c>
      <c r="I30" s="57">
        <f t="shared" si="30"/>
        <v>14638.290000000008</v>
      </c>
      <c r="J30" s="6">
        <f t="shared" si="31"/>
        <v>0.25914628587068206</v>
      </c>
      <c r="K30" s="1">
        <v>45527</v>
      </c>
      <c r="L30" s="1">
        <v>45691</v>
      </c>
      <c r="M30">
        <f t="shared" si="26"/>
        <v>160</v>
      </c>
      <c r="Q30" s="28">
        <v>20.53</v>
      </c>
      <c r="S30" s="62">
        <f t="shared" si="27"/>
        <v>-0.1281847258230876</v>
      </c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28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29"/>
        <v>38.249853000000002</v>
      </c>
      <c r="I31" s="57">
        <f t="shared" si="30"/>
        <v>-6110.386336591735</v>
      </c>
      <c r="J31" s="6">
        <f t="shared" si="31"/>
        <v>-0.10005621882176895</v>
      </c>
      <c r="K31" s="1">
        <v>45706</v>
      </c>
      <c r="L31" s="1">
        <v>45708</v>
      </c>
      <c r="M31">
        <f t="shared" si="26"/>
        <v>2</v>
      </c>
      <c r="Q31" s="28">
        <v>44.72</v>
      </c>
      <c r="S31" s="62">
        <f t="shared" si="27"/>
        <v>0.16915482001983112</v>
      </c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28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29"/>
        <v>531.63995279999995</v>
      </c>
      <c r="I32" s="57">
        <f t="shared" si="30"/>
        <v>-22176.243614196137</v>
      </c>
      <c r="J32" s="6">
        <f t="shared" si="31"/>
        <v>-0.24194911929355969</v>
      </c>
      <c r="K32" s="1">
        <v>45706</v>
      </c>
      <c r="L32" s="1">
        <v>45708</v>
      </c>
      <c r="M32">
        <f t="shared" si="26"/>
        <v>2</v>
      </c>
      <c r="Q32" s="28">
        <v>733.18</v>
      </c>
      <c r="S32" s="62">
        <f t="shared" si="27"/>
        <v>0.37909123672618011</v>
      </c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28"/>
        <v>368.56522253629635</v>
      </c>
      <c r="F33" s="3">
        <v>74438.86</v>
      </c>
      <c r="G33" s="56">
        <f>201.9693*360.5332483</f>
        <v>72816.647785877198</v>
      </c>
      <c r="H33" s="57">
        <f t="shared" si="29"/>
        <v>360.53324830000003</v>
      </c>
      <c r="I33" s="57">
        <f t="shared" si="30"/>
        <v>-1622.2122141228028</v>
      </c>
      <c r="J33" s="6">
        <f t="shared" si="31"/>
        <v>-2.1792545105107773E-2</v>
      </c>
      <c r="K33" s="1">
        <v>45664</v>
      </c>
      <c r="L33" s="1">
        <v>45708</v>
      </c>
      <c r="M33">
        <f t="shared" si="26"/>
        <v>43</v>
      </c>
      <c r="Q33" s="28">
        <v>428.06</v>
      </c>
      <c r="S33" s="62">
        <f t="shared" si="27"/>
        <v>0.18729687766219805</v>
      </c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28"/>
        <v>30.17825528482809</v>
      </c>
      <c r="F34" s="3">
        <v>37884.65</v>
      </c>
      <c r="G34" s="56">
        <f>1255.3625*39.762296</f>
        <v>49916.0953123</v>
      </c>
      <c r="H34" s="57">
        <f t="shared" si="29"/>
        <v>39.762295999999999</v>
      </c>
      <c r="I34" s="57">
        <f t="shared" si="30"/>
        <v>12031.445312299998</v>
      </c>
      <c r="J34" s="6">
        <f t="shared" si="31"/>
        <v>0.31758100740801348</v>
      </c>
      <c r="K34" s="1">
        <v>45663</v>
      </c>
      <c r="L34" s="1">
        <v>45709</v>
      </c>
      <c r="M34">
        <f t="shared" si="26"/>
        <v>45</v>
      </c>
      <c r="Q34" s="28">
        <v>37.72</v>
      </c>
      <c r="S34" s="62">
        <f t="shared" si="27"/>
        <v>-5.1362627550481502E-2</v>
      </c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28"/>
        <v>242.26930551548847</v>
      </c>
      <c r="F35" s="3">
        <v>61221.72</v>
      </c>
      <c r="G35" s="56">
        <f>252.7011*226.6146532</f>
        <v>57265.772139758519</v>
      </c>
      <c r="H35" s="57">
        <f t="shared" si="29"/>
        <v>226.61465319999999</v>
      </c>
      <c r="I35" s="57">
        <f t="shared" si="30"/>
        <v>-3955.947860241482</v>
      </c>
      <c r="J35" s="6">
        <f t="shared" si="31"/>
        <v>-6.4616738311852093E-2</v>
      </c>
      <c r="K35" s="1">
        <v>45699</v>
      </c>
      <c r="L35" s="1">
        <v>45709</v>
      </c>
      <c r="M35">
        <f t="shared" si="26"/>
        <v>10</v>
      </c>
      <c r="Q35" s="28">
        <v>184.02</v>
      </c>
      <c r="S35" s="62">
        <f t="shared" si="27"/>
        <v>-0.18796071921442714</v>
      </c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28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29"/>
        <v>283.93999450000007</v>
      </c>
      <c r="I36" s="57">
        <f t="shared" si="30"/>
        <v>19563.525282954361</v>
      </c>
      <c r="J36" s="6">
        <f t="shared" si="31"/>
        <v>0.36434300703793465</v>
      </c>
      <c r="K36" s="1">
        <v>45580</v>
      </c>
      <c r="L36" s="1">
        <v>45712</v>
      </c>
      <c r="M36">
        <f t="shared" si="26"/>
        <v>129</v>
      </c>
      <c r="Q36" s="28">
        <v>399.8</v>
      </c>
      <c r="S36" s="62">
        <f t="shared" si="27"/>
        <v>0.40804398022202509</v>
      </c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28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29"/>
        <v>63.365330900000004</v>
      </c>
      <c r="I37" s="57">
        <f t="shared" si="30"/>
        <v>-4549.5912833559851</v>
      </c>
      <c r="J37" s="6">
        <f t="shared" si="31"/>
        <v>-5.9638082078758516E-2</v>
      </c>
      <c r="K37" s="1">
        <v>45673</v>
      </c>
      <c r="L37" s="1">
        <v>45712</v>
      </c>
      <c r="M37">
        <f t="shared" si="26"/>
        <v>38</v>
      </c>
      <c r="Q37" s="28">
        <v>56.56</v>
      </c>
      <c r="S37" s="62">
        <f t="shared" si="27"/>
        <v>-0.10739833286343654</v>
      </c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29"/>
        <v>50.021380499999999</v>
      </c>
      <c r="I38" s="57">
        <f t="shared" si="30"/>
        <v>6027.2875116823998</v>
      </c>
      <c r="J38" s="6">
        <f t="shared" si="31"/>
        <v>9.9771440635884723E-2</v>
      </c>
      <c r="K38" s="1">
        <v>45593</v>
      </c>
      <c r="L38" s="1">
        <v>45713</v>
      </c>
      <c r="M38">
        <f t="shared" si="26"/>
        <v>117</v>
      </c>
      <c r="Q38" s="28">
        <v>59.2</v>
      </c>
      <c r="S38" s="62">
        <f t="shared" si="27"/>
        <v>0.18349392616223384</v>
      </c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29"/>
        <v>12.519992000000002</v>
      </c>
      <c r="I39" s="57">
        <f t="shared" si="30"/>
        <v>-2230.6527810991975</v>
      </c>
      <c r="J39" s="6">
        <f t="shared" si="31"/>
        <v>-9.8609037242937694E-2</v>
      </c>
      <c r="K39" s="1">
        <v>45692</v>
      </c>
      <c r="L39" s="1">
        <v>45715</v>
      </c>
      <c r="M39">
        <f>DAYS360(K39,L39)</f>
        <v>23</v>
      </c>
      <c r="Q39" s="28">
        <v>12.77</v>
      </c>
      <c r="S39" s="62">
        <f t="shared" si="27"/>
        <v>1.9968702855400988E-2</v>
      </c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29"/>
        <v>94.679995300000002</v>
      </c>
      <c r="I40" s="57">
        <f t="shared" si="30"/>
        <v>-4750.690604140058</v>
      </c>
      <c r="J40" s="6">
        <f t="shared" si="31"/>
        <v>-0.10235753534193669</v>
      </c>
      <c r="K40" s="1">
        <v>45695</v>
      </c>
      <c r="L40" s="1">
        <v>45729</v>
      </c>
      <c r="M40">
        <f>DAYS360(K40,L40)</f>
        <v>36</v>
      </c>
      <c r="Q40" s="28">
        <v>104.59</v>
      </c>
      <c r="S40" s="62">
        <f t="shared" si="27"/>
        <v>0.10466841140622661</v>
      </c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44" si="32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29"/>
        <v>18.9477051</v>
      </c>
      <c r="I41" s="57">
        <f t="shared" si="30"/>
        <v>-2244.5195874142191</v>
      </c>
      <c r="J41" s="6">
        <f t="shared" si="31"/>
        <v>-8.2776138273503941E-2</v>
      </c>
      <c r="K41" s="1">
        <v>45761</v>
      </c>
      <c r="L41" s="1">
        <v>45768</v>
      </c>
      <c r="M41">
        <f t="shared" ref="M41:M44" si="33">DAYS360(K41,L41)</f>
        <v>7</v>
      </c>
      <c r="Q41" s="28">
        <v>19.690000000000001</v>
      </c>
      <c r="S41" s="62">
        <f t="shared" si="27"/>
        <v>3.9175979153274927E-2</v>
      </c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32"/>
        <v>96.336406065231671</v>
      </c>
      <c r="F42" s="3">
        <v>34004.42</v>
      </c>
      <c r="G42" s="56">
        <f>352.9758*89.7849585</f>
        <v>31691.9175545043</v>
      </c>
      <c r="H42" s="57">
        <f t="shared" si="29"/>
        <v>89.784958500000002</v>
      </c>
      <c r="I42" s="57">
        <f t="shared" si="30"/>
        <v>-2312.5024454956983</v>
      </c>
      <c r="J42" s="6">
        <f t="shared" si="31"/>
        <v>-6.8005937036882222E-2</v>
      </c>
      <c r="K42" s="1">
        <v>45762</v>
      </c>
      <c r="L42" s="1">
        <v>45768</v>
      </c>
      <c r="M42">
        <f t="shared" si="33"/>
        <v>6</v>
      </c>
      <c r="Q42" s="28">
        <v>129.47999999999999</v>
      </c>
      <c r="S42" s="62">
        <f t="shared" si="27"/>
        <v>0.44211237787674634</v>
      </c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32"/>
        <v>16.992624876012847</v>
      </c>
      <c r="F43" s="3">
        <v>37971.83</v>
      </c>
      <c r="G43" s="56">
        <f>2234.6065*13.3067232</f>
        <v>29735.2901564208</v>
      </c>
      <c r="H43" s="57">
        <f t="shared" si="29"/>
        <v>13.3067232</v>
      </c>
      <c r="I43" s="57">
        <f t="shared" si="30"/>
        <v>-8236.5398435792013</v>
      </c>
      <c r="J43" s="6">
        <f t="shared" si="31"/>
        <v>-0.21691184869360261</v>
      </c>
      <c r="K43" s="1">
        <v>45652</v>
      </c>
      <c r="L43" s="1">
        <v>45785</v>
      </c>
      <c r="M43">
        <f t="shared" si="33"/>
        <v>132</v>
      </c>
      <c r="Q43" s="28">
        <v>11.83</v>
      </c>
      <c r="S43" s="62">
        <f t="shared" si="27"/>
        <v>-0.1109757209047529</v>
      </c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32"/>
        <v>38.101812248436303</v>
      </c>
      <c r="F44" s="3">
        <v>21940.86</v>
      </c>
      <c r="G44" s="56">
        <f>575.8482*32.7857042</f>
        <v>18879.588749302438</v>
      </c>
      <c r="H44" s="57">
        <f t="shared" ref="H44" si="34">G44/D44</f>
        <v>32.785704199999998</v>
      </c>
      <c r="I44" s="57">
        <f t="shared" ref="I44" si="35">G44-F44</f>
        <v>-3061.2712506975622</v>
      </c>
      <c r="J44" s="6">
        <f t="shared" ref="J44" si="36">I44/F44</f>
        <v>-0.13952375844417958</v>
      </c>
      <c r="K44" s="1">
        <v>45761</v>
      </c>
      <c r="L44" s="1">
        <v>45790</v>
      </c>
      <c r="M44">
        <f t="shared" si="33"/>
        <v>29</v>
      </c>
      <c r="Q44" s="28">
        <v>34.36</v>
      </c>
      <c r="S44" s="62">
        <f t="shared" si="27"/>
        <v>4.8017751590646071E-2</v>
      </c>
    </row>
    <row r="45" spans="1:19" x14ac:dyDescent="0.25">
      <c r="C45" s="25"/>
      <c r="D45" s="2"/>
      <c r="E45" s="57"/>
      <c r="F45" s="3"/>
      <c r="G45" s="56"/>
      <c r="H45" s="57"/>
      <c r="I45" s="57"/>
      <c r="J45" s="6"/>
      <c r="K45" s="1"/>
      <c r="L45" s="1"/>
    </row>
    <row r="46" spans="1:19" x14ac:dyDescent="0.25">
      <c r="C46" s="25"/>
      <c r="D46" s="2"/>
      <c r="E46" s="57"/>
      <c r="F46" s="3"/>
      <c r="G46" s="56"/>
      <c r="H46" s="57"/>
      <c r="I46" s="57"/>
      <c r="J46" s="6"/>
      <c r="K46" s="1"/>
      <c r="L46" s="1"/>
    </row>
    <row r="47" spans="1:19" x14ac:dyDescent="0.25">
      <c r="F47" s="56"/>
      <c r="G47" s="56"/>
      <c r="H47" s="3"/>
      <c r="I47" s="3">
        <f>SUM(I26:I46)</f>
        <v>-14156.569713997316</v>
      </c>
      <c r="J47" s="13" t="s">
        <v>66</v>
      </c>
    </row>
    <row r="48" spans="1:19" x14ac:dyDescent="0.25">
      <c r="F48" s="56"/>
      <c r="G48" s="56"/>
      <c r="H48" s="3" t="s">
        <v>67</v>
      </c>
      <c r="I48" s="59">
        <v>14</v>
      </c>
      <c r="J48" s="5">
        <v>-0.10680000000000001</v>
      </c>
    </row>
    <row r="49" spans="6:10" x14ac:dyDescent="0.25">
      <c r="F49" s="56"/>
      <c r="G49" s="56"/>
      <c r="H49" s="3" t="s">
        <v>68</v>
      </c>
      <c r="I49" s="59">
        <v>5</v>
      </c>
      <c r="J49" s="5">
        <v>0.27560000000000001</v>
      </c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  <c r="J61" s="6"/>
    </row>
    <row r="62" spans="6:10" x14ac:dyDescent="0.25">
      <c r="F62" s="56"/>
      <c r="G62" s="56"/>
      <c r="J62" s="6"/>
    </row>
    <row r="63" spans="6:10" x14ac:dyDescent="0.25">
      <c r="F63" s="56"/>
      <c r="G63" s="56"/>
      <c r="J63" s="6"/>
    </row>
    <row r="64" spans="6:10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</row>
    <row r="74" spans="6:10" x14ac:dyDescent="0.25">
      <c r="F74" s="56"/>
      <c r="G74" s="56"/>
    </row>
    <row r="75" spans="6:10" x14ac:dyDescent="0.25">
      <c r="F75" s="56"/>
      <c r="G75" s="56"/>
    </row>
    <row r="76" spans="6:10" x14ac:dyDescent="0.25">
      <c r="F76" s="56"/>
      <c r="G76" s="56"/>
    </row>
    <row r="77" spans="6:10" x14ac:dyDescent="0.25">
      <c r="F77" s="56"/>
      <c r="G77" s="56"/>
    </row>
    <row r="78" spans="6:10" x14ac:dyDescent="0.25">
      <c r="F78" s="56"/>
      <c r="G78" s="56"/>
    </row>
  </sheetData>
  <sortState xmlns:xlrd2="http://schemas.microsoft.com/office/spreadsheetml/2017/richdata2" ref="A7:AC13">
    <sortCondition descending="1" ref="L7:L13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EBC3-FAEB-4226-8C20-DF88EC23363D}">
  <dimension ref="A1:AC78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45800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71</v>
      </c>
      <c r="B7" t="s">
        <v>30</v>
      </c>
      <c r="C7" t="s">
        <v>72</v>
      </c>
      <c r="D7" s="2">
        <f>98.1877+35.2566</f>
        <v>133.4443</v>
      </c>
      <c r="E7" s="26">
        <v>464.39</v>
      </c>
      <c r="F7" s="3">
        <f t="shared" ref="F7:F17" si="0">E7*D7</f>
        <v>61970.198476999998</v>
      </c>
      <c r="G7" s="3">
        <f>34962.9+15401.92</f>
        <v>50364.82</v>
      </c>
      <c r="H7" s="4">
        <f t="shared" ref="H7:H17" si="1">G7/D7</f>
        <v>377.42204050678822</v>
      </c>
      <c r="I7" s="3">
        <f t="shared" ref="I7:I17" si="2">F7-G7</f>
        <v>11605.378476999998</v>
      </c>
      <c r="J7" s="26">
        <f t="shared" ref="J7:J17" si="3">E7-H7</f>
        <v>86.967959493211765</v>
      </c>
      <c r="K7" s="27">
        <v>45771</v>
      </c>
      <c r="L7">
        <f t="shared" ref="L7:L17" si="4">DAYS360(K7,$C$1)</f>
        <v>29</v>
      </c>
      <c r="M7" s="5">
        <f t="shared" ref="M7:M17" si="5">(I7/G7)</f>
        <v>0.23042628717823271</v>
      </c>
      <c r="N7">
        <v>9</v>
      </c>
      <c r="O7">
        <v>98</v>
      </c>
      <c r="P7" s="33">
        <v>81</v>
      </c>
      <c r="Q7" s="28">
        <v>349.62</v>
      </c>
      <c r="R7" s="29">
        <f t="shared" ref="R7:R17" si="6">Q7*0.93</f>
        <v>325.14660000000003</v>
      </c>
      <c r="S7" s="29">
        <v>387.03</v>
      </c>
      <c r="T7" s="28">
        <f t="shared" ref="T7:T17" si="7">Q7*1.25</f>
        <v>437.02499999999998</v>
      </c>
      <c r="U7" s="28">
        <f t="shared" ref="U7:U17" si="8">Q7*1.5</f>
        <v>524.43000000000006</v>
      </c>
      <c r="V7" s="28">
        <f t="shared" ref="V7:V17" si="9">Q7*2</f>
        <v>699.24</v>
      </c>
      <c r="W7" s="28">
        <f t="shared" ref="W7:W17" si="10">H7-(H7*0.07)</f>
        <v>351.00249767131305</v>
      </c>
      <c r="X7" s="29">
        <v>400</v>
      </c>
      <c r="Y7" s="5">
        <f t="shared" ref="Y7:Y17" si="11">(X7-H7)/H7</f>
        <v>5.9821518274065122E-2</v>
      </c>
      <c r="Z7" s="32">
        <f t="shared" ref="Z7:Z17" si="12">F7/F$20</f>
        <v>0.13736449188876643</v>
      </c>
      <c r="AB7" s="58">
        <v>45861</v>
      </c>
      <c r="AC7" s="9">
        <v>98</v>
      </c>
    </row>
    <row r="8" spans="1:29" x14ac:dyDescent="0.25">
      <c r="A8" t="s">
        <v>104</v>
      </c>
      <c r="B8" t="s">
        <v>30</v>
      </c>
      <c r="C8" s="25" t="s">
        <v>99</v>
      </c>
      <c r="D8" s="2">
        <v>960.15710000000001</v>
      </c>
      <c r="E8" s="26">
        <v>20.420000000000002</v>
      </c>
      <c r="F8" s="3">
        <f t="shared" si="0"/>
        <v>19606.407982000001</v>
      </c>
      <c r="G8" s="3">
        <f>960.1571*24.5702931</f>
        <v>23591.341369046011</v>
      </c>
      <c r="H8" s="4">
        <f t="shared" si="1"/>
        <v>24.570293100000001</v>
      </c>
      <c r="I8" s="3">
        <f t="shared" si="2"/>
        <v>-3984.9333870460105</v>
      </c>
      <c r="J8" s="26">
        <f t="shared" si="3"/>
        <v>-4.150293099999999</v>
      </c>
      <c r="K8" s="27">
        <v>45776</v>
      </c>
      <c r="L8">
        <f t="shared" si="4"/>
        <v>24</v>
      </c>
      <c r="M8" s="5">
        <f t="shared" si="5"/>
        <v>-0.1689150830683416</v>
      </c>
      <c r="N8">
        <v>47</v>
      </c>
      <c r="O8">
        <v>95</v>
      </c>
      <c r="P8" s="63">
        <v>80</v>
      </c>
      <c r="Q8" s="28">
        <v>22.73</v>
      </c>
      <c r="R8" s="29">
        <f t="shared" si="6"/>
        <v>21.138900000000003</v>
      </c>
      <c r="S8" s="29">
        <v>18.75</v>
      </c>
      <c r="T8" s="28">
        <f t="shared" si="7"/>
        <v>28.412500000000001</v>
      </c>
      <c r="U8" s="28">
        <f t="shared" si="8"/>
        <v>34.094999999999999</v>
      </c>
      <c r="V8" s="28">
        <f t="shared" si="9"/>
        <v>45.46</v>
      </c>
      <c r="W8" s="28">
        <f t="shared" si="10"/>
        <v>22.850372583000002</v>
      </c>
      <c r="X8" s="29">
        <v>22.43</v>
      </c>
      <c r="Y8" s="5">
        <f t="shared" si="11"/>
        <v>-8.7108977141180335E-2</v>
      </c>
      <c r="Z8" s="6">
        <f t="shared" si="12"/>
        <v>4.3459991034414142E-2</v>
      </c>
      <c r="AB8" s="58">
        <v>45875</v>
      </c>
      <c r="AC8" s="9">
        <v>96</v>
      </c>
    </row>
    <row r="9" spans="1:29" x14ac:dyDescent="0.25">
      <c r="A9" t="s">
        <v>106</v>
      </c>
      <c r="B9" t="s">
        <v>30</v>
      </c>
      <c r="C9" s="25" t="s">
        <v>108</v>
      </c>
      <c r="D9" s="2">
        <v>279.89909999999998</v>
      </c>
      <c r="E9" s="26">
        <v>85.39</v>
      </c>
      <c r="F9" s="3">
        <f t="shared" si="0"/>
        <v>23900.584148999998</v>
      </c>
      <c r="G9" s="3">
        <f>279.8991*98.0004109</f>
        <v>27430.226810540189</v>
      </c>
      <c r="H9" s="4">
        <f t="shared" si="1"/>
        <v>98.000410900000006</v>
      </c>
      <c r="I9" s="3">
        <f t="shared" si="2"/>
        <v>-3529.6426615401906</v>
      </c>
      <c r="J9" s="26">
        <f t="shared" si="3"/>
        <v>-12.610410900000005</v>
      </c>
      <c r="K9" s="27">
        <v>45782</v>
      </c>
      <c r="L9">
        <f t="shared" si="4"/>
        <v>18</v>
      </c>
      <c r="M9" s="5">
        <f t="shared" si="5"/>
        <v>-0.12867712272010487</v>
      </c>
      <c r="N9">
        <v>11</v>
      </c>
      <c r="O9">
        <v>91</v>
      </c>
      <c r="P9" s="63">
        <v>81</v>
      </c>
      <c r="Q9" s="28">
        <v>90.79</v>
      </c>
      <c r="R9" s="29">
        <f t="shared" si="6"/>
        <v>84.434700000000007</v>
      </c>
      <c r="S9" s="29">
        <v>81.099999999999994</v>
      </c>
      <c r="T9" s="28">
        <f t="shared" si="7"/>
        <v>113.48750000000001</v>
      </c>
      <c r="U9" s="28">
        <f t="shared" si="8"/>
        <v>136.185</v>
      </c>
      <c r="V9" s="28">
        <f t="shared" si="9"/>
        <v>181.58</v>
      </c>
      <c r="W9" s="28">
        <f t="shared" si="10"/>
        <v>91.140382137000003</v>
      </c>
      <c r="X9" s="29">
        <v>90</v>
      </c>
      <c r="Y9" s="5">
        <f t="shared" si="11"/>
        <v>-8.1636503628170043E-2</v>
      </c>
      <c r="Z9" s="32">
        <f t="shared" si="12"/>
        <v>5.2978555469539071E-2</v>
      </c>
      <c r="AB9" s="58">
        <v>45888</v>
      </c>
      <c r="AC9" s="9">
        <v>99</v>
      </c>
    </row>
    <row r="10" spans="1:29" x14ac:dyDescent="0.25">
      <c r="A10" t="s">
        <v>100</v>
      </c>
      <c r="B10" t="s">
        <v>30</v>
      </c>
      <c r="C10" s="25" t="s">
        <v>101</v>
      </c>
      <c r="D10" s="2">
        <f>183.4831+120.5473+115.3915</f>
        <v>419.42189999999999</v>
      </c>
      <c r="E10" s="26">
        <v>123.31</v>
      </c>
      <c r="F10" s="3">
        <f t="shared" si="0"/>
        <v>51718.914489000003</v>
      </c>
      <c r="G10" s="3">
        <f>22876.67+14197.82+14808.77</f>
        <v>51883.259999999995</v>
      </c>
      <c r="H10" s="4">
        <f t="shared" si="1"/>
        <v>123.70183817297092</v>
      </c>
      <c r="I10" s="3">
        <f t="shared" si="2"/>
        <v>-164.34551099999226</v>
      </c>
      <c r="J10" s="26">
        <f t="shared" si="3"/>
        <v>-0.39183817297092105</v>
      </c>
      <c r="K10" s="27">
        <v>45782</v>
      </c>
      <c r="L10">
        <f t="shared" si="4"/>
        <v>18</v>
      </c>
      <c r="M10" s="5">
        <f t="shared" si="5"/>
        <v>-3.1676018623346389E-3</v>
      </c>
      <c r="N10">
        <v>37</v>
      </c>
      <c r="O10">
        <v>99</v>
      </c>
      <c r="P10" s="64">
        <v>98</v>
      </c>
      <c r="Q10" s="28">
        <v>125.41</v>
      </c>
      <c r="R10" s="29">
        <f t="shared" si="6"/>
        <v>116.6313</v>
      </c>
      <c r="S10" s="29">
        <v>105.32</v>
      </c>
      <c r="T10" s="31">
        <f t="shared" si="7"/>
        <v>156.76249999999999</v>
      </c>
      <c r="U10" s="28">
        <f t="shared" si="8"/>
        <v>188.11500000000001</v>
      </c>
      <c r="V10" s="28">
        <f t="shared" si="9"/>
        <v>250.82</v>
      </c>
      <c r="W10" s="28">
        <f t="shared" si="10"/>
        <v>115.04270950086295</v>
      </c>
      <c r="X10" s="29">
        <v>105</v>
      </c>
      <c r="Y10" s="5">
        <f t="shared" si="11"/>
        <v>-0.15118480411600957</v>
      </c>
      <c r="Z10" s="6">
        <f t="shared" si="12"/>
        <v>0.11464127248933688</v>
      </c>
      <c r="AB10" s="58">
        <v>45880</v>
      </c>
      <c r="AC10" s="9">
        <v>99</v>
      </c>
    </row>
    <row r="11" spans="1:29" x14ac:dyDescent="0.25">
      <c r="A11" t="s">
        <v>107</v>
      </c>
      <c r="B11" t="s">
        <v>30</v>
      </c>
      <c r="C11" s="25" t="s">
        <v>109</v>
      </c>
      <c r="D11" s="2">
        <f>553.2061+364.8063</f>
        <v>918.01240000000007</v>
      </c>
      <c r="E11" s="26">
        <v>38.619999999999997</v>
      </c>
      <c r="F11" s="3">
        <f t="shared" si="0"/>
        <v>35453.638888000001</v>
      </c>
      <c r="G11" s="3">
        <f>22877.09+14244.67</f>
        <v>37121.760000000002</v>
      </c>
      <c r="H11" s="4">
        <f t="shared" si="1"/>
        <v>40.437100849618155</v>
      </c>
      <c r="I11" s="3">
        <f t="shared" si="2"/>
        <v>-1668.1211120000007</v>
      </c>
      <c r="J11" s="26">
        <f t="shared" si="3"/>
        <v>-1.8171008496181571</v>
      </c>
      <c r="K11" s="27">
        <v>45782</v>
      </c>
      <c r="L11">
        <f t="shared" si="4"/>
        <v>18</v>
      </c>
      <c r="M11" s="5">
        <f t="shared" si="5"/>
        <v>-4.4936476934283306E-2</v>
      </c>
      <c r="N11">
        <v>30</v>
      </c>
      <c r="O11">
        <v>93</v>
      </c>
      <c r="P11" s="63">
        <v>82</v>
      </c>
      <c r="Q11" s="28">
        <v>40</v>
      </c>
      <c r="R11" s="29">
        <f t="shared" si="6"/>
        <v>37.200000000000003</v>
      </c>
      <c r="S11" s="29">
        <v>37.520000000000003</v>
      </c>
      <c r="T11" s="31">
        <f t="shared" si="7"/>
        <v>50</v>
      </c>
      <c r="U11" s="28">
        <f t="shared" si="8"/>
        <v>60</v>
      </c>
      <c r="V11" s="28">
        <f t="shared" si="9"/>
        <v>80</v>
      </c>
      <c r="W11" s="28">
        <f t="shared" si="10"/>
        <v>37.606503790144885</v>
      </c>
      <c r="X11" s="29">
        <v>37</v>
      </c>
      <c r="Y11" s="5">
        <f t="shared" si="11"/>
        <v>-8.4998696182508618E-2</v>
      </c>
      <c r="Z11" s="32">
        <f t="shared" si="12"/>
        <v>7.858730827311193E-2</v>
      </c>
      <c r="AB11" s="58">
        <v>45875</v>
      </c>
      <c r="AC11" s="9">
        <v>97</v>
      </c>
    </row>
    <row r="12" spans="1:29" x14ac:dyDescent="0.25">
      <c r="A12" t="s">
        <v>111</v>
      </c>
      <c r="B12" t="s">
        <v>30</v>
      </c>
      <c r="C12" s="25" t="s">
        <v>112</v>
      </c>
      <c r="D12" s="2">
        <f>362.8226+163.9908</f>
        <v>526.8134</v>
      </c>
      <c r="E12" s="26">
        <v>82.26</v>
      </c>
      <c r="F12" s="3">
        <f t="shared" si="0"/>
        <v>43335.670284</v>
      </c>
      <c r="G12" s="3">
        <f>26856.13+12527.28</f>
        <v>39383.410000000003</v>
      </c>
      <c r="H12" s="4">
        <f t="shared" si="1"/>
        <v>74.757798491837917</v>
      </c>
      <c r="I12" s="3">
        <f t="shared" si="2"/>
        <v>3952.2602839999963</v>
      </c>
      <c r="J12" s="26">
        <f t="shared" si="3"/>
        <v>7.5022015081620879</v>
      </c>
      <c r="K12" s="27">
        <v>45789</v>
      </c>
      <c r="L12">
        <f t="shared" si="4"/>
        <v>11</v>
      </c>
      <c r="M12" s="5">
        <f t="shared" si="5"/>
        <v>0.10035343013720742</v>
      </c>
      <c r="N12">
        <v>21</v>
      </c>
      <c r="O12">
        <v>98</v>
      </c>
      <c r="P12" s="63">
        <v>40</v>
      </c>
      <c r="Q12" s="28">
        <v>74.239999999999995</v>
      </c>
      <c r="R12" s="29">
        <f t="shared" si="6"/>
        <v>69.043199999999999</v>
      </c>
      <c r="S12" s="29">
        <v>68.55</v>
      </c>
      <c r="T12" s="28">
        <f t="shared" si="7"/>
        <v>92.8</v>
      </c>
      <c r="U12" s="28">
        <f t="shared" si="8"/>
        <v>111.35999999999999</v>
      </c>
      <c r="V12" s="28">
        <f t="shared" si="9"/>
        <v>148.47999999999999</v>
      </c>
      <c r="W12" s="28">
        <f t="shared" si="10"/>
        <v>69.524752597409261</v>
      </c>
      <c r="X12" s="29">
        <v>73</v>
      </c>
      <c r="Y12" s="5">
        <f t="shared" si="11"/>
        <v>-2.3513245805784854E-2</v>
      </c>
      <c r="Z12" s="6">
        <f t="shared" si="12"/>
        <v>9.6058790765857036E-2</v>
      </c>
      <c r="AB12" s="58">
        <v>45875</v>
      </c>
      <c r="AC12" s="9">
        <v>92</v>
      </c>
    </row>
    <row r="13" spans="1:29" x14ac:dyDescent="0.25">
      <c r="A13" t="s">
        <v>113</v>
      </c>
      <c r="B13" t="s">
        <v>30</v>
      </c>
      <c r="C13" s="25" t="s">
        <v>114</v>
      </c>
      <c r="D13" s="2">
        <f>392.3916+221.1479</f>
        <v>613.53949999999998</v>
      </c>
      <c r="E13" s="26">
        <v>87.75</v>
      </c>
      <c r="F13" s="3">
        <f t="shared" si="0"/>
        <v>53838.091124999999</v>
      </c>
      <c r="G13" s="3">
        <f>35895.15+19479.74</f>
        <v>55374.89</v>
      </c>
      <c r="H13" s="4">
        <f t="shared" si="1"/>
        <v>90.254808370121239</v>
      </c>
      <c r="I13" s="3">
        <f t="shared" si="2"/>
        <v>-1536.7988750000004</v>
      </c>
      <c r="J13" s="26">
        <f t="shared" si="3"/>
        <v>-2.5048083701212391</v>
      </c>
      <c r="K13" s="27">
        <v>45793</v>
      </c>
      <c r="L13">
        <f t="shared" si="4"/>
        <v>7</v>
      </c>
      <c r="M13" s="5">
        <f t="shared" si="5"/>
        <v>-2.7752630750146869E-2</v>
      </c>
      <c r="N13">
        <v>67</v>
      </c>
      <c r="O13">
        <v>90</v>
      </c>
      <c r="P13" s="63">
        <v>83</v>
      </c>
      <c r="Q13" s="28">
        <v>87</v>
      </c>
      <c r="R13" s="29">
        <f t="shared" si="6"/>
        <v>80.910000000000011</v>
      </c>
      <c r="S13" s="29">
        <v>80.12</v>
      </c>
      <c r="T13" s="28">
        <f t="shared" si="7"/>
        <v>108.75</v>
      </c>
      <c r="U13" s="28">
        <f t="shared" si="8"/>
        <v>130.5</v>
      </c>
      <c r="V13" s="28">
        <f t="shared" si="9"/>
        <v>174</v>
      </c>
      <c r="W13" s="28">
        <f t="shared" si="10"/>
        <v>83.936971784212744</v>
      </c>
      <c r="X13" s="29">
        <v>85</v>
      </c>
      <c r="Y13" s="5">
        <f t="shared" si="11"/>
        <v>-5.8221921524358781E-2</v>
      </c>
      <c r="Z13" s="32">
        <f t="shared" si="12"/>
        <v>0.11933868558435425</v>
      </c>
      <c r="AB13" s="58">
        <v>45874</v>
      </c>
      <c r="AC13" s="9">
        <v>94</v>
      </c>
    </row>
    <row r="14" spans="1:29" x14ac:dyDescent="0.25">
      <c r="A14" t="s">
        <v>116</v>
      </c>
      <c r="B14" t="s">
        <v>30</v>
      </c>
      <c r="C14" s="25" t="s">
        <v>117</v>
      </c>
      <c r="D14" s="2">
        <v>570.81209999999999</v>
      </c>
      <c r="E14" s="26">
        <v>63.17</v>
      </c>
      <c r="F14" s="3">
        <f t="shared" si="0"/>
        <v>36058.200357000002</v>
      </c>
      <c r="G14" s="3">
        <v>36072.47</v>
      </c>
      <c r="H14" s="4">
        <f t="shared" si="1"/>
        <v>63.194998844628557</v>
      </c>
      <c r="I14" s="3">
        <f t="shared" si="2"/>
        <v>-14.269642999999633</v>
      </c>
      <c r="J14" s="26">
        <f t="shared" si="3"/>
        <v>-2.4998844628555617E-2</v>
      </c>
      <c r="K14" s="27">
        <v>45796</v>
      </c>
      <c r="L14">
        <f t="shared" si="4"/>
        <v>4</v>
      </c>
      <c r="M14" s="5">
        <f t="shared" si="5"/>
        <v>-3.9558264238627499E-4</v>
      </c>
      <c r="N14">
        <v>33</v>
      </c>
      <c r="O14">
        <v>98</v>
      </c>
      <c r="P14" s="63">
        <v>81</v>
      </c>
      <c r="Q14" s="28">
        <v>63.78</v>
      </c>
      <c r="R14" s="29">
        <f t="shared" si="6"/>
        <v>59.315400000000004</v>
      </c>
      <c r="S14" s="29">
        <v>57.68</v>
      </c>
      <c r="T14" s="31">
        <f t="shared" si="7"/>
        <v>79.724999999999994</v>
      </c>
      <c r="U14" s="28">
        <f t="shared" si="8"/>
        <v>95.67</v>
      </c>
      <c r="V14" s="28">
        <f t="shared" si="9"/>
        <v>127.56</v>
      </c>
      <c r="W14" s="28">
        <f t="shared" si="10"/>
        <v>58.771348925504554</v>
      </c>
      <c r="X14" s="29">
        <v>56</v>
      </c>
      <c r="Y14" s="5">
        <f t="shared" si="11"/>
        <v>-0.11385392794006068</v>
      </c>
      <c r="Z14" s="6">
        <f t="shared" si="12"/>
        <v>7.9927392394926286E-2</v>
      </c>
      <c r="AB14" s="58">
        <v>45868</v>
      </c>
      <c r="AC14" s="9">
        <v>97</v>
      </c>
    </row>
    <row r="15" spans="1:29" x14ac:dyDescent="0.25">
      <c r="A15" t="s">
        <v>118</v>
      </c>
      <c r="B15" t="s">
        <v>30</v>
      </c>
      <c r="C15" s="25" t="s">
        <v>119</v>
      </c>
      <c r="D15" s="2">
        <v>605.00160000000005</v>
      </c>
      <c r="E15" s="26">
        <v>30.24</v>
      </c>
      <c r="F15" s="3">
        <f t="shared" si="0"/>
        <v>18295.248384000002</v>
      </c>
      <c r="G15" s="3">
        <f>605.0016*29.7738017</f>
        <v>18013.197666582721</v>
      </c>
      <c r="H15" s="4">
        <f t="shared" si="1"/>
        <v>29.7738017</v>
      </c>
      <c r="I15" s="3">
        <f t="shared" si="2"/>
        <v>282.0507174172817</v>
      </c>
      <c r="J15" s="26">
        <f t="shared" si="3"/>
        <v>0.46619829999999851</v>
      </c>
      <c r="K15" s="27">
        <v>45800</v>
      </c>
      <c r="L15">
        <f t="shared" si="4"/>
        <v>0</v>
      </c>
      <c r="M15" s="5">
        <f t="shared" si="5"/>
        <v>1.565800379465827E-2</v>
      </c>
      <c r="N15">
        <v>9</v>
      </c>
      <c r="O15">
        <v>99</v>
      </c>
      <c r="P15" s="63">
        <v>19</v>
      </c>
      <c r="Q15" s="28">
        <v>29.66</v>
      </c>
      <c r="R15" s="29">
        <f t="shared" si="6"/>
        <v>27.5838</v>
      </c>
      <c r="S15" s="29">
        <v>22.49</v>
      </c>
      <c r="T15" s="31">
        <f t="shared" si="7"/>
        <v>37.075000000000003</v>
      </c>
      <c r="U15" s="28">
        <f t="shared" si="8"/>
        <v>44.49</v>
      </c>
      <c r="V15" s="28">
        <f t="shared" si="9"/>
        <v>59.32</v>
      </c>
      <c r="W15" s="28">
        <f t="shared" si="10"/>
        <v>27.689635581000001</v>
      </c>
      <c r="X15" s="29">
        <v>27</v>
      </c>
      <c r="Y15" s="5">
        <f t="shared" si="11"/>
        <v>-9.3162496611912338E-2</v>
      </c>
      <c r="Z15" s="6">
        <f t="shared" si="12"/>
        <v>4.0553646107486158E-2</v>
      </c>
      <c r="AB15" s="58">
        <v>45875</v>
      </c>
      <c r="AC15" s="9">
        <v>89</v>
      </c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45143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6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45143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344176.95413499995</v>
      </c>
      <c r="G18" s="3">
        <f>SUM(G6:G17)</f>
        <v>339235.3758461689</v>
      </c>
      <c r="H18" s="4"/>
      <c r="I18" s="3">
        <f>SUM(I6:I17)</f>
        <v>4941.5782888310823</v>
      </c>
      <c r="M18" s="5"/>
      <c r="Z18" s="6"/>
    </row>
    <row r="19" spans="1:29" x14ac:dyDescent="0.25">
      <c r="D19" s="2" t="s">
        <v>44</v>
      </c>
      <c r="F19" s="3">
        <v>106960</v>
      </c>
      <c r="G19" s="6">
        <f>F19/F20</f>
        <v>0.23708986599220794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451136.95413499995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'05-16-25'!F20</f>
        <v>450093.38954</v>
      </c>
      <c r="K21" s="1">
        <v>45657</v>
      </c>
      <c r="L21" s="50">
        <v>170762</v>
      </c>
      <c r="M21" s="50">
        <v>156014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2.3185512590319954E-3</v>
      </c>
      <c r="K22" s="9" t="s">
        <v>50</v>
      </c>
      <c r="L22" s="6">
        <f>(M21-L21)/L21</f>
        <v>-8.6365819093240884E-2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  <c r="P25" s="9" t="s">
        <v>120</v>
      </c>
      <c r="S25" t="s">
        <v>88</v>
      </c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>
        <v>85.55</v>
      </c>
      <c r="S26" s="62">
        <f>(Q26-H26)/H26</f>
        <v>0.23636097617182603</v>
      </c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>
        <v>58.74</v>
      </c>
      <c r="S27" s="62">
        <f t="shared" ref="S27:S44" si="14">(Q27-H27)/H27</f>
        <v>-0.29002193933236314</v>
      </c>
      <c r="U27" t="s">
        <v>90</v>
      </c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5">F28/D28</f>
        <v>44.698790833464948</v>
      </c>
      <c r="F28" s="3">
        <v>56489.42</v>
      </c>
      <c r="G28" s="56">
        <v>75501.87</v>
      </c>
      <c r="H28" s="57">
        <f t="shared" ref="H28:H44" si="16">G28/D28</f>
        <v>59.742909285764696</v>
      </c>
      <c r="I28" s="57">
        <f t="shared" ref="I28:I44" si="17">G28-F28</f>
        <v>19012.449999999997</v>
      </c>
      <c r="J28" s="6">
        <f t="shared" ref="J28:J44" si="18">I28/F28</f>
        <v>0.33656656414599401</v>
      </c>
      <c r="K28" s="1">
        <v>45527</v>
      </c>
      <c r="L28" s="1">
        <v>45688</v>
      </c>
      <c r="M28">
        <f t="shared" si="13"/>
        <v>158</v>
      </c>
      <c r="Q28" s="28">
        <v>58.44</v>
      </c>
      <c r="S28" s="62">
        <f t="shared" si="14"/>
        <v>-2.1808601243916165E-2</v>
      </c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5"/>
        <v>169.90901206845703</v>
      </c>
      <c r="F29" s="3">
        <f>59492.79+21969.78</f>
        <v>81462.570000000007</v>
      </c>
      <c r="G29" s="56">
        <v>65047.58</v>
      </c>
      <c r="H29" s="57">
        <f t="shared" si="16"/>
        <v>135.67175765807443</v>
      </c>
      <c r="I29" s="57">
        <f t="shared" si="17"/>
        <v>-16414.990000000005</v>
      </c>
      <c r="J29" s="6">
        <f t="shared" si="18"/>
        <v>-0.20150346349249729</v>
      </c>
      <c r="K29" s="1">
        <v>45671</v>
      </c>
      <c r="L29" s="1">
        <v>45688</v>
      </c>
      <c r="M29">
        <f t="shared" si="13"/>
        <v>17</v>
      </c>
      <c r="Q29" s="28">
        <v>203.25</v>
      </c>
      <c r="S29" s="62">
        <f t="shared" si="14"/>
        <v>0.49810103081467444</v>
      </c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5"/>
        <v>18.702010092477405</v>
      </c>
      <c r="F30" s="3">
        <v>56486.59</v>
      </c>
      <c r="G30" s="56">
        <v>71124.88</v>
      </c>
      <c r="H30" s="57">
        <f t="shared" si="16"/>
        <v>23.548566546258936</v>
      </c>
      <c r="I30" s="57">
        <f t="shared" si="17"/>
        <v>14638.290000000008</v>
      </c>
      <c r="J30" s="6">
        <f t="shared" si="18"/>
        <v>0.25914628587068206</v>
      </c>
      <c r="K30" s="1">
        <v>45527</v>
      </c>
      <c r="L30" s="1">
        <v>45691</v>
      </c>
      <c r="M30">
        <f t="shared" si="13"/>
        <v>160</v>
      </c>
      <c r="Q30" s="28">
        <v>19.62</v>
      </c>
      <c r="S30" s="62">
        <f t="shared" si="14"/>
        <v>-0.16682826695806036</v>
      </c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5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6"/>
        <v>38.249853000000002</v>
      </c>
      <c r="I31" s="57">
        <f t="shared" si="17"/>
        <v>-6110.386336591735</v>
      </c>
      <c r="J31" s="6">
        <f t="shared" si="18"/>
        <v>-0.10005621882176895</v>
      </c>
      <c r="K31" s="1">
        <v>45706</v>
      </c>
      <c r="L31" s="1">
        <v>45708</v>
      </c>
      <c r="M31">
        <f t="shared" si="13"/>
        <v>2</v>
      </c>
      <c r="Q31" s="28">
        <v>42.49</v>
      </c>
      <c r="S31" s="62">
        <f t="shared" si="14"/>
        <v>0.11085394236678504</v>
      </c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5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6"/>
        <v>531.63995279999995</v>
      </c>
      <c r="I32" s="57">
        <f t="shared" si="17"/>
        <v>-22176.243614196137</v>
      </c>
      <c r="J32" s="6">
        <f t="shared" si="18"/>
        <v>-0.24194911929355969</v>
      </c>
      <c r="K32" s="1">
        <v>45706</v>
      </c>
      <c r="L32" s="1">
        <v>45708</v>
      </c>
      <c r="M32">
        <f t="shared" si="13"/>
        <v>2</v>
      </c>
      <c r="Q32" s="28">
        <v>731.37</v>
      </c>
      <c r="S32" s="62">
        <f t="shared" si="14"/>
        <v>0.37568667694757962</v>
      </c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5"/>
        <v>368.56522253629635</v>
      </c>
      <c r="F33" s="3">
        <v>74438.86</v>
      </c>
      <c r="G33" s="56">
        <f>201.9693*360.5332483</f>
        <v>72816.647785877198</v>
      </c>
      <c r="H33" s="57">
        <f t="shared" si="16"/>
        <v>360.53324830000003</v>
      </c>
      <c r="I33" s="57">
        <f t="shared" si="17"/>
        <v>-1622.2122141228028</v>
      </c>
      <c r="J33" s="6">
        <f t="shared" si="18"/>
        <v>-2.1792545105107773E-2</v>
      </c>
      <c r="K33" s="1">
        <v>45664</v>
      </c>
      <c r="L33" s="1">
        <v>45708</v>
      </c>
      <c r="M33">
        <f t="shared" si="13"/>
        <v>43</v>
      </c>
      <c r="Q33" s="28">
        <v>464.39</v>
      </c>
      <c r="S33" s="62">
        <f t="shared" si="14"/>
        <v>0.28806428308542759</v>
      </c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5"/>
        <v>30.17825528482809</v>
      </c>
      <c r="F34" s="3">
        <v>37884.65</v>
      </c>
      <c r="G34" s="56">
        <f>1255.3625*39.762296</f>
        <v>49916.0953123</v>
      </c>
      <c r="H34" s="57">
        <f t="shared" si="16"/>
        <v>39.762295999999999</v>
      </c>
      <c r="I34" s="57">
        <f t="shared" si="17"/>
        <v>12031.445312299998</v>
      </c>
      <c r="J34" s="6">
        <f t="shared" si="18"/>
        <v>0.31758100740801348</v>
      </c>
      <c r="K34" s="1">
        <v>45663</v>
      </c>
      <c r="L34" s="1">
        <v>45709</v>
      </c>
      <c r="M34">
        <f t="shared" si="13"/>
        <v>45</v>
      </c>
      <c r="Q34" s="28">
        <v>48.87</v>
      </c>
      <c r="S34" s="62">
        <f t="shared" si="14"/>
        <v>0.22905377496309565</v>
      </c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5"/>
        <v>242.26930551548847</v>
      </c>
      <c r="F35" s="3">
        <v>61221.72</v>
      </c>
      <c r="G35" s="56">
        <f>252.7011*226.6146532</f>
        <v>57265.772139758519</v>
      </c>
      <c r="H35" s="57">
        <f t="shared" si="16"/>
        <v>226.61465319999999</v>
      </c>
      <c r="I35" s="57">
        <f t="shared" si="17"/>
        <v>-3955.947860241482</v>
      </c>
      <c r="J35" s="6">
        <f t="shared" si="18"/>
        <v>-6.4616738311852093E-2</v>
      </c>
      <c r="K35" s="1">
        <v>45699</v>
      </c>
      <c r="L35" s="1">
        <v>45709</v>
      </c>
      <c r="M35">
        <f t="shared" si="13"/>
        <v>10</v>
      </c>
      <c r="Q35" s="28">
        <v>167.22</v>
      </c>
      <c r="S35" s="62">
        <f t="shared" si="14"/>
        <v>-0.26209537804062882</v>
      </c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5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6"/>
        <v>283.93999450000007</v>
      </c>
      <c r="I36" s="57">
        <f t="shared" si="17"/>
        <v>19563.525282954361</v>
      </c>
      <c r="J36" s="6">
        <f t="shared" si="18"/>
        <v>0.36434300703793465</v>
      </c>
      <c r="K36" s="1">
        <v>45580</v>
      </c>
      <c r="L36" s="1">
        <v>45712</v>
      </c>
      <c r="M36">
        <f t="shared" si="13"/>
        <v>129</v>
      </c>
      <c r="Q36" s="28">
        <v>369.51</v>
      </c>
      <c r="S36" s="62">
        <f t="shared" si="14"/>
        <v>0.30136651108514373</v>
      </c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5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6"/>
        <v>63.365330900000004</v>
      </c>
      <c r="I37" s="57">
        <f t="shared" si="17"/>
        <v>-4549.5912833559851</v>
      </c>
      <c r="J37" s="6">
        <f t="shared" si="18"/>
        <v>-5.9638082078758516E-2</v>
      </c>
      <c r="K37" s="1">
        <v>45673</v>
      </c>
      <c r="L37" s="1">
        <v>45712</v>
      </c>
      <c r="M37">
        <f t="shared" si="13"/>
        <v>38</v>
      </c>
      <c r="Q37" s="28">
        <v>55.44</v>
      </c>
      <c r="S37" s="62">
        <f t="shared" si="14"/>
        <v>-0.12507361340079431</v>
      </c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6"/>
        <v>50.021380499999999</v>
      </c>
      <c r="I38" s="57">
        <f t="shared" si="17"/>
        <v>6027.2875116823998</v>
      </c>
      <c r="J38" s="6">
        <f t="shared" si="18"/>
        <v>9.9771440635884723E-2</v>
      </c>
      <c r="K38" s="1">
        <v>45593</v>
      </c>
      <c r="L38" s="1">
        <v>45713</v>
      </c>
      <c r="M38">
        <f t="shared" si="13"/>
        <v>117</v>
      </c>
      <c r="Q38" s="28">
        <v>61.83</v>
      </c>
      <c r="S38" s="62">
        <f t="shared" si="14"/>
        <v>0.23607144349004922</v>
      </c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6"/>
        <v>12.519992000000002</v>
      </c>
      <c r="I39" s="57">
        <f t="shared" si="17"/>
        <v>-2230.6527810991975</v>
      </c>
      <c r="J39" s="6">
        <f t="shared" si="18"/>
        <v>-9.8609037242937694E-2</v>
      </c>
      <c r="K39" s="1">
        <v>45692</v>
      </c>
      <c r="L39" s="1">
        <v>45715</v>
      </c>
      <c r="M39">
        <f>DAYS360(K39,L39)</f>
        <v>23</v>
      </c>
      <c r="Q39" s="28">
        <v>12.13</v>
      </c>
      <c r="S39" s="62">
        <f t="shared" si="14"/>
        <v>-3.1149540670633108E-2</v>
      </c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6"/>
        <v>94.679995300000002</v>
      </c>
      <c r="I40" s="57">
        <f t="shared" si="17"/>
        <v>-4750.690604140058</v>
      </c>
      <c r="J40" s="6">
        <f t="shared" si="18"/>
        <v>-0.10235753534193669</v>
      </c>
      <c r="K40" s="1">
        <v>45695</v>
      </c>
      <c r="L40" s="1">
        <v>45729</v>
      </c>
      <c r="M40">
        <f>DAYS360(K40,L40)</f>
        <v>36</v>
      </c>
      <c r="Q40" s="28">
        <v>103.16</v>
      </c>
      <c r="S40" s="62">
        <f t="shared" si="14"/>
        <v>8.9564904108101431E-2</v>
      </c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44" si="19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6"/>
        <v>18.9477051</v>
      </c>
      <c r="I41" s="57">
        <f t="shared" si="17"/>
        <v>-2244.5195874142191</v>
      </c>
      <c r="J41" s="6">
        <f t="shared" si="18"/>
        <v>-8.2776138273503941E-2</v>
      </c>
      <c r="K41" s="1">
        <v>45761</v>
      </c>
      <c r="L41" s="1">
        <v>45768</v>
      </c>
      <c r="M41">
        <f t="shared" ref="M41:M44" si="20">DAYS360(K41,L41)</f>
        <v>7</v>
      </c>
      <c r="Q41" s="28">
        <v>20.420000000000002</v>
      </c>
      <c r="S41" s="62">
        <f t="shared" si="14"/>
        <v>7.7703072336712767E-2</v>
      </c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9"/>
        <v>96.336406065231671</v>
      </c>
      <c r="F42" s="3">
        <v>34004.42</v>
      </c>
      <c r="G42" s="56">
        <f>352.9758*89.7849585</f>
        <v>31691.9175545043</v>
      </c>
      <c r="H42" s="57">
        <f t="shared" si="16"/>
        <v>89.784958500000002</v>
      </c>
      <c r="I42" s="57">
        <f t="shared" si="17"/>
        <v>-2312.5024454956983</v>
      </c>
      <c r="J42" s="6">
        <f t="shared" si="18"/>
        <v>-6.8005937036882222E-2</v>
      </c>
      <c r="K42" s="1">
        <v>45762</v>
      </c>
      <c r="L42" s="1">
        <v>45768</v>
      </c>
      <c r="M42">
        <f t="shared" si="20"/>
        <v>6</v>
      </c>
      <c r="Q42" s="28">
        <v>123.31</v>
      </c>
      <c r="S42" s="62">
        <f t="shared" si="14"/>
        <v>0.37339262678391727</v>
      </c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9"/>
        <v>16.992624876012847</v>
      </c>
      <c r="F43" s="3">
        <v>37971.83</v>
      </c>
      <c r="G43" s="56">
        <f>2234.6065*13.3067232</f>
        <v>29735.2901564208</v>
      </c>
      <c r="H43" s="57">
        <f t="shared" si="16"/>
        <v>13.3067232</v>
      </c>
      <c r="I43" s="57">
        <f t="shared" si="17"/>
        <v>-8236.5398435792013</v>
      </c>
      <c r="J43" s="6">
        <f t="shared" si="18"/>
        <v>-0.21691184869360261</v>
      </c>
      <c r="K43" s="1">
        <v>45652</v>
      </c>
      <c r="L43" s="1">
        <v>45785</v>
      </c>
      <c r="M43">
        <f t="shared" si="20"/>
        <v>132</v>
      </c>
      <c r="Q43" s="28">
        <v>11.07</v>
      </c>
      <c r="S43" s="62">
        <f t="shared" si="14"/>
        <v>-0.16808970671306969</v>
      </c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9"/>
        <v>38.101812248436303</v>
      </c>
      <c r="F44" s="3">
        <v>21940.86</v>
      </c>
      <c r="G44" s="56">
        <f>575.8482*32.7857042</f>
        <v>18879.588749302438</v>
      </c>
      <c r="H44" s="57">
        <f t="shared" si="16"/>
        <v>32.785704199999998</v>
      </c>
      <c r="I44" s="57">
        <f t="shared" si="17"/>
        <v>-3061.2712506975622</v>
      </c>
      <c r="J44" s="6">
        <f t="shared" si="18"/>
        <v>-0.13952375844417958</v>
      </c>
      <c r="K44" s="1">
        <v>45761</v>
      </c>
      <c r="L44" s="1">
        <v>45790</v>
      </c>
      <c r="M44">
        <f t="shared" si="20"/>
        <v>29</v>
      </c>
      <c r="Q44" s="28">
        <v>34.57</v>
      </c>
      <c r="S44" s="62">
        <f t="shared" si="14"/>
        <v>5.4422982319226883E-2</v>
      </c>
    </row>
    <row r="45" spans="1:19" x14ac:dyDescent="0.25">
      <c r="C45" s="25"/>
      <c r="D45" s="2"/>
      <c r="E45" s="57"/>
      <c r="F45" s="3"/>
      <c r="G45" s="56"/>
      <c r="H45" s="57"/>
      <c r="I45" s="57"/>
      <c r="J45" s="6"/>
      <c r="K45" s="1"/>
      <c r="L45" s="1"/>
    </row>
    <row r="46" spans="1:19" x14ac:dyDescent="0.25">
      <c r="C46" s="25"/>
      <c r="D46" s="2"/>
      <c r="E46" s="57"/>
      <c r="F46" s="3"/>
      <c r="G46" s="56"/>
      <c r="H46" s="57"/>
      <c r="I46" s="57"/>
      <c r="J46" s="6"/>
      <c r="K46" s="1"/>
      <c r="L46" s="1"/>
    </row>
    <row r="47" spans="1:19" x14ac:dyDescent="0.25">
      <c r="F47" s="56"/>
      <c r="G47" s="56"/>
      <c r="H47" s="3"/>
      <c r="I47" s="3">
        <f>SUM(I26:I46)</f>
        <v>-14156.569713997316</v>
      </c>
      <c r="J47" s="13" t="s">
        <v>66</v>
      </c>
    </row>
    <row r="48" spans="1:19" x14ac:dyDescent="0.25">
      <c r="F48" s="56"/>
      <c r="G48" s="56"/>
      <c r="H48" s="3" t="s">
        <v>67</v>
      </c>
      <c r="I48" s="59">
        <v>14</v>
      </c>
      <c r="J48" s="5">
        <v>-0.10680000000000001</v>
      </c>
    </row>
    <row r="49" spans="6:10" x14ac:dyDescent="0.25">
      <c r="F49" s="56"/>
      <c r="G49" s="56"/>
      <c r="H49" s="3" t="s">
        <v>68</v>
      </c>
      <c r="I49" s="59">
        <v>5</v>
      </c>
      <c r="J49" s="5">
        <v>0.27560000000000001</v>
      </c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  <c r="J61" s="6"/>
    </row>
    <row r="62" spans="6:10" x14ac:dyDescent="0.25">
      <c r="F62" s="56"/>
      <c r="G62" s="56"/>
      <c r="J62" s="6"/>
    </row>
    <row r="63" spans="6:10" x14ac:dyDescent="0.25">
      <c r="F63" s="56"/>
      <c r="G63" s="56"/>
      <c r="J63" s="6"/>
    </row>
    <row r="64" spans="6:10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</row>
    <row r="74" spans="6:10" x14ac:dyDescent="0.25">
      <c r="F74" s="56"/>
      <c r="G74" s="56"/>
    </row>
    <row r="75" spans="6:10" x14ac:dyDescent="0.25">
      <c r="F75" s="56"/>
      <c r="G75" s="56"/>
    </row>
    <row r="76" spans="6:10" x14ac:dyDescent="0.25">
      <c r="F76" s="56"/>
      <c r="G76" s="56"/>
    </row>
    <row r="77" spans="6:10" x14ac:dyDescent="0.25">
      <c r="F77" s="56"/>
      <c r="G77" s="56"/>
    </row>
    <row r="78" spans="6:10" x14ac:dyDescent="0.25">
      <c r="F78" s="56"/>
      <c r="G78" s="5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1252-71F7-449A-9CC4-E767898B77D4}">
  <dimension ref="A1:AC78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45807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71</v>
      </c>
      <c r="B7" t="s">
        <v>30</v>
      </c>
      <c r="C7" t="s">
        <v>72</v>
      </c>
      <c r="D7" s="2">
        <f>98.1877+35.2566</f>
        <v>133.4443</v>
      </c>
      <c r="E7" s="26">
        <v>472.98</v>
      </c>
      <c r="F7" s="3">
        <f t="shared" ref="F7:F17" si="0">E7*D7</f>
        <v>63116.485013999998</v>
      </c>
      <c r="G7" s="3">
        <f>34962.9+15401.92</f>
        <v>50364.82</v>
      </c>
      <c r="H7" s="4">
        <f t="shared" ref="H7:H17" si="1">G7/D7</f>
        <v>377.42204050678822</v>
      </c>
      <c r="I7" s="3">
        <f t="shared" ref="I7:I17" si="2">F7-G7</f>
        <v>12751.665013999998</v>
      </c>
      <c r="J7" s="26">
        <f t="shared" ref="J7:J17" si="3">E7-H7</f>
        <v>95.557959493211797</v>
      </c>
      <c r="K7" s="27">
        <v>45771</v>
      </c>
      <c r="L7">
        <f t="shared" ref="L7:L17" si="4">DAYS360(K7,$C$1)</f>
        <v>36</v>
      </c>
      <c r="M7" s="5">
        <f t="shared" ref="M7:M17" si="5">(I7/G7)</f>
        <v>0.25318595428316826</v>
      </c>
      <c r="N7">
        <v>5</v>
      </c>
      <c r="O7">
        <v>98</v>
      </c>
      <c r="P7" s="33">
        <v>81</v>
      </c>
      <c r="Q7" s="28">
        <v>349.62</v>
      </c>
      <c r="R7" s="29">
        <f t="shared" ref="R7:R17" si="6">Q7*0.93</f>
        <v>325.14660000000003</v>
      </c>
      <c r="S7" s="29">
        <v>387.03</v>
      </c>
      <c r="T7" s="28">
        <f t="shared" ref="T7:T17" si="7">Q7*1.25</f>
        <v>437.02499999999998</v>
      </c>
      <c r="U7" s="28">
        <f t="shared" ref="U7:U17" si="8">Q7*1.5</f>
        <v>524.43000000000006</v>
      </c>
      <c r="V7" s="28">
        <f t="shared" ref="V7:V17" si="9">Q7*2</f>
        <v>699.24</v>
      </c>
      <c r="W7" s="28">
        <f t="shared" ref="W7:W17" si="10">H7-(H7*0.07)</f>
        <v>351.00249767131305</v>
      </c>
      <c r="X7" s="29">
        <v>400</v>
      </c>
      <c r="Y7" s="5">
        <f t="shared" ref="Y7:Y17" si="11">(X7-H7)/H7</f>
        <v>5.9821518274065122E-2</v>
      </c>
      <c r="Z7" s="32">
        <f t="shared" ref="Z7:Z17" si="12">F7/F$20</f>
        <v>0.13719909988528575</v>
      </c>
      <c r="AB7" s="58">
        <v>45861</v>
      </c>
      <c r="AC7" s="9">
        <v>97</v>
      </c>
    </row>
    <row r="8" spans="1:29" x14ac:dyDescent="0.25">
      <c r="A8" t="s">
        <v>104</v>
      </c>
      <c r="B8" t="s">
        <v>30</v>
      </c>
      <c r="C8" s="25" t="s">
        <v>99</v>
      </c>
      <c r="D8" s="2">
        <v>960.15710000000001</v>
      </c>
      <c r="E8" s="26">
        <v>19.84</v>
      </c>
      <c r="F8" s="3">
        <f t="shared" si="0"/>
        <v>19049.516864000001</v>
      </c>
      <c r="G8" s="3">
        <f>960.1571*24.5702931</f>
        <v>23591.341369046011</v>
      </c>
      <c r="H8" s="4">
        <f t="shared" si="1"/>
        <v>24.570293100000001</v>
      </c>
      <c r="I8" s="3">
        <f t="shared" si="2"/>
        <v>-4541.82450504601</v>
      </c>
      <c r="J8" s="26">
        <f t="shared" si="3"/>
        <v>-4.7302931000000008</v>
      </c>
      <c r="K8" s="27">
        <v>45776</v>
      </c>
      <c r="L8">
        <f t="shared" si="4"/>
        <v>31</v>
      </c>
      <c r="M8" s="5">
        <f t="shared" si="5"/>
        <v>-0.19252082507717419</v>
      </c>
      <c r="N8">
        <v>43</v>
      </c>
      <c r="O8">
        <v>93</v>
      </c>
      <c r="P8" s="63">
        <v>80</v>
      </c>
      <c r="Q8" s="28">
        <v>22.73</v>
      </c>
      <c r="R8" s="29">
        <f t="shared" si="6"/>
        <v>21.138900000000003</v>
      </c>
      <c r="S8" s="29">
        <v>18.75</v>
      </c>
      <c r="T8" s="28">
        <f t="shared" si="7"/>
        <v>28.412500000000001</v>
      </c>
      <c r="U8" s="28">
        <f t="shared" si="8"/>
        <v>34.094999999999999</v>
      </c>
      <c r="V8" s="28">
        <f t="shared" si="9"/>
        <v>45.46</v>
      </c>
      <c r="W8" s="28">
        <f t="shared" si="10"/>
        <v>22.850372583000002</v>
      </c>
      <c r="X8" s="29">
        <v>22.43</v>
      </c>
      <c r="Y8" s="5">
        <f t="shared" si="11"/>
        <v>-8.7108977141180335E-2</v>
      </c>
      <c r="Z8" s="6">
        <f t="shared" si="12"/>
        <v>4.1408778806529684E-2</v>
      </c>
      <c r="AB8" s="58">
        <v>45875</v>
      </c>
      <c r="AC8" s="9">
        <v>95</v>
      </c>
    </row>
    <row r="9" spans="1:29" x14ac:dyDescent="0.25">
      <c r="A9" t="s">
        <v>106</v>
      </c>
      <c r="B9" t="s">
        <v>30</v>
      </c>
      <c r="C9" s="25" t="s">
        <v>108</v>
      </c>
      <c r="D9" s="2">
        <v>279.89909999999998</v>
      </c>
      <c r="E9" s="26">
        <v>87.05</v>
      </c>
      <c r="F9" s="3">
        <f t="shared" si="0"/>
        <v>24365.216654999997</v>
      </c>
      <c r="G9" s="3">
        <f>279.8991*98.0004109</f>
        <v>27430.226810540189</v>
      </c>
      <c r="H9" s="4">
        <f t="shared" si="1"/>
        <v>98.000410900000006</v>
      </c>
      <c r="I9" s="3">
        <f t="shared" si="2"/>
        <v>-3065.0101555401925</v>
      </c>
      <c r="J9" s="26">
        <f t="shared" si="3"/>
        <v>-10.950410900000008</v>
      </c>
      <c r="K9" s="27">
        <v>45782</v>
      </c>
      <c r="L9">
        <f t="shared" si="4"/>
        <v>25</v>
      </c>
      <c r="M9" s="5">
        <f t="shared" si="5"/>
        <v>-0.11173841823146896</v>
      </c>
      <c r="N9">
        <v>8</v>
      </c>
      <c r="O9">
        <v>91</v>
      </c>
      <c r="P9" s="63">
        <v>81</v>
      </c>
      <c r="Q9" s="28">
        <v>90.79</v>
      </c>
      <c r="R9" s="29">
        <f t="shared" si="6"/>
        <v>84.434700000000007</v>
      </c>
      <c r="S9" s="29">
        <v>81.099999999999994</v>
      </c>
      <c r="T9" s="28">
        <f t="shared" si="7"/>
        <v>113.48750000000001</v>
      </c>
      <c r="U9" s="28">
        <f t="shared" si="8"/>
        <v>136.185</v>
      </c>
      <c r="V9" s="28">
        <f t="shared" si="9"/>
        <v>181.58</v>
      </c>
      <c r="W9" s="28">
        <f t="shared" si="10"/>
        <v>91.140382137000003</v>
      </c>
      <c r="X9" s="29">
        <v>90</v>
      </c>
      <c r="Y9" s="5">
        <f t="shared" si="11"/>
        <v>-8.1636503628170043E-2</v>
      </c>
      <c r="Z9" s="32">
        <f t="shared" si="12"/>
        <v>5.2963750957209989E-2</v>
      </c>
      <c r="AB9" s="58">
        <v>45888</v>
      </c>
      <c r="AC9" s="9">
        <v>98</v>
      </c>
    </row>
    <row r="10" spans="1:29" x14ac:dyDescent="0.25">
      <c r="A10" t="s">
        <v>100</v>
      </c>
      <c r="B10" t="s">
        <v>30</v>
      </c>
      <c r="C10" s="25" t="s">
        <v>101</v>
      </c>
      <c r="D10" s="2">
        <f>183.4831+120.5473+115.3915</f>
        <v>419.42189999999999</v>
      </c>
      <c r="E10" s="26">
        <v>131.78</v>
      </c>
      <c r="F10" s="3">
        <f t="shared" si="0"/>
        <v>55271.417981999999</v>
      </c>
      <c r="G10" s="3">
        <f>22876.67+14197.82+14808.77</f>
        <v>51883.259999999995</v>
      </c>
      <c r="H10" s="4">
        <f t="shared" si="1"/>
        <v>123.70183817297092</v>
      </c>
      <c r="I10" s="3">
        <f t="shared" si="2"/>
        <v>3388.1579820000043</v>
      </c>
      <c r="J10" s="26">
        <f t="shared" si="3"/>
        <v>8.0781618270290778</v>
      </c>
      <c r="K10" s="27">
        <v>45782</v>
      </c>
      <c r="L10">
        <f t="shared" si="4"/>
        <v>25</v>
      </c>
      <c r="M10" s="5">
        <f t="shared" si="5"/>
        <v>6.5303490605640516E-2</v>
      </c>
      <c r="N10">
        <v>28</v>
      </c>
      <c r="O10">
        <v>99</v>
      </c>
      <c r="P10" s="64">
        <v>98</v>
      </c>
      <c r="Q10" s="28">
        <v>125.41</v>
      </c>
      <c r="R10" s="29">
        <f t="shared" si="6"/>
        <v>116.6313</v>
      </c>
      <c r="S10" s="29">
        <v>105.32</v>
      </c>
      <c r="T10" s="31">
        <f t="shared" si="7"/>
        <v>156.76249999999999</v>
      </c>
      <c r="U10" s="28">
        <f t="shared" si="8"/>
        <v>188.11500000000001</v>
      </c>
      <c r="V10" s="28">
        <f t="shared" si="9"/>
        <v>250.82</v>
      </c>
      <c r="W10" s="28">
        <f t="shared" si="10"/>
        <v>115.04270950086295</v>
      </c>
      <c r="X10" s="29">
        <v>105</v>
      </c>
      <c r="Y10" s="5">
        <f t="shared" si="11"/>
        <v>-0.15118480411600957</v>
      </c>
      <c r="Z10" s="6">
        <f t="shared" si="12"/>
        <v>0.12014593009784613</v>
      </c>
      <c r="AB10" s="58">
        <v>45880</v>
      </c>
      <c r="AC10" s="9">
        <v>99</v>
      </c>
    </row>
    <row r="11" spans="1:29" x14ac:dyDescent="0.25">
      <c r="A11" t="s">
        <v>107</v>
      </c>
      <c r="B11" t="s">
        <v>30</v>
      </c>
      <c r="C11" s="25" t="s">
        <v>109</v>
      </c>
      <c r="D11" s="2">
        <f>553.2061+364.8063</f>
        <v>918.01240000000007</v>
      </c>
      <c r="E11" s="26">
        <v>39.979999999999997</v>
      </c>
      <c r="F11" s="3">
        <f t="shared" si="0"/>
        <v>36702.135752000002</v>
      </c>
      <c r="G11" s="3">
        <f>22877.09+14244.67</f>
        <v>37121.760000000002</v>
      </c>
      <c r="H11" s="4">
        <f t="shared" si="1"/>
        <v>40.437100849618155</v>
      </c>
      <c r="I11" s="3">
        <f t="shared" si="2"/>
        <v>-419.62424800000008</v>
      </c>
      <c r="J11" s="26">
        <f t="shared" si="3"/>
        <v>-0.45710084961815767</v>
      </c>
      <c r="K11" s="27">
        <v>45782</v>
      </c>
      <c r="L11">
        <f t="shared" si="4"/>
        <v>25</v>
      </c>
      <c r="M11" s="5">
        <f t="shared" si="5"/>
        <v>-1.1303996577748471E-2</v>
      </c>
      <c r="N11">
        <v>17</v>
      </c>
      <c r="O11">
        <v>92</v>
      </c>
      <c r="P11" s="63">
        <v>82</v>
      </c>
      <c r="Q11" s="28">
        <v>40</v>
      </c>
      <c r="R11" s="29">
        <f t="shared" si="6"/>
        <v>37.200000000000003</v>
      </c>
      <c r="S11" s="29">
        <v>37.520000000000003</v>
      </c>
      <c r="T11" s="31">
        <f t="shared" si="7"/>
        <v>50</v>
      </c>
      <c r="U11" s="28">
        <f t="shared" si="8"/>
        <v>60</v>
      </c>
      <c r="V11" s="28">
        <f t="shared" si="9"/>
        <v>80</v>
      </c>
      <c r="W11" s="28">
        <f t="shared" si="10"/>
        <v>37.606503790144885</v>
      </c>
      <c r="X11" s="29">
        <v>37</v>
      </c>
      <c r="Y11" s="5">
        <f t="shared" si="11"/>
        <v>-8.4998696182508618E-2</v>
      </c>
      <c r="Z11" s="32">
        <f t="shared" si="12"/>
        <v>7.97810585923001E-2</v>
      </c>
      <c r="AB11" s="58">
        <v>45875</v>
      </c>
      <c r="AC11" s="9">
        <v>97</v>
      </c>
    </row>
    <row r="12" spans="1:29" x14ac:dyDescent="0.25">
      <c r="A12" t="s">
        <v>111</v>
      </c>
      <c r="B12" t="s">
        <v>30</v>
      </c>
      <c r="C12" s="25" t="s">
        <v>112</v>
      </c>
      <c r="D12" s="2">
        <f>362.8226+163.9908</f>
        <v>526.8134</v>
      </c>
      <c r="E12" s="26">
        <v>86.98</v>
      </c>
      <c r="F12" s="3">
        <f t="shared" si="0"/>
        <v>45822.229532000005</v>
      </c>
      <c r="G12" s="3">
        <f>26856.13+12527.28</f>
        <v>39383.410000000003</v>
      </c>
      <c r="H12" s="4">
        <f t="shared" si="1"/>
        <v>74.757798491837917</v>
      </c>
      <c r="I12" s="3">
        <f t="shared" si="2"/>
        <v>6438.8195320000013</v>
      </c>
      <c r="J12" s="26">
        <f t="shared" si="3"/>
        <v>12.222201508162087</v>
      </c>
      <c r="K12" s="27">
        <v>45789</v>
      </c>
      <c r="L12">
        <f t="shared" si="4"/>
        <v>18</v>
      </c>
      <c r="M12" s="5">
        <f t="shared" si="5"/>
        <v>0.16349065588784722</v>
      </c>
      <c r="N12">
        <v>16</v>
      </c>
      <c r="O12">
        <v>97</v>
      </c>
      <c r="P12" s="63">
        <v>40</v>
      </c>
      <c r="Q12" s="28">
        <v>74.239999999999995</v>
      </c>
      <c r="R12" s="29">
        <f t="shared" si="6"/>
        <v>69.043199999999999</v>
      </c>
      <c r="S12" s="29">
        <v>68.55</v>
      </c>
      <c r="T12" s="28">
        <f t="shared" si="7"/>
        <v>92.8</v>
      </c>
      <c r="U12" s="28">
        <f t="shared" si="8"/>
        <v>111.35999999999999</v>
      </c>
      <c r="V12" s="28">
        <f t="shared" si="9"/>
        <v>148.47999999999999</v>
      </c>
      <c r="W12" s="28">
        <f t="shared" si="10"/>
        <v>69.524752597409261</v>
      </c>
      <c r="X12" s="29">
        <v>73</v>
      </c>
      <c r="Y12" s="5">
        <f t="shared" si="11"/>
        <v>-2.3513245805784854E-2</v>
      </c>
      <c r="Z12" s="6">
        <f t="shared" si="12"/>
        <v>9.9605810512624043E-2</v>
      </c>
      <c r="AB12" s="58">
        <v>45875</v>
      </c>
      <c r="AC12" s="9">
        <v>92</v>
      </c>
    </row>
    <row r="13" spans="1:29" x14ac:dyDescent="0.25">
      <c r="A13" t="s">
        <v>113</v>
      </c>
      <c r="B13" t="s">
        <v>30</v>
      </c>
      <c r="C13" s="25" t="s">
        <v>114</v>
      </c>
      <c r="D13" s="2">
        <f>392.3916+221.1479</f>
        <v>613.53949999999998</v>
      </c>
      <c r="E13" s="26">
        <v>84.16</v>
      </c>
      <c r="F13" s="3">
        <f t="shared" si="0"/>
        <v>51635.484319999996</v>
      </c>
      <c r="G13" s="3">
        <f>35895.15+19479.74</f>
        <v>55374.89</v>
      </c>
      <c r="H13" s="4">
        <f t="shared" si="1"/>
        <v>90.254808370121239</v>
      </c>
      <c r="I13" s="3">
        <f t="shared" si="2"/>
        <v>-3739.4056800000035</v>
      </c>
      <c r="J13" s="26">
        <f t="shared" si="3"/>
        <v>-6.0948083701212425</v>
      </c>
      <c r="K13" s="27">
        <v>45793</v>
      </c>
      <c r="L13">
        <f t="shared" si="4"/>
        <v>14</v>
      </c>
      <c r="M13" s="5">
        <f t="shared" si="5"/>
        <v>-6.7528904888118121E-2</v>
      </c>
      <c r="N13">
        <v>66</v>
      </c>
      <c r="O13">
        <v>90</v>
      </c>
      <c r="P13" s="63">
        <v>83</v>
      </c>
      <c r="Q13" s="28">
        <v>87</v>
      </c>
      <c r="R13" s="29">
        <f t="shared" si="6"/>
        <v>80.910000000000011</v>
      </c>
      <c r="S13" s="29">
        <v>80.12</v>
      </c>
      <c r="T13" s="28">
        <f t="shared" si="7"/>
        <v>108.75</v>
      </c>
      <c r="U13" s="28">
        <f t="shared" si="8"/>
        <v>130.5</v>
      </c>
      <c r="V13" s="28">
        <f t="shared" si="9"/>
        <v>174</v>
      </c>
      <c r="W13" s="28">
        <f t="shared" si="10"/>
        <v>83.936971784212744</v>
      </c>
      <c r="X13" s="29">
        <v>85</v>
      </c>
      <c r="Y13" s="5">
        <f t="shared" si="11"/>
        <v>-5.8221921524358781E-2</v>
      </c>
      <c r="Z13" s="32">
        <f t="shared" si="12"/>
        <v>0.11224234000472924</v>
      </c>
      <c r="AB13" s="58">
        <v>45874</v>
      </c>
      <c r="AC13" s="9">
        <v>94</v>
      </c>
    </row>
    <row r="14" spans="1:29" x14ac:dyDescent="0.25">
      <c r="A14" t="s">
        <v>116</v>
      </c>
      <c r="B14" t="s">
        <v>30</v>
      </c>
      <c r="C14" s="25" t="s">
        <v>117</v>
      </c>
      <c r="D14" s="2">
        <v>570.81209999999999</v>
      </c>
      <c r="E14" s="26">
        <v>66.150000000000006</v>
      </c>
      <c r="F14" s="3">
        <f t="shared" si="0"/>
        <v>37759.220415000003</v>
      </c>
      <c r="G14" s="3">
        <v>36072.47</v>
      </c>
      <c r="H14" s="4">
        <f t="shared" si="1"/>
        <v>63.194998844628557</v>
      </c>
      <c r="I14" s="3">
        <f t="shared" si="2"/>
        <v>1686.7504150000022</v>
      </c>
      <c r="J14" s="26">
        <f t="shared" si="3"/>
        <v>2.9550011553714484</v>
      </c>
      <c r="K14" s="27">
        <v>45796</v>
      </c>
      <c r="L14">
        <f t="shared" si="4"/>
        <v>11</v>
      </c>
      <c r="M14" s="5">
        <f t="shared" si="5"/>
        <v>4.6760047620803408E-2</v>
      </c>
      <c r="N14">
        <v>31</v>
      </c>
      <c r="O14">
        <v>98</v>
      </c>
      <c r="P14" s="63">
        <v>81</v>
      </c>
      <c r="Q14" s="28">
        <v>63.78</v>
      </c>
      <c r="R14" s="29">
        <f t="shared" si="6"/>
        <v>59.315400000000004</v>
      </c>
      <c r="S14" s="29">
        <v>57.68</v>
      </c>
      <c r="T14" s="31">
        <f t="shared" si="7"/>
        <v>79.724999999999994</v>
      </c>
      <c r="U14" s="28">
        <f t="shared" si="8"/>
        <v>95.67</v>
      </c>
      <c r="V14" s="28">
        <f t="shared" si="9"/>
        <v>127.56</v>
      </c>
      <c r="W14" s="28">
        <f t="shared" si="10"/>
        <v>58.771348925504554</v>
      </c>
      <c r="X14" s="29">
        <v>56</v>
      </c>
      <c r="Y14" s="5">
        <f t="shared" si="11"/>
        <v>-0.11385392794006068</v>
      </c>
      <c r="Z14" s="6">
        <f t="shared" si="12"/>
        <v>8.2078890358976767E-2</v>
      </c>
      <c r="AB14" s="58">
        <v>45868</v>
      </c>
      <c r="AC14" s="9">
        <v>97</v>
      </c>
    </row>
    <row r="15" spans="1:29" x14ac:dyDescent="0.25">
      <c r="A15" t="s">
        <v>118</v>
      </c>
      <c r="B15" t="s">
        <v>30</v>
      </c>
      <c r="C15" s="25" t="s">
        <v>119</v>
      </c>
      <c r="D15" s="2">
        <v>605.00160000000005</v>
      </c>
      <c r="E15" s="26">
        <v>31.99</v>
      </c>
      <c r="F15" s="3">
        <f t="shared" si="0"/>
        <v>19354.001184000001</v>
      </c>
      <c r="G15" s="3">
        <f>605.0016*29.7738017</f>
        <v>18013.197666582721</v>
      </c>
      <c r="H15" s="4">
        <f t="shared" si="1"/>
        <v>29.7738017</v>
      </c>
      <c r="I15" s="3">
        <f t="shared" si="2"/>
        <v>1340.8035174172801</v>
      </c>
      <c r="J15" s="26">
        <f t="shared" si="3"/>
        <v>2.2161982999999985</v>
      </c>
      <c r="K15" s="27">
        <v>45800</v>
      </c>
      <c r="L15">
        <f t="shared" si="4"/>
        <v>7</v>
      </c>
      <c r="M15" s="5">
        <f t="shared" si="5"/>
        <v>7.443450864388608E-2</v>
      </c>
      <c r="N15">
        <v>5</v>
      </c>
      <c r="O15">
        <v>99</v>
      </c>
      <c r="P15" s="63">
        <v>19</v>
      </c>
      <c r="Q15" s="28">
        <v>29.66</v>
      </c>
      <c r="R15" s="29">
        <f t="shared" si="6"/>
        <v>27.5838</v>
      </c>
      <c r="S15" s="29">
        <v>22.49</v>
      </c>
      <c r="T15" s="31">
        <f t="shared" si="7"/>
        <v>37.075000000000003</v>
      </c>
      <c r="U15" s="28">
        <f t="shared" si="8"/>
        <v>44.49</v>
      </c>
      <c r="V15" s="28">
        <f t="shared" si="9"/>
        <v>59.32</v>
      </c>
      <c r="W15" s="28">
        <f t="shared" si="10"/>
        <v>27.689635581000001</v>
      </c>
      <c r="X15" s="29">
        <v>27</v>
      </c>
      <c r="Y15" s="5">
        <f t="shared" si="11"/>
        <v>-9.3162496611912338E-2</v>
      </c>
      <c r="Z15" s="6">
        <f t="shared" si="12"/>
        <v>4.2070649863257842E-2</v>
      </c>
      <c r="AB15" s="58">
        <v>45875</v>
      </c>
      <c r="AC15" s="9">
        <v>91</v>
      </c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45150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6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45150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353075.70771799999</v>
      </c>
      <c r="G18" s="3">
        <f>SUM(G6:G17)</f>
        <v>339235.3758461689</v>
      </c>
      <c r="H18" s="4"/>
      <c r="I18" s="3">
        <f>SUM(I6:I17)</f>
        <v>13840.33187183108</v>
      </c>
      <c r="M18" s="5"/>
      <c r="Z18" s="6"/>
    </row>
    <row r="19" spans="1:29" x14ac:dyDescent="0.25">
      <c r="D19" s="2" t="s">
        <v>44</v>
      </c>
      <c r="F19" s="3">
        <v>106960</v>
      </c>
      <c r="G19" s="6">
        <f>F19/F20</f>
        <v>0.23250369092124049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460035.70771799999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'05-23-25'!F20</f>
        <v>451136.95413499995</v>
      </c>
      <c r="K21" s="1">
        <v>45657</v>
      </c>
      <c r="L21" s="50">
        <v>170762</v>
      </c>
      <c r="M21" s="50">
        <v>159087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1.9725171040493272E-2</v>
      </c>
      <c r="K22" s="9" t="s">
        <v>50</v>
      </c>
      <c r="L22" s="6">
        <f>(M21-L21)/L21</f>
        <v>-6.8370012063573862E-2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4">F28/D28</f>
        <v>44.698790833464948</v>
      </c>
      <c r="F28" s="3">
        <v>56489.42</v>
      </c>
      <c r="G28" s="56">
        <v>75501.87</v>
      </c>
      <c r="H28" s="57">
        <f t="shared" ref="H28:H44" si="15">G28/D28</f>
        <v>59.742909285764696</v>
      </c>
      <c r="I28" s="57">
        <f t="shared" ref="I28:I44" si="16">G28-F28</f>
        <v>19012.449999999997</v>
      </c>
      <c r="J28" s="6">
        <f t="shared" ref="J28:J44" si="17">I28/F28</f>
        <v>0.33656656414599401</v>
      </c>
      <c r="K28" s="1">
        <v>45527</v>
      </c>
      <c r="L28" s="1">
        <v>45688</v>
      </c>
      <c r="M28">
        <f t="shared" si="13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4"/>
        <v>169.90901206845703</v>
      </c>
      <c r="F29" s="3">
        <f>59492.79+21969.78</f>
        <v>81462.570000000007</v>
      </c>
      <c r="G29" s="56">
        <v>65047.58</v>
      </c>
      <c r="H29" s="57">
        <f t="shared" si="15"/>
        <v>135.67175765807443</v>
      </c>
      <c r="I29" s="57">
        <f t="shared" si="16"/>
        <v>-16414.990000000005</v>
      </c>
      <c r="J29" s="6">
        <f t="shared" si="17"/>
        <v>-0.20150346349249729</v>
      </c>
      <c r="K29" s="1">
        <v>45671</v>
      </c>
      <c r="L29" s="1">
        <v>45688</v>
      </c>
      <c r="M29">
        <f t="shared" si="13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4"/>
        <v>18.702010092477405</v>
      </c>
      <c r="F30" s="3">
        <v>56486.59</v>
      </c>
      <c r="G30" s="56">
        <v>71124.88</v>
      </c>
      <c r="H30" s="57">
        <f t="shared" si="15"/>
        <v>23.548566546258936</v>
      </c>
      <c r="I30" s="57">
        <f t="shared" si="16"/>
        <v>14638.290000000008</v>
      </c>
      <c r="J30" s="6">
        <f t="shared" si="17"/>
        <v>0.25914628587068206</v>
      </c>
      <c r="K30" s="1">
        <v>45527</v>
      </c>
      <c r="L30" s="1">
        <v>45691</v>
      </c>
      <c r="M30">
        <f t="shared" si="13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4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5"/>
        <v>38.249853000000002</v>
      </c>
      <c r="I31" s="57">
        <f t="shared" si="16"/>
        <v>-6110.386336591735</v>
      </c>
      <c r="J31" s="6">
        <f t="shared" si="17"/>
        <v>-0.10005621882176895</v>
      </c>
      <c r="K31" s="1">
        <v>45706</v>
      </c>
      <c r="L31" s="1">
        <v>45708</v>
      </c>
      <c r="M31">
        <f t="shared" si="13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4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5"/>
        <v>531.63995279999995</v>
      </c>
      <c r="I32" s="57">
        <f t="shared" si="16"/>
        <v>-22176.243614196137</v>
      </c>
      <c r="J32" s="6">
        <f t="shared" si="17"/>
        <v>-0.24194911929355969</v>
      </c>
      <c r="K32" s="1">
        <v>45706</v>
      </c>
      <c r="L32" s="1">
        <v>45708</v>
      </c>
      <c r="M32">
        <f t="shared" si="13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4"/>
        <v>368.56522253629635</v>
      </c>
      <c r="F33" s="3">
        <v>74438.86</v>
      </c>
      <c r="G33" s="56">
        <f>201.9693*360.5332483</f>
        <v>72816.647785877198</v>
      </c>
      <c r="H33" s="57">
        <f t="shared" si="15"/>
        <v>360.53324830000003</v>
      </c>
      <c r="I33" s="57">
        <f t="shared" si="16"/>
        <v>-1622.2122141228028</v>
      </c>
      <c r="J33" s="6">
        <f t="shared" si="17"/>
        <v>-2.1792545105107773E-2</v>
      </c>
      <c r="K33" s="1">
        <v>45664</v>
      </c>
      <c r="L33" s="1">
        <v>45708</v>
      </c>
      <c r="M33">
        <f t="shared" si="13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4"/>
        <v>30.17825528482809</v>
      </c>
      <c r="F34" s="3">
        <v>37884.65</v>
      </c>
      <c r="G34" s="56">
        <f>1255.3625*39.762296</f>
        <v>49916.0953123</v>
      </c>
      <c r="H34" s="57">
        <f t="shared" si="15"/>
        <v>39.762295999999999</v>
      </c>
      <c r="I34" s="57">
        <f t="shared" si="16"/>
        <v>12031.445312299998</v>
      </c>
      <c r="J34" s="6">
        <f t="shared" si="17"/>
        <v>0.31758100740801348</v>
      </c>
      <c r="K34" s="1">
        <v>45663</v>
      </c>
      <c r="L34" s="1">
        <v>45709</v>
      </c>
      <c r="M34">
        <f t="shared" si="13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4"/>
        <v>242.26930551548847</v>
      </c>
      <c r="F35" s="3">
        <v>61221.72</v>
      </c>
      <c r="G35" s="56">
        <f>252.7011*226.6146532</f>
        <v>57265.772139758519</v>
      </c>
      <c r="H35" s="57">
        <f t="shared" si="15"/>
        <v>226.61465319999999</v>
      </c>
      <c r="I35" s="57">
        <f t="shared" si="16"/>
        <v>-3955.947860241482</v>
      </c>
      <c r="J35" s="6">
        <f t="shared" si="17"/>
        <v>-6.4616738311852093E-2</v>
      </c>
      <c r="K35" s="1">
        <v>45699</v>
      </c>
      <c r="L35" s="1">
        <v>45709</v>
      </c>
      <c r="M35">
        <f t="shared" si="13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4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5"/>
        <v>283.93999450000007</v>
      </c>
      <c r="I36" s="57">
        <f t="shared" si="16"/>
        <v>19563.525282954361</v>
      </c>
      <c r="J36" s="6">
        <f t="shared" si="17"/>
        <v>0.36434300703793465</v>
      </c>
      <c r="K36" s="1">
        <v>45580</v>
      </c>
      <c r="L36" s="1">
        <v>45712</v>
      </c>
      <c r="M36">
        <f t="shared" si="13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4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5"/>
        <v>63.365330900000004</v>
      </c>
      <c r="I37" s="57">
        <f t="shared" si="16"/>
        <v>-4549.5912833559851</v>
      </c>
      <c r="J37" s="6">
        <f t="shared" si="17"/>
        <v>-5.9638082078758516E-2</v>
      </c>
      <c r="K37" s="1">
        <v>45673</v>
      </c>
      <c r="L37" s="1">
        <v>45712</v>
      </c>
      <c r="M37">
        <f t="shared" si="13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5"/>
        <v>50.021380499999999</v>
      </c>
      <c r="I38" s="57">
        <f t="shared" si="16"/>
        <v>6027.2875116823998</v>
      </c>
      <c r="J38" s="6">
        <f t="shared" si="17"/>
        <v>9.9771440635884723E-2</v>
      </c>
      <c r="K38" s="1">
        <v>45593</v>
      </c>
      <c r="L38" s="1">
        <v>45713</v>
      </c>
      <c r="M38">
        <f t="shared" si="13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5"/>
        <v>12.519992000000002</v>
      </c>
      <c r="I39" s="57">
        <f t="shared" si="16"/>
        <v>-2230.6527810991975</v>
      </c>
      <c r="J39" s="6">
        <f t="shared" si="17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5"/>
        <v>94.679995300000002</v>
      </c>
      <c r="I40" s="57">
        <f t="shared" si="16"/>
        <v>-4750.690604140058</v>
      </c>
      <c r="J40" s="6">
        <f t="shared" si="17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44" si="18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5"/>
        <v>18.9477051</v>
      </c>
      <c r="I41" s="57">
        <f t="shared" si="16"/>
        <v>-2244.5195874142191</v>
      </c>
      <c r="J41" s="6">
        <f t="shared" si="17"/>
        <v>-8.2776138273503941E-2</v>
      </c>
      <c r="K41" s="1">
        <v>45761</v>
      </c>
      <c r="L41" s="1">
        <v>45768</v>
      </c>
      <c r="M41">
        <f t="shared" ref="M41:M44" si="19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8"/>
        <v>96.336406065231671</v>
      </c>
      <c r="F42" s="3">
        <v>34004.42</v>
      </c>
      <c r="G42" s="56">
        <f>352.9758*89.7849585</f>
        <v>31691.9175545043</v>
      </c>
      <c r="H42" s="57">
        <f t="shared" si="15"/>
        <v>89.784958500000002</v>
      </c>
      <c r="I42" s="57">
        <f t="shared" si="16"/>
        <v>-2312.5024454956983</v>
      </c>
      <c r="J42" s="6">
        <f t="shared" si="17"/>
        <v>-6.8005937036882222E-2</v>
      </c>
      <c r="K42" s="1">
        <v>45762</v>
      </c>
      <c r="L42" s="1">
        <v>45768</v>
      </c>
      <c r="M42">
        <f t="shared" si="19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8"/>
        <v>16.992624876012847</v>
      </c>
      <c r="F43" s="3">
        <v>37971.83</v>
      </c>
      <c r="G43" s="56">
        <f>2234.6065*13.3067232</f>
        <v>29735.2901564208</v>
      </c>
      <c r="H43" s="57">
        <f t="shared" si="15"/>
        <v>13.3067232</v>
      </c>
      <c r="I43" s="57">
        <f t="shared" si="16"/>
        <v>-8236.5398435792013</v>
      </c>
      <c r="J43" s="6">
        <f t="shared" si="17"/>
        <v>-0.21691184869360261</v>
      </c>
      <c r="K43" s="1">
        <v>45652</v>
      </c>
      <c r="L43" s="1">
        <v>45785</v>
      </c>
      <c r="M43">
        <f t="shared" si="19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8"/>
        <v>38.101812248436303</v>
      </c>
      <c r="F44" s="3">
        <v>21940.86</v>
      </c>
      <c r="G44" s="56">
        <f>575.8482*32.7857042</f>
        <v>18879.588749302438</v>
      </c>
      <c r="H44" s="57">
        <f t="shared" si="15"/>
        <v>32.785704199999998</v>
      </c>
      <c r="I44" s="57">
        <f t="shared" si="16"/>
        <v>-3061.2712506975622</v>
      </c>
      <c r="J44" s="6">
        <f t="shared" si="17"/>
        <v>-0.13952375844417958</v>
      </c>
      <c r="K44" s="1">
        <v>45761</v>
      </c>
      <c r="L44" s="1">
        <v>45790</v>
      </c>
      <c r="M44">
        <f t="shared" si="19"/>
        <v>29</v>
      </c>
      <c r="Q44" s="28"/>
      <c r="S44" s="62"/>
    </row>
    <row r="45" spans="1:19" x14ac:dyDescent="0.25">
      <c r="C45" s="25"/>
      <c r="D45" s="2"/>
      <c r="E45" s="57"/>
      <c r="F45" s="3"/>
      <c r="G45" s="56"/>
      <c r="H45" s="57"/>
      <c r="I45" s="57"/>
      <c r="J45" s="6"/>
      <c r="K45" s="1"/>
      <c r="L45" s="1"/>
    </row>
    <row r="46" spans="1:19" x14ac:dyDescent="0.25">
      <c r="C46" s="25"/>
      <c r="D46" s="2"/>
      <c r="E46" s="57"/>
      <c r="F46" s="3"/>
      <c r="G46" s="56"/>
      <c r="H46" s="57"/>
      <c r="I46" s="57"/>
      <c r="J46" s="6"/>
      <c r="K46" s="1"/>
      <c r="L46" s="1"/>
    </row>
    <row r="47" spans="1:19" x14ac:dyDescent="0.25">
      <c r="F47" s="56"/>
      <c r="G47" s="56"/>
      <c r="H47" s="3"/>
      <c r="I47" s="3">
        <f>SUM(I26:I46)</f>
        <v>-14156.569713997316</v>
      </c>
      <c r="J47" s="13" t="s">
        <v>66</v>
      </c>
    </row>
    <row r="48" spans="1:19" x14ac:dyDescent="0.25">
      <c r="F48" s="56"/>
      <c r="G48" s="56"/>
      <c r="H48" s="3" t="s">
        <v>67</v>
      </c>
      <c r="I48" s="59">
        <v>14</v>
      </c>
      <c r="J48" s="5">
        <v>-0.10680000000000001</v>
      </c>
    </row>
    <row r="49" spans="6:10" x14ac:dyDescent="0.25">
      <c r="F49" s="56"/>
      <c r="G49" s="56"/>
      <c r="H49" s="3" t="s">
        <v>68</v>
      </c>
      <c r="I49" s="59">
        <v>5</v>
      </c>
      <c r="J49" s="5">
        <v>0.27560000000000001</v>
      </c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  <c r="J61" s="6"/>
    </row>
    <row r="62" spans="6:10" x14ac:dyDescent="0.25">
      <c r="F62" s="56"/>
      <c r="G62" s="56"/>
      <c r="J62" s="6"/>
    </row>
    <row r="63" spans="6:10" x14ac:dyDescent="0.25">
      <c r="F63" s="56"/>
      <c r="G63" s="56"/>
      <c r="J63" s="6"/>
    </row>
    <row r="64" spans="6:10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</row>
    <row r="74" spans="6:10" x14ac:dyDescent="0.25">
      <c r="F74" s="56"/>
      <c r="G74" s="56"/>
    </row>
    <row r="75" spans="6:10" x14ac:dyDescent="0.25">
      <c r="F75" s="56"/>
      <c r="G75" s="56"/>
    </row>
    <row r="76" spans="6:10" x14ac:dyDescent="0.25">
      <c r="F76" s="56"/>
      <c r="G76" s="56"/>
    </row>
    <row r="77" spans="6:10" x14ac:dyDescent="0.25">
      <c r="F77" s="56"/>
      <c r="G77" s="56"/>
    </row>
    <row r="78" spans="6:10" x14ac:dyDescent="0.25">
      <c r="F78" s="56"/>
      <c r="G78" s="5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64A5-7BA9-4DD1-B20F-5C41218A0A9D}">
  <dimension ref="A1:AC78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45814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71</v>
      </c>
      <c r="B7" t="s">
        <v>30</v>
      </c>
      <c r="C7" t="s">
        <v>72</v>
      </c>
      <c r="D7" s="2">
        <f>98.1877+35.2566</f>
        <v>133.4443</v>
      </c>
      <c r="E7" s="26">
        <v>485</v>
      </c>
      <c r="F7" s="3">
        <f t="shared" ref="F7:F15" si="0">E7*D7</f>
        <v>64720.485500000003</v>
      </c>
      <c r="G7" s="3">
        <f>34962.9+15401.92</f>
        <v>50364.82</v>
      </c>
      <c r="H7" s="4">
        <f t="shared" ref="H7:H15" si="1">G7/D7</f>
        <v>377.42204050678822</v>
      </c>
      <c r="I7" s="3">
        <f t="shared" ref="I7:I15" si="2">F7-G7</f>
        <v>14355.665500000003</v>
      </c>
      <c r="J7" s="26">
        <f t="shared" ref="J7:J15" si="3">E7-H7</f>
        <v>107.57795949321178</v>
      </c>
      <c r="K7" s="27">
        <v>45771</v>
      </c>
      <c r="L7">
        <f t="shared" ref="L7:L15" si="4">DAYS360(K7,$C$1)</f>
        <v>42</v>
      </c>
      <c r="M7" s="5">
        <f t="shared" ref="M7:M15" si="5">(I7/G7)</f>
        <v>0.28503359090730401</v>
      </c>
      <c r="N7">
        <v>3</v>
      </c>
      <c r="O7">
        <v>98</v>
      </c>
      <c r="P7" s="33">
        <v>81</v>
      </c>
      <c r="Q7" s="28">
        <v>444</v>
      </c>
      <c r="R7" s="29">
        <f t="shared" ref="R7:R15" si="6">Q7*0.93</f>
        <v>412.92</v>
      </c>
      <c r="S7" s="29">
        <v>462</v>
      </c>
      <c r="T7" s="28">
        <f t="shared" ref="T7:T15" si="7">Q7*1.25</f>
        <v>555</v>
      </c>
      <c r="U7" s="28">
        <f t="shared" ref="U7:U15" si="8">Q7*1.5</f>
        <v>666</v>
      </c>
      <c r="V7" s="28">
        <f t="shared" ref="V7:V15" si="9">Q7*2</f>
        <v>888</v>
      </c>
      <c r="W7" s="28">
        <f t="shared" ref="W7:W15" si="10">H7-(H7*0.07)</f>
        <v>351.00249767131305</v>
      </c>
      <c r="X7" s="29">
        <v>400</v>
      </c>
      <c r="Y7" s="5">
        <f t="shared" ref="Y7:Y15" si="11">(X7-H7)/H7</f>
        <v>5.9821518274065122E-2</v>
      </c>
      <c r="Z7" s="32">
        <f t="shared" ref="Z7:Z15" si="12">F7/F$20</f>
        <v>0.13538168626816263</v>
      </c>
      <c r="AB7" s="58">
        <v>45861</v>
      </c>
      <c r="AC7" s="9">
        <v>97</v>
      </c>
    </row>
    <row r="8" spans="1:29" x14ac:dyDescent="0.25">
      <c r="A8" t="s">
        <v>106</v>
      </c>
      <c r="B8" t="s">
        <v>30</v>
      </c>
      <c r="C8" s="25" t="s">
        <v>108</v>
      </c>
      <c r="D8" s="2">
        <v>279.89909999999998</v>
      </c>
      <c r="E8" s="26">
        <v>89.92</v>
      </c>
      <c r="F8" s="3">
        <f t="shared" si="0"/>
        <v>25168.527071999997</v>
      </c>
      <c r="G8" s="3">
        <f>279.8991*98.0004109</f>
        <v>27430.226810540189</v>
      </c>
      <c r="H8" s="4">
        <f t="shared" si="1"/>
        <v>98.000410900000006</v>
      </c>
      <c r="I8" s="3">
        <f t="shared" si="2"/>
        <v>-2261.6997385401919</v>
      </c>
      <c r="J8" s="26">
        <f t="shared" si="3"/>
        <v>-8.0804109000000039</v>
      </c>
      <c r="K8" s="27">
        <v>45782</v>
      </c>
      <c r="L8">
        <f t="shared" si="4"/>
        <v>31</v>
      </c>
      <c r="M8" s="5">
        <f t="shared" si="5"/>
        <v>-8.245282673605614E-2</v>
      </c>
      <c r="N8">
        <v>7</v>
      </c>
      <c r="O8">
        <v>91</v>
      </c>
      <c r="P8" s="63">
        <v>81</v>
      </c>
      <c r="Q8" s="28">
        <v>90.79</v>
      </c>
      <c r="R8" s="29">
        <f t="shared" si="6"/>
        <v>84.434700000000007</v>
      </c>
      <c r="S8" s="29">
        <v>81.099999999999994</v>
      </c>
      <c r="T8" s="28">
        <f t="shared" si="7"/>
        <v>113.48750000000001</v>
      </c>
      <c r="U8" s="28">
        <f t="shared" si="8"/>
        <v>136.185</v>
      </c>
      <c r="V8" s="28">
        <f t="shared" si="9"/>
        <v>181.58</v>
      </c>
      <c r="W8" s="28">
        <f t="shared" si="10"/>
        <v>91.140382137000003</v>
      </c>
      <c r="X8" s="29">
        <v>90</v>
      </c>
      <c r="Y8" s="5">
        <f t="shared" si="11"/>
        <v>-8.1636503628170043E-2</v>
      </c>
      <c r="Z8" s="32">
        <f t="shared" si="12"/>
        <v>5.2647281762020492E-2</v>
      </c>
      <c r="AB8" s="58">
        <v>45888</v>
      </c>
      <c r="AC8" s="9">
        <v>98</v>
      </c>
    </row>
    <row r="9" spans="1:29" x14ac:dyDescent="0.25">
      <c r="A9" t="s">
        <v>100</v>
      </c>
      <c r="B9" t="s">
        <v>30</v>
      </c>
      <c r="C9" s="25" t="s">
        <v>101</v>
      </c>
      <c r="D9" s="2">
        <f>183.4831+120.5473+115.3915</f>
        <v>419.42189999999999</v>
      </c>
      <c r="E9" s="26">
        <v>127.72</v>
      </c>
      <c r="F9" s="3">
        <f t="shared" si="0"/>
        <v>53568.565067999996</v>
      </c>
      <c r="G9" s="3">
        <f>22876.67+14197.82+14808.77</f>
        <v>51883.259999999995</v>
      </c>
      <c r="H9" s="4">
        <f t="shared" si="1"/>
        <v>123.70183817297092</v>
      </c>
      <c r="I9" s="3">
        <f t="shared" si="2"/>
        <v>1685.3050680000015</v>
      </c>
      <c r="J9" s="26">
        <f t="shared" si="3"/>
        <v>4.0181618270290755</v>
      </c>
      <c r="K9" s="27">
        <v>45782</v>
      </c>
      <c r="L9">
        <f t="shared" si="4"/>
        <v>31</v>
      </c>
      <c r="M9" s="5">
        <f t="shared" si="5"/>
        <v>3.2482636364792837E-2</v>
      </c>
      <c r="N9">
        <v>34</v>
      </c>
      <c r="O9">
        <v>99</v>
      </c>
      <c r="P9" s="64">
        <v>98</v>
      </c>
      <c r="Q9" s="28">
        <v>125.26</v>
      </c>
      <c r="R9" s="29">
        <f t="shared" si="6"/>
        <v>116.49180000000001</v>
      </c>
      <c r="S9" s="29">
        <v>105.32</v>
      </c>
      <c r="T9" s="31">
        <f t="shared" si="7"/>
        <v>156.57500000000002</v>
      </c>
      <c r="U9" s="28">
        <f t="shared" si="8"/>
        <v>187.89000000000001</v>
      </c>
      <c r="V9" s="28">
        <f t="shared" si="9"/>
        <v>250.52</v>
      </c>
      <c r="W9" s="28">
        <f t="shared" si="10"/>
        <v>115.04270950086295</v>
      </c>
      <c r="X9" s="29">
        <v>113</v>
      </c>
      <c r="Y9" s="5">
        <f t="shared" si="11"/>
        <v>-8.6513170143896007E-2</v>
      </c>
      <c r="Z9" s="6">
        <f t="shared" si="12"/>
        <v>0.11205420685343333</v>
      </c>
      <c r="AB9" s="58">
        <v>45880</v>
      </c>
      <c r="AC9" s="9">
        <v>99</v>
      </c>
    </row>
    <row r="10" spans="1:29" x14ac:dyDescent="0.25">
      <c r="A10" t="s">
        <v>107</v>
      </c>
      <c r="B10" t="s">
        <v>30</v>
      </c>
      <c r="C10" s="25" t="s">
        <v>109</v>
      </c>
      <c r="D10" s="2">
        <f>553.2061+364.8063</f>
        <v>918.01240000000007</v>
      </c>
      <c r="E10" s="26">
        <v>41.16</v>
      </c>
      <c r="F10" s="3">
        <f t="shared" si="0"/>
        <v>37785.390383999998</v>
      </c>
      <c r="G10" s="3">
        <f>22877.09+14244.67</f>
        <v>37121.760000000002</v>
      </c>
      <c r="H10" s="4">
        <f t="shared" si="1"/>
        <v>40.437100849618155</v>
      </c>
      <c r="I10" s="3">
        <f t="shared" si="2"/>
        <v>663.63038399999641</v>
      </c>
      <c r="J10" s="26">
        <f t="shared" si="3"/>
        <v>0.72289915038184205</v>
      </c>
      <c r="K10" s="27">
        <v>45782</v>
      </c>
      <c r="L10">
        <f t="shared" si="4"/>
        <v>31</v>
      </c>
      <c r="M10" s="5">
        <f t="shared" si="5"/>
        <v>1.7877126084538997E-2</v>
      </c>
      <c r="N10">
        <v>17</v>
      </c>
      <c r="O10">
        <v>94</v>
      </c>
      <c r="P10" s="63">
        <v>82</v>
      </c>
      <c r="Q10" s="28">
        <v>42.55</v>
      </c>
      <c r="R10" s="29">
        <f t="shared" si="6"/>
        <v>39.5715</v>
      </c>
      <c r="S10" s="29">
        <v>37.24</v>
      </c>
      <c r="T10" s="31">
        <f t="shared" si="7"/>
        <v>53.1875</v>
      </c>
      <c r="U10" s="28">
        <f t="shared" si="8"/>
        <v>63.824999999999996</v>
      </c>
      <c r="V10" s="28">
        <f t="shared" si="9"/>
        <v>85.1</v>
      </c>
      <c r="W10" s="28">
        <f t="shared" si="10"/>
        <v>37.606503790144885</v>
      </c>
      <c r="X10" s="29">
        <v>37</v>
      </c>
      <c r="Y10" s="5">
        <f t="shared" si="11"/>
        <v>-8.4998696182508618E-2</v>
      </c>
      <c r="Z10" s="32">
        <f t="shared" si="12"/>
        <v>7.9039114539502908E-2</v>
      </c>
      <c r="AB10" s="58">
        <v>45875</v>
      </c>
      <c r="AC10" s="9">
        <v>98</v>
      </c>
    </row>
    <row r="11" spans="1:29" x14ac:dyDescent="0.25">
      <c r="A11" t="s">
        <v>111</v>
      </c>
      <c r="B11" t="s">
        <v>30</v>
      </c>
      <c r="C11" s="25" t="s">
        <v>112</v>
      </c>
      <c r="D11" s="2">
        <f>362.8226+163.9908</f>
        <v>526.8134</v>
      </c>
      <c r="E11" s="26">
        <v>95.8</v>
      </c>
      <c r="F11" s="3">
        <f t="shared" si="0"/>
        <v>50468.723720000002</v>
      </c>
      <c r="G11" s="3">
        <f>26856.13+12527.28</f>
        <v>39383.410000000003</v>
      </c>
      <c r="H11" s="4">
        <f t="shared" si="1"/>
        <v>74.757798491837917</v>
      </c>
      <c r="I11" s="3">
        <f t="shared" si="2"/>
        <v>11085.313719999998</v>
      </c>
      <c r="J11" s="26">
        <f t="shared" si="3"/>
        <v>21.04220150816208</v>
      </c>
      <c r="K11" s="27">
        <v>45789</v>
      </c>
      <c r="L11">
        <f t="shared" si="4"/>
        <v>24</v>
      </c>
      <c r="M11" s="5">
        <f t="shared" si="5"/>
        <v>0.28147165824391535</v>
      </c>
      <c r="N11">
        <v>22</v>
      </c>
      <c r="O11">
        <v>98</v>
      </c>
      <c r="P11" s="63">
        <v>40</v>
      </c>
      <c r="Q11" s="28">
        <v>74.239999999999995</v>
      </c>
      <c r="R11" s="29">
        <f t="shared" si="6"/>
        <v>69.043199999999999</v>
      </c>
      <c r="S11" s="29">
        <v>78.66</v>
      </c>
      <c r="T11" s="28">
        <f t="shared" si="7"/>
        <v>92.8</v>
      </c>
      <c r="U11" s="28">
        <f t="shared" si="8"/>
        <v>111.35999999999999</v>
      </c>
      <c r="V11" s="28">
        <f t="shared" si="9"/>
        <v>148.47999999999999</v>
      </c>
      <c r="W11" s="28">
        <f t="shared" si="10"/>
        <v>69.524752597409261</v>
      </c>
      <c r="X11" s="29">
        <v>79</v>
      </c>
      <c r="Y11" s="5">
        <f t="shared" si="11"/>
        <v>5.6745939470452006E-2</v>
      </c>
      <c r="Z11" s="6">
        <f t="shared" si="12"/>
        <v>0.10556998867098452</v>
      </c>
      <c r="AB11" s="58">
        <v>45875</v>
      </c>
      <c r="AC11" s="9">
        <v>93</v>
      </c>
    </row>
    <row r="12" spans="1:29" x14ac:dyDescent="0.25">
      <c r="A12" t="s">
        <v>113</v>
      </c>
      <c r="B12" t="s">
        <v>30</v>
      </c>
      <c r="C12" s="25" t="s">
        <v>114</v>
      </c>
      <c r="D12" s="2">
        <f>392.3916+221.1479</f>
        <v>613.53949999999998</v>
      </c>
      <c r="E12" s="26">
        <v>85.6</v>
      </c>
      <c r="F12" s="3">
        <f t="shared" si="0"/>
        <v>52518.981199999995</v>
      </c>
      <c r="G12" s="3">
        <f>35895.15+19479.74</f>
        <v>55374.89</v>
      </c>
      <c r="H12" s="4">
        <f t="shared" si="1"/>
        <v>90.254808370121239</v>
      </c>
      <c r="I12" s="3">
        <f t="shared" si="2"/>
        <v>-2855.9088000000047</v>
      </c>
      <c r="J12" s="26">
        <f t="shared" si="3"/>
        <v>-4.6548083701212448</v>
      </c>
      <c r="K12" s="27">
        <v>45793</v>
      </c>
      <c r="L12">
        <f t="shared" si="4"/>
        <v>20</v>
      </c>
      <c r="M12" s="5">
        <f t="shared" si="5"/>
        <v>-5.1574076264530817E-2</v>
      </c>
      <c r="N12">
        <v>49</v>
      </c>
      <c r="O12">
        <v>87</v>
      </c>
      <c r="P12" s="63">
        <v>83</v>
      </c>
      <c r="Q12" s="28">
        <v>87</v>
      </c>
      <c r="R12" s="29">
        <f t="shared" si="6"/>
        <v>80.910000000000011</v>
      </c>
      <c r="S12" s="29">
        <v>81.86</v>
      </c>
      <c r="T12" s="28">
        <f t="shared" si="7"/>
        <v>108.75</v>
      </c>
      <c r="U12" s="28">
        <f t="shared" si="8"/>
        <v>130.5</v>
      </c>
      <c r="V12" s="28">
        <f t="shared" si="9"/>
        <v>174</v>
      </c>
      <c r="W12" s="28">
        <f t="shared" si="10"/>
        <v>83.936971784212744</v>
      </c>
      <c r="X12" s="29">
        <v>85</v>
      </c>
      <c r="Y12" s="5">
        <f t="shared" si="11"/>
        <v>-5.8221921524358781E-2</v>
      </c>
      <c r="Z12" s="32">
        <f t="shared" si="12"/>
        <v>0.10985869745896655</v>
      </c>
      <c r="AB12" s="58">
        <v>45874</v>
      </c>
      <c r="AC12" s="9">
        <v>92</v>
      </c>
    </row>
    <row r="13" spans="1:29" x14ac:dyDescent="0.25">
      <c r="A13" t="s">
        <v>116</v>
      </c>
      <c r="B13" t="s">
        <v>30</v>
      </c>
      <c r="C13" s="25" t="s">
        <v>117</v>
      </c>
      <c r="D13" s="2">
        <v>570.81209999999999</v>
      </c>
      <c r="E13" s="26">
        <v>74.88</v>
      </c>
      <c r="F13" s="3">
        <f t="shared" si="0"/>
        <v>42742.410047999998</v>
      </c>
      <c r="G13" s="3">
        <v>36072.47</v>
      </c>
      <c r="H13" s="4">
        <f t="shared" si="1"/>
        <v>63.194998844628557</v>
      </c>
      <c r="I13" s="3">
        <f t="shared" si="2"/>
        <v>6669.9400479999968</v>
      </c>
      <c r="J13" s="26">
        <f t="shared" si="3"/>
        <v>11.685001155371438</v>
      </c>
      <c r="K13" s="27">
        <v>45796</v>
      </c>
      <c r="L13">
        <f t="shared" si="4"/>
        <v>17</v>
      </c>
      <c r="M13" s="5">
        <f t="shared" si="5"/>
        <v>0.18490389064014737</v>
      </c>
      <c r="N13">
        <v>40</v>
      </c>
      <c r="O13">
        <v>99</v>
      </c>
      <c r="P13" s="63">
        <v>81</v>
      </c>
      <c r="Q13" s="28">
        <v>63.78</v>
      </c>
      <c r="R13" s="29">
        <f t="shared" si="6"/>
        <v>59.315400000000004</v>
      </c>
      <c r="S13" s="29">
        <v>62.92</v>
      </c>
      <c r="T13" s="31">
        <f t="shared" si="7"/>
        <v>79.724999999999994</v>
      </c>
      <c r="U13" s="28">
        <f t="shared" si="8"/>
        <v>95.67</v>
      </c>
      <c r="V13" s="28">
        <f t="shared" si="9"/>
        <v>127.56</v>
      </c>
      <c r="W13" s="28">
        <f t="shared" si="10"/>
        <v>58.771348925504554</v>
      </c>
      <c r="X13" s="29">
        <v>62</v>
      </c>
      <c r="Y13" s="5">
        <f t="shared" si="11"/>
        <v>-1.8909705933638603E-2</v>
      </c>
      <c r="Z13" s="6">
        <f t="shared" si="12"/>
        <v>8.9408160380124127E-2</v>
      </c>
      <c r="AB13" s="58">
        <v>45868</v>
      </c>
      <c r="AC13" s="9">
        <v>97</v>
      </c>
    </row>
    <row r="14" spans="1:29" x14ac:dyDescent="0.25">
      <c r="A14" t="s">
        <v>118</v>
      </c>
      <c r="B14" t="s">
        <v>30</v>
      </c>
      <c r="C14" s="25" t="s">
        <v>119</v>
      </c>
      <c r="D14" s="2">
        <f>605.0016+550.0434</f>
        <v>1155.0450000000001</v>
      </c>
      <c r="E14" s="26">
        <v>34.36</v>
      </c>
      <c r="F14" s="3">
        <f t="shared" si="0"/>
        <v>39687.3462</v>
      </c>
      <c r="G14" s="3">
        <f>(605.0016*29.7738017)+17708.65</f>
        <v>35721.847666582718</v>
      </c>
      <c r="H14" s="4">
        <f t="shared" si="1"/>
        <v>30.926801697408081</v>
      </c>
      <c r="I14" s="3">
        <f t="shared" si="2"/>
        <v>3965.4985334172816</v>
      </c>
      <c r="J14" s="26">
        <f t="shared" si="3"/>
        <v>3.4331983025919186</v>
      </c>
      <c r="K14" s="27">
        <v>45800</v>
      </c>
      <c r="L14">
        <f t="shared" si="4"/>
        <v>13</v>
      </c>
      <c r="M14" s="5">
        <f t="shared" si="5"/>
        <v>0.11101045417443368</v>
      </c>
      <c r="N14">
        <v>3</v>
      </c>
      <c r="O14">
        <v>99</v>
      </c>
      <c r="P14" s="63">
        <v>19</v>
      </c>
      <c r="Q14" s="28">
        <v>29.66</v>
      </c>
      <c r="R14" s="29">
        <f t="shared" si="6"/>
        <v>27.5838</v>
      </c>
      <c r="S14" s="29">
        <v>29.66</v>
      </c>
      <c r="T14" s="31">
        <f t="shared" si="7"/>
        <v>37.075000000000003</v>
      </c>
      <c r="U14" s="28">
        <f t="shared" si="8"/>
        <v>44.49</v>
      </c>
      <c r="V14" s="28">
        <f t="shared" si="9"/>
        <v>59.32</v>
      </c>
      <c r="W14" s="28">
        <f t="shared" si="10"/>
        <v>28.761925578589516</v>
      </c>
      <c r="X14" s="29">
        <v>27</v>
      </c>
      <c r="Y14" s="5">
        <f t="shared" si="11"/>
        <v>-0.12697083053813416</v>
      </c>
      <c r="Z14" s="6">
        <f t="shared" si="12"/>
        <v>8.3017607339554905E-2</v>
      </c>
      <c r="AB14" s="58">
        <v>45875</v>
      </c>
      <c r="AC14" s="9">
        <v>88</v>
      </c>
    </row>
    <row r="15" spans="1:29" x14ac:dyDescent="0.25">
      <c r="A15" t="s">
        <v>121</v>
      </c>
      <c r="B15" t="s">
        <v>30</v>
      </c>
      <c r="C15" s="25" t="s">
        <v>122</v>
      </c>
      <c r="D15" s="2">
        <v>1070.2094</v>
      </c>
      <c r="E15" s="26">
        <v>19.84</v>
      </c>
      <c r="F15" s="3">
        <f t="shared" si="0"/>
        <v>21232.954495999998</v>
      </c>
      <c r="G15" s="3">
        <f>1070.2094*17.5871838</f>
        <v>18821.969422287719</v>
      </c>
      <c r="H15" s="4">
        <f t="shared" si="1"/>
        <v>17.587183799999998</v>
      </c>
      <c r="I15" s="3">
        <f t="shared" si="2"/>
        <v>2410.9850737122797</v>
      </c>
      <c r="J15" s="26">
        <f t="shared" si="3"/>
        <v>2.2528162000000016</v>
      </c>
      <c r="K15" s="27">
        <v>45814</v>
      </c>
      <c r="L15">
        <f t="shared" si="4"/>
        <v>0</v>
      </c>
      <c r="M15" s="5">
        <f t="shared" si="5"/>
        <v>0.1280941977759964</v>
      </c>
      <c r="N15">
        <v>5</v>
      </c>
      <c r="O15">
        <v>97</v>
      </c>
      <c r="P15" s="63">
        <v>81</v>
      </c>
      <c r="Q15" s="28">
        <v>16.399999999999999</v>
      </c>
      <c r="R15" s="29">
        <f t="shared" si="6"/>
        <v>15.251999999999999</v>
      </c>
      <c r="S15" s="29">
        <v>11.01</v>
      </c>
      <c r="T15" s="28">
        <f t="shared" si="7"/>
        <v>20.5</v>
      </c>
      <c r="U15" s="28">
        <f t="shared" si="8"/>
        <v>24.599999999999998</v>
      </c>
      <c r="V15" s="28">
        <f t="shared" si="9"/>
        <v>32.799999999999997</v>
      </c>
      <c r="W15" s="28">
        <f t="shared" si="10"/>
        <v>16.356080933999998</v>
      </c>
      <c r="X15" s="29">
        <v>16.25</v>
      </c>
      <c r="Y15" s="5">
        <f t="shared" si="11"/>
        <v>-7.6031718051414149E-2</v>
      </c>
      <c r="Z15" s="6">
        <f t="shared" si="12"/>
        <v>4.4414889071307188E-2</v>
      </c>
      <c r="AB15" s="58">
        <v>45887</v>
      </c>
      <c r="AC15" s="9">
        <v>99</v>
      </c>
    </row>
    <row r="16" spans="1:29" x14ac:dyDescent="0.25">
      <c r="C16" s="25"/>
      <c r="D16" s="2"/>
      <c r="E16" s="26"/>
      <c r="F16" s="3">
        <f t="shared" ref="F16:F17" si="13">E16*D16</f>
        <v>0</v>
      </c>
      <c r="G16" s="3"/>
      <c r="H16" s="4" t="e">
        <f t="shared" ref="H16:H17" si="14">G16/D16</f>
        <v>#DIV/0!</v>
      </c>
      <c r="I16" s="3">
        <f t="shared" ref="I16:I17" si="15">F16-G16</f>
        <v>0</v>
      </c>
      <c r="J16" s="26" t="e">
        <f t="shared" ref="J16:J17" si="16">E16-H16</f>
        <v>#DIV/0!</v>
      </c>
      <c r="K16" s="27"/>
      <c r="L16">
        <f t="shared" ref="L16:L17" si="17">DAYS360(K16,$C$1)</f>
        <v>45156</v>
      </c>
      <c r="M16" s="5" t="e">
        <f t="shared" ref="M16:M17" si="18">(I16/G16)</f>
        <v>#DIV/0!</v>
      </c>
      <c r="P16" s="63"/>
      <c r="Q16" s="28"/>
      <c r="R16" s="29">
        <f t="shared" ref="R16:R17" si="19">Q16*0.93</f>
        <v>0</v>
      </c>
      <c r="S16" s="29"/>
      <c r="T16" s="28">
        <f t="shared" ref="T16:T17" si="20">Q16*1.25</f>
        <v>0</v>
      </c>
      <c r="U16" s="28">
        <f t="shared" ref="U16:U17" si="21">Q16*1.5</f>
        <v>0</v>
      </c>
      <c r="V16" s="28">
        <f t="shared" ref="V16:V17" si="22">Q16*2</f>
        <v>0</v>
      </c>
      <c r="W16" s="28" t="e">
        <f t="shared" ref="W16:W17" si="23">H16-(H16*0.07)</f>
        <v>#DIV/0!</v>
      </c>
      <c r="X16" s="29"/>
      <c r="Y16" s="5" t="e">
        <f t="shared" ref="Y16:Y17" si="24">(X16-H16)/H16</f>
        <v>#DIV/0!</v>
      </c>
      <c r="Z16" s="6">
        <f t="shared" ref="Z16:Z17" si="25">F16/F$20</f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3"/>
        <v>0</v>
      </c>
      <c r="G17" s="39"/>
      <c r="H17" s="40" t="e">
        <f t="shared" si="14"/>
        <v>#DIV/0!</v>
      </c>
      <c r="I17" s="39">
        <f t="shared" si="15"/>
        <v>0</v>
      </c>
      <c r="J17" s="38" t="e">
        <f t="shared" si="16"/>
        <v>#DIV/0!</v>
      </c>
      <c r="K17" s="41"/>
      <c r="L17" s="35">
        <f t="shared" si="17"/>
        <v>45156</v>
      </c>
      <c r="M17" s="42" t="e">
        <f t="shared" si="18"/>
        <v>#DIV/0!</v>
      </c>
      <c r="N17" s="35"/>
      <c r="O17" s="35"/>
      <c r="P17" s="65"/>
      <c r="Q17" s="44"/>
      <c r="R17" s="45">
        <f t="shared" si="19"/>
        <v>0</v>
      </c>
      <c r="S17" s="45"/>
      <c r="T17" s="46">
        <f t="shared" si="20"/>
        <v>0</v>
      </c>
      <c r="U17" s="44">
        <f t="shared" si="21"/>
        <v>0</v>
      </c>
      <c r="V17" s="44">
        <f t="shared" si="22"/>
        <v>0</v>
      </c>
      <c r="W17" s="44" t="e">
        <f t="shared" si="23"/>
        <v>#DIV/0!</v>
      </c>
      <c r="X17" s="45"/>
      <c r="Y17" s="42" t="e">
        <f t="shared" si="24"/>
        <v>#DIV/0!</v>
      </c>
      <c r="Z17" s="47">
        <f t="shared" si="25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387893.38368799997</v>
      </c>
      <c r="G18" s="3">
        <f>SUM(G6:G17)</f>
        <v>352174.65389941062</v>
      </c>
      <c r="H18" s="4"/>
      <c r="I18" s="3">
        <f>SUM(I6:I17)</f>
        <v>35718.729788589364</v>
      </c>
      <c r="M18" s="5"/>
      <c r="Z18" s="6"/>
    </row>
    <row r="19" spans="1:29" x14ac:dyDescent="0.25">
      <c r="D19" s="2" t="s">
        <v>44</v>
      </c>
      <c r="F19" s="3">
        <v>90166</v>
      </c>
      <c r="G19" s="6">
        <f>F19/F20</f>
        <v>0.18860836765594338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478059.38368799997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'05-30-25'!F20</f>
        <v>460035.70771799999</v>
      </c>
      <c r="K21" s="1">
        <v>45657</v>
      </c>
      <c r="L21" s="50">
        <v>170762</v>
      </c>
      <c r="M21" s="50">
        <v>165323.21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3.9178863004800536E-2</v>
      </c>
      <c r="K22" s="9" t="s">
        <v>50</v>
      </c>
      <c r="L22" s="6">
        <f>(M21-L21)/L21</f>
        <v>-3.1850118878907534E-2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26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26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27">F28/D28</f>
        <v>44.698790833464948</v>
      </c>
      <c r="F28" s="3">
        <v>56489.42</v>
      </c>
      <c r="G28" s="56">
        <v>75501.87</v>
      </c>
      <c r="H28" s="57">
        <f t="shared" ref="H28:H44" si="28">G28/D28</f>
        <v>59.742909285764696</v>
      </c>
      <c r="I28" s="57">
        <f t="shared" ref="I28:I44" si="29">G28-F28</f>
        <v>19012.449999999997</v>
      </c>
      <c r="J28" s="6">
        <f t="shared" ref="J28:J44" si="30">I28/F28</f>
        <v>0.33656656414599401</v>
      </c>
      <c r="K28" s="1">
        <v>45527</v>
      </c>
      <c r="L28" s="1">
        <v>45688</v>
      </c>
      <c r="M28">
        <f t="shared" si="26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27"/>
        <v>169.90901206845703</v>
      </c>
      <c r="F29" s="3">
        <f>59492.79+21969.78</f>
        <v>81462.570000000007</v>
      </c>
      <c r="G29" s="56">
        <v>65047.58</v>
      </c>
      <c r="H29" s="57">
        <f t="shared" si="28"/>
        <v>135.67175765807443</v>
      </c>
      <c r="I29" s="57">
        <f t="shared" si="29"/>
        <v>-16414.990000000005</v>
      </c>
      <c r="J29" s="6">
        <f t="shared" si="30"/>
        <v>-0.20150346349249729</v>
      </c>
      <c r="K29" s="1">
        <v>45671</v>
      </c>
      <c r="L29" s="1">
        <v>45688</v>
      </c>
      <c r="M29">
        <f t="shared" si="26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27"/>
        <v>18.702010092477405</v>
      </c>
      <c r="F30" s="3">
        <v>56486.59</v>
      </c>
      <c r="G30" s="56">
        <v>71124.88</v>
      </c>
      <c r="H30" s="57">
        <f t="shared" si="28"/>
        <v>23.548566546258936</v>
      </c>
      <c r="I30" s="57">
        <f t="shared" si="29"/>
        <v>14638.290000000008</v>
      </c>
      <c r="J30" s="6">
        <f t="shared" si="30"/>
        <v>0.25914628587068206</v>
      </c>
      <c r="K30" s="1">
        <v>45527</v>
      </c>
      <c r="L30" s="1">
        <v>45691</v>
      </c>
      <c r="M30">
        <f t="shared" si="26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27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28"/>
        <v>38.249853000000002</v>
      </c>
      <c r="I31" s="57">
        <f t="shared" si="29"/>
        <v>-6110.386336591735</v>
      </c>
      <c r="J31" s="6">
        <f t="shared" si="30"/>
        <v>-0.10005621882176895</v>
      </c>
      <c r="K31" s="1">
        <v>45706</v>
      </c>
      <c r="L31" s="1">
        <v>45708</v>
      </c>
      <c r="M31">
        <f t="shared" si="26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27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28"/>
        <v>531.63995279999995</v>
      </c>
      <c r="I32" s="57">
        <f t="shared" si="29"/>
        <v>-22176.243614196137</v>
      </c>
      <c r="J32" s="6">
        <f t="shared" si="30"/>
        <v>-0.24194911929355969</v>
      </c>
      <c r="K32" s="1">
        <v>45706</v>
      </c>
      <c r="L32" s="1">
        <v>45708</v>
      </c>
      <c r="M32">
        <f t="shared" si="26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27"/>
        <v>368.56522253629635</v>
      </c>
      <c r="F33" s="3">
        <v>74438.86</v>
      </c>
      <c r="G33" s="56">
        <f>201.9693*360.5332483</f>
        <v>72816.647785877198</v>
      </c>
      <c r="H33" s="57">
        <f t="shared" si="28"/>
        <v>360.53324830000003</v>
      </c>
      <c r="I33" s="57">
        <f t="shared" si="29"/>
        <v>-1622.2122141228028</v>
      </c>
      <c r="J33" s="6">
        <f t="shared" si="30"/>
        <v>-2.1792545105107773E-2</v>
      </c>
      <c r="K33" s="1">
        <v>45664</v>
      </c>
      <c r="L33" s="1">
        <v>45708</v>
      </c>
      <c r="M33">
        <f t="shared" si="26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27"/>
        <v>30.17825528482809</v>
      </c>
      <c r="F34" s="3">
        <v>37884.65</v>
      </c>
      <c r="G34" s="56">
        <f>1255.3625*39.762296</f>
        <v>49916.0953123</v>
      </c>
      <c r="H34" s="57">
        <f t="shared" si="28"/>
        <v>39.762295999999999</v>
      </c>
      <c r="I34" s="57">
        <f t="shared" si="29"/>
        <v>12031.445312299998</v>
      </c>
      <c r="J34" s="6">
        <f t="shared" si="30"/>
        <v>0.31758100740801348</v>
      </c>
      <c r="K34" s="1">
        <v>45663</v>
      </c>
      <c r="L34" s="1">
        <v>45709</v>
      </c>
      <c r="M34">
        <f t="shared" si="26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27"/>
        <v>242.26930551548847</v>
      </c>
      <c r="F35" s="3">
        <v>61221.72</v>
      </c>
      <c r="G35" s="56">
        <f>252.7011*226.6146532</f>
        <v>57265.772139758519</v>
      </c>
      <c r="H35" s="57">
        <f t="shared" si="28"/>
        <v>226.61465319999999</v>
      </c>
      <c r="I35" s="57">
        <f t="shared" si="29"/>
        <v>-3955.947860241482</v>
      </c>
      <c r="J35" s="6">
        <f t="shared" si="30"/>
        <v>-6.4616738311852093E-2</v>
      </c>
      <c r="K35" s="1">
        <v>45699</v>
      </c>
      <c r="L35" s="1">
        <v>45709</v>
      </c>
      <c r="M35">
        <f t="shared" si="26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27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28"/>
        <v>283.93999450000007</v>
      </c>
      <c r="I36" s="57">
        <f t="shared" si="29"/>
        <v>19563.525282954361</v>
      </c>
      <c r="J36" s="6">
        <f t="shared" si="30"/>
        <v>0.36434300703793465</v>
      </c>
      <c r="K36" s="1">
        <v>45580</v>
      </c>
      <c r="L36" s="1">
        <v>45712</v>
      </c>
      <c r="M36">
        <f t="shared" si="26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27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28"/>
        <v>63.365330900000004</v>
      </c>
      <c r="I37" s="57">
        <f t="shared" si="29"/>
        <v>-4549.5912833559851</v>
      </c>
      <c r="J37" s="6">
        <f t="shared" si="30"/>
        <v>-5.9638082078758516E-2</v>
      </c>
      <c r="K37" s="1">
        <v>45673</v>
      </c>
      <c r="L37" s="1">
        <v>45712</v>
      </c>
      <c r="M37">
        <f t="shared" si="26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28"/>
        <v>50.021380499999999</v>
      </c>
      <c r="I38" s="57">
        <f t="shared" si="29"/>
        <v>6027.2875116823998</v>
      </c>
      <c r="J38" s="6">
        <f t="shared" si="30"/>
        <v>9.9771440635884723E-2</v>
      </c>
      <c r="K38" s="1">
        <v>45593</v>
      </c>
      <c r="L38" s="1">
        <v>45713</v>
      </c>
      <c r="M38">
        <f t="shared" si="26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28"/>
        <v>12.519992000000002</v>
      </c>
      <c r="I39" s="57">
        <f t="shared" si="29"/>
        <v>-2230.6527810991975</v>
      </c>
      <c r="J39" s="6">
        <f t="shared" si="30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28"/>
        <v>94.679995300000002</v>
      </c>
      <c r="I40" s="57">
        <f t="shared" si="29"/>
        <v>-4750.690604140058</v>
      </c>
      <c r="J40" s="6">
        <f t="shared" si="30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45" si="31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28"/>
        <v>18.9477051</v>
      </c>
      <c r="I41" s="57">
        <f t="shared" si="29"/>
        <v>-2244.5195874142191</v>
      </c>
      <c r="J41" s="6">
        <f t="shared" si="30"/>
        <v>-8.2776138273503941E-2</v>
      </c>
      <c r="K41" s="1">
        <v>45761</v>
      </c>
      <c r="L41" s="1">
        <v>45768</v>
      </c>
      <c r="M41">
        <f t="shared" ref="M41:M45" si="32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31"/>
        <v>96.336406065231671</v>
      </c>
      <c r="F42" s="3">
        <v>34004.42</v>
      </c>
      <c r="G42" s="56">
        <f>352.9758*89.7849585</f>
        <v>31691.9175545043</v>
      </c>
      <c r="H42" s="57">
        <f t="shared" si="28"/>
        <v>89.784958500000002</v>
      </c>
      <c r="I42" s="57">
        <f t="shared" si="29"/>
        <v>-2312.5024454956983</v>
      </c>
      <c r="J42" s="6">
        <f t="shared" si="30"/>
        <v>-6.8005937036882222E-2</v>
      </c>
      <c r="K42" s="1">
        <v>45762</v>
      </c>
      <c r="L42" s="1">
        <v>45768</v>
      </c>
      <c r="M42">
        <f t="shared" si="32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31"/>
        <v>16.992624876012847</v>
      </c>
      <c r="F43" s="3">
        <v>37971.83</v>
      </c>
      <c r="G43" s="56">
        <f>2234.6065*13.3067232</f>
        <v>29735.2901564208</v>
      </c>
      <c r="H43" s="57">
        <f t="shared" si="28"/>
        <v>13.3067232</v>
      </c>
      <c r="I43" s="57">
        <f t="shared" si="29"/>
        <v>-8236.5398435792013</v>
      </c>
      <c r="J43" s="6">
        <f t="shared" si="30"/>
        <v>-0.21691184869360261</v>
      </c>
      <c r="K43" s="1">
        <v>45652</v>
      </c>
      <c r="L43" s="1">
        <v>45785</v>
      </c>
      <c r="M43">
        <f t="shared" si="32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31"/>
        <v>38.101812248436303</v>
      </c>
      <c r="F44" s="3">
        <v>21940.86</v>
      </c>
      <c r="G44" s="56">
        <f>575.8482*32.7857042</f>
        <v>18879.588749302438</v>
      </c>
      <c r="H44" s="57">
        <f t="shared" si="28"/>
        <v>32.785704199999998</v>
      </c>
      <c r="I44" s="57">
        <f t="shared" si="29"/>
        <v>-3061.2712506975622</v>
      </c>
      <c r="J44" s="6">
        <f t="shared" si="30"/>
        <v>-0.13952375844417958</v>
      </c>
      <c r="K44" s="1">
        <v>45761</v>
      </c>
      <c r="L44" s="1">
        <v>45790</v>
      </c>
      <c r="M44">
        <f t="shared" si="32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31"/>
        <v>24.570291674143743</v>
      </c>
      <c r="F45" s="3">
        <v>23591.34</v>
      </c>
      <c r="G45" s="56">
        <v>19396.37</v>
      </c>
      <c r="H45" s="57">
        <f t="shared" ref="H45" si="33">G45/D45</f>
        <v>20.201246233559068</v>
      </c>
      <c r="I45" s="57">
        <f t="shared" ref="I45" si="34">G45-F45</f>
        <v>-4194.9700000000012</v>
      </c>
      <c r="J45" s="6">
        <f t="shared" ref="J45" si="35">I45/F45</f>
        <v>-0.17781821634548953</v>
      </c>
      <c r="K45" s="1">
        <v>45776</v>
      </c>
      <c r="L45" s="1">
        <v>45812</v>
      </c>
      <c r="M45">
        <f t="shared" si="32"/>
        <v>35</v>
      </c>
    </row>
    <row r="46" spans="1:19" x14ac:dyDescent="0.25">
      <c r="C46" s="25"/>
      <c r="D46" s="2"/>
      <c r="E46" s="57"/>
      <c r="F46" s="3"/>
      <c r="G46" s="56"/>
      <c r="H46" s="57"/>
      <c r="I46" s="57"/>
      <c r="J46" s="6"/>
      <c r="K46" s="1"/>
      <c r="L46" s="1"/>
    </row>
    <row r="47" spans="1:19" x14ac:dyDescent="0.25">
      <c r="F47" s="56"/>
      <c r="G47" s="56"/>
      <c r="H47" s="3"/>
      <c r="I47" s="3">
        <f>SUM(I26:I46)</f>
        <v>-18351.539713997317</v>
      </c>
      <c r="J47" s="13" t="s">
        <v>66</v>
      </c>
    </row>
    <row r="48" spans="1:19" x14ac:dyDescent="0.25">
      <c r="F48" s="56"/>
      <c r="G48" s="56"/>
      <c r="H48" s="3" t="s">
        <v>67</v>
      </c>
      <c r="I48" s="59">
        <v>15</v>
      </c>
      <c r="J48" s="5">
        <v>-0.1115</v>
      </c>
    </row>
    <row r="49" spans="6:10" x14ac:dyDescent="0.25">
      <c r="F49" s="56"/>
      <c r="G49" s="56"/>
      <c r="H49" s="3" t="s">
        <v>68</v>
      </c>
      <c r="I49" s="59">
        <v>5</v>
      </c>
      <c r="J49" s="5">
        <v>0.27560000000000001</v>
      </c>
    </row>
    <row r="50" spans="6:10" x14ac:dyDescent="0.25">
      <c r="F50" s="56"/>
      <c r="G50" s="56"/>
      <c r="J50" s="6"/>
    </row>
    <row r="51" spans="6:10" x14ac:dyDescent="0.25">
      <c r="F51" s="56"/>
      <c r="G51" s="56"/>
      <c r="J51" s="6"/>
    </row>
    <row r="52" spans="6:10" x14ac:dyDescent="0.25">
      <c r="F52" s="56"/>
      <c r="G52" s="56"/>
      <c r="J52" s="6"/>
    </row>
    <row r="53" spans="6:10" x14ac:dyDescent="0.25">
      <c r="F53" s="56"/>
      <c r="G53" s="56"/>
      <c r="J53" s="6"/>
    </row>
    <row r="54" spans="6:10" x14ac:dyDescent="0.25">
      <c r="F54" s="56"/>
      <c r="G54" s="56"/>
      <c r="J54" s="6"/>
    </row>
    <row r="55" spans="6:10" x14ac:dyDescent="0.25">
      <c r="F55" s="56"/>
      <c r="G55" s="56"/>
      <c r="J55" s="6"/>
    </row>
    <row r="56" spans="6:10" x14ac:dyDescent="0.25">
      <c r="F56" s="56"/>
      <c r="G56" s="56"/>
      <c r="J56" s="6"/>
    </row>
    <row r="57" spans="6:10" x14ac:dyDescent="0.25">
      <c r="F57" s="56"/>
      <c r="G57" s="56"/>
      <c r="J57" s="6"/>
    </row>
    <row r="58" spans="6:10" x14ac:dyDescent="0.25">
      <c r="F58" s="56"/>
      <c r="G58" s="56"/>
      <c r="J58" s="6"/>
    </row>
    <row r="59" spans="6:10" x14ac:dyDescent="0.25">
      <c r="F59" s="56"/>
      <c r="G59" s="56"/>
      <c r="J59" s="6"/>
    </row>
    <row r="60" spans="6:10" x14ac:dyDescent="0.25">
      <c r="F60" s="56"/>
      <c r="G60" s="56"/>
      <c r="J60" s="6"/>
    </row>
    <row r="61" spans="6:10" x14ac:dyDescent="0.25">
      <c r="F61" s="56"/>
      <c r="G61" s="56"/>
      <c r="J61" s="6"/>
    </row>
    <row r="62" spans="6:10" x14ac:dyDescent="0.25">
      <c r="F62" s="56"/>
      <c r="G62" s="56"/>
      <c r="J62" s="6"/>
    </row>
    <row r="63" spans="6:10" x14ac:dyDescent="0.25">
      <c r="F63" s="56"/>
      <c r="G63" s="56"/>
      <c r="J63" s="6"/>
    </row>
    <row r="64" spans="6:10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</row>
    <row r="74" spans="6:10" x14ac:dyDescent="0.25">
      <c r="F74" s="56"/>
      <c r="G74" s="56"/>
    </row>
    <row r="75" spans="6:10" x14ac:dyDescent="0.25">
      <c r="F75" s="56"/>
      <c r="G75" s="56"/>
    </row>
    <row r="76" spans="6:10" x14ac:dyDescent="0.25">
      <c r="F76" s="56"/>
      <c r="G76" s="56"/>
    </row>
    <row r="77" spans="6:10" x14ac:dyDescent="0.25">
      <c r="F77" s="56"/>
      <c r="G77" s="56"/>
    </row>
    <row r="78" spans="6:10" x14ac:dyDescent="0.25">
      <c r="F78" s="56"/>
      <c r="G78" s="56"/>
    </row>
  </sheetData>
  <sortState xmlns:xlrd2="http://schemas.microsoft.com/office/spreadsheetml/2017/richdata2" ref="A7:AC14">
    <sortCondition descending="1" ref="L7:L14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E016-9112-4997-8A3E-181264B855BB}">
  <dimension ref="A1:AC82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45821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71</v>
      </c>
      <c r="B7" t="s">
        <v>30</v>
      </c>
      <c r="C7" t="s">
        <v>72</v>
      </c>
      <c r="D7" s="2">
        <f>98.1877+35.2566</f>
        <v>133.4443</v>
      </c>
      <c r="E7" s="26">
        <v>478.45</v>
      </c>
      <c r="F7" s="3">
        <f t="shared" ref="F7:F16" si="0">E7*D7</f>
        <v>63846.425335</v>
      </c>
      <c r="G7" s="3">
        <f>34962.9+15401.92</f>
        <v>50364.82</v>
      </c>
      <c r="H7" s="4">
        <f t="shared" ref="H7:H16" si="1">G7/D7</f>
        <v>377.42204050678822</v>
      </c>
      <c r="I7" s="3">
        <f t="shared" ref="I7:I16" si="2">F7-G7</f>
        <v>13481.605335</v>
      </c>
      <c r="J7" s="26">
        <f t="shared" ref="J7:J16" si="3">E7-H7</f>
        <v>101.02795949321177</v>
      </c>
      <c r="K7" s="27">
        <v>45771</v>
      </c>
      <c r="L7">
        <f t="shared" ref="L7:L16" si="4">DAYS360(K7,$C$1)</f>
        <v>49</v>
      </c>
      <c r="M7" s="5">
        <f t="shared" ref="M7:M16" si="5">(I7/G7)</f>
        <v>0.26767901354556611</v>
      </c>
      <c r="N7">
        <v>1</v>
      </c>
      <c r="O7">
        <v>98</v>
      </c>
      <c r="P7" s="33">
        <v>81</v>
      </c>
      <c r="Q7" s="28">
        <v>444</v>
      </c>
      <c r="R7" s="29">
        <f t="shared" ref="R7:R16" si="6">Q7*0.93</f>
        <v>412.92</v>
      </c>
      <c r="S7" s="29">
        <v>462</v>
      </c>
      <c r="T7" s="28">
        <f t="shared" ref="T7:T16" si="7">Q7*1.25</f>
        <v>555</v>
      </c>
      <c r="U7" s="28">
        <f t="shared" ref="U7:U16" si="8">Q7*1.5</f>
        <v>666</v>
      </c>
      <c r="V7" s="28">
        <f t="shared" ref="V7:V16" si="9">Q7*2</f>
        <v>888</v>
      </c>
      <c r="W7" s="28">
        <f t="shared" ref="W7:W16" si="10">H7-(H7*0.07)</f>
        <v>351.00249767131305</v>
      </c>
      <c r="X7" s="29">
        <v>400</v>
      </c>
      <c r="Y7" s="5">
        <f t="shared" ref="Y7:Y16" si="11">(X7-H7)/H7</f>
        <v>5.9821518274065122E-2</v>
      </c>
      <c r="Z7" s="32">
        <f t="shared" ref="Z7:Z16" si="12">F7/F$20</f>
        <v>0.13453694020459139</v>
      </c>
      <c r="AB7" s="58">
        <v>45861</v>
      </c>
      <c r="AC7" s="9">
        <v>97</v>
      </c>
    </row>
    <row r="8" spans="1:29" x14ac:dyDescent="0.25">
      <c r="A8" t="s">
        <v>100</v>
      </c>
      <c r="B8" t="s">
        <v>30</v>
      </c>
      <c r="C8" s="25" t="s">
        <v>101</v>
      </c>
      <c r="D8" s="2">
        <f>183.4831+120.5473+115.3915</f>
        <v>419.42189999999999</v>
      </c>
      <c r="E8" s="26">
        <v>137.4</v>
      </c>
      <c r="F8" s="3">
        <f t="shared" si="0"/>
        <v>57628.569060000002</v>
      </c>
      <c r="G8" s="3">
        <f>22876.67+14197.82+14808.77</f>
        <v>51883.259999999995</v>
      </c>
      <c r="H8" s="4">
        <f t="shared" si="1"/>
        <v>123.70183817297092</v>
      </c>
      <c r="I8" s="3">
        <f t="shared" si="2"/>
        <v>5745.3090600000069</v>
      </c>
      <c r="J8" s="26">
        <f t="shared" si="3"/>
        <v>13.698161827029082</v>
      </c>
      <c r="K8" s="27">
        <v>45782</v>
      </c>
      <c r="L8">
        <f t="shared" si="4"/>
        <v>38</v>
      </c>
      <c r="M8" s="5">
        <f t="shared" si="5"/>
        <v>0.11073531347105034</v>
      </c>
      <c r="N8">
        <v>41</v>
      </c>
      <c r="O8">
        <v>99</v>
      </c>
      <c r="P8" s="64">
        <v>98</v>
      </c>
      <c r="Q8" s="28">
        <v>125.26</v>
      </c>
      <c r="R8" s="29">
        <f t="shared" si="6"/>
        <v>116.49180000000001</v>
      </c>
      <c r="S8" s="29">
        <v>105.32</v>
      </c>
      <c r="T8" s="31">
        <f t="shared" si="7"/>
        <v>156.57500000000002</v>
      </c>
      <c r="U8" s="28">
        <f t="shared" si="8"/>
        <v>187.89000000000001</v>
      </c>
      <c r="V8" s="28">
        <f t="shared" si="9"/>
        <v>250.52</v>
      </c>
      <c r="W8" s="28">
        <f t="shared" si="10"/>
        <v>115.04270950086295</v>
      </c>
      <c r="X8" s="29">
        <v>113</v>
      </c>
      <c r="Y8" s="5">
        <f t="shared" si="11"/>
        <v>-8.6513170143896007E-2</v>
      </c>
      <c r="Z8" s="6">
        <f t="shared" si="12"/>
        <v>0.12143469754212176</v>
      </c>
      <c r="AB8" s="58">
        <v>45880</v>
      </c>
      <c r="AC8" s="9">
        <v>99</v>
      </c>
    </row>
    <row r="9" spans="1:29" x14ac:dyDescent="0.25">
      <c r="A9" t="s">
        <v>107</v>
      </c>
      <c r="B9" t="s">
        <v>30</v>
      </c>
      <c r="C9" s="25" t="s">
        <v>109</v>
      </c>
      <c r="D9" s="2">
        <f>553.2061+364.8063</f>
        <v>918.01240000000007</v>
      </c>
      <c r="E9" s="26">
        <v>38.93</v>
      </c>
      <c r="F9" s="3">
        <f t="shared" si="0"/>
        <v>35738.222732000002</v>
      </c>
      <c r="G9" s="3">
        <f>22877.09+14244.67</f>
        <v>37121.760000000002</v>
      </c>
      <c r="H9" s="4">
        <f t="shared" si="1"/>
        <v>40.437100849618155</v>
      </c>
      <c r="I9" s="3">
        <f t="shared" si="2"/>
        <v>-1383.537268</v>
      </c>
      <c r="J9" s="26">
        <f t="shared" si="3"/>
        <v>-1.5071008496181548</v>
      </c>
      <c r="K9" s="27">
        <v>45782</v>
      </c>
      <c r="L9">
        <f t="shared" si="4"/>
        <v>38</v>
      </c>
      <c r="M9" s="5">
        <f t="shared" si="5"/>
        <v>-3.7270249794190795E-2</v>
      </c>
      <c r="N9">
        <v>13</v>
      </c>
      <c r="O9">
        <v>92</v>
      </c>
      <c r="P9" s="63">
        <v>82</v>
      </c>
      <c r="Q9" s="28">
        <v>42.55</v>
      </c>
      <c r="R9" s="29">
        <f t="shared" si="6"/>
        <v>39.5715</v>
      </c>
      <c r="S9" s="29">
        <v>37.24</v>
      </c>
      <c r="T9" s="31">
        <f t="shared" si="7"/>
        <v>53.1875</v>
      </c>
      <c r="U9" s="28">
        <f t="shared" si="8"/>
        <v>63.824999999999996</v>
      </c>
      <c r="V9" s="28">
        <f t="shared" si="9"/>
        <v>85.1</v>
      </c>
      <c r="W9" s="28">
        <f t="shared" si="10"/>
        <v>37.606503790144885</v>
      </c>
      <c r="X9" s="29">
        <v>37</v>
      </c>
      <c r="Y9" s="5">
        <f t="shared" si="11"/>
        <v>-8.4998696182508618E-2</v>
      </c>
      <c r="Z9" s="32">
        <f t="shared" si="12"/>
        <v>7.5307444535625268E-2</v>
      </c>
      <c r="AB9" s="58">
        <v>45875</v>
      </c>
      <c r="AC9" s="9">
        <v>98</v>
      </c>
    </row>
    <row r="10" spans="1:29" x14ac:dyDescent="0.25">
      <c r="A10" t="s">
        <v>111</v>
      </c>
      <c r="B10" t="s">
        <v>30</v>
      </c>
      <c r="C10" s="25" t="s">
        <v>112</v>
      </c>
      <c r="D10" s="2">
        <f>362.8226+163.9908</f>
        <v>526.8134</v>
      </c>
      <c r="E10" s="26">
        <v>97.17</v>
      </c>
      <c r="F10" s="3">
        <f t="shared" si="0"/>
        <v>51190.458078000003</v>
      </c>
      <c r="G10" s="3">
        <f>26856.13+12527.28</f>
        <v>39383.410000000003</v>
      </c>
      <c r="H10" s="4">
        <f t="shared" si="1"/>
        <v>74.757798491837917</v>
      </c>
      <c r="I10" s="3">
        <f t="shared" si="2"/>
        <v>11807.048078</v>
      </c>
      <c r="J10" s="26">
        <f t="shared" si="3"/>
        <v>22.412201508162084</v>
      </c>
      <c r="K10" s="27">
        <v>45789</v>
      </c>
      <c r="L10">
        <f t="shared" si="4"/>
        <v>31</v>
      </c>
      <c r="M10" s="5">
        <f t="shared" si="5"/>
        <v>0.29979750554865614</v>
      </c>
      <c r="N10">
        <v>19</v>
      </c>
      <c r="O10">
        <v>98</v>
      </c>
      <c r="P10" s="63">
        <v>40</v>
      </c>
      <c r="Q10" s="28">
        <v>74.239999999999995</v>
      </c>
      <c r="R10" s="29">
        <f t="shared" si="6"/>
        <v>69.043199999999999</v>
      </c>
      <c r="S10" s="29">
        <v>78.66</v>
      </c>
      <c r="T10" s="28">
        <f t="shared" si="7"/>
        <v>92.8</v>
      </c>
      <c r="U10" s="28">
        <f t="shared" si="8"/>
        <v>111.35999999999999</v>
      </c>
      <c r="V10" s="28">
        <f t="shared" si="9"/>
        <v>148.47999999999999</v>
      </c>
      <c r="W10" s="28">
        <f t="shared" si="10"/>
        <v>69.524752597409261</v>
      </c>
      <c r="X10" s="29">
        <v>79</v>
      </c>
      <c r="Y10" s="5">
        <f t="shared" si="11"/>
        <v>5.6745939470452006E-2</v>
      </c>
      <c r="Z10" s="6">
        <f t="shared" si="12"/>
        <v>0.10786833501405343</v>
      </c>
      <c r="AB10" s="58">
        <v>45875</v>
      </c>
      <c r="AC10" s="9">
        <v>91</v>
      </c>
    </row>
    <row r="11" spans="1:29" x14ac:dyDescent="0.25">
      <c r="A11" t="s">
        <v>113</v>
      </c>
      <c r="B11" t="s">
        <v>30</v>
      </c>
      <c r="C11" s="25" t="s">
        <v>114</v>
      </c>
      <c r="D11" s="2">
        <f>392.3916+221.1479</f>
        <v>613.53949999999998</v>
      </c>
      <c r="E11" s="26">
        <v>83.93</v>
      </c>
      <c r="F11" s="3">
        <f t="shared" si="0"/>
        <v>51494.370235000002</v>
      </c>
      <c r="G11" s="3">
        <f>35895.15+19479.74</f>
        <v>55374.89</v>
      </c>
      <c r="H11" s="4">
        <f t="shared" si="1"/>
        <v>90.254808370121239</v>
      </c>
      <c r="I11" s="3">
        <f t="shared" si="2"/>
        <v>-3880.5197649999973</v>
      </c>
      <c r="J11" s="26">
        <f t="shared" si="3"/>
        <v>-6.3248083701212323</v>
      </c>
      <c r="K11" s="27">
        <v>45793</v>
      </c>
      <c r="L11">
        <f t="shared" si="4"/>
        <v>27</v>
      </c>
      <c r="M11" s="5">
        <f t="shared" si="5"/>
        <v>-7.0077245571052105E-2</v>
      </c>
      <c r="N11">
        <v>49</v>
      </c>
      <c r="O11">
        <v>89</v>
      </c>
      <c r="P11" s="63">
        <v>82</v>
      </c>
      <c r="Q11" s="28">
        <v>87</v>
      </c>
      <c r="R11" s="29">
        <f t="shared" si="6"/>
        <v>80.910000000000011</v>
      </c>
      <c r="S11" s="29">
        <v>81.86</v>
      </c>
      <c r="T11" s="28">
        <f t="shared" si="7"/>
        <v>108.75</v>
      </c>
      <c r="U11" s="28">
        <f t="shared" si="8"/>
        <v>130.5</v>
      </c>
      <c r="V11" s="28">
        <f t="shared" si="9"/>
        <v>174</v>
      </c>
      <c r="W11" s="28">
        <f t="shared" si="10"/>
        <v>83.936971784212744</v>
      </c>
      <c r="X11" s="29">
        <v>85</v>
      </c>
      <c r="Y11" s="5">
        <f t="shared" si="11"/>
        <v>-5.8221921524358781E-2</v>
      </c>
      <c r="Z11" s="32">
        <f t="shared" si="12"/>
        <v>0.10850873753430765</v>
      </c>
      <c r="AB11" s="58">
        <v>45874</v>
      </c>
      <c r="AC11" s="9">
        <v>94</v>
      </c>
    </row>
    <row r="12" spans="1:29" x14ac:dyDescent="0.25">
      <c r="A12" t="s">
        <v>116</v>
      </c>
      <c r="B12" t="s">
        <v>30</v>
      </c>
      <c r="C12" s="25" t="s">
        <v>117</v>
      </c>
      <c r="D12" s="2">
        <v>570.81209999999999</v>
      </c>
      <c r="E12" s="26">
        <v>72.599999999999994</v>
      </c>
      <c r="F12" s="3">
        <f t="shared" si="0"/>
        <v>41440.958459999994</v>
      </c>
      <c r="G12" s="3">
        <v>36072.47</v>
      </c>
      <c r="H12" s="4">
        <f t="shared" si="1"/>
        <v>63.194998844628557</v>
      </c>
      <c r="I12" s="3">
        <f t="shared" si="2"/>
        <v>5368.4884599999932</v>
      </c>
      <c r="J12" s="26">
        <f t="shared" si="3"/>
        <v>9.405001155371437</v>
      </c>
      <c r="K12" s="27">
        <v>45796</v>
      </c>
      <c r="L12">
        <f t="shared" si="4"/>
        <v>24</v>
      </c>
      <c r="M12" s="5">
        <f t="shared" si="5"/>
        <v>0.14882508627770688</v>
      </c>
      <c r="N12">
        <v>21</v>
      </c>
      <c r="O12">
        <v>99</v>
      </c>
      <c r="P12" s="63">
        <v>81</v>
      </c>
      <c r="Q12" s="28">
        <v>63.78</v>
      </c>
      <c r="R12" s="29">
        <f t="shared" si="6"/>
        <v>59.315400000000004</v>
      </c>
      <c r="S12" s="29">
        <v>62.92</v>
      </c>
      <c r="T12" s="31">
        <f t="shared" si="7"/>
        <v>79.724999999999994</v>
      </c>
      <c r="U12" s="28">
        <f t="shared" si="8"/>
        <v>95.67</v>
      </c>
      <c r="V12" s="28">
        <f t="shared" si="9"/>
        <v>127.56</v>
      </c>
      <c r="W12" s="28">
        <f t="shared" si="10"/>
        <v>58.771348925504554</v>
      </c>
      <c r="X12" s="29">
        <v>62</v>
      </c>
      <c r="Y12" s="5">
        <f t="shared" si="11"/>
        <v>-1.8909705933638603E-2</v>
      </c>
      <c r="Z12" s="6">
        <f t="shared" si="12"/>
        <v>8.7324227176390198E-2</v>
      </c>
      <c r="AB12" s="58">
        <v>45868</v>
      </c>
      <c r="AC12" s="9">
        <v>98</v>
      </c>
    </row>
    <row r="13" spans="1:29" x14ac:dyDescent="0.25">
      <c r="A13" t="s">
        <v>118</v>
      </c>
      <c r="B13" t="s">
        <v>30</v>
      </c>
      <c r="C13" s="25" t="s">
        <v>119</v>
      </c>
      <c r="D13" s="2">
        <f>605.0016+550.0434</f>
        <v>1155.0450000000001</v>
      </c>
      <c r="E13" s="26">
        <v>38.82</v>
      </c>
      <c r="F13" s="3">
        <f t="shared" si="0"/>
        <v>44838.846900000004</v>
      </c>
      <c r="G13" s="3">
        <f>(605.0016*29.7738017)+17708.65</f>
        <v>35721.847666582718</v>
      </c>
      <c r="H13" s="4">
        <f t="shared" si="1"/>
        <v>30.926801697408081</v>
      </c>
      <c r="I13" s="3">
        <f t="shared" si="2"/>
        <v>9116.9992334172857</v>
      </c>
      <c r="J13" s="26">
        <f t="shared" si="3"/>
        <v>7.8931983025919195</v>
      </c>
      <c r="K13" s="27">
        <v>45800</v>
      </c>
      <c r="L13">
        <f t="shared" si="4"/>
        <v>20</v>
      </c>
      <c r="M13" s="5">
        <f t="shared" si="5"/>
        <v>0.2552219392040605</v>
      </c>
      <c r="N13">
        <v>1</v>
      </c>
      <c r="O13">
        <v>99</v>
      </c>
      <c r="P13" s="63">
        <v>19</v>
      </c>
      <c r="Q13" s="28">
        <v>29.66</v>
      </c>
      <c r="R13" s="29">
        <f t="shared" si="6"/>
        <v>27.5838</v>
      </c>
      <c r="S13" s="29">
        <v>29.66</v>
      </c>
      <c r="T13" s="31">
        <f t="shared" si="7"/>
        <v>37.075000000000003</v>
      </c>
      <c r="U13" s="28">
        <f t="shared" si="8"/>
        <v>44.49</v>
      </c>
      <c r="V13" s="28">
        <f t="shared" si="9"/>
        <v>59.32</v>
      </c>
      <c r="W13" s="28">
        <f t="shared" si="10"/>
        <v>28.761925578589516</v>
      </c>
      <c r="X13" s="29">
        <v>27</v>
      </c>
      <c r="Y13" s="5">
        <f t="shared" si="11"/>
        <v>-0.12697083053813416</v>
      </c>
      <c r="Z13" s="6">
        <f t="shared" si="12"/>
        <v>9.4484244537981668E-2</v>
      </c>
      <c r="AB13" s="58">
        <v>45875</v>
      </c>
      <c r="AC13" s="9">
        <v>88</v>
      </c>
    </row>
    <row r="14" spans="1:29" x14ac:dyDescent="0.25">
      <c r="A14" t="s">
        <v>121</v>
      </c>
      <c r="B14" t="s">
        <v>30</v>
      </c>
      <c r="C14" s="25" t="s">
        <v>122</v>
      </c>
      <c r="D14" s="2">
        <v>1070.2094</v>
      </c>
      <c r="E14" s="26">
        <v>18.39</v>
      </c>
      <c r="F14" s="3">
        <f t="shared" si="0"/>
        <v>19681.150866</v>
      </c>
      <c r="G14" s="3">
        <f>1070.2094*17.5871838</f>
        <v>18821.969422287719</v>
      </c>
      <c r="H14" s="4">
        <f t="shared" si="1"/>
        <v>17.587183799999998</v>
      </c>
      <c r="I14" s="3">
        <f t="shared" si="2"/>
        <v>859.18144371228118</v>
      </c>
      <c r="J14" s="26">
        <f t="shared" si="3"/>
        <v>0.80281620000000231</v>
      </c>
      <c r="K14" s="27">
        <v>45814</v>
      </c>
      <c r="L14">
        <f t="shared" si="4"/>
        <v>7</v>
      </c>
      <c r="M14" s="5">
        <f t="shared" si="5"/>
        <v>4.5647797232891897E-2</v>
      </c>
      <c r="N14">
        <v>5</v>
      </c>
      <c r="O14">
        <v>98</v>
      </c>
      <c r="P14" s="63">
        <v>80</v>
      </c>
      <c r="Q14" s="28">
        <v>16.399999999999999</v>
      </c>
      <c r="R14" s="29">
        <f t="shared" si="6"/>
        <v>15.251999999999999</v>
      </c>
      <c r="S14" s="29">
        <v>11.01</v>
      </c>
      <c r="T14" s="28">
        <f t="shared" si="7"/>
        <v>20.5</v>
      </c>
      <c r="U14" s="28">
        <f t="shared" si="8"/>
        <v>24.599999999999998</v>
      </c>
      <c r="V14" s="28">
        <f t="shared" si="9"/>
        <v>32.799999999999997</v>
      </c>
      <c r="W14" s="28">
        <f t="shared" si="10"/>
        <v>16.356080933999998</v>
      </c>
      <c r="X14" s="29">
        <v>16.25</v>
      </c>
      <c r="Y14" s="5">
        <f t="shared" si="11"/>
        <v>-7.6031718051414149E-2</v>
      </c>
      <c r="Z14" s="6">
        <f t="shared" si="12"/>
        <v>4.1472044884634476E-2</v>
      </c>
      <c r="AB14" s="58">
        <v>45887</v>
      </c>
      <c r="AC14" s="9">
        <v>99</v>
      </c>
    </row>
    <row r="15" spans="1:29" x14ac:dyDescent="0.25">
      <c r="A15" t="s">
        <v>124</v>
      </c>
      <c r="B15" t="s">
        <v>30</v>
      </c>
      <c r="C15" s="25" t="s">
        <v>125</v>
      </c>
      <c r="D15" s="2">
        <v>915.35900000000004</v>
      </c>
      <c r="E15" s="26">
        <v>25.41</v>
      </c>
      <c r="F15" s="3">
        <f t="shared" si="0"/>
        <v>23259.27219</v>
      </c>
      <c r="G15" s="3">
        <f>915.359*31.2780008</f>
        <v>28630.599534287201</v>
      </c>
      <c r="H15" s="4">
        <f t="shared" si="1"/>
        <v>31.278000800000001</v>
      </c>
      <c r="I15" s="3">
        <f t="shared" si="2"/>
        <v>-5371.3273442872014</v>
      </c>
      <c r="J15" s="26">
        <f t="shared" si="3"/>
        <v>-5.8680008000000008</v>
      </c>
      <c r="K15" s="27">
        <v>45817</v>
      </c>
      <c r="L15">
        <f t="shared" si="4"/>
        <v>4</v>
      </c>
      <c r="M15" s="5">
        <f t="shared" si="5"/>
        <v>-0.18760792409724605</v>
      </c>
      <c r="N15">
        <v>8</v>
      </c>
      <c r="O15">
        <v>99</v>
      </c>
      <c r="P15" s="63">
        <v>15</v>
      </c>
      <c r="Q15" s="28">
        <v>30.78</v>
      </c>
      <c r="R15" s="29">
        <f t="shared" si="6"/>
        <v>28.625400000000003</v>
      </c>
      <c r="S15" s="29">
        <v>26.45</v>
      </c>
      <c r="T15" s="28">
        <f t="shared" si="7"/>
        <v>38.475000000000001</v>
      </c>
      <c r="U15" s="28">
        <f t="shared" si="8"/>
        <v>46.17</v>
      </c>
      <c r="V15" s="28">
        <f t="shared" si="9"/>
        <v>61.56</v>
      </c>
      <c r="W15" s="28">
        <f t="shared" si="10"/>
        <v>29.088540743999999</v>
      </c>
      <c r="X15" s="29">
        <v>29</v>
      </c>
      <c r="Y15" s="5">
        <f t="shared" si="11"/>
        <v>-7.2830767367970686E-2</v>
      </c>
      <c r="Z15" s="6">
        <f t="shared" si="12"/>
        <v>4.9011848281393613E-2</v>
      </c>
      <c r="AB15" s="58">
        <v>45876</v>
      </c>
      <c r="AC15" s="9">
        <v>83</v>
      </c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45163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2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ref="F17" si="13">E17*D17</f>
        <v>0</v>
      </c>
      <c r="G17" s="39"/>
      <c r="H17" s="40" t="e">
        <f t="shared" ref="H17" si="14">G17/D17</f>
        <v>#DIV/0!</v>
      </c>
      <c r="I17" s="39">
        <f t="shared" ref="I17" si="15">F17-G17</f>
        <v>0</v>
      </c>
      <c r="J17" s="38" t="e">
        <f t="shared" ref="J17" si="16">E17-H17</f>
        <v>#DIV/0!</v>
      </c>
      <c r="K17" s="41"/>
      <c r="L17" s="35">
        <f t="shared" ref="L17" si="17">DAYS360(K17,$C$1)</f>
        <v>45163</v>
      </c>
      <c r="M17" s="42" t="e">
        <f t="shared" ref="M17" si="18">(I17/G17)</f>
        <v>#DIV/0!</v>
      </c>
      <c r="N17" s="35"/>
      <c r="O17" s="35"/>
      <c r="P17" s="65"/>
      <c r="Q17" s="44"/>
      <c r="R17" s="45">
        <f t="shared" ref="R17" si="19">Q17*0.93</f>
        <v>0</v>
      </c>
      <c r="S17" s="45"/>
      <c r="T17" s="46">
        <f t="shared" ref="T17" si="20">Q17*1.25</f>
        <v>0</v>
      </c>
      <c r="U17" s="44">
        <f t="shared" ref="U17" si="21">Q17*1.5</f>
        <v>0</v>
      </c>
      <c r="V17" s="44">
        <f t="shared" ref="V17" si="22">Q17*2</f>
        <v>0</v>
      </c>
      <c r="W17" s="44" t="e">
        <f t="shared" ref="W17" si="23">H17-(H17*0.07)</f>
        <v>#DIV/0!</v>
      </c>
      <c r="X17" s="45"/>
      <c r="Y17" s="42" t="e">
        <f t="shared" ref="Y17" si="24">(X17-H17)/H17</f>
        <v>#DIV/0!</v>
      </c>
      <c r="Z17" s="47">
        <f t="shared" ref="Z17" si="25">F17/F$20</f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389118.27385599999</v>
      </c>
      <c r="G18" s="3">
        <f>SUM(G6:G17)</f>
        <v>353375.02662315761</v>
      </c>
      <c r="H18" s="4"/>
      <c r="I18" s="3">
        <f>SUM(I6:I17)</f>
        <v>35743.247232842368</v>
      </c>
      <c r="M18" s="5"/>
      <c r="Z18" s="6"/>
    </row>
    <row r="19" spans="1:29" x14ac:dyDescent="0.25">
      <c r="D19" s="2" t="s">
        <v>44</v>
      </c>
      <c r="F19" s="3">
        <v>85446</v>
      </c>
      <c r="G19" s="6">
        <f>F19/F20</f>
        <v>0.18005148028890058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474564.27385599999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'06-07-25'!F20</f>
        <v>478059.38368799997</v>
      </c>
      <c r="K21" s="1">
        <v>45657</v>
      </c>
      <c r="L21" s="50">
        <v>170762</v>
      </c>
      <c r="M21" s="50">
        <v>164160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-7.3110369783705182E-3</v>
      </c>
      <c r="K22" s="9" t="s">
        <v>123</v>
      </c>
      <c r="L22" s="6">
        <f>(M21-L21)/L21</f>
        <v>-3.8661997399889902E-2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26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26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27">F28/D28</f>
        <v>44.698790833464948</v>
      </c>
      <c r="F28" s="3">
        <v>56489.42</v>
      </c>
      <c r="G28" s="56">
        <v>75501.87</v>
      </c>
      <c r="H28" s="57">
        <f t="shared" ref="H28:H45" si="28">G28/D28</f>
        <v>59.742909285764696</v>
      </c>
      <c r="I28" s="57">
        <f t="shared" ref="I28:I45" si="29">G28-F28</f>
        <v>19012.449999999997</v>
      </c>
      <c r="J28" s="6">
        <f t="shared" ref="J28:J45" si="30">I28/F28</f>
        <v>0.33656656414599401</v>
      </c>
      <c r="K28" s="1">
        <v>45527</v>
      </c>
      <c r="L28" s="1">
        <v>45688</v>
      </c>
      <c r="M28">
        <f t="shared" si="26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27"/>
        <v>169.90901206845703</v>
      </c>
      <c r="F29" s="3">
        <f>59492.79+21969.78</f>
        <v>81462.570000000007</v>
      </c>
      <c r="G29" s="56">
        <v>65047.58</v>
      </c>
      <c r="H29" s="57">
        <f t="shared" si="28"/>
        <v>135.67175765807443</v>
      </c>
      <c r="I29" s="57">
        <f t="shared" si="29"/>
        <v>-16414.990000000005</v>
      </c>
      <c r="J29" s="6">
        <f t="shared" si="30"/>
        <v>-0.20150346349249729</v>
      </c>
      <c r="K29" s="1">
        <v>45671</v>
      </c>
      <c r="L29" s="1">
        <v>45688</v>
      </c>
      <c r="M29">
        <f t="shared" si="26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27"/>
        <v>18.702010092477405</v>
      </c>
      <c r="F30" s="3">
        <v>56486.59</v>
      </c>
      <c r="G30" s="56">
        <v>71124.88</v>
      </c>
      <c r="H30" s="57">
        <f t="shared" si="28"/>
        <v>23.548566546258936</v>
      </c>
      <c r="I30" s="57">
        <f t="shared" si="29"/>
        <v>14638.290000000008</v>
      </c>
      <c r="J30" s="6">
        <f t="shared" si="30"/>
        <v>0.25914628587068206</v>
      </c>
      <c r="K30" s="1">
        <v>45527</v>
      </c>
      <c r="L30" s="1">
        <v>45691</v>
      </c>
      <c r="M30">
        <f t="shared" si="26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27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28"/>
        <v>38.249853000000002</v>
      </c>
      <c r="I31" s="57">
        <f t="shared" si="29"/>
        <v>-6110.386336591735</v>
      </c>
      <c r="J31" s="6">
        <f t="shared" si="30"/>
        <v>-0.10005621882176895</v>
      </c>
      <c r="K31" s="1">
        <v>45706</v>
      </c>
      <c r="L31" s="1">
        <v>45708</v>
      </c>
      <c r="M31">
        <f t="shared" si="26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27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28"/>
        <v>531.63995279999995</v>
      </c>
      <c r="I32" s="57">
        <f t="shared" si="29"/>
        <v>-22176.243614196137</v>
      </c>
      <c r="J32" s="6">
        <f t="shared" si="30"/>
        <v>-0.24194911929355969</v>
      </c>
      <c r="K32" s="1">
        <v>45706</v>
      </c>
      <c r="L32" s="1">
        <v>45708</v>
      </c>
      <c r="M32">
        <f t="shared" si="26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27"/>
        <v>368.56522253629635</v>
      </c>
      <c r="F33" s="3">
        <v>74438.86</v>
      </c>
      <c r="G33" s="56">
        <f>201.9693*360.5332483</f>
        <v>72816.647785877198</v>
      </c>
      <c r="H33" s="57">
        <f t="shared" si="28"/>
        <v>360.53324830000003</v>
      </c>
      <c r="I33" s="57">
        <f t="shared" si="29"/>
        <v>-1622.2122141228028</v>
      </c>
      <c r="J33" s="6">
        <f t="shared" si="30"/>
        <v>-2.1792545105107773E-2</v>
      </c>
      <c r="K33" s="1">
        <v>45664</v>
      </c>
      <c r="L33" s="1">
        <v>45708</v>
      </c>
      <c r="M33">
        <f t="shared" si="26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27"/>
        <v>30.17825528482809</v>
      </c>
      <c r="F34" s="3">
        <v>37884.65</v>
      </c>
      <c r="G34" s="56">
        <f>1255.3625*39.762296</f>
        <v>49916.0953123</v>
      </c>
      <c r="H34" s="57">
        <f t="shared" si="28"/>
        <v>39.762295999999999</v>
      </c>
      <c r="I34" s="57">
        <f t="shared" si="29"/>
        <v>12031.445312299998</v>
      </c>
      <c r="J34" s="6">
        <f t="shared" si="30"/>
        <v>0.31758100740801348</v>
      </c>
      <c r="K34" s="1">
        <v>45663</v>
      </c>
      <c r="L34" s="1">
        <v>45709</v>
      </c>
      <c r="M34">
        <f t="shared" si="26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27"/>
        <v>242.26930551548847</v>
      </c>
      <c r="F35" s="3">
        <v>61221.72</v>
      </c>
      <c r="G35" s="56">
        <f>252.7011*226.6146532</f>
        <v>57265.772139758519</v>
      </c>
      <c r="H35" s="57">
        <f t="shared" si="28"/>
        <v>226.61465319999999</v>
      </c>
      <c r="I35" s="57">
        <f t="shared" si="29"/>
        <v>-3955.947860241482</v>
      </c>
      <c r="J35" s="6">
        <f t="shared" si="30"/>
        <v>-6.4616738311852093E-2</v>
      </c>
      <c r="K35" s="1">
        <v>45699</v>
      </c>
      <c r="L35" s="1">
        <v>45709</v>
      </c>
      <c r="M35">
        <f t="shared" si="26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27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28"/>
        <v>283.93999450000007</v>
      </c>
      <c r="I36" s="57">
        <f t="shared" si="29"/>
        <v>19563.525282954361</v>
      </c>
      <c r="J36" s="6">
        <f t="shared" si="30"/>
        <v>0.36434300703793465</v>
      </c>
      <c r="K36" s="1">
        <v>45580</v>
      </c>
      <c r="L36" s="1">
        <v>45712</v>
      </c>
      <c r="M36">
        <f t="shared" si="26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27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28"/>
        <v>63.365330900000004</v>
      </c>
      <c r="I37" s="57">
        <f t="shared" si="29"/>
        <v>-4549.5912833559851</v>
      </c>
      <c r="J37" s="6">
        <f t="shared" si="30"/>
        <v>-5.9638082078758516E-2</v>
      </c>
      <c r="K37" s="1">
        <v>45673</v>
      </c>
      <c r="L37" s="1">
        <v>45712</v>
      </c>
      <c r="M37">
        <f t="shared" si="26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28"/>
        <v>50.021380499999999</v>
      </c>
      <c r="I38" s="57">
        <f t="shared" si="29"/>
        <v>6027.2875116823998</v>
      </c>
      <c r="J38" s="6">
        <f t="shared" si="30"/>
        <v>9.9771440635884723E-2</v>
      </c>
      <c r="K38" s="1">
        <v>45593</v>
      </c>
      <c r="L38" s="1">
        <v>45713</v>
      </c>
      <c r="M38">
        <f t="shared" si="26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28"/>
        <v>12.519992000000002</v>
      </c>
      <c r="I39" s="57">
        <f t="shared" si="29"/>
        <v>-2230.6527810991975</v>
      </c>
      <c r="J39" s="6">
        <f t="shared" si="30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28"/>
        <v>94.679995300000002</v>
      </c>
      <c r="I40" s="57">
        <f t="shared" si="29"/>
        <v>-4750.690604140058</v>
      </c>
      <c r="J40" s="6">
        <f t="shared" si="30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46" si="31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28"/>
        <v>18.9477051</v>
      </c>
      <c r="I41" s="57">
        <f t="shared" si="29"/>
        <v>-2244.5195874142191</v>
      </c>
      <c r="J41" s="6">
        <f t="shared" si="30"/>
        <v>-8.2776138273503941E-2</v>
      </c>
      <c r="K41" s="1">
        <v>45761</v>
      </c>
      <c r="L41" s="1">
        <v>45768</v>
      </c>
      <c r="M41">
        <f t="shared" ref="M41:M46" si="32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31"/>
        <v>96.336406065231671</v>
      </c>
      <c r="F42" s="3">
        <v>34004.42</v>
      </c>
      <c r="G42" s="56">
        <f>352.9758*89.7849585</f>
        <v>31691.9175545043</v>
      </c>
      <c r="H42" s="57">
        <f t="shared" si="28"/>
        <v>89.784958500000002</v>
      </c>
      <c r="I42" s="57">
        <f t="shared" si="29"/>
        <v>-2312.5024454956983</v>
      </c>
      <c r="J42" s="6">
        <f t="shared" si="30"/>
        <v>-6.8005937036882222E-2</v>
      </c>
      <c r="K42" s="1">
        <v>45762</v>
      </c>
      <c r="L42" s="1">
        <v>45768</v>
      </c>
      <c r="M42">
        <f t="shared" si="32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31"/>
        <v>16.992624876012847</v>
      </c>
      <c r="F43" s="3">
        <v>37971.83</v>
      </c>
      <c r="G43" s="56">
        <f>2234.6065*13.3067232</f>
        <v>29735.2901564208</v>
      </c>
      <c r="H43" s="57">
        <f t="shared" si="28"/>
        <v>13.3067232</v>
      </c>
      <c r="I43" s="57">
        <f t="shared" si="29"/>
        <v>-8236.5398435792013</v>
      </c>
      <c r="J43" s="6">
        <f t="shared" si="30"/>
        <v>-0.21691184869360261</v>
      </c>
      <c r="K43" s="1">
        <v>45652</v>
      </c>
      <c r="L43" s="1">
        <v>45785</v>
      </c>
      <c r="M43">
        <f t="shared" si="32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31"/>
        <v>38.101812248436303</v>
      </c>
      <c r="F44" s="3">
        <v>21940.86</v>
      </c>
      <c r="G44" s="56">
        <f>575.8482*32.7857042</f>
        <v>18879.588749302438</v>
      </c>
      <c r="H44" s="57">
        <f t="shared" si="28"/>
        <v>32.785704199999998</v>
      </c>
      <c r="I44" s="57">
        <f t="shared" si="29"/>
        <v>-3061.2712506975622</v>
      </c>
      <c r="J44" s="6">
        <f t="shared" si="30"/>
        <v>-0.13952375844417958</v>
      </c>
      <c r="K44" s="1">
        <v>45761</v>
      </c>
      <c r="L44" s="1">
        <v>45790</v>
      </c>
      <c r="M44">
        <f t="shared" si="32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31"/>
        <v>24.570291674143743</v>
      </c>
      <c r="F45" s="3">
        <v>23591.34</v>
      </c>
      <c r="G45" s="56">
        <v>19396.37</v>
      </c>
      <c r="H45" s="57">
        <f t="shared" si="28"/>
        <v>20.201246233559068</v>
      </c>
      <c r="I45" s="57">
        <f t="shared" si="29"/>
        <v>-4194.9700000000012</v>
      </c>
      <c r="J45" s="6">
        <f t="shared" si="30"/>
        <v>-0.17781821634548953</v>
      </c>
      <c r="K45" s="1">
        <v>45776</v>
      </c>
      <c r="L45" s="1">
        <v>45812</v>
      </c>
      <c r="M45">
        <f t="shared" si="32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31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ref="H46" si="33">G46/D46</f>
        <v>84.038907800000004</v>
      </c>
      <c r="I46" s="57">
        <f t="shared" ref="I46" si="34">G46-F46</f>
        <v>-3907.8121523372101</v>
      </c>
      <c r="J46" s="6">
        <f t="shared" ref="J46" si="35">I46/F46</f>
        <v>-0.14246372001691271</v>
      </c>
      <c r="K46" s="1">
        <v>45782</v>
      </c>
      <c r="L46" s="1">
        <v>45818</v>
      </c>
      <c r="M46">
        <f t="shared" si="32"/>
        <v>35</v>
      </c>
    </row>
    <row r="47" spans="1:19" x14ac:dyDescent="0.25">
      <c r="C47" s="25"/>
      <c r="D47" s="2"/>
      <c r="E47" s="57"/>
      <c r="F47" s="3"/>
      <c r="G47" s="56"/>
      <c r="H47" s="57"/>
      <c r="I47" s="57"/>
      <c r="J47" s="6"/>
      <c r="K47" s="1"/>
      <c r="L47" s="1"/>
    </row>
    <row r="48" spans="1:19" x14ac:dyDescent="0.25">
      <c r="C48" s="25"/>
      <c r="D48" s="2"/>
      <c r="E48" s="57"/>
      <c r="F48" s="3"/>
      <c r="G48" s="56"/>
      <c r="H48" s="57"/>
      <c r="I48" s="57"/>
      <c r="J48" s="6"/>
      <c r="K48" s="1"/>
      <c r="L48" s="1"/>
    </row>
    <row r="49" spans="3:12" x14ac:dyDescent="0.25">
      <c r="C49" s="25"/>
      <c r="D49" s="2"/>
      <c r="E49" s="57"/>
      <c r="F49" s="3"/>
      <c r="G49" s="56"/>
      <c r="H49" s="57"/>
      <c r="I49" s="57"/>
      <c r="J49" s="6"/>
      <c r="K49" s="1"/>
      <c r="L49" s="1"/>
    </row>
    <row r="50" spans="3:12" x14ac:dyDescent="0.25">
      <c r="C50" s="25"/>
      <c r="D50" s="2"/>
      <c r="E50" s="57"/>
      <c r="F50" s="3"/>
      <c r="G50" s="56"/>
      <c r="H50" s="57"/>
      <c r="I50" s="57"/>
      <c r="J50" s="6"/>
      <c r="K50" s="1"/>
      <c r="L50" s="1"/>
    </row>
    <row r="51" spans="3:12" x14ac:dyDescent="0.25">
      <c r="F51" s="56"/>
      <c r="G51" s="56"/>
      <c r="H51" s="3"/>
      <c r="I51" s="3">
        <f>SUM(I26:I50)</f>
        <v>-22259.351866334528</v>
      </c>
      <c r="J51" s="13" t="s">
        <v>66</v>
      </c>
    </row>
    <row r="52" spans="3:12" x14ac:dyDescent="0.25">
      <c r="F52" s="56"/>
      <c r="G52" s="56"/>
      <c r="H52" s="3" t="s">
        <v>67</v>
      </c>
      <c r="I52" s="59">
        <v>16</v>
      </c>
      <c r="J52" s="5">
        <v>-0.1134</v>
      </c>
    </row>
    <row r="53" spans="3:12" x14ac:dyDescent="0.25">
      <c r="F53" s="56"/>
      <c r="G53" s="56"/>
      <c r="H53" s="3" t="s">
        <v>68</v>
      </c>
      <c r="I53" s="59">
        <v>5</v>
      </c>
      <c r="J53" s="5">
        <v>0.27560000000000001</v>
      </c>
    </row>
    <row r="54" spans="3:12" x14ac:dyDescent="0.25">
      <c r="F54" s="56"/>
      <c r="G54" s="56"/>
      <c r="J54" s="6"/>
    </row>
    <row r="55" spans="3:12" x14ac:dyDescent="0.25">
      <c r="F55" s="56"/>
      <c r="G55" s="56"/>
      <c r="J55" s="6"/>
    </row>
    <row r="56" spans="3:12" x14ac:dyDescent="0.25">
      <c r="F56" s="56"/>
      <c r="G56" s="56"/>
      <c r="J56" s="6"/>
    </row>
    <row r="57" spans="3:12" x14ac:dyDescent="0.25">
      <c r="F57" s="56"/>
      <c r="G57" s="56"/>
      <c r="J57" s="6"/>
    </row>
    <row r="58" spans="3:12" x14ac:dyDescent="0.25">
      <c r="F58" s="56"/>
      <c r="G58" s="56"/>
      <c r="J58" s="6"/>
    </row>
    <row r="59" spans="3:12" x14ac:dyDescent="0.25">
      <c r="F59" s="56"/>
      <c r="G59" s="56"/>
      <c r="J59" s="6"/>
    </row>
    <row r="60" spans="3:12" x14ac:dyDescent="0.25">
      <c r="F60" s="56"/>
      <c r="G60" s="56"/>
      <c r="J60" s="6"/>
    </row>
    <row r="61" spans="3:12" x14ac:dyDescent="0.25">
      <c r="F61" s="56"/>
      <c r="G61" s="56"/>
      <c r="J61" s="6"/>
    </row>
    <row r="62" spans="3:12" x14ac:dyDescent="0.25">
      <c r="F62" s="56"/>
      <c r="G62" s="56"/>
      <c r="J62" s="6"/>
    </row>
    <row r="63" spans="3:12" x14ac:dyDescent="0.25">
      <c r="F63" s="56"/>
      <c r="G63" s="56"/>
      <c r="J63" s="6"/>
    </row>
    <row r="64" spans="3:12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</row>
    <row r="78" spans="6:10" x14ac:dyDescent="0.25">
      <c r="F78" s="56"/>
      <c r="G78" s="56"/>
    </row>
    <row r="79" spans="6:10" x14ac:dyDescent="0.25">
      <c r="F79" s="56"/>
      <c r="G79" s="56"/>
    </row>
    <row r="80" spans="6:10" x14ac:dyDescent="0.25">
      <c r="F80" s="56"/>
      <c r="G80" s="56"/>
    </row>
    <row r="81" spans="6:7" x14ac:dyDescent="0.25">
      <c r="F81" s="56"/>
      <c r="G81" s="56"/>
    </row>
    <row r="82" spans="6:7" x14ac:dyDescent="0.25">
      <c r="F82" s="56"/>
      <c r="G82" s="56"/>
    </row>
  </sheetData>
  <sortState xmlns:xlrd2="http://schemas.microsoft.com/office/spreadsheetml/2017/richdata2" ref="A7:AC15">
    <sortCondition descending="1" ref="L7:L15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2AB8-9927-45A1-824E-A2727410D0A9}">
  <dimension ref="A1:AC82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45828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71</v>
      </c>
      <c r="B7" t="s">
        <v>30</v>
      </c>
      <c r="C7" t="s">
        <v>72</v>
      </c>
      <c r="D7" s="2">
        <f>98.1877+35.2566</f>
        <v>133.4443</v>
      </c>
      <c r="E7" s="26">
        <v>486.96</v>
      </c>
      <c r="F7" s="3">
        <f t="shared" ref="F7:F15" si="0">E7*D7</f>
        <v>64982.036327999995</v>
      </c>
      <c r="G7" s="3">
        <f>34962.9+15401.92</f>
        <v>50364.82</v>
      </c>
      <c r="H7" s="4">
        <f t="shared" ref="H7:H15" si="1">G7/D7</f>
        <v>377.42204050678822</v>
      </c>
      <c r="I7" s="3">
        <f t="shared" ref="I7:I15" si="2">F7-G7</f>
        <v>14617.216327999995</v>
      </c>
      <c r="J7" s="26">
        <f t="shared" ref="J7:J15" si="3">E7-H7</f>
        <v>109.53795949321176</v>
      </c>
      <c r="K7" s="27">
        <v>45771</v>
      </c>
      <c r="L7">
        <f t="shared" ref="L7:L15" si="4">DAYS360(K7,$C$1)</f>
        <v>56</v>
      </c>
      <c r="M7" s="5">
        <f t="shared" ref="M7:M15" si="5">(I7/G7)</f>
        <v>0.29022671634684677</v>
      </c>
      <c r="N7">
        <v>1</v>
      </c>
      <c r="O7">
        <v>97</v>
      </c>
      <c r="P7" s="33">
        <v>81</v>
      </c>
      <c r="Q7" s="28">
        <v>444</v>
      </c>
      <c r="R7" s="29">
        <f t="shared" ref="R7:R15" si="6">Q7*0.93</f>
        <v>412.92</v>
      </c>
      <c r="S7" s="29">
        <v>462</v>
      </c>
      <c r="T7" s="28">
        <f t="shared" ref="T7:T15" si="7">Q7*1.25</f>
        <v>555</v>
      </c>
      <c r="U7" s="28">
        <f t="shared" ref="U7:U15" si="8">Q7*1.5</f>
        <v>666</v>
      </c>
      <c r="V7" s="28">
        <f t="shared" ref="V7:V15" si="9">Q7*2</f>
        <v>888</v>
      </c>
      <c r="W7" s="28">
        <f t="shared" ref="W7:W15" si="10">H7-(H7*0.07)</f>
        <v>351.00249767131305</v>
      </c>
      <c r="X7" s="29">
        <v>440</v>
      </c>
      <c r="Y7" s="5">
        <f t="shared" ref="Y7:Y15" si="11">(X7-H7)/H7</f>
        <v>0.16580367010147162</v>
      </c>
      <c r="Z7" s="32">
        <f t="shared" ref="Z7:Z15" si="12">F7/F$20</f>
        <v>0.13246853454605045</v>
      </c>
      <c r="AB7" s="58">
        <v>45861</v>
      </c>
      <c r="AC7" s="9">
        <v>97</v>
      </c>
    </row>
    <row r="8" spans="1:29" x14ac:dyDescent="0.25">
      <c r="A8" t="s">
        <v>100</v>
      </c>
      <c r="B8" t="s">
        <v>30</v>
      </c>
      <c r="C8" s="25" t="s">
        <v>101</v>
      </c>
      <c r="D8" s="2">
        <f>183.4831+120.5473+115.3915</f>
        <v>419.42189999999999</v>
      </c>
      <c r="E8" s="26">
        <v>137.30000000000001</v>
      </c>
      <c r="F8" s="3">
        <f t="shared" si="0"/>
        <v>57586.626870000007</v>
      </c>
      <c r="G8" s="3">
        <f>22876.67+14197.82+14808.77</f>
        <v>51883.259999999995</v>
      </c>
      <c r="H8" s="4">
        <f t="shared" si="1"/>
        <v>123.70183817297092</v>
      </c>
      <c r="I8" s="3">
        <f t="shared" si="2"/>
        <v>5703.3668700000126</v>
      </c>
      <c r="J8" s="26">
        <f t="shared" si="3"/>
        <v>13.598161827029088</v>
      </c>
      <c r="K8" s="27">
        <v>45782</v>
      </c>
      <c r="L8">
        <f t="shared" si="4"/>
        <v>45</v>
      </c>
      <c r="M8" s="5">
        <f t="shared" si="5"/>
        <v>0.10992691804639904</v>
      </c>
      <c r="N8">
        <v>39</v>
      </c>
      <c r="O8">
        <v>99</v>
      </c>
      <c r="P8" s="64">
        <v>98</v>
      </c>
      <c r="Q8" s="28">
        <v>125.26</v>
      </c>
      <c r="R8" s="29">
        <f t="shared" si="6"/>
        <v>116.49180000000001</v>
      </c>
      <c r="S8" s="29">
        <v>105.32</v>
      </c>
      <c r="T8" s="31">
        <f t="shared" si="7"/>
        <v>156.57500000000002</v>
      </c>
      <c r="U8" s="28">
        <f t="shared" si="8"/>
        <v>187.89000000000001</v>
      </c>
      <c r="V8" s="28">
        <f t="shared" si="9"/>
        <v>250.52</v>
      </c>
      <c r="W8" s="28">
        <f t="shared" si="10"/>
        <v>115.04270950086295</v>
      </c>
      <c r="X8" s="29">
        <v>118</v>
      </c>
      <c r="Y8" s="5">
        <f t="shared" si="11"/>
        <v>-4.609339891132503E-2</v>
      </c>
      <c r="Z8" s="6">
        <f t="shared" si="12"/>
        <v>0.11739269038006614</v>
      </c>
      <c r="AB8" s="58">
        <v>45880</v>
      </c>
      <c r="AC8" s="9">
        <v>99</v>
      </c>
    </row>
    <row r="9" spans="1:29" x14ac:dyDescent="0.25">
      <c r="A9" t="s">
        <v>111</v>
      </c>
      <c r="B9" t="s">
        <v>30</v>
      </c>
      <c r="C9" s="25" t="s">
        <v>112</v>
      </c>
      <c r="D9" s="2">
        <f>362.8226+163.9908</f>
        <v>526.8134</v>
      </c>
      <c r="E9" s="26">
        <v>102.09</v>
      </c>
      <c r="F9" s="3">
        <f t="shared" si="0"/>
        <v>53782.380005999999</v>
      </c>
      <c r="G9" s="3">
        <f>26856.13+12527.28</f>
        <v>39383.410000000003</v>
      </c>
      <c r="H9" s="4">
        <f t="shared" si="1"/>
        <v>74.757798491837917</v>
      </c>
      <c r="I9" s="3">
        <f t="shared" si="2"/>
        <v>14398.970005999996</v>
      </c>
      <c r="J9" s="26">
        <f t="shared" si="3"/>
        <v>27.332201508162086</v>
      </c>
      <c r="K9" s="27">
        <v>45789</v>
      </c>
      <c r="L9">
        <f t="shared" si="4"/>
        <v>38</v>
      </c>
      <c r="M9" s="5">
        <f t="shared" si="5"/>
        <v>0.36561003747517024</v>
      </c>
      <c r="N9">
        <v>16</v>
      </c>
      <c r="O9">
        <v>98</v>
      </c>
      <c r="P9" s="63">
        <v>40</v>
      </c>
      <c r="Q9" s="28">
        <v>74.239999999999995</v>
      </c>
      <c r="R9" s="29">
        <f t="shared" si="6"/>
        <v>69.043199999999999</v>
      </c>
      <c r="S9" s="29">
        <v>78.66</v>
      </c>
      <c r="T9" s="28">
        <f t="shared" si="7"/>
        <v>92.8</v>
      </c>
      <c r="U9" s="28">
        <f t="shared" si="8"/>
        <v>111.35999999999999</v>
      </c>
      <c r="V9" s="28">
        <f t="shared" si="9"/>
        <v>148.47999999999999</v>
      </c>
      <c r="W9" s="28">
        <f t="shared" si="10"/>
        <v>69.524752597409261</v>
      </c>
      <c r="X9" s="29">
        <v>92</v>
      </c>
      <c r="Y9" s="5">
        <f t="shared" si="11"/>
        <v>0.23064084090229853</v>
      </c>
      <c r="Z9" s="6">
        <f t="shared" si="12"/>
        <v>0.1096375778043104</v>
      </c>
      <c r="AB9" s="58">
        <v>45875</v>
      </c>
      <c r="AC9" s="9">
        <v>94</v>
      </c>
    </row>
    <row r="10" spans="1:29" x14ac:dyDescent="0.25">
      <c r="A10" t="s">
        <v>113</v>
      </c>
      <c r="B10" t="s">
        <v>30</v>
      </c>
      <c r="C10" s="25" t="s">
        <v>114</v>
      </c>
      <c r="D10" s="2">
        <f>392.3916+221.1479</f>
        <v>613.53949999999998</v>
      </c>
      <c r="E10" s="26">
        <v>83.78</v>
      </c>
      <c r="F10" s="3">
        <f t="shared" si="0"/>
        <v>51402.339309999996</v>
      </c>
      <c r="G10" s="3">
        <f>35895.15+19479.74</f>
        <v>55374.89</v>
      </c>
      <c r="H10" s="4">
        <f t="shared" si="1"/>
        <v>90.254808370121239</v>
      </c>
      <c r="I10" s="3">
        <f t="shared" si="2"/>
        <v>-3972.5506900000037</v>
      </c>
      <c r="J10" s="26">
        <f t="shared" si="3"/>
        <v>-6.474808370121238</v>
      </c>
      <c r="K10" s="27">
        <v>45793</v>
      </c>
      <c r="L10">
        <f t="shared" si="4"/>
        <v>34</v>
      </c>
      <c r="M10" s="5">
        <f t="shared" si="5"/>
        <v>-7.1739206886009238E-2</v>
      </c>
      <c r="N10">
        <v>43</v>
      </c>
      <c r="O10">
        <v>87</v>
      </c>
      <c r="P10" s="63">
        <v>82</v>
      </c>
      <c r="Q10" s="28">
        <v>87</v>
      </c>
      <c r="R10" s="29">
        <f t="shared" si="6"/>
        <v>80.910000000000011</v>
      </c>
      <c r="S10" s="29">
        <v>81.86</v>
      </c>
      <c r="T10" s="28">
        <f t="shared" si="7"/>
        <v>108.75</v>
      </c>
      <c r="U10" s="28">
        <f t="shared" si="8"/>
        <v>130.5</v>
      </c>
      <c r="V10" s="28">
        <f t="shared" si="9"/>
        <v>174</v>
      </c>
      <c r="W10" s="28">
        <f t="shared" si="10"/>
        <v>83.936971784212744</v>
      </c>
      <c r="X10" s="29">
        <v>85</v>
      </c>
      <c r="Y10" s="5">
        <f t="shared" si="11"/>
        <v>-5.8221921524358781E-2</v>
      </c>
      <c r="Z10" s="32">
        <f t="shared" si="12"/>
        <v>0.10478576765838502</v>
      </c>
      <c r="AB10" s="58">
        <v>45874</v>
      </c>
      <c r="AC10" s="9">
        <v>93</v>
      </c>
    </row>
    <row r="11" spans="1:29" x14ac:dyDescent="0.25">
      <c r="A11" t="s">
        <v>116</v>
      </c>
      <c r="B11" t="s">
        <v>30</v>
      </c>
      <c r="C11" s="25" t="s">
        <v>117</v>
      </c>
      <c r="D11" s="2">
        <v>570.81209999999999</v>
      </c>
      <c r="E11" s="26">
        <v>78.5</v>
      </c>
      <c r="F11" s="3">
        <f t="shared" si="0"/>
        <v>44808.74985</v>
      </c>
      <c r="G11" s="3">
        <v>36072.47</v>
      </c>
      <c r="H11" s="4">
        <f t="shared" si="1"/>
        <v>63.194998844628557</v>
      </c>
      <c r="I11" s="3">
        <f t="shared" si="2"/>
        <v>8736.279849999999</v>
      </c>
      <c r="J11" s="26">
        <f t="shared" si="3"/>
        <v>15.305001155371443</v>
      </c>
      <c r="K11" s="27">
        <v>45796</v>
      </c>
      <c r="L11">
        <f t="shared" si="4"/>
        <v>31</v>
      </c>
      <c r="M11" s="5">
        <f t="shared" si="5"/>
        <v>0.24218690458402206</v>
      </c>
      <c r="N11">
        <v>28</v>
      </c>
      <c r="O11">
        <v>99</v>
      </c>
      <c r="P11" s="63">
        <v>81</v>
      </c>
      <c r="Q11" s="28">
        <v>63.78</v>
      </c>
      <c r="R11" s="29">
        <f t="shared" si="6"/>
        <v>59.315400000000004</v>
      </c>
      <c r="S11" s="29">
        <v>62.92</v>
      </c>
      <c r="T11" s="31">
        <f t="shared" si="7"/>
        <v>79.724999999999994</v>
      </c>
      <c r="U11" s="28">
        <f t="shared" si="8"/>
        <v>95.67</v>
      </c>
      <c r="V11" s="28">
        <f t="shared" si="9"/>
        <v>127.56</v>
      </c>
      <c r="W11" s="28">
        <f t="shared" si="10"/>
        <v>58.771348925504554</v>
      </c>
      <c r="X11" s="29">
        <v>65</v>
      </c>
      <c r="Y11" s="5">
        <f t="shared" si="11"/>
        <v>2.856240506957243E-2</v>
      </c>
      <c r="Z11" s="6">
        <f t="shared" si="12"/>
        <v>9.1344466300025962E-2</v>
      </c>
      <c r="AB11" s="58">
        <v>45868</v>
      </c>
      <c r="AC11" s="9">
        <v>98</v>
      </c>
    </row>
    <row r="12" spans="1:29" x14ac:dyDescent="0.25">
      <c r="A12" t="s">
        <v>118</v>
      </c>
      <c r="B12" t="s">
        <v>30</v>
      </c>
      <c r="C12" s="25" t="s">
        <v>119</v>
      </c>
      <c r="D12" s="2">
        <f>605.0016+550.0434</f>
        <v>1155.0450000000001</v>
      </c>
      <c r="E12" s="26">
        <v>37.200000000000003</v>
      </c>
      <c r="F12" s="3">
        <f t="shared" si="0"/>
        <v>42967.674000000006</v>
      </c>
      <c r="G12" s="3">
        <f>(605.0016*29.7738017)+17708.65</f>
        <v>35721.847666582718</v>
      </c>
      <c r="H12" s="4">
        <f t="shared" si="1"/>
        <v>30.926801697408081</v>
      </c>
      <c r="I12" s="3">
        <f t="shared" si="2"/>
        <v>7245.826333417288</v>
      </c>
      <c r="J12" s="26">
        <f t="shared" si="3"/>
        <v>6.273198302591922</v>
      </c>
      <c r="K12" s="27">
        <v>45800</v>
      </c>
      <c r="L12">
        <f t="shared" si="4"/>
        <v>27</v>
      </c>
      <c r="M12" s="5">
        <f t="shared" si="5"/>
        <v>0.20284018903634862</v>
      </c>
      <c r="N12">
        <v>1</v>
      </c>
      <c r="O12">
        <v>99</v>
      </c>
      <c r="P12" s="63">
        <v>19</v>
      </c>
      <c r="Q12" s="28">
        <v>29.66</v>
      </c>
      <c r="R12" s="29">
        <f t="shared" si="6"/>
        <v>27.5838</v>
      </c>
      <c r="S12" s="29">
        <v>29.66</v>
      </c>
      <c r="T12" s="31">
        <f t="shared" si="7"/>
        <v>37.075000000000003</v>
      </c>
      <c r="U12" s="28">
        <f t="shared" si="8"/>
        <v>44.49</v>
      </c>
      <c r="V12" s="28">
        <f t="shared" si="9"/>
        <v>59.32</v>
      </c>
      <c r="W12" s="28">
        <f t="shared" si="10"/>
        <v>28.761925578589516</v>
      </c>
      <c r="X12" s="29">
        <v>32</v>
      </c>
      <c r="Y12" s="5">
        <f t="shared" si="11"/>
        <v>3.4701237880729902E-2</v>
      </c>
      <c r="Z12" s="6">
        <f t="shared" si="12"/>
        <v>8.7591358000886119E-2</v>
      </c>
      <c r="AB12" s="58">
        <v>45875</v>
      </c>
      <c r="AC12" s="9">
        <v>89</v>
      </c>
    </row>
    <row r="13" spans="1:29" x14ac:dyDescent="0.25">
      <c r="A13" t="s">
        <v>121</v>
      </c>
      <c r="B13" t="s">
        <v>30</v>
      </c>
      <c r="C13" s="25" t="s">
        <v>122</v>
      </c>
      <c r="D13" s="2">
        <v>1070.2094</v>
      </c>
      <c r="E13" s="26">
        <v>25.62</v>
      </c>
      <c r="F13" s="3">
        <f t="shared" si="0"/>
        <v>27418.764827999999</v>
      </c>
      <c r="G13" s="3">
        <f>1070.2094*17.5871838</f>
        <v>18821.969422287719</v>
      </c>
      <c r="H13" s="4">
        <f t="shared" si="1"/>
        <v>17.587183799999998</v>
      </c>
      <c r="I13" s="3">
        <f t="shared" si="2"/>
        <v>8596.7954057122806</v>
      </c>
      <c r="J13" s="26">
        <f t="shared" si="3"/>
        <v>8.0328162000000027</v>
      </c>
      <c r="K13" s="27">
        <v>45814</v>
      </c>
      <c r="L13">
        <f t="shared" si="4"/>
        <v>14</v>
      </c>
      <c r="M13" s="5">
        <f t="shared" si="5"/>
        <v>0.45674260821678575</v>
      </c>
      <c r="N13">
        <v>11</v>
      </c>
      <c r="O13">
        <v>98</v>
      </c>
      <c r="P13" s="63">
        <v>80</v>
      </c>
      <c r="Q13" s="28">
        <v>16.399999999999999</v>
      </c>
      <c r="R13" s="29">
        <f t="shared" si="6"/>
        <v>15.251999999999999</v>
      </c>
      <c r="S13" s="29">
        <v>11.01</v>
      </c>
      <c r="T13" s="28">
        <f t="shared" si="7"/>
        <v>20.5</v>
      </c>
      <c r="U13" s="28">
        <f t="shared" si="8"/>
        <v>24.599999999999998</v>
      </c>
      <c r="V13" s="28">
        <f t="shared" si="9"/>
        <v>32.799999999999997</v>
      </c>
      <c r="W13" s="28">
        <f t="shared" si="10"/>
        <v>16.356080933999998</v>
      </c>
      <c r="X13" s="29">
        <v>20.5</v>
      </c>
      <c r="Y13" s="5">
        <f t="shared" si="11"/>
        <v>0.16562152491975446</v>
      </c>
      <c r="Z13" s="6">
        <f t="shared" si="12"/>
        <v>5.5894271726029489E-2</v>
      </c>
      <c r="AB13" s="58">
        <v>45887</v>
      </c>
      <c r="AC13" s="9">
        <v>98</v>
      </c>
    </row>
    <row r="14" spans="1:29" x14ac:dyDescent="0.25">
      <c r="A14" t="s">
        <v>124</v>
      </c>
      <c r="B14" t="s">
        <v>30</v>
      </c>
      <c r="C14" s="25" t="s">
        <v>125</v>
      </c>
      <c r="D14" s="2">
        <v>915.35900000000004</v>
      </c>
      <c r="E14" s="26">
        <v>30.04</v>
      </c>
      <c r="F14" s="3">
        <f t="shared" si="0"/>
        <v>27497.38436</v>
      </c>
      <c r="G14" s="3">
        <f>915.359*31.2780008</f>
        <v>28630.599534287201</v>
      </c>
      <c r="H14" s="4">
        <f t="shared" si="1"/>
        <v>31.278000800000001</v>
      </c>
      <c r="I14" s="3">
        <f t="shared" si="2"/>
        <v>-1133.2151742872011</v>
      </c>
      <c r="J14" s="26">
        <f t="shared" si="3"/>
        <v>-1.2380008000000018</v>
      </c>
      <c r="K14" s="27">
        <v>45817</v>
      </c>
      <c r="L14">
        <f t="shared" si="4"/>
        <v>11</v>
      </c>
      <c r="M14" s="5">
        <f t="shared" si="5"/>
        <v>-3.9580560404615155E-2</v>
      </c>
      <c r="N14">
        <v>7</v>
      </c>
      <c r="O14">
        <v>99</v>
      </c>
      <c r="P14" s="63">
        <v>15</v>
      </c>
      <c r="Q14" s="28">
        <v>30.78</v>
      </c>
      <c r="R14" s="29">
        <f t="shared" si="6"/>
        <v>28.625400000000003</v>
      </c>
      <c r="S14" s="29">
        <v>26.45</v>
      </c>
      <c r="T14" s="28">
        <f t="shared" si="7"/>
        <v>38.475000000000001</v>
      </c>
      <c r="U14" s="28">
        <f t="shared" si="8"/>
        <v>46.17</v>
      </c>
      <c r="V14" s="28">
        <f t="shared" si="9"/>
        <v>61.56</v>
      </c>
      <c r="W14" s="28">
        <f t="shared" si="10"/>
        <v>29.088540743999999</v>
      </c>
      <c r="X14" s="29">
        <v>29</v>
      </c>
      <c r="Y14" s="5">
        <f t="shared" si="11"/>
        <v>-7.2830767367970686E-2</v>
      </c>
      <c r="Z14" s="6">
        <f t="shared" si="12"/>
        <v>5.6054540852379549E-2</v>
      </c>
      <c r="AB14" s="58">
        <v>45876</v>
      </c>
      <c r="AC14" s="9">
        <v>85</v>
      </c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45170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31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ref="F16:F17" si="13">E16*D16</f>
        <v>0</v>
      </c>
      <c r="G16" s="3"/>
      <c r="H16" s="4" t="e">
        <f t="shared" ref="H16:H17" si="14">G16/D16</f>
        <v>#DIV/0!</v>
      </c>
      <c r="I16" s="3">
        <f t="shared" ref="I16:I17" si="15">F16-G16</f>
        <v>0</v>
      </c>
      <c r="J16" s="26" t="e">
        <f t="shared" ref="J16:J17" si="16">E16-H16</f>
        <v>#DIV/0!</v>
      </c>
      <c r="K16" s="27"/>
      <c r="L16">
        <f t="shared" ref="L16:L17" si="17">DAYS360(K16,$C$1)</f>
        <v>45170</v>
      </c>
      <c r="M16" s="5" t="e">
        <f t="shared" ref="M16:M17" si="18">(I16/G16)</f>
        <v>#DIV/0!</v>
      </c>
      <c r="P16" s="63"/>
      <c r="Q16" s="28"/>
      <c r="R16" s="29">
        <f t="shared" ref="R16:R17" si="19">Q16*0.93</f>
        <v>0</v>
      </c>
      <c r="S16" s="29"/>
      <c r="T16" s="28">
        <f t="shared" ref="T16:T17" si="20">Q16*1.25</f>
        <v>0</v>
      </c>
      <c r="U16" s="28">
        <f t="shared" ref="U16:U17" si="21">Q16*1.5</f>
        <v>0</v>
      </c>
      <c r="V16" s="28">
        <f t="shared" ref="V16:V17" si="22">Q16*2</f>
        <v>0</v>
      </c>
      <c r="W16" s="28" t="e">
        <f t="shared" ref="W16:W17" si="23">H16-(H16*0.07)</f>
        <v>#DIV/0!</v>
      </c>
      <c r="X16" s="29"/>
      <c r="Y16" s="5" t="e">
        <f t="shared" ref="Y16:Y17" si="24">(X16-H16)/H16</f>
        <v>#DIV/0!</v>
      </c>
      <c r="Z16" s="32">
        <f t="shared" ref="Z16:Z17" si="25">F16/F$20</f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3"/>
        <v>0</v>
      </c>
      <c r="G17" s="39"/>
      <c r="H17" s="40" t="e">
        <f t="shared" si="14"/>
        <v>#DIV/0!</v>
      </c>
      <c r="I17" s="39">
        <f t="shared" si="15"/>
        <v>0</v>
      </c>
      <c r="J17" s="38" t="e">
        <f t="shared" si="16"/>
        <v>#DIV/0!</v>
      </c>
      <c r="K17" s="41"/>
      <c r="L17" s="35">
        <f t="shared" si="17"/>
        <v>45170</v>
      </c>
      <c r="M17" s="42" t="e">
        <f t="shared" si="18"/>
        <v>#DIV/0!</v>
      </c>
      <c r="N17" s="35"/>
      <c r="O17" s="35"/>
      <c r="P17" s="65"/>
      <c r="Q17" s="44"/>
      <c r="R17" s="45">
        <f t="shared" si="19"/>
        <v>0</v>
      </c>
      <c r="S17" s="45"/>
      <c r="T17" s="46">
        <f t="shared" si="20"/>
        <v>0</v>
      </c>
      <c r="U17" s="44">
        <f t="shared" si="21"/>
        <v>0</v>
      </c>
      <c r="V17" s="44">
        <f t="shared" si="22"/>
        <v>0</v>
      </c>
      <c r="W17" s="44" t="e">
        <f t="shared" si="23"/>
        <v>#DIV/0!</v>
      </c>
      <c r="X17" s="45"/>
      <c r="Y17" s="42" t="e">
        <f t="shared" si="24"/>
        <v>#DIV/0!</v>
      </c>
      <c r="Z17" s="47">
        <f t="shared" si="25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370445.95555200003</v>
      </c>
      <c r="G18" s="3">
        <f>SUM(G6:G17)</f>
        <v>316253.2666231576</v>
      </c>
      <c r="H18" s="4"/>
      <c r="I18" s="3">
        <f>SUM(I6:I17)</f>
        <v>54192.688928842363</v>
      </c>
      <c r="M18" s="5"/>
      <c r="Z18" s="6"/>
    </row>
    <row r="19" spans="1:29" x14ac:dyDescent="0.25">
      <c r="D19" s="2" t="s">
        <v>44</v>
      </c>
      <c r="F19" s="3">
        <v>120101</v>
      </c>
      <c r="G19" s="6">
        <f>F19/F20</f>
        <v>0.24483079273186681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490546.95555200003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'06-13-25'!F20</f>
        <v>474564.27385599999</v>
      </c>
      <c r="K21" s="1">
        <v>45657</v>
      </c>
      <c r="L21" s="50">
        <v>170762</v>
      </c>
      <c r="M21" s="50">
        <v>169849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3.36786449728615E-2</v>
      </c>
      <c r="K22" s="9" t="s">
        <v>123</v>
      </c>
      <c r="L22" s="6">
        <f>(M21-L21)/L21</f>
        <v>-5.346622784928731E-3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26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26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27">F28/D28</f>
        <v>44.698790833464948</v>
      </c>
      <c r="F28" s="3">
        <v>56489.42</v>
      </c>
      <c r="G28" s="56">
        <v>75501.87</v>
      </c>
      <c r="H28" s="57">
        <f t="shared" ref="H28:H46" si="28">G28/D28</f>
        <v>59.742909285764696</v>
      </c>
      <c r="I28" s="57">
        <f t="shared" ref="I28:I46" si="29">G28-F28</f>
        <v>19012.449999999997</v>
      </c>
      <c r="J28" s="6">
        <f t="shared" ref="J28:J46" si="30">I28/F28</f>
        <v>0.33656656414599401</v>
      </c>
      <c r="K28" s="1">
        <v>45527</v>
      </c>
      <c r="L28" s="1">
        <v>45688</v>
      </c>
      <c r="M28">
        <f t="shared" si="26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27"/>
        <v>169.90901206845703</v>
      </c>
      <c r="F29" s="3">
        <f>59492.79+21969.78</f>
        <v>81462.570000000007</v>
      </c>
      <c r="G29" s="56">
        <v>65047.58</v>
      </c>
      <c r="H29" s="57">
        <f t="shared" si="28"/>
        <v>135.67175765807443</v>
      </c>
      <c r="I29" s="57">
        <f t="shared" si="29"/>
        <v>-16414.990000000005</v>
      </c>
      <c r="J29" s="6">
        <f t="shared" si="30"/>
        <v>-0.20150346349249729</v>
      </c>
      <c r="K29" s="1">
        <v>45671</v>
      </c>
      <c r="L29" s="1">
        <v>45688</v>
      </c>
      <c r="M29">
        <f t="shared" si="26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27"/>
        <v>18.702010092477405</v>
      </c>
      <c r="F30" s="3">
        <v>56486.59</v>
      </c>
      <c r="G30" s="56">
        <v>71124.88</v>
      </c>
      <c r="H30" s="57">
        <f t="shared" si="28"/>
        <v>23.548566546258936</v>
      </c>
      <c r="I30" s="57">
        <f t="shared" si="29"/>
        <v>14638.290000000008</v>
      </c>
      <c r="J30" s="6">
        <f t="shared" si="30"/>
        <v>0.25914628587068206</v>
      </c>
      <c r="K30" s="1">
        <v>45527</v>
      </c>
      <c r="L30" s="1">
        <v>45691</v>
      </c>
      <c r="M30">
        <f t="shared" si="26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27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28"/>
        <v>38.249853000000002</v>
      </c>
      <c r="I31" s="57">
        <f t="shared" si="29"/>
        <v>-6110.386336591735</v>
      </c>
      <c r="J31" s="6">
        <f t="shared" si="30"/>
        <v>-0.10005621882176895</v>
      </c>
      <c r="K31" s="1">
        <v>45706</v>
      </c>
      <c r="L31" s="1">
        <v>45708</v>
      </c>
      <c r="M31">
        <f t="shared" si="26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27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28"/>
        <v>531.63995279999995</v>
      </c>
      <c r="I32" s="57">
        <f t="shared" si="29"/>
        <v>-22176.243614196137</v>
      </c>
      <c r="J32" s="6">
        <f t="shared" si="30"/>
        <v>-0.24194911929355969</v>
      </c>
      <c r="K32" s="1">
        <v>45706</v>
      </c>
      <c r="L32" s="1">
        <v>45708</v>
      </c>
      <c r="M32">
        <f t="shared" si="26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27"/>
        <v>368.56522253629635</v>
      </c>
      <c r="F33" s="3">
        <v>74438.86</v>
      </c>
      <c r="G33" s="56">
        <f>201.9693*360.5332483</f>
        <v>72816.647785877198</v>
      </c>
      <c r="H33" s="57">
        <f t="shared" si="28"/>
        <v>360.53324830000003</v>
      </c>
      <c r="I33" s="57">
        <f t="shared" si="29"/>
        <v>-1622.2122141228028</v>
      </c>
      <c r="J33" s="6">
        <f t="shared" si="30"/>
        <v>-2.1792545105107773E-2</v>
      </c>
      <c r="K33" s="1">
        <v>45664</v>
      </c>
      <c r="L33" s="1">
        <v>45708</v>
      </c>
      <c r="M33">
        <f t="shared" si="26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27"/>
        <v>30.17825528482809</v>
      </c>
      <c r="F34" s="3">
        <v>37884.65</v>
      </c>
      <c r="G34" s="56">
        <f>1255.3625*39.762296</f>
        <v>49916.0953123</v>
      </c>
      <c r="H34" s="57">
        <f t="shared" si="28"/>
        <v>39.762295999999999</v>
      </c>
      <c r="I34" s="57">
        <f t="shared" si="29"/>
        <v>12031.445312299998</v>
      </c>
      <c r="J34" s="6">
        <f t="shared" si="30"/>
        <v>0.31758100740801348</v>
      </c>
      <c r="K34" s="1">
        <v>45663</v>
      </c>
      <c r="L34" s="1">
        <v>45709</v>
      </c>
      <c r="M34">
        <f t="shared" si="26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27"/>
        <v>242.26930551548847</v>
      </c>
      <c r="F35" s="3">
        <v>61221.72</v>
      </c>
      <c r="G35" s="56">
        <f>252.7011*226.6146532</f>
        <v>57265.772139758519</v>
      </c>
      <c r="H35" s="57">
        <f t="shared" si="28"/>
        <v>226.61465319999999</v>
      </c>
      <c r="I35" s="57">
        <f t="shared" si="29"/>
        <v>-3955.947860241482</v>
      </c>
      <c r="J35" s="6">
        <f t="shared" si="30"/>
        <v>-6.4616738311852093E-2</v>
      </c>
      <c r="K35" s="1">
        <v>45699</v>
      </c>
      <c r="L35" s="1">
        <v>45709</v>
      </c>
      <c r="M35">
        <f t="shared" si="26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27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28"/>
        <v>283.93999450000007</v>
      </c>
      <c r="I36" s="57">
        <f t="shared" si="29"/>
        <v>19563.525282954361</v>
      </c>
      <c r="J36" s="6">
        <f t="shared" si="30"/>
        <v>0.36434300703793465</v>
      </c>
      <c r="K36" s="1">
        <v>45580</v>
      </c>
      <c r="L36" s="1">
        <v>45712</v>
      </c>
      <c r="M36">
        <f t="shared" si="26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27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28"/>
        <v>63.365330900000004</v>
      </c>
      <c r="I37" s="57">
        <f t="shared" si="29"/>
        <v>-4549.5912833559851</v>
      </c>
      <c r="J37" s="6">
        <f t="shared" si="30"/>
        <v>-5.9638082078758516E-2</v>
      </c>
      <c r="K37" s="1">
        <v>45673</v>
      </c>
      <c r="L37" s="1">
        <v>45712</v>
      </c>
      <c r="M37">
        <f t="shared" si="26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28"/>
        <v>50.021380499999999</v>
      </c>
      <c r="I38" s="57">
        <f t="shared" si="29"/>
        <v>6027.2875116823998</v>
      </c>
      <c r="J38" s="6">
        <f t="shared" si="30"/>
        <v>9.9771440635884723E-2</v>
      </c>
      <c r="K38" s="1">
        <v>45593</v>
      </c>
      <c r="L38" s="1">
        <v>45713</v>
      </c>
      <c r="M38">
        <f t="shared" si="26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28"/>
        <v>12.519992000000002</v>
      </c>
      <c r="I39" s="57">
        <f t="shared" si="29"/>
        <v>-2230.6527810991975</v>
      </c>
      <c r="J39" s="6">
        <f t="shared" si="30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28"/>
        <v>94.679995300000002</v>
      </c>
      <c r="I40" s="57">
        <f t="shared" si="29"/>
        <v>-4750.690604140058</v>
      </c>
      <c r="J40" s="6">
        <f t="shared" si="30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47" si="31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28"/>
        <v>18.9477051</v>
      </c>
      <c r="I41" s="57">
        <f t="shared" si="29"/>
        <v>-2244.5195874142191</v>
      </c>
      <c r="J41" s="6">
        <f t="shared" si="30"/>
        <v>-8.2776138273503941E-2</v>
      </c>
      <c r="K41" s="1">
        <v>45761</v>
      </c>
      <c r="L41" s="1">
        <v>45768</v>
      </c>
      <c r="M41">
        <f t="shared" ref="M41:M47" si="32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31"/>
        <v>96.336406065231671</v>
      </c>
      <c r="F42" s="3">
        <v>34004.42</v>
      </c>
      <c r="G42" s="56">
        <f>352.9758*89.7849585</f>
        <v>31691.9175545043</v>
      </c>
      <c r="H42" s="57">
        <f t="shared" si="28"/>
        <v>89.784958500000002</v>
      </c>
      <c r="I42" s="57">
        <f t="shared" si="29"/>
        <v>-2312.5024454956983</v>
      </c>
      <c r="J42" s="6">
        <f t="shared" si="30"/>
        <v>-6.8005937036882222E-2</v>
      </c>
      <c r="K42" s="1">
        <v>45762</v>
      </c>
      <c r="L42" s="1">
        <v>45768</v>
      </c>
      <c r="M42">
        <f t="shared" si="32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31"/>
        <v>16.992624876012847</v>
      </c>
      <c r="F43" s="3">
        <v>37971.83</v>
      </c>
      <c r="G43" s="56">
        <f>2234.6065*13.3067232</f>
        <v>29735.2901564208</v>
      </c>
      <c r="H43" s="57">
        <f t="shared" si="28"/>
        <v>13.3067232</v>
      </c>
      <c r="I43" s="57">
        <f t="shared" si="29"/>
        <v>-8236.5398435792013</v>
      </c>
      <c r="J43" s="6">
        <f t="shared" si="30"/>
        <v>-0.21691184869360261</v>
      </c>
      <c r="K43" s="1">
        <v>45652</v>
      </c>
      <c r="L43" s="1">
        <v>45785</v>
      </c>
      <c r="M43">
        <f t="shared" si="32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31"/>
        <v>38.101812248436303</v>
      </c>
      <c r="F44" s="3">
        <v>21940.86</v>
      </c>
      <c r="G44" s="56">
        <f>575.8482*32.7857042</f>
        <v>18879.588749302438</v>
      </c>
      <c r="H44" s="57">
        <f t="shared" si="28"/>
        <v>32.785704199999998</v>
      </c>
      <c r="I44" s="57">
        <f t="shared" si="29"/>
        <v>-3061.2712506975622</v>
      </c>
      <c r="J44" s="6">
        <f t="shared" si="30"/>
        <v>-0.13952375844417958</v>
      </c>
      <c r="K44" s="1">
        <v>45761</v>
      </c>
      <c r="L44" s="1">
        <v>45790</v>
      </c>
      <c r="M44">
        <f t="shared" si="32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31"/>
        <v>24.570291674143743</v>
      </c>
      <c r="F45" s="3">
        <v>23591.34</v>
      </c>
      <c r="G45" s="56">
        <v>19396.37</v>
      </c>
      <c r="H45" s="57">
        <f t="shared" si="28"/>
        <v>20.201246233559068</v>
      </c>
      <c r="I45" s="57">
        <f t="shared" si="29"/>
        <v>-4194.9700000000012</v>
      </c>
      <c r="J45" s="6">
        <f t="shared" si="30"/>
        <v>-0.17781821634548953</v>
      </c>
      <c r="K45" s="1">
        <v>45776</v>
      </c>
      <c r="L45" s="1">
        <v>45812</v>
      </c>
      <c r="M45">
        <f t="shared" si="32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31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28"/>
        <v>84.038907800000004</v>
      </c>
      <c r="I46" s="57">
        <f t="shared" si="29"/>
        <v>-3907.8121523372101</v>
      </c>
      <c r="J46" s="6">
        <f t="shared" si="30"/>
        <v>-0.14246372001691271</v>
      </c>
      <c r="K46" s="1">
        <v>45782</v>
      </c>
      <c r="L46" s="1">
        <v>45818</v>
      </c>
      <c r="M46">
        <f t="shared" si="32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31"/>
        <v>40.437100849618155</v>
      </c>
      <c r="F47" s="3">
        <f>22877.09+14244.67</f>
        <v>37121.760000000002</v>
      </c>
      <c r="G47" s="56">
        <v>34659.56</v>
      </c>
      <c r="H47" s="57">
        <f t="shared" ref="H47" si="33">G47/D47</f>
        <v>37.755002002151599</v>
      </c>
      <c r="I47" s="57">
        <f t="shared" ref="I47" si="34">G47-F47</f>
        <v>-2462.2000000000044</v>
      </c>
      <c r="J47" s="6">
        <f t="shared" ref="J47" si="35">I47/F47</f>
        <v>-6.6327674118899643E-2</v>
      </c>
      <c r="K47" s="1">
        <v>45782</v>
      </c>
      <c r="L47" s="1">
        <v>45828</v>
      </c>
      <c r="M47">
        <f t="shared" si="32"/>
        <v>45</v>
      </c>
    </row>
    <row r="48" spans="1:19" x14ac:dyDescent="0.25">
      <c r="C48" s="25"/>
      <c r="D48" s="2"/>
      <c r="E48" s="57"/>
      <c r="F48" s="3"/>
      <c r="G48" s="56"/>
      <c r="H48" s="57"/>
      <c r="I48" s="57"/>
      <c r="J48" s="6"/>
      <c r="K48" s="1"/>
      <c r="L48" s="1"/>
    </row>
    <row r="49" spans="3:12" x14ac:dyDescent="0.25">
      <c r="C49" s="25"/>
      <c r="D49" s="2"/>
      <c r="E49" s="57"/>
      <c r="F49" s="3"/>
      <c r="G49" s="56"/>
      <c r="H49" s="57"/>
      <c r="I49" s="57"/>
      <c r="J49" s="6"/>
      <c r="K49" s="1"/>
      <c r="L49" s="1"/>
    </row>
    <row r="50" spans="3:12" x14ac:dyDescent="0.25">
      <c r="C50" s="25"/>
      <c r="D50" s="2"/>
      <c r="E50" s="57"/>
      <c r="F50" s="3"/>
      <c r="G50" s="56"/>
      <c r="H50" s="57"/>
      <c r="I50" s="57"/>
      <c r="J50" s="6"/>
      <c r="K50" s="1"/>
      <c r="L50" s="1"/>
    </row>
    <row r="51" spans="3:12" x14ac:dyDescent="0.25">
      <c r="F51" s="56"/>
      <c r="G51" s="56"/>
      <c r="H51" s="3"/>
      <c r="I51" s="3">
        <f>SUM(I26:I50)</f>
        <v>-24721.551866334532</v>
      </c>
      <c r="J51" s="13" t="s">
        <v>66</v>
      </c>
    </row>
    <row r="52" spans="3:12" x14ac:dyDescent="0.25">
      <c r="F52" s="56"/>
      <c r="G52" s="56"/>
      <c r="H52" s="3" t="s">
        <v>67</v>
      </c>
      <c r="I52" s="59">
        <v>17</v>
      </c>
      <c r="J52" s="5">
        <v>-0.1106</v>
      </c>
    </row>
    <row r="53" spans="3:12" x14ac:dyDescent="0.25">
      <c r="F53" s="56"/>
      <c r="G53" s="56"/>
      <c r="H53" s="3" t="s">
        <v>68</v>
      </c>
      <c r="I53" s="59">
        <v>5</v>
      </c>
      <c r="J53" s="5">
        <v>0.27560000000000001</v>
      </c>
    </row>
    <row r="54" spans="3:12" x14ac:dyDescent="0.25">
      <c r="F54" s="56"/>
      <c r="G54" s="56"/>
      <c r="J54" s="6"/>
    </row>
    <row r="55" spans="3:12" x14ac:dyDescent="0.25">
      <c r="F55" s="56"/>
      <c r="G55" s="56"/>
      <c r="J55" s="6"/>
    </row>
    <row r="56" spans="3:12" x14ac:dyDescent="0.25">
      <c r="F56" s="56"/>
      <c r="G56" s="56"/>
      <c r="J56" s="6"/>
    </row>
    <row r="57" spans="3:12" x14ac:dyDescent="0.25">
      <c r="F57" s="56"/>
      <c r="G57" s="56"/>
      <c r="J57" s="6"/>
    </row>
    <row r="58" spans="3:12" x14ac:dyDescent="0.25">
      <c r="F58" s="56"/>
      <c r="G58" s="56"/>
      <c r="J58" s="6"/>
    </row>
    <row r="59" spans="3:12" x14ac:dyDescent="0.25">
      <c r="F59" s="56"/>
      <c r="G59" s="56"/>
      <c r="J59" s="6"/>
    </row>
    <row r="60" spans="3:12" x14ac:dyDescent="0.25">
      <c r="F60" s="56"/>
      <c r="G60" s="56"/>
      <c r="J60" s="6"/>
    </row>
    <row r="61" spans="3:12" x14ac:dyDescent="0.25">
      <c r="F61" s="56"/>
      <c r="G61" s="56"/>
      <c r="J61" s="6"/>
    </row>
    <row r="62" spans="3:12" x14ac:dyDescent="0.25">
      <c r="F62" s="56"/>
      <c r="G62" s="56"/>
      <c r="J62" s="6"/>
    </row>
    <row r="63" spans="3:12" x14ac:dyDescent="0.25">
      <c r="F63" s="56"/>
      <c r="G63" s="56"/>
      <c r="J63" s="6"/>
    </row>
    <row r="64" spans="3:12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</row>
    <row r="78" spans="6:10" x14ac:dyDescent="0.25">
      <c r="F78" s="56"/>
      <c r="G78" s="56"/>
    </row>
    <row r="79" spans="6:10" x14ac:dyDescent="0.25">
      <c r="F79" s="56"/>
      <c r="G79" s="56"/>
    </row>
    <row r="80" spans="6:10" x14ac:dyDescent="0.25">
      <c r="F80" s="56"/>
      <c r="G80" s="56"/>
    </row>
    <row r="81" spans="6:7" x14ac:dyDescent="0.25">
      <c r="F81" s="56"/>
      <c r="G81" s="56"/>
    </row>
    <row r="82" spans="6:7" x14ac:dyDescent="0.25">
      <c r="F82" s="56"/>
      <c r="G82" s="56"/>
    </row>
  </sheetData>
  <sortState xmlns:xlrd2="http://schemas.microsoft.com/office/spreadsheetml/2017/richdata2" ref="A7:AC14">
    <sortCondition descending="1" ref="L7:L14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EC73-2183-45F2-A3B9-15C1F19C9D18}">
  <dimension ref="A1:AC82"/>
  <sheetViews>
    <sheetView workbookViewId="0">
      <selection activeCell="M21" sqref="M21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8.57031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45835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71</v>
      </c>
      <c r="B7" t="s">
        <v>30</v>
      </c>
      <c r="C7" t="s">
        <v>72</v>
      </c>
      <c r="D7" s="2">
        <f>98.1877+35.2566</f>
        <v>133.4443</v>
      </c>
      <c r="E7" s="26">
        <v>519.66</v>
      </c>
      <c r="F7" s="3">
        <f t="shared" ref="F7:F17" si="0">E7*D7</f>
        <v>69345.664938000002</v>
      </c>
      <c r="G7" s="3">
        <f>34962.9+15401.92</f>
        <v>50364.82</v>
      </c>
      <c r="H7" s="4">
        <f t="shared" ref="H7:H17" si="1">G7/D7</f>
        <v>377.42204050678822</v>
      </c>
      <c r="I7" s="3">
        <f t="shared" ref="I7:I17" si="2">F7-G7</f>
        <v>18980.844938000002</v>
      </c>
      <c r="J7" s="26">
        <f t="shared" ref="J7:J17" si="3">E7-H7</f>
        <v>142.23795949321175</v>
      </c>
      <c r="K7" s="27">
        <v>45771</v>
      </c>
      <c r="L7">
        <f t="shared" ref="L7:L17" si="4">DAYS360(K7,$C$1)</f>
        <v>63</v>
      </c>
      <c r="M7" s="5">
        <f t="shared" ref="M7:M17" si="5">(I7/G7)</f>
        <v>0.37686712546575174</v>
      </c>
      <c r="N7">
        <v>1</v>
      </c>
      <c r="O7">
        <v>97</v>
      </c>
      <c r="P7" s="33">
        <v>81</v>
      </c>
      <c r="Q7" s="28">
        <v>444</v>
      </c>
      <c r="R7" s="29">
        <f t="shared" ref="R7:R17" si="6">Q7*0.93</f>
        <v>412.92</v>
      </c>
      <c r="S7" s="29">
        <v>462</v>
      </c>
      <c r="T7" s="28">
        <f t="shared" ref="T7:T17" si="7">Q7*1.25</f>
        <v>555</v>
      </c>
      <c r="U7" s="28">
        <f t="shared" ref="U7:U17" si="8">Q7*1.5</f>
        <v>666</v>
      </c>
      <c r="V7" s="28">
        <f t="shared" ref="V7:V17" si="9">Q7*2</f>
        <v>888</v>
      </c>
      <c r="W7" s="28">
        <f t="shared" ref="W7:W17" si="10">H7-(H7*0.07)</f>
        <v>351.00249767131305</v>
      </c>
      <c r="X7" s="29">
        <v>450</v>
      </c>
      <c r="Y7" s="5">
        <f t="shared" ref="Y7:Y17" si="11">(X7-H7)/H7</f>
        <v>0.19229920805832326</v>
      </c>
      <c r="Z7" s="32">
        <f t="shared" ref="Z7:Z17" si="12">F7/F$20</f>
        <v>0.13481620376995143</v>
      </c>
      <c r="AB7" s="58">
        <v>45861</v>
      </c>
      <c r="AC7" s="9">
        <v>97</v>
      </c>
    </row>
    <row r="8" spans="1:29" x14ac:dyDescent="0.25">
      <c r="A8" t="s">
        <v>100</v>
      </c>
      <c r="B8" t="s">
        <v>30</v>
      </c>
      <c r="C8" s="25" t="s">
        <v>101</v>
      </c>
      <c r="D8" s="2">
        <f>183.4831+120.5473+115.3915</f>
        <v>419.42189999999999</v>
      </c>
      <c r="E8" s="26">
        <v>130.74</v>
      </c>
      <c r="F8" s="3">
        <f t="shared" si="0"/>
        <v>54835.219206000002</v>
      </c>
      <c r="G8" s="3">
        <f>22876.67+14197.82+14808.77</f>
        <v>51883.259999999995</v>
      </c>
      <c r="H8" s="4">
        <f t="shared" si="1"/>
        <v>123.70183817297092</v>
      </c>
      <c r="I8" s="3">
        <f t="shared" si="2"/>
        <v>2951.9592060000068</v>
      </c>
      <c r="J8" s="26">
        <f t="shared" si="3"/>
        <v>7.0381618270290858</v>
      </c>
      <c r="K8" s="27">
        <v>45782</v>
      </c>
      <c r="L8">
        <f t="shared" si="4"/>
        <v>52</v>
      </c>
      <c r="M8" s="5">
        <f t="shared" si="5"/>
        <v>5.689617818926581E-2</v>
      </c>
      <c r="N8">
        <v>46</v>
      </c>
      <c r="O8">
        <v>99</v>
      </c>
      <c r="P8" s="64">
        <v>98</v>
      </c>
      <c r="Q8" s="28">
        <v>125.26</v>
      </c>
      <c r="R8" s="29">
        <f t="shared" si="6"/>
        <v>116.49180000000001</v>
      </c>
      <c r="S8" s="29">
        <v>105.32</v>
      </c>
      <c r="T8" s="31">
        <f t="shared" si="7"/>
        <v>156.57500000000002</v>
      </c>
      <c r="U8" s="28">
        <f t="shared" si="8"/>
        <v>187.89000000000001</v>
      </c>
      <c r="V8" s="28">
        <f t="shared" si="9"/>
        <v>250.52</v>
      </c>
      <c r="W8" s="28">
        <f t="shared" si="10"/>
        <v>115.04270950086295</v>
      </c>
      <c r="X8" s="29">
        <v>118</v>
      </c>
      <c r="Y8" s="5">
        <f t="shared" si="11"/>
        <v>-4.609339891132503E-2</v>
      </c>
      <c r="Z8" s="6">
        <f t="shared" si="12"/>
        <v>0.10660617491887393</v>
      </c>
      <c r="AB8" s="58">
        <v>45880</v>
      </c>
      <c r="AC8" s="9">
        <v>99</v>
      </c>
    </row>
    <row r="9" spans="1:29" x14ac:dyDescent="0.25">
      <c r="A9" t="s">
        <v>111</v>
      </c>
      <c r="B9" t="s">
        <v>30</v>
      </c>
      <c r="C9" s="25" t="s">
        <v>112</v>
      </c>
      <c r="D9" s="2">
        <f>362.8226+163.9908</f>
        <v>526.8134</v>
      </c>
      <c r="E9" s="26">
        <v>105.59</v>
      </c>
      <c r="F9" s="3">
        <f t="shared" si="0"/>
        <v>55626.226906000004</v>
      </c>
      <c r="G9" s="3">
        <f>26856.13+12527.28</f>
        <v>39383.410000000003</v>
      </c>
      <c r="H9" s="4">
        <f t="shared" si="1"/>
        <v>74.757798491837917</v>
      </c>
      <c r="I9" s="3">
        <f t="shared" si="2"/>
        <v>16242.816906</v>
      </c>
      <c r="J9" s="26">
        <f t="shared" si="3"/>
        <v>30.832201508162086</v>
      </c>
      <c r="K9" s="27">
        <v>45789</v>
      </c>
      <c r="L9">
        <f t="shared" si="4"/>
        <v>45</v>
      </c>
      <c r="M9" s="5">
        <f t="shared" si="5"/>
        <v>0.41242789555297521</v>
      </c>
      <c r="N9">
        <v>21</v>
      </c>
      <c r="O9">
        <v>98</v>
      </c>
      <c r="P9" s="63">
        <v>40</v>
      </c>
      <c r="Q9" s="28">
        <v>74.239999999999995</v>
      </c>
      <c r="R9" s="29">
        <f t="shared" si="6"/>
        <v>69.043199999999999</v>
      </c>
      <c r="S9" s="29">
        <v>78.66</v>
      </c>
      <c r="T9" s="28">
        <f t="shared" si="7"/>
        <v>92.8</v>
      </c>
      <c r="U9" s="28">
        <f t="shared" si="8"/>
        <v>111.35999999999999</v>
      </c>
      <c r="V9" s="28">
        <f t="shared" si="9"/>
        <v>148.47999999999999</v>
      </c>
      <c r="W9" s="28">
        <f t="shared" si="10"/>
        <v>69.524752597409261</v>
      </c>
      <c r="X9" s="29">
        <v>92</v>
      </c>
      <c r="Y9" s="5">
        <f t="shared" si="11"/>
        <v>0.23064084090229853</v>
      </c>
      <c r="Z9" s="6">
        <f t="shared" si="12"/>
        <v>0.10814398777800716</v>
      </c>
      <c r="AB9" s="58">
        <v>45875</v>
      </c>
      <c r="AC9" s="9">
        <v>92</v>
      </c>
    </row>
    <row r="10" spans="1:29" x14ac:dyDescent="0.25">
      <c r="A10" t="s">
        <v>113</v>
      </c>
      <c r="B10" t="s">
        <v>30</v>
      </c>
      <c r="C10" s="25" t="s">
        <v>114</v>
      </c>
      <c r="D10" s="2">
        <f>392.3916+221.1479</f>
        <v>613.53949999999998</v>
      </c>
      <c r="E10" s="26">
        <v>91.53</v>
      </c>
      <c r="F10" s="3">
        <f t="shared" si="0"/>
        <v>56157.270434999999</v>
      </c>
      <c r="G10" s="3">
        <f>35895.15+19479.74</f>
        <v>55374.89</v>
      </c>
      <c r="H10" s="4">
        <f t="shared" si="1"/>
        <v>90.254808370121239</v>
      </c>
      <c r="I10" s="3">
        <f t="shared" si="2"/>
        <v>782.38043499999912</v>
      </c>
      <c r="J10" s="26">
        <f t="shared" si="3"/>
        <v>1.275191629878762</v>
      </c>
      <c r="K10" s="27">
        <v>45793</v>
      </c>
      <c r="L10">
        <f t="shared" si="4"/>
        <v>41</v>
      </c>
      <c r="M10" s="5">
        <f t="shared" si="5"/>
        <v>1.4128794386769871E-2</v>
      </c>
      <c r="N10">
        <v>15</v>
      </c>
      <c r="O10">
        <v>91</v>
      </c>
      <c r="P10" s="63">
        <v>82</v>
      </c>
      <c r="Q10" s="28">
        <v>87</v>
      </c>
      <c r="R10" s="29">
        <f t="shared" si="6"/>
        <v>80.910000000000011</v>
      </c>
      <c r="S10" s="29">
        <v>81.86</v>
      </c>
      <c r="T10" s="28">
        <f t="shared" si="7"/>
        <v>108.75</v>
      </c>
      <c r="U10" s="28">
        <f t="shared" si="8"/>
        <v>130.5</v>
      </c>
      <c r="V10" s="28">
        <f t="shared" si="9"/>
        <v>174</v>
      </c>
      <c r="W10" s="28">
        <f t="shared" si="10"/>
        <v>83.936971784212744</v>
      </c>
      <c r="X10" s="29">
        <v>85</v>
      </c>
      <c r="Y10" s="5">
        <f t="shared" si="11"/>
        <v>-5.8221921524358781E-2</v>
      </c>
      <c r="Z10" s="32">
        <f t="shared" si="12"/>
        <v>0.10917639943171885</v>
      </c>
      <c r="AB10" s="58">
        <v>45874</v>
      </c>
      <c r="AC10" s="9">
        <v>97</v>
      </c>
    </row>
    <row r="11" spans="1:29" x14ac:dyDescent="0.25">
      <c r="A11" t="s">
        <v>116</v>
      </c>
      <c r="B11" t="s">
        <v>30</v>
      </c>
      <c r="C11" s="25" t="s">
        <v>117</v>
      </c>
      <c r="D11" s="2">
        <v>570.81209999999999</v>
      </c>
      <c r="E11" s="26">
        <v>83.03</v>
      </c>
      <c r="F11" s="3">
        <f t="shared" si="0"/>
        <v>47394.528662999997</v>
      </c>
      <c r="G11" s="3">
        <v>36072.47</v>
      </c>
      <c r="H11" s="4">
        <f t="shared" si="1"/>
        <v>63.194998844628557</v>
      </c>
      <c r="I11" s="3">
        <f t="shared" si="2"/>
        <v>11322.058662999996</v>
      </c>
      <c r="J11" s="26">
        <f t="shared" si="3"/>
        <v>19.835001155371444</v>
      </c>
      <c r="K11" s="27">
        <v>45796</v>
      </c>
      <c r="L11">
        <f t="shared" si="4"/>
        <v>38</v>
      </c>
      <c r="M11" s="5">
        <f t="shared" si="5"/>
        <v>0.31386979219887068</v>
      </c>
      <c r="N11">
        <v>30</v>
      </c>
      <c r="O11">
        <v>99</v>
      </c>
      <c r="P11" s="63">
        <v>80</v>
      </c>
      <c r="Q11" s="28">
        <v>63.78</v>
      </c>
      <c r="R11" s="29">
        <f t="shared" si="6"/>
        <v>59.315400000000004</v>
      </c>
      <c r="S11" s="29">
        <v>62.92</v>
      </c>
      <c r="T11" s="31">
        <f t="shared" si="7"/>
        <v>79.724999999999994</v>
      </c>
      <c r="U11" s="28">
        <f t="shared" si="8"/>
        <v>95.67</v>
      </c>
      <c r="V11" s="28">
        <f t="shared" si="9"/>
        <v>127.56</v>
      </c>
      <c r="W11" s="28">
        <f t="shared" si="10"/>
        <v>58.771348925504554</v>
      </c>
      <c r="X11" s="29">
        <v>70</v>
      </c>
      <c r="Y11" s="5">
        <f t="shared" si="11"/>
        <v>0.10768259007492416</v>
      </c>
      <c r="Z11" s="6">
        <f t="shared" si="12"/>
        <v>9.2140589314768678E-2</v>
      </c>
      <c r="AB11" s="58">
        <v>45868</v>
      </c>
      <c r="AC11" s="9">
        <v>98</v>
      </c>
    </row>
    <row r="12" spans="1:29" x14ac:dyDescent="0.25">
      <c r="A12" t="s">
        <v>118</v>
      </c>
      <c r="B12" t="s">
        <v>30</v>
      </c>
      <c r="C12" s="25" t="s">
        <v>119</v>
      </c>
      <c r="D12" s="2">
        <f>605.0016+550.0434</f>
        <v>1155.0450000000001</v>
      </c>
      <c r="E12" s="26">
        <v>38.79</v>
      </c>
      <c r="F12" s="3">
        <f t="shared" si="0"/>
        <v>44804.195550000004</v>
      </c>
      <c r="G12" s="3">
        <f>(605.0016*29.7738017)+17708.65</f>
        <v>35721.847666582718</v>
      </c>
      <c r="H12" s="4">
        <f t="shared" si="1"/>
        <v>30.926801697408081</v>
      </c>
      <c r="I12" s="3">
        <f t="shared" si="2"/>
        <v>9082.3478834172856</v>
      </c>
      <c r="J12" s="26">
        <f t="shared" si="3"/>
        <v>7.8631983025919183</v>
      </c>
      <c r="K12" s="27">
        <v>45800</v>
      </c>
      <c r="L12">
        <f t="shared" si="4"/>
        <v>34</v>
      </c>
      <c r="M12" s="5">
        <f t="shared" si="5"/>
        <v>0.25425190679354731</v>
      </c>
      <c r="N12">
        <v>1</v>
      </c>
      <c r="O12">
        <v>99</v>
      </c>
      <c r="P12" s="63">
        <v>19</v>
      </c>
      <c r="Q12" s="28">
        <v>29.66</v>
      </c>
      <c r="R12" s="29">
        <f t="shared" si="6"/>
        <v>27.5838</v>
      </c>
      <c r="S12" s="29">
        <v>29.66</v>
      </c>
      <c r="T12" s="31">
        <f t="shared" si="7"/>
        <v>37.075000000000003</v>
      </c>
      <c r="U12" s="28">
        <f t="shared" si="8"/>
        <v>44.49</v>
      </c>
      <c r="V12" s="28">
        <f t="shared" si="9"/>
        <v>59.32</v>
      </c>
      <c r="W12" s="28">
        <f t="shared" si="10"/>
        <v>28.761925578589516</v>
      </c>
      <c r="X12" s="29">
        <v>32</v>
      </c>
      <c r="Y12" s="5">
        <f t="shared" si="11"/>
        <v>3.4701237880729902E-2</v>
      </c>
      <c r="Z12" s="6">
        <f t="shared" si="12"/>
        <v>8.710467427802504E-2</v>
      </c>
      <c r="AB12" s="58">
        <v>45875</v>
      </c>
      <c r="AC12" s="9">
        <v>89</v>
      </c>
    </row>
    <row r="13" spans="1:29" x14ac:dyDescent="0.25">
      <c r="A13" t="s">
        <v>121</v>
      </c>
      <c r="B13" t="s">
        <v>30</v>
      </c>
      <c r="C13" s="25" t="s">
        <v>122</v>
      </c>
      <c r="D13" s="2">
        <v>1070.2094</v>
      </c>
      <c r="E13" s="26">
        <v>30.25</v>
      </c>
      <c r="F13" s="3">
        <f t="shared" si="0"/>
        <v>32373.834349999997</v>
      </c>
      <c r="G13" s="3">
        <f>1070.2094*17.5871838</f>
        <v>18821.969422287719</v>
      </c>
      <c r="H13" s="4">
        <f t="shared" si="1"/>
        <v>17.587183799999998</v>
      </c>
      <c r="I13" s="3">
        <f t="shared" si="2"/>
        <v>13551.864927712279</v>
      </c>
      <c r="J13" s="26">
        <f t="shared" si="3"/>
        <v>12.662816200000002</v>
      </c>
      <c r="K13" s="27">
        <v>45814</v>
      </c>
      <c r="L13">
        <f t="shared" si="4"/>
        <v>21</v>
      </c>
      <c r="M13" s="5">
        <f t="shared" si="5"/>
        <v>0.72000249408890582</v>
      </c>
      <c r="N13">
        <v>11</v>
      </c>
      <c r="O13">
        <v>99</v>
      </c>
      <c r="P13" s="63">
        <v>80</v>
      </c>
      <c r="Q13" s="28">
        <v>16.399999999999999</v>
      </c>
      <c r="R13" s="29">
        <f t="shared" si="6"/>
        <v>15.251999999999999</v>
      </c>
      <c r="S13" s="29">
        <v>11.01</v>
      </c>
      <c r="T13" s="28">
        <f t="shared" si="7"/>
        <v>20.5</v>
      </c>
      <c r="U13" s="28">
        <f t="shared" si="8"/>
        <v>24.599999999999998</v>
      </c>
      <c r="V13" s="28">
        <f t="shared" si="9"/>
        <v>32.799999999999997</v>
      </c>
      <c r="W13" s="28">
        <f t="shared" si="10"/>
        <v>16.356080933999998</v>
      </c>
      <c r="X13" s="29">
        <v>25</v>
      </c>
      <c r="Y13" s="5">
        <f t="shared" si="11"/>
        <v>0.42148966453628595</v>
      </c>
      <c r="Z13" s="6">
        <f t="shared" si="12"/>
        <v>6.2938576657191839E-2</v>
      </c>
      <c r="AB13" s="58">
        <v>45887</v>
      </c>
      <c r="AC13" s="9">
        <v>99</v>
      </c>
    </row>
    <row r="14" spans="1:29" x14ac:dyDescent="0.25">
      <c r="A14" t="s">
        <v>124</v>
      </c>
      <c r="B14" t="s">
        <v>30</v>
      </c>
      <c r="C14" s="25" t="s">
        <v>125</v>
      </c>
      <c r="D14" s="2">
        <f>915.359+608.2121</f>
        <v>1523.5711000000001</v>
      </c>
      <c r="E14" s="26">
        <v>35.380000000000003</v>
      </c>
      <c r="F14" s="3">
        <f t="shared" si="0"/>
        <v>53903.945518000008</v>
      </c>
      <c r="G14" s="3">
        <f>28630.6+20162.2481</f>
        <v>48792.848100000003</v>
      </c>
      <c r="H14" s="4">
        <f t="shared" si="1"/>
        <v>32.025317426932027</v>
      </c>
      <c r="I14" s="3">
        <f t="shared" si="2"/>
        <v>5111.0974180000048</v>
      </c>
      <c r="J14" s="26">
        <f t="shared" si="3"/>
        <v>3.3546825730679757</v>
      </c>
      <c r="K14" s="27">
        <v>45817</v>
      </c>
      <c r="L14">
        <f t="shared" si="4"/>
        <v>18</v>
      </c>
      <c r="M14" s="5">
        <f t="shared" si="5"/>
        <v>0.10475095463837054</v>
      </c>
      <c r="N14">
        <v>10</v>
      </c>
      <c r="O14">
        <v>99</v>
      </c>
      <c r="P14" s="63">
        <v>15</v>
      </c>
      <c r="Q14" s="28">
        <v>30.78</v>
      </c>
      <c r="R14" s="29">
        <f t="shared" si="6"/>
        <v>28.625400000000003</v>
      </c>
      <c r="S14" s="29">
        <v>26.45</v>
      </c>
      <c r="T14" s="28">
        <f t="shared" si="7"/>
        <v>38.475000000000001</v>
      </c>
      <c r="U14" s="28">
        <f t="shared" si="8"/>
        <v>46.17</v>
      </c>
      <c r="V14" s="28">
        <f t="shared" si="9"/>
        <v>61.56</v>
      </c>
      <c r="W14" s="28">
        <f t="shared" si="10"/>
        <v>29.783545207046785</v>
      </c>
      <c r="X14" s="29">
        <v>29</v>
      </c>
      <c r="Y14" s="5">
        <f t="shared" si="11"/>
        <v>-9.4466430624286474E-2</v>
      </c>
      <c r="Z14" s="6">
        <f t="shared" si="12"/>
        <v>0.10479566832990038</v>
      </c>
      <c r="AB14" s="58">
        <v>45876</v>
      </c>
      <c r="AC14" s="9">
        <v>88</v>
      </c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45177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31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45177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2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45177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414440.88556600001</v>
      </c>
      <c r="G18" s="3">
        <f>SUM(G6:G17)</f>
        <v>336415.51518887043</v>
      </c>
      <c r="H18" s="4"/>
      <c r="I18" s="3">
        <f>SUM(I6:I17)</f>
        <v>78025.37037712957</v>
      </c>
      <c r="M18" s="5"/>
      <c r="Z18" s="6"/>
    </row>
    <row r="19" spans="1:29" x14ac:dyDescent="0.25">
      <c r="D19" s="2" t="s">
        <v>44</v>
      </c>
      <c r="F19" s="3">
        <v>99931</v>
      </c>
      <c r="G19" s="6">
        <f>F19/F20</f>
        <v>0.19427772552156269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514371.88556600001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'06-20-25'!F20</f>
        <v>490546.95555200003</v>
      </c>
      <c r="K21" s="1">
        <v>45657</v>
      </c>
      <c r="L21" s="50">
        <v>170762</v>
      </c>
      <c r="M21" s="50">
        <v>178284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4.856809270621279E-2</v>
      </c>
      <c r="K22" s="9" t="s">
        <v>123</v>
      </c>
      <c r="L22" s="6">
        <f>(M21-L21)/L21</f>
        <v>4.4049612911537694E-2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4">F28/D28</f>
        <v>44.698790833464948</v>
      </c>
      <c r="F28" s="3">
        <v>56489.42</v>
      </c>
      <c r="G28" s="56">
        <v>75501.87</v>
      </c>
      <c r="H28" s="57">
        <f t="shared" ref="H28:H47" si="15">G28/D28</f>
        <v>59.742909285764696</v>
      </c>
      <c r="I28" s="57">
        <f t="shared" ref="I28:I47" si="16">G28-F28</f>
        <v>19012.449999999997</v>
      </c>
      <c r="J28" s="6">
        <f t="shared" ref="J28:J47" si="17">I28/F28</f>
        <v>0.33656656414599401</v>
      </c>
      <c r="K28" s="1">
        <v>45527</v>
      </c>
      <c r="L28" s="1">
        <v>45688</v>
      </c>
      <c r="M28">
        <f t="shared" si="13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4"/>
        <v>169.90901206845703</v>
      </c>
      <c r="F29" s="3">
        <f>59492.79+21969.78</f>
        <v>81462.570000000007</v>
      </c>
      <c r="G29" s="56">
        <v>65047.58</v>
      </c>
      <c r="H29" s="57">
        <f t="shared" si="15"/>
        <v>135.67175765807443</v>
      </c>
      <c r="I29" s="57">
        <f t="shared" si="16"/>
        <v>-16414.990000000005</v>
      </c>
      <c r="J29" s="6">
        <f t="shared" si="17"/>
        <v>-0.20150346349249729</v>
      </c>
      <c r="K29" s="1">
        <v>45671</v>
      </c>
      <c r="L29" s="1">
        <v>45688</v>
      </c>
      <c r="M29">
        <f t="shared" si="13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4"/>
        <v>18.702010092477405</v>
      </c>
      <c r="F30" s="3">
        <v>56486.59</v>
      </c>
      <c r="G30" s="56">
        <v>71124.88</v>
      </c>
      <c r="H30" s="57">
        <f t="shared" si="15"/>
        <v>23.548566546258936</v>
      </c>
      <c r="I30" s="57">
        <f t="shared" si="16"/>
        <v>14638.290000000008</v>
      </c>
      <c r="J30" s="6">
        <f t="shared" si="17"/>
        <v>0.25914628587068206</v>
      </c>
      <c r="K30" s="1">
        <v>45527</v>
      </c>
      <c r="L30" s="1">
        <v>45691</v>
      </c>
      <c r="M30">
        <f t="shared" si="13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4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5"/>
        <v>38.249853000000002</v>
      </c>
      <c r="I31" s="57">
        <f t="shared" si="16"/>
        <v>-6110.386336591735</v>
      </c>
      <c r="J31" s="6">
        <f t="shared" si="17"/>
        <v>-0.10005621882176895</v>
      </c>
      <c r="K31" s="1">
        <v>45706</v>
      </c>
      <c r="L31" s="1">
        <v>45708</v>
      </c>
      <c r="M31">
        <f t="shared" si="13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4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5"/>
        <v>531.63995279999995</v>
      </c>
      <c r="I32" s="57">
        <f t="shared" si="16"/>
        <v>-22176.243614196137</v>
      </c>
      <c r="J32" s="6">
        <f t="shared" si="17"/>
        <v>-0.24194911929355969</v>
      </c>
      <c r="K32" s="1">
        <v>45706</v>
      </c>
      <c r="L32" s="1">
        <v>45708</v>
      </c>
      <c r="M32">
        <f t="shared" si="13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4"/>
        <v>368.56522253629635</v>
      </c>
      <c r="F33" s="3">
        <v>74438.86</v>
      </c>
      <c r="G33" s="56">
        <f>201.9693*360.5332483</f>
        <v>72816.647785877198</v>
      </c>
      <c r="H33" s="57">
        <f t="shared" si="15"/>
        <v>360.53324830000003</v>
      </c>
      <c r="I33" s="57">
        <f t="shared" si="16"/>
        <v>-1622.2122141228028</v>
      </c>
      <c r="J33" s="6">
        <f t="shared" si="17"/>
        <v>-2.1792545105107773E-2</v>
      </c>
      <c r="K33" s="1">
        <v>45664</v>
      </c>
      <c r="L33" s="1">
        <v>45708</v>
      </c>
      <c r="M33">
        <f t="shared" si="13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4"/>
        <v>30.17825528482809</v>
      </c>
      <c r="F34" s="3">
        <v>37884.65</v>
      </c>
      <c r="G34" s="56">
        <f>1255.3625*39.762296</f>
        <v>49916.0953123</v>
      </c>
      <c r="H34" s="57">
        <f t="shared" si="15"/>
        <v>39.762295999999999</v>
      </c>
      <c r="I34" s="57">
        <f t="shared" si="16"/>
        <v>12031.445312299998</v>
      </c>
      <c r="J34" s="6">
        <f t="shared" si="17"/>
        <v>0.31758100740801348</v>
      </c>
      <c r="K34" s="1">
        <v>45663</v>
      </c>
      <c r="L34" s="1">
        <v>45709</v>
      </c>
      <c r="M34">
        <f t="shared" si="13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4"/>
        <v>242.26930551548847</v>
      </c>
      <c r="F35" s="3">
        <v>61221.72</v>
      </c>
      <c r="G35" s="56">
        <f>252.7011*226.6146532</f>
        <v>57265.772139758519</v>
      </c>
      <c r="H35" s="57">
        <f t="shared" si="15"/>
        <v>226.61465319999999</v>
      </c>
      <c r="I35" s="57">
        <f t="shared" si="16"/>
        <v>-3955.947860241482</v>
      </c>
      <c r="J35" s="6">
        <f t="shared" si="17"/>
        <v>-6.4616738311852093E-2</v>
      </c>
      <c r="K35" s="1">
        <v>45699</v>
      </c>
      <c r="L35" s="1">
        <v>45709</v>
      </c>
      <c r="M35">
        <f t="shared" si="13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4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5"/>
        <v>283.93999450000007</v>
      </c>
      <c r="I36" s="57">
        <f t="shared" si="16"/>
        <v>19563.525282954361</v>
      </c>
      <c r="J36" s="6">
        <f t="shared" si="17"/>
        <v>0.36434300703793465</v>
      </c>
      <c r="K36" s="1">
        <v>45580</v>
      </c>
      <c r="L36" s="1">
        <v>45712</v>
      </c>
      <c r="M36">
        <f t="shared" si="13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4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5"/>
        <v>63.365330900000004</v>
      </c>
      <c r="I37" s="57">
        <f t="shared" si="16"/>
        <v>-4549.5912833559851</v>
      </c>
      <c r="J37" s="6">
        <f t="shared" si="17"/>
        <v>-5.9638082078758516E-2</v>
      </c>
      <c r="K37" s="1">
        <v>45673</v>
      </c>
      <c r="L37" s="1">
        <v>45712</v>
      </c>
      <c r="M37">
        <f t="shared" si="13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5"/>
        <v>50.021380499999999</v>
      </c>
      <c r="I38" s="57">
        <f t="shared" si="16"/>
        <v>6027.2875116823998</v>
      </c>
      <c r="J38" s="6">
        <f t="shared" si="17"/>
        <v>9.9771440635884723E-2</v>
      </c>
      <c r="K38" s="1">
        <v>45593</v>
      </c>
      <c r="L38" s="1">
        <v>45713</v>
      </c>
      <c r="M38">
        <f t="shared" si="13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5"/>
        <v>12.519992000000002</v>
      </c>
      <c r="I39" s="57">
        <f t="shared" si="16"/>
        <v>-2230.6527810991975</v>
      </c>
      <c r="J39" s="6">
        <f t="shared" si="17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5"/>
        <v>94.679995300000002</v>
      </c>
      <c r="I40" s="57">
        <f t="shared" si="16"/>
        <v>-4750.690604140058</v>
      </c>
      <c r="J40" s="6">
        <f t="shared" si="17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47" si="18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5"/>
        <v>18.9477051</v>
      </c>
      <c r="I41" s="57">
        <f t="shared" si="16"/>
        <v>-2244.5195874142191</v>
      </c>
      <c r="J41" s="6">
        <f t="shared" si="17"/>
        <v>-8.2776138273503941E-2</v>
      </c>
      <c r="K41" s="1">
        <v>45761</v>
      </c>
      <c r="L41" s="1">
        <v>45768</v>
      </c>
      <c r="M41">
        <f t="shared" ref="M41:M47" si="19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8"/>
        <v>96.336406065231671</v>
      </c>
      <c r="F42" s="3">
        <v>34004.42</v>
      </c>
      <c r="G42" s="56">
        <f>352.9758*89.7849585</f>
        <v>31691.9175545043</v>
      </c>
      <c r="H42" s="57">
        <f t="shared" si="15"/>
        <v>89.784958500000002</v>
      </c>
      <c r="I42" s="57">
        <f t="shared" si="16"/>
        <v>-2312.5024454956983</v>
      </c>
      <c r="J42" s="6">
        <f t="shared" si="17"/>
        <v>-6.8005937036882222E-2</v>
      </c>
      <c r="K42" s="1">
        <v>45762</v>
      </c>
      <c r="L42" s="1">
        <v>45768</v>
      </c>
      <c r="M42">
        <f t="shared" si="19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8"/>
        <v>16.992624876012847</v>
      </c>
      <c r="F43" s="3">
        <v>37971.83</v>
      </c>
      <c r="G43" s="56">
        <f>2234.6065*13.3067232</f>
        <v>29735.2901564208</v>
      </c>
      <c r="H43" s="57">
        <f t="shared" si="15"/>
        <v>13.3067232</v>
      </c>
      <c r="I43" s="57">
        <f t="shared" si="16"/>
        <v>-8236.5398435792013</v>
      </c>
      <c r="J43" s="6">
        <f t="shared" si="17"/>
        <v>-0.21691184869360261</v>
      </c>
      <c r="K43" s="1">
        <v>45652</v>
      </c>
      <c r="L43" s="1">
        <v>45785</v>
      </c>
      <c r="M43">
        <f t="shared" si="19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8"/>
        <v>38.101812248436303</v>
      </c>
      <c r="F44" s="3">
        <v>21940.86</v>
      </c>
      <c r="G44" s="56">
        <f>575.8482*32.7857042</f>
        <v>18879.588749302438</v>
      </c>
      <c r="H44" s="57">
        <f t="shared" si="15"/>
        <v>32.785704199999998</v>
      </c>
      <c r="I44" s="57">
        <f t="shared" si="16"/>
        <v>-3061.2712506975622</v>
      </c>
      <c r="J44" s="6">
        <f t="shared" si="17"/>
        <v>-0.13952375844417958</v>
      </c>
      <c r="K44" s="1">
        <v>45761</v>
      </c>
      <c r="L44" s="1">
        <v>45790</v>
      </c>
      <c r="M44">
        <f t="shared" si="19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8"/>
        <v>24.570291674143743</v>
      </c>
      <c r="F45" s="3">
        <v>23591.34</v>
      </c>
      <c r="G45" s="56">
        <v>19396.37</v>
      </c>
      <c r="H45" s="57">
        <f t="shared" si="15"/>
        <v>20.201246233559068</v>
      </c>
      <c r="I45" s="57">
        <f t="shared" si="16"/>
        <v>-4194.9700000000012</v>
      </c>
      <c r="J45" s="6">
        <f t="shared" si="17"/>
        <v>-0.17781821634548953</v>
      </c>
      <c r="K45" s="1">
        <v>45776</v>
      </c>
      <c r="L45" s="1">
        <v>45812</v>
      </c>
      <c r="M45">
        <f t="shared" si="19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8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5"/>
        <v>84.038907800000004</v>
      </c>
      <c r="I46" s="57">
        <f t="shared" si="16"/>
        <v>-3907.8121523372101</v>
      </c>
      <c r="J46" s="6">
        <f t="shared" si="17"/>
        <v>-0.14246372001691271</v>
      </c>
      <c r="K46" s="1">
        <v>45782</v>
      </c>
      <c r="L46" s="1">
        <v>45818</v>
      </c>
      <c r="M46">
        <f t="shared" si="19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8"/>
        <v>40.437100849618155</v>
      </c>
      <c r="F47" s="3">
        <f>22877.09+14244.67</f>
        <v>37121.760000000002</v>
      </c>
      <c r="G47" s="56">
        <v>34659.56</v>
      </c>
      <c r="H47" s="57">
        <f t="shared" si="15"/>
        <v>37.755002002151599</v>
      </c>
      <c r="I47" s="57">
        <f t="shared" si="16"/>
        <v>-2462.2000000000044</v>
      </c>
      <c r="J47" s="6">
        <f t="shared" si="17"/>
        <v>-6.6327674118899643E-2</v>
      </c>
      <c r="K47" s="1">
        <v>45782</v>
      </c>
      <c r="L47" s="1">
        <v>45828</v>
      </c>
      <c r="M47">
        <f t="shared" si="19"/>
        <v>45</v>
      </c>
    </row>
    <row r="48" spans="1:19" x14ac:dyDescent="0.25">
      <c r="C48" s="25"/>
      <c r="D48" s="2"/>
      <c r="E48" s="57"/>
      <c r="F48" s="3"/>
      <c r="G48" s="56"/>
      <c r="H48" s="57"/>
      <c r="I48" s="57"/>
      <c r="J48" s="6"/>
      <c r="K48" s="1"/>
      <c r="L48" s="1"/>
    </row>
    <row r="49" spans="3:12" x14ac:dyDescent="0.25">
      <c r="C49" s="25"/>
      <c r="D49" s="2"/>
      <c r="E49" s="57"/>
      <c r="F49" s="3"/>
      <c r="G49" s="56"/>
      <c r="H49" s="57"/>
      <c r="I49" s="57"/>
      <c r="J49" s="6"/>
      <c r="K49" s="1"/>
      <c r="L49" s="1"/>
    </row>
    <row r="50" spans="3:12" x14ac:dyDescent="0.25">
      <c r="C50" s="25"/>
      <c r="D50" s="2"/>
      <c r="E50" s="57"/>
      <c r="F50" s="3"/>
      <c r="G50" s="56"/>
      <c r="H50" s="57"/>
      <c r="I50" s="57"/>
      <c r="J50" s="6"/>
      <c r="K50" s="1"/>
      <c r="L50" s="1"/>
    </row>
    <row r="51" spans="3:12" x14ac:dyDescent="0.25">
      <c r="F51" s="56"/>
      <c r="G51" s="56"/>
      <c r="H51" s="3"/>
      <c r="I51" s="3">
        <f>SUM(I26:I50)</f>
        <v>-24721.551866334532</v>
      </c>
      <c r="J51" s="13" t="s">
        <v>66</v>
      </c>
    </row>
    <row r="52" spans="3:12" x14ac:dyDescent="0.25">
      <c r="F52" s="56"/>
      <c r="G52" s="56"/>
      <c r="H52" s="3" t="s">
        <v>67</v>
      </c>
      <c r="I52" s="59">
        <v>17</v>
      </c>
      <c r="J52" s="5">
        <v>-0.1106</v>
      </c>
    </row>
    <row r="53" spans="3:12" x14ac:dyDescent="0.25">
      <c r="F53" s="56"/>
      <c r="G53" s="56"/>
      <c r="H53" s="3" t="s">
        <v>68</v>
      </c>
      <c r="I53" s="59">
        <v>5</v>
      </c>
      <c r="J53" s="5">
        <v>0.27560000000000001</v>
      </c>
    </row>
    <row r="54" spans="3:12" x14ac:dyDescent="0.25">
      <c r="F54" s="56"/>
      <c r="G54" s="56"/>
      <c r="J54" s="6"/>
    </row>
    <row r="55" spans="3:12" x14ac:dyDescent="0.25">
      <c r="F55" s="56"/>
      <c r="G55" s="56"/>
      <c r="J55" s="6"/>
    </row>
    <row r="56" spans="3:12" x14ac:dyDescent="0.25">
      <c r="F56" s="56"/>
      <c r="G56" s="56"/>
      <c r="J56" s="6"/>
    </row>
    <row r="57" spans="3:12" x14ac:dyDescent="0.25">
      <c r="F57" s="56"/>
      <c r="G57" s="56"/>
      <c r="J57" s="6"/>
    </row>
    <row r="58" spans="3:12" x14ac:dyDescent="0.25">
      <c r="F58" s="56"/>
      <c r="G58" s="56"/>
      <c r="J58" s="6"/>
    </row>
    <row r="59" spans="3:12" x14ac:dyDescent="0.25">
      <c r="F59" s="56"/>
      <c r="G59" s="56"/>
      <c r="J59" s="6"/>
    </row>
    <row r="60" spans="3:12" x14ac:dyDescent="0.25">
      <c r="F60" s="56"/>
      <c r="G60" s="56"/>
      <c r="J60" s="6"/>
    </row>
    <row r="61" spans="3:12" x14ac:dyDescent="0.25">
      <c r="F61" s="56"/>
      <c r="G61" s="56"/>
      <c r="J61" s="6"/>
    </row>
    <row r="62" spans="3:12" x14ac:dyDescent="0.25">
      <c r="F62" s="56"/>
      <c r="G62" s="56"/>
      <c r="J62" s="6"/>
    </row>
    <row r="63" spans="3:12" x14ac:dyDescent="0.25">
      <c r="F63" s="56"/>
      <c r="G63" s="56"/>
      <c r="J63" s="6"/>
    </row>
    <row r="64" spans="3:12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</row>
    <row r="78" spans="6:10" x14ac:dyDescent="0.25">
      <c r="F78" s="56"/>
      <c r="G78" s="56"/>
    </row>
    <row r="79" spans="6:10" x14ac:dyDescent="0.25">
      <c r="F79" s="56"/>
      <c r="G79" s="56"/>
    </row>
    <row r="80" spans="6:10" x14ac:dyDescent="0.25">
      <c r="F80" s="56"/>
      <c r="G80" s="56"/>
    </row>
    <row r="81" spans="6:7" x14ac:dyDescent="0.25">
      <c r="F81" s="56"/>
      <c r="G81" s="56"/>
    </row>
    <row r="82" spans="6:7" x14ac:dyDescent="0.25">
      <c r="F82" s="56"/>
      <c r="G82" s="56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DB4B-1BED-45AC-99EE-B1CCD1874294}">
  <dimension ref="A1:AC82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45841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71</v>
      </c>
      <c r="B7" t="s">
        <v>30</v>
      </c>
      <c r="C7" t="s">
        <v>72</v>
      </c>
      <c r="D7" s="2">
        <f>98.1877+35.2566</f>
        <v>133.4443</v>
      </c>
      <c r="E7" s="26">
        <v>517.04</v>
      </c>
      <c r="F7" s="3">
        <f t="shared" ref="F7:F14" si="0">E7*D7</f>
        <v>68996.040871999998</v>
      </c>
      <c r="G7" s="3">
        <f>34962.9+15401.92</f>
        <v>50364.82</v>
      </c>
      <c r="H7" s="4">
        <f t="shared" ref="H7:H14" si="1">G7/D7</f>
        <v>377.42204050678822</v>
      </c>
      <c r="I7" s="3">
        <f t="shared" ref="I7:I14" si="2">F7-G7</f>
        <v>18631.220871999998</v>
      </c>
      <c r="J7" s="26">
        <f t="shared" ref="J7:J14" si="3">E7-H7</f>
        <v>139.61795949321174</v>
      </c>
      <c r="K7" s="27">
        <v>45771</v>
      </c>
      <c r="L7">
        <f t="shared" ref="L7:L14" si="4">DAYS360(K7,$C$1)</f>
        <v>69</v>
      </c>
      <c r="M7" s="5">
        <f t="shared" ref="M7:M14" si="5">(I7/G7)</f>
        <v>0.36992529452105655</v>
      </c>
      <c r="N7">
        <v>2</v>
      </c>
      <c r="O7">
        <v>97</v>
      </c>
      <c r="P7" s="33">
        <v>81</v>
      </c>
      <c r="Q7" s="28">
        <v>444</v>
      </c>
      <c r="R7" s="29">
        <f t="shared" ref="R7:R14" si="6">Q7*0.93</f>
        <v>412.92</v>
      </c>
      <c r="S7" s="29">
        <v>462</v>
      </c>
      <c r="T7" s="28">
        <f t="shared" ref="T7:T14" si="7">Q7*1.25</f>
        <v>555</v>
      </c>
      <c r="U7" s="28">
        <f t="shared" ref="U7:U14" si="8">Q7*1.5</f>
        <v>666</v>
      </c>
      <c r="V7" s="28">
        <f t="shared" ref="V7:V14" si="9">Q7*2</f>
        <v>888</v>
      </c>
      <c r="W7" s="28">
        <f t="shared" ref="W7:W14" si="10">H7-(H7*0.07)</f>
        <v>351.00249767131305</v>
      </c>
      <c r="X7" s="29">
        <v>450</v>
      </c>
      <c r="Y7" s="5">
        <f t="shared" ref="Y7:Y14" si="11">(X7-H7)/H7</f>
        <v>0.19229920805832326</v>
      </c>
      <c r="Z7" s="32">
        <f t="shared" ref="Z7:Z14" si="12">F7/F$20</f>
        <v>0.13370583585439988</v>
      </c>
      <c r="AB7" s="58">
        <v>45861</v>
      </c>
      <c r="AC7" s="9">
        <v>96</v>
      </c>
    </row>
    <row r="8" spans="1:29" x14ac:dyDescent="0.25">
      <c r="A8" t="s">
        <v>111</v>
      </c>
      <c r="B8" t="s">
        <v>30</v>
      </c>
      <c r="C8" s="25" t="s">
        <v>112</v>
      </c>
      <c r="D8" s="2">
        <f>362.8226+163.9908</f>
        <v>526.8134</v>
      </c>
      <c r="E8" s="26">
        <v>103.59</v>
      </c>
      <c r="F8" s="3">
        <f t="shared" si="0"/>
        <v>54572.600106000005</v>
      </c>
      <c r="G8" s="3">
        <f>26856.13+12527.28</f>
        <v>39383.410000000003</v>
      </c>
      <c r="H8" s="4">
        <f t="shared" si="1"/>
        <v>74.757798491837917</v>
      </c>
      <c r="I8" s="3">
        <f t="shared" si="2"/>
        <v>15189.190106000002</v>
      </c>
      <c r="J8" s="26">
        <f t="shared" si="3"/>
        <v>28.832201508162086</v>
      </c>
      <c r="K8" s="27">
        <v>45789</v>
      </c>
      <c r="L8">
        <f t="shared" si="4"/>
        <v>51</v>
      </c>
      <c r="M8" s="5">
        <f t="shared" si="5"/>
        <v>0.38567483379422962</v>
      </c>
      <c r="N8">
        <v>18</v>
      </c>
      <c r="O8">
        <v>98</v>
      </c>
      <c r="P8" s="63">
        <v>40</v>
      </c>
      <c r="Q8" s="28">
        <v>74.239999999999995</v>
      </c>
      <c r="R8" s="29">
        <f t="shared" si="6"/>
        <v>69.043199999999999</v>
      </c>
      <c r="S8" s="29">
        <v>78.66</v>
      </c>
      <c r="T8" s="28">
        <f t="shared" si="7"/>
        <v>92.8</v>
      </c>
      <c r="U8" s="28">
        <f t="shared" si="8"/>
        <v>111.35999999999999</v>
      </c>
      <c r="V8" s="28">
        <f t="shared" si="9"/>
        <v>148.47999999999999</v>
      </c>
      <c r="W8" s="28">
        <f t="shared" si="10"/>
        <v>69.524752597409261</v>
      </c>
      <c r="X8" s="29">
        <v>92</v>
      </c>
      <c r="Y8" s="5">
        <f t="shared" si="11"/>
        <v>0.23064084090229853</v>
      </c>
      <c r="Z8" s="6">
        <f t="shared" si="12"/>
        <v>0.10575498274541983</v>
      </c>
      <c r="AB8" s="58">
        <v>45875</v>
      </c>
      <c r="AC8" s="9">
        <v>90</v>
      </c>
    </row>
    <row r="9" spans="1:29" x14ac:dyDescent="0.25">
      <c r="A9" t="s">
        <v>113</v>
      </c>
      <c r="B9" t="s">
        <v>30</v>
      </c>
      <c r="C9" s="25" t="s">
        <v>114</v>
      </c>
      <c r="D9" s="2">
        <f>392.3916+221.1479</f>
        <v>613.53949999999998</v>
      </c>
      <c r="E9" s="26">
        <v>93.63</v>
      </c>
      <c r="F9" s="3">
        <f t="shared" si="0"/>
        <v>57445.703384999993</v>
      </c>
      <c r="G9" s="3">
        <f>35895.15+19479.74</f>
        <v>55374.89</v>
      </c>
      <c r="H9" s="4">
        <f t="shared" si="1"/>
        <v>90.254808370121239</v>
      </c>
      <c r="I9" s="3">
        <f t="shared" si="2"/>
        <v>2070.813384999994</v>
      </c>
      <c r="J9" s="26">
        <f t="shared" si="3"/>
        <v>3.3751916298787563</v>
      </c>
      <c r="K9" s="27">
        <v>45793</v>
      </c>
      <c r="L9">
        <f t="shared" si="4"/>
        <v>47</v>
      </c>
      <c r="M9" s="5">
        <f t="shared" si="5"/>
        <v>3.7396252796167977E-2</v>
      </c>
      <c r="N9">
        <v>13</v>
      </c>
      <c r="O9">
        <v>90</v>
      </c>
      <c r="P9" s="63">
        <v>82</v>
      </c>
      <c r="Q9" s="28">
        <v>87</v>
      </c>
      <c r="R9" s="29">
        <f t="shared" si="6"/>
        <v>80.910000000000011</v>
      </c>
      <c r="S9" s="29">
        <v>81.86</v>
      </c>
      <c r="T9" s="28">
        <f t="shared" si="7"/>
        <v>108.75</v>
      </c>
      <c r="U9" s="28">
        <f t="shared" si="8"/>
        <v>130.5</v>
      </c>
      <c r="V9" s="28">
        <f t="shared" si="9"/>
        <v>174</v>
      </c>
      <c r="W9" s="28">
        <f t="shared" si="10"/>
        <v>83.936971784212744</v>
      </c>
      <c r="X9" s="29">
        <v>85</v>
      </c>
      <c r="Y9" s="5">
        <f t="shared" si="11"/>
        <v>-5.8221921524358781E-2</v>
      </c>
      <c r="Z9" s="32">
        <f t="shared" si="12"/>
        <v>0.11132270330676884</v>
      </c>
      <c r="AB9" s="58">
        <v>45874</v>
      </c>
      <c r="AC9" s="9">
        <v>97</v>
      </c>
    </row>
    <row r="10" spans="1:29" x14ac:dyDescent="0.25">
      <c r="A10" t="s">
        <v>118</v>
      </c>
      <c r="B10" t="s">
        <v>30</v>
      </c>
      <c r="C10" s="25" t="s">
        <v>119</v>
      </c>
      <c r="D10" s="2">
        <f>605.0016+550.0434</f>
        <v>1155.0450000000001</v>
      </c>
      <c r="E10" s="26">
        <v>35.880000000000003</v>
      </c>
      <c r="F10" s="3">
        <f t="shared" si="0"/>
        <v>41443.014600000002</v>
      </c>
      <c r="G10" s="3">
        <f>(605.0016*29.7738017)+17708.65</f>
        <v>35721.847666582718</v>
      </c>
      <c r="H10" s="4">
        <f t="shared" si="1"/>
        <v>30.926801697408081</v>
      </c>
      <c r="I10" s="3">
        <f t="shared" si="2"/>
        <v>5721.1669334172839</v>
      </c>
      <c r="J10" s="26">
        <f t="shared" si="3"/>
        <v>4.9531983025919217</v>
      </c>
      <c r="K10" s="27">
        <v>45800</v>
      </c>
      <c r="L10">
        <f t="shared" si="4"/>
        <v>40</v>
      </c>
      <c r="M10" s="5">
        <f t="shared" si="5"/>
        <v>0.16015876297376841</v>
      </c>
      <c r="N10">
        <v>2</v>
      </c>
      <c r="O10">
        <v>98</v>
      </c>
      <c r="P10" s="63">
        <v>19</v>
      </c>
      <c r="Q10" s="28">
        <v>29.66</v>
      </c>
      <c r="R10" s="29">
        <f t="shared" si="6"/>
        <v>27.5838</v>
      </c>
      <c r="S10" s="29">
        <v>29.66</v>
      </c>
      <c r="T10" s="31">
        <f t="shared" si="7"/>
        <v>37.075000000000003</v>
      </c>
      <c r="U10" s="28">
        <f t="shared" si="8"/>
        <v>44.49</v>
      </c>
      <c r="V10" s="28">
        <f t="shared" si="9"/>
        <v>59.32</v>
      </c>
      <c r="W10" s="28">
        <f t="shared" si="10"/>
        <v>28.761925578589516</v>
      </c>
      <c r="X10" s="29">
        <v>32</v>
      </c>
      <c r="Y10" s="5">
        <f t="shared" si="11"/>
        <v>3.4701237880729902E-2</v>
      </c>
      <c r="Z10" s="6">
        <f t="shared" si="12"/>
        <v>8.0311461895313171E-2</v>
      </c>
      <c r="AB10" s="58">
        <v>45875</v>
      </c>
      <c r="AC10" s="9">
        <v>86</v>
      </c>
    </row>
    <row r="11" spans="1:29" x14ac:dyDescent="0.25">
      <c r="A11" t="s">
        <v>121</v>
      </c>
      <c r="B11" t="s">
        <v>30</v>
      </c>
      <c r="C11" s="25" t="s">
        <v>122</v>
      </c>
      <c r="D11" s="2">
        <f>1070.2094+395.2675</f>
        <v>1465.4768999999999</v>
      </c>
      <c r="E11" s="26">
        <v>28.09</v>
      </c>
      <c r="F11" s="3">
        <f t="shared" si="0"/>
        <v>41165.246120999996</v>
      </c>
      <c r="G11" s="3">
        <f>18821.97+11334.33</f>
        <v>30156.300000000003</v>
      </c>
      <c r="H11" s="4">
        <f t="shared" si="1"/>
        <v>20.577806446488516</v>
      </c>
      <c r="I11" s="3">
        <f t="shared" si="2"/>
        <v>11008.946120999994</v>
      </c>
      <c r="J11" s="26">
        <f t="shared" si="3"/>
        <v>7.5121935535114837</v>
      </c>
      <c r="K11" s="27">
        <v>45814</v>
      </c>
      <c r="L11">
        <f t="shared" si="4"/>
        <v>27</v>
      </c>
      <c r="M11" s="5">
        <f t="shared" si="5"/>
        <v>0.36506289302732736</v>
      </c>
      <c r="N11">
        <v>14</v>
      </c>
      <c r="O11">
        <v>99</v>
      </c>
      <c r="P11" s="63">
        <v>80</v>
      </c>
      <c r="Q11" s="28">
        <v>16.399999999999999</v>
      </c>
      <c r="R11" s="29">
        <f t="shared" si="6"/>
        <v>15.251999999999999</v>
      </c>
      <c r="S11" s="29">
        <v>11.01</v>
      </c>
      <c r="T11" s="28">
        <f t="shared" si="7"/>
        <v>20.5</v>
      </c>
      <c r="U11" s="28">
        <f t="shared" si="8"/>
        <v>24.599999999999998</v>
      </c>
      <c r="V11" s="28">
        <f t="shared" si="9"/>
        <v>32.799999999999997</v>
      </c>
      <c r="W11" s="28">
        <f t="shared" si="10"/>
        <v>19.13735999523432</v>
      </c>
      <c r="X11" s="29">
        <v>25</v>
      </c>
      <c r="Y11" s="5">
        <f t="shared" si="11"/>
        <v>0.21490111518986055</v>
      </c>
      <c r="Z11" s="6">
        <f t="shared" si="12"/>
        <v>7.9773180768029348E-2</v>
      </c>
      <c r="AB11" s="58">
        <v>45887</v>
      </c>
      <c r="AC11" s="9">
        <v>99</v>
      </c>
    </row>
    <row r="12" spans="1:29" x14ac:dyDescent="0.25">
      <c r="A12" t="s">
        <v>124</v>
      </c>
      <c r="B12" t="s">
        <v>30</v>
      </c>
      <c r="C12" s="25" t="s">
        <v>125</v>
      </c>
      <c r="D12" s="2">
        <f>915.359+608.2121</f>
        <v>1523.5711000000001</v>
      </c>
      <c r="E12" s="26">
        <v>35.659999999999997</v>
      </c>
      <c r="F12" s="3">
        <f t="shared" si="0"/>
        <v>54330.545425999997</v>
      </c>
      <c r="G12" s="3">
        <f>28630.6+20162.2481</f>
        <v>48792.848100000003</v>
      </c>
      <c r="H12" s="4">
        <f t="shared" si="1"/>
        <v>32.025317426932027</v>
      </c>
      <c r="I12" s="3">
        <f t="shared" si="2"/>
        <v>5537.6973259999941</v>
      </c>
      <c r="J12" s="26">
        <f t="shared" si="3"/>
        <v>3.6346825730679697</v>
      </c>
      <c r="K12" s="27">
        <v>45817</v>
      </c>
      <c r="L12">
        <f t="shared" si="4"/>
        <v>24</v>
      </c>
      <c r="M12" s="5">
        <f t="shared" si="5"/>
        <v>0.11349403737717031</v>
      </c>
      <c r="N12">
        <v>8</v>
      </c>
      <c r="O12">
        <v>99</v>
      </c>
      <c r="P12" s="63">
        <v>15</v>
      </c>
      <c r="Q12" s="28">
        <v>30.78</v>
      </c>
      <c r="R12" s="29">
        <f t="shared" si="6"/>
        <v>28.625400000000003</v>
      </c>
      <c r="S12" s="29">
        <v>26.45</v>
      </c>
      <c r="T12" s="28">
        <f t="shared" si="7"/>
        <v>38.475000000000001</v>
      </c>
      <c r="U12" s="28">
        <f t="shared" si="8"/>
        <v>46.17</v>
      </c>
      <c r="V12" s="28">
        <f t="shared" si="9"/>
        <v>61.56</v>
      </c>
      <c r="W12" s="28">
        <f t="shared" si="10"/>
        <v>29.783545207046785</v>
      </c>
      <c r="X12" s="29">
        <v>29</v>
      </c>
      <c r="Y12" s="5">
        <f t="shared" si="11"/>
        <v>-9.4466430624286474E-2</v>
      </c>
      <c r="Z12" s="6">
        <f t="shared" si="12"/>
        <v>0.10528591056529414</v>
      </c>
      <c r="AB12" s="58">
        <v>45876</v>
      </c>
      <c r="AC12" s="9">
        <v>87</v>
      </c>
    </row>
    <row r="13" spans="1:29" x14ac:dyDescent="0.25">
      <c r="A13" t="s">
        <v>126</v>
      </c>
      <c r="B13" t="s">
        <v>30</v>
      </c>
      <c r="C13" s="25" t="s">
        <v>127</v>
      </c>
      <c r="D13" s="2">
        <v>344.45150000000001</v>
      </c>
      <c r="E13" s="26">
        <v>93.61</v>
      </c>
      <c r="F13" s="3">
        <f t="shared" si="0"/>
        <v>32244.104915</v>
      </c>
      <c r="G13" s="3">
        <v>30563.18</v>
      </c>
      <c r="H13" s="4">
        <f t="shared" si="1"/>
        <v>88.729995369449682</v>
      </c>
      <c r="I13" s="3">
        <f t="shared" si="2"/>
        <v>1680.9249149999996</v>
      </c>
      <c r="J13" s="26">
        <f t="shared" si="3"/>
        <v>4.8800046305503173</v>
      </c>
      <c r="K13" s="27">
        <v>45840</v>
      </c>
      <c r="L13">
        <f t="shared" si="4"/>
        <v>1</v>
      </c>
      <c r="M13" s="5">
        <f t="shared" si="5"/>
        <v>5.4998364535365746E-2</v>
      </c>
      <c r="N13">
        <v>46</v>
      </c>
      <c r="O13">
        <v>98</v>
      </c>
      <c r="P13" s="63">
        <v>80</v>
      </c>
      <c r="Q13" s="28">
        <v>86.84</v>
      </c>
      <c r="R13" s="29">
        <f t="shared" si="6"/>
        <v>80.761200000000002</v>
      </c>
      <c r="S13" s="29">
        <v>81.72</v>
      </c>
      <c r="T13" s="31">
        <f t="shared" si="7"/>
        <v>108.55000000000001</v>
      </c>
      <c r="U13" s="28">
        <f t="shared" si="8"/>
        <v>130.26</v>
      </c>
      <c r="V13" s="28">
        <f t="shared" si="9"/>
        <v>173.68</v>
      </c>
      <c r="W13" s="28">
        <f t="shared" si="10"/>
        <v>82.518895693588206</v>
      </c>
      <c r="X13" s="29">
        <v>82</v>
      </c>
      <c r="Y13" s="5">
        <f t="shared" si="11"/>
        <v>-7.5848030211515857E-2</v>
      </c>
      <c r="Z13" s="6">
        <f t="shared" si="12"/>
        <v>6.2485107037302791E-2</v>
      </c>
      <c r="AB13" s="58">
        <v>45896</v>
      </c>
      <c r="AC13" s="9">
        <v>99</v>
      </c>
    </row>
    <row r="14" spans="1:29" x14ac:dyDescent="0.25">
      <c r="A14" t="s">
        <v>128</v>
      </c>
      <c r="B14" t="s">
        <v>30</v>
      </c>
      <c r="C14" s="25" t="s">
        <v>129</v>
      </c>
      <c r="D14" s="2">
        <v>786.77660000000003</v>
      </c>
      <c r="E14" s="26">
        <v>39.9</v>
      </c>
      <c r="F14" s="3">
        <f t="shared" si="0"/>
        <v>31392.386340000001</v>
      </c>
      <c r="G14" s="3">
        <v>30514.1</v>
      </c>
      <c r="H14" s="4">
        <f t="shared" si="1"/>
        <v>38.78369031310794</v>
      </c>
      <c r="I14" s="3">
        <f t="shared" si="2"/>
        <v>878.28634000000238</v>
      </c>
      <c r="J14" s="26">
        <f t="shared" si="3"/>
        <v>1.116309686892059</v>
      </c>
      <c r="K14" s="27">
        <v>45840</v>
      </c>
      <c r="L14">
        <f t="shared" si="4"/>
        <v>1</v>
      </c>
      <c r="M14" s="5">
        <f t="shared" si="5"/>
        <v>2.8782967218433524E-2</v>
      </c>
      <c r="N14">
        <v>83</v>
      </c>
      <c r="O14">
        <v>97</v>
      </c>
      <c r="P14" s="64">
        <v>80</v>
      </c>
      <c r="Q14" s="28">
        <v>37.89</v>
      </c>
      <c r="R14" s="29">
        <f t="shared" si="6"/>
        <v>35.237700000000004</v>
      </c>
      <c r="S14" s="29">
        <v>34.869999999999997</v>
      </c>
      <c r="T14" s="31">
        <f t="shared" si="7"/>
        <v>47.362499999999997</v>
      </c>
      <c r="U14" s="28">
        <f t="shared" si="8"/>
        <v>56.835000000000001</v>
      </c>
      <c r="V14" s="28">
        <f t="shared" si="9"/>
        <v>75.78</v>
      </c>
      <c r="W14" s="28">
        <f t="shared" si="10"/>
        <v>36.068831991190386</v>
      </c>
      <c r="X14" s="29">
        <v>36</v>
      </c>
      <c r="Y14" s="5">
        <f t="shared" si="11"/>
        <v>-7.1774766419458555E-2</v>
      </c>
      <c r="Z14" s="6">
        <f t="shared" si="12"/>
        <v>6.0834581260115657E-2</v>
      </c>
      <c r="AB14" s="58">
        <v>45875</v>
      </c>
      <c r="AC14" s="9">
        <v>95</v>
      </c>
    </row>
    <row r="15" spans="1:29" x14ac:dyDescent="0.25">
      <c r="C15" s="25"/>
      <c r="D15" s="2"/>
      <c r="E15" s="26"/>
      <c r="F15" s="3">
        <f t="shared" ref="F15:F17" si="13">E15*D15</f>
        <v>0</v>
      </c>
      <c r="G15" s="3"/>
      <c r="H15" s="4" t="e">
        <f t="shared" ref="H15:H17" si="14">G15/D15</f>
        <v>#DIV/0!</v>
      </c>
      <c r="I15" s="3">
        <f t="shared" ref="I15:I17" si="15">F15-G15</f>
        <v>0</v>
      </c>
      <c r="J15" s="26" t="e">
        <f t="shared" ref="J15:J17" si="16">E15-H15</f>
        <v>#DIV/0!</v>
      </c>
      <c r="K15" s="27"/>
      <c r="L15">
        <f t="shared" ref="L15:L17" si="17">DAYS360(K15,$C$1)</f>
        <v>45183</v>
      </c>
      <c r="M15" s="5" t="e">
        <f t="shared" ref="M15:M17" si="18">(I15/G15)</f>
        <v>#DIV/0!</v>
      </c>
      <c r="P15" s="63"/>
      <c r="Q15" s="28"/>
      <c r="R15" s="29">
        <f t="shared" ref="R15:R17" si="19">Q15*0.93</f>
        <v>0</v>
      </c>
      <c r="S15" s="29"/>
      <c r="T15" s="31">
        <f t="shared" ref="T15:T17" si="20">Q15*1.25</f>
        <v>0</v>
      </c>
      <c r="U15" s="28">
        <f t="shared" ref="U15:U17" si="21">Q15*1.5</f>
        <v>0</v>
      </c>
      <c r="V15" s="28">
        <f t="shared" ref="V15:V17" si="22">Q15*2</f>
        <v>0</v>
      </c>
      <c r="W15" s="28" t="e">
        <f t="shared" ref="W15:W17" si="23">H15-(H15*0.07)</f>
        <v>#DIV/0!</v>
      </c>
      <c r="X15" s="29"/>
      <c r="Y15" s="5" t="e">
        <f t="shared" ref="Y15:Y17" si="24">(X15-H15)/H15</f>
        <v>#DIV/0!</v>
      </c>
      <c r="Z15" s="32">
        <f t="shared" ref="Z15:Z17" si="25">F15/F$20</f>
        <v>0</v>
      </c>
      <c r="AB15" s="58"/>
      <c r="AC15" s="9"/>
    </row>
    <row r="16" spans="1:29" x14ac:dyDescent="0.25">
      <c r="C16" s="25"/>
      <c r="D16" s="2"/>
      <c r="E16" s="26"/>
      <c r="F16" s="3">
        <f t="shared" si="13"/>
        <v>0</v>
      </c>
      <c r="G16" s="3"/>
      <c r="H16" s="4" t="e">
        <f t="shared" si="14"/>
        <v>#DIV/0!</v>
      </c>
      <c r="I16" s="3">
        <f t="shared" si="15"/>
        <v>0</v>
      </c>
      <c r="J16" s="26" t="e">
        <f t="shared" si="16"/>
        <v>#DIV/0!</v>
      </c>
      <c r="K16" s="27"/>
      <c r="L16">
        <f t="shared" si="17"/>
        <v>45183</v>
      </c>
      <c r="M16" s="5" t="e">
        <f t="shared" si="18"/>
        <v>#DIV/0!</v>
      </c>
      <c r="P16" s="63"/>
      <c r="Q16" s="28"/>
      <c r="R16" s="29">
        <f t="shared" si="19"/>
        <v>0</v>
      </c>
      <c r="S16" s="29"/>
      <c r="T16" s="28">
        <f t="shared" si="20"/>
        <v>0</v>
      </c>
      <c r="U16" s="28">
        <f t="shared" si="21"/>
        <v>0</v>
      </c>
      <c r="V16" s="28">
        <f t="shared" si="22"/>
        <v>0</v>
      </c>
      <c r="W16" s="28" t="e">
        <f t="shared" si="23"/>
        <v>#DIV/0!</v>
      </c>
      <c r="X16" s="29"/>
      <c r="Y16" s="5" t="e">
        <f t="shared" si="24"/>
        <v>#DIV/0!</v>
      </c>
      <c r="Z16" s="32">
        <f t="shared" si="25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3"/>
        <v>0</v>
      </c>
      <c r="G17" s="39"/>
      <c r="H17" s="40" t="e">
        <f t="shared" si="14"/>
        <v>#DIV/0!</v>
      </c>
      <c r="I17" s="39">
        <f t="shared" si="15"/>
        <v>0</v>
      </c>
      <c r="J17" s="38" t="e">
        <f t="shared" si="16"/>
        <v>#DIV/0!</v>
      </c>
      <c r="K17" s="41"/>
      <c r="L17" s="35">
        <f t="shared" si="17"/>
        <v>45183</v>
      </c>
      <c r="M17" s="42" t="e">
        <f t="shared" si="18"/>
        <v>#DIV/0!</v>
      </c>
      <c r="N17" s="35"/>
      <c r="O17" s="35"/>
      <c r="P17" s="65"/>
      <c r="Q17" s="44"/>
      <c r="R17" s="45">
        <f t="shared" si="19"/>
        <v>0</v>
      </c>
      <c r="S17" s="45"/>
      <c r="T17" s="46">
        <f t="shared" si="20"/>
        <v>0</v>
      </c>
      <c r="U17" s="44">
        <f t="shared" si="21"/>
        <v>0</v>
      </c>
      <c r="V17" s="44">
        <f t="shared" si="22"/>
        <v>0</v>
      </c>
      <c r="W17" s="44" t="e">
        <f t="shared" si="23"/>
        <v>#DIV/0!</v>
      </c>
      <c r="X17" s="45"/>
      <c r="Y17" s="42" t="e">
        <f t="shared" si="24"/>
        <v>#DIV/0!</v>
      </c>
      <c r="Z17" s="47">
        <f t="shared" si="25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381589.64176499995</v>
      </c>
      <c r="G18" s="3">
        <f>SUM(G6:G17)</f>
        <v>320871.39576658269</v>
      </c>
      <c r="H18" s="4"/>
      <c r="I18" s="3">
        <f>SUM(I6:I17)</f>
        <v>60718.245998417275</v>
      </c>
      <c r="M18" s="5"/>
      <c r="Z18" s="6"/>
    </row>
    <row r="19" spans="1:29" x14ac:dyDescent="0.25">
      <c r="D19" s="2" t="s">
        <v>44</v>
      </c>
      <c r="F19" s="3">
        <v>134439</v>
      </c>
      <c r="G19" s="6">
        <f>F19/F20</f>
        <v>0.26052623656735641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516028.64176499995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'06-27-25'!F20</f>
        <v>514371.88556600001</v>
      </c>
      <c r="K21" s="1">
        <v>45657</v>
      </c>
      <c r="L21" s="50">
        <v>170762</v>
      </c>
      <c r="M21" s="50">
        <v>178303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3.2209307030396711E-3</v>
      </c>
      <c r="K22" s="9" t="s">
        <v>123</v>
      </c>
      <c r="L22" s="6">
        <f>(M21-L21)/L21</f>
        <v>4.416087888406086E-2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26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26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27">F28/D28</f>
        <v>44.698790833464948</v>
      </c>
      <c r="F28" s="3">
        <v>56489.42</v>
      </c>
      <c r="G28" s="56">
        <v>75501.87</v>
      </c>
      <c r="H28" s="57">
        <f t="shared" ref="H28:H47" si="28">G28/D28</f>
        <v>59.742909285764696</v>
      </c>
      <c r="I28" s="57">
        <f t="shared" ref="I28:I47" si="29">G28-F28</f>
        <v>19012.449999999997</v>
      </c>
      <c r="J28" s="6">
        <f t="shared" ref="J28:J47" si="30">I28/F28</f>
        <v>0.33656656414599401</v>
      </c>
      <c r="K28" s="1">
        <v>45527</v>
      </c>
      <c r="L28" s="1">
        <v>45688</v>
      </c>
      <c r="M28">
        <f t="shared" si="26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27"/>
        <v>169.90901206845703</v>
      </c>
      <c r="F29" s="3">
        <f>59492.79+21969.78</f>
        <v>81462.570000000007</v>
      </c>
      <c r="G29" s="56">
        <v>65047.58</v>
      </c>
      <c r="H29" s="57">
        <f t="shared" si="28"/>
        <v>135.67175765807443</v>
      </c>
      <c r="I29" s="57">
        <f t="shared" si="29"/>
        <v>-16414.990000000005</v>
      </c>
      <c r="J29" s="6">
        <f t="shared" si="30"/>
        <v>-0.20150346349249729</v>
      </c>
      <c r="K29" s="1">
        <v>45671</v>
      </c>
      <c r="L29" s="1">
        <v>45688</v>
      </c>
      <c r="M29">
        <f t="shared" si="26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27"/>
        <v>18.702010092477405</v>
      </c>
      <c r="F30" s="3">
        <v>56486.59</v>
      </c>
      <c r="G30" s="56">
        <v>71124.88</v>
      </c>
      <c r="H30" s="57">
        <f t="shared" si="28"/>
        <v>23.548566546258936</v>
      </c>
      <c r="I30" s="57">
        <f t="shared" si="29"/>
        <v>14638.290000000008</v>
      </c>
      <c r="J30" s="6">
        <f t="shared" si="30"/>
        <v>0.25914628587068206</v>
      </c>
      <c r="K30" s="1">
        <v>45527</v>
      </c>
      <c r="L30" s="1">
        <v>45691</v>
      </c>
      <c r="M30">
        <f t="shared" si="26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27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28"/>
        <v>38.249853000000002</v>
      </c>
      <c r="I31" s="57">
        <f t="shared" si="29"/>
        <v>-6110.386336591735</v>
      </c>
      <c r="J31" s="6">
        <f t="shared" si="30"/>
        <v>-0.10005621882176895</v>
      </c>
      <c r="K31" s="1">
        <v>45706</v>
      </c>
      <c r="L31" s="1">
        <v>45708</v>
      </c>
      <c r="M31">
        <f t="shared" si="26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27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28"/>
        <v>531.63995279999995</v>
      </c>
      <c r="I32" s="57">
        <f t="shared" si="29"/>
        <v>-22176.243614196137</v>
      </c>
      <c r="J32" s="6">
        <f t="shared" si="30"/>
        <v>-0.24194911929355969</v>
      </c>
      <c r="K32" s="1">
        <v>45706</v>
      </c>
      <c r="L32" s="1">
        <v>45708</v>
      </c>
      <c r="M32">
        <f t="shared" si="26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27"/>
        <v>368.56522253629635</v>
      </c>
      <c r="F33" s="3">
        <v>74438.86</v>
      </c>
      <c r="G33" s="56">
        <f>201.9693*360.5332483</f>
        <v>72816.647785877198</v>
      </c>
      <c r="H33" s="57">
        <f t="shared" si="28"/>
        <v>360.53324830000003</v>
      </c>
      <c r="I33" s="57">
        <f t="shared" si="29"/>
        <v>-1622.2122141228028</v>
      </c>
      <c r="J33" s="6">
        <f t="shared" si="30"/>
        <v>-2.1792545105107773E-2</v>
      </c>
      <c r="K33" s="1">
        <v>45664</v>
      </c>
      <c r="L33" s="1">
        <v>45708</v>
      </c>
      <c r="M33">
        <f t="shared" si="26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27"/>
        <v>30.17825528482809</v>
      </c>
      <c r="F34" s="3">
        <v>37884.65</v>
      </c>
      <c r="G34" s="56">
        <f>1255.3625*39.762296</f>
        <v>49916.0953123</v>
      </c>
      <c r="H34" s="57">
        <f t="shared" si="28"/>
        <v>39.762295999999999</v>
      </c>
      <c r="I34" s="57">
        <f t="shared" si="29"/>
        <v>12031.445312299998</v>
      </c>
      <c r="J34" s="6">
        <f t="shared" si="30"/>
        <v>0.31758100740801348</v>
      </c>
      <c r="K34" s="1">
        <v>45663</v>
      </c>
      <c r="L34" s="1">
        <v>45709</v>
      </c>
      <c r="M34">
        <f t="shared" si="26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27"/>
        <v>242.26930551548847</v>
      </c>
      <c r="F35" s="3">
        <v>61221.72</v>
      </c>
      <c r="G35" s="56">
        <f>252.7011*226.6146532</f>
        <v>57265.772139758519</v>
      </c>
      <c r="H35" s="57">
        <f t="shared" si="28"/>
        <v>226.61465319999999</v>
      </c>
      <c r="I35" s="57">
        <f t="shared" si="29"/>
        <v>-3955.947860241482</v>
      </c>
      <c r="J35" s="6">
        <f t="shared" si="30"/>
        <v>-6.4616738311852093E-2</v>
      </c>
      <c r="K35" s="1">
        <v>45699</v>
      </c>
      <c r="L35" s="1">
        <v>45709</v>
      </c>
      <c r="M35">
        <f t="shared" si="26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27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28"/>
        <v>283.93999450000007</v>
      </c>
      <c r="I36" s="57">
        <f t="shared" si="29"/>
        <v>19563.525282954361</v>
      </c>
      <c r="J36" s="6">
        <f t="shared" si="30"/>
        <v>0.36434300703793465</v>
      </c>
      <c r="K36" s="1">
        <v>45580</v>
      </c>
      <c r="L36" s="1">
        <v>45712</v>
      </c>
      <c r="M36">
        <f t="shared" si="26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27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28"/>
        <v>63.365330900000004</v>
      </c>
      <c r="I37" s="57">
        <f t="shared" si="29"/>
        <v>-4549.5912833559851</v>
      </c>
      <c r="J37" s="6">
        <f t="shared" si="30"/>
        <v>-5.9638082078758516E-2</v>
      </c>
      <c r="K37" s="1">
        <v>45673</v>
      </c>
      <c r="L37" s="1">
        <v>45712</v>
      </c>
      <c r="M37">
        <f t="shared" si="26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28"/>
        <v>50.021380499999999</v>
      </c>
      <c r="I38" s="57">
        <f t="shared" si="29"/>
        <v>6027.2875116823998</v>
      </c>
      <c r="J38" s="6">
        <f t="shared" si="30"/>
        <v>9.9771440635884723E-2</v>
      </c>
      <c r="K38" s="1">
        <v>45593</v>
      </c>
      <c r="L38" s="1">
        <v>45713</v>
      </c>
      <c r="M38">
        <f t="shared" si="26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28"/>
        <v>12.519992000000002</v>
      </c>
      <c r="I39" s="57">
        <f t="shared" si="29"/>
        <v>-2230.6527810991975</v>
      </c>
      <c r="J39" s="6">
        <f t="shared" si="30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28"/>
        <v>94.679995300000002</v>
      </c>
      <c r="I40" s="57">
        <f t="shared" si="29"/>
        <v>-4750.690604140058</v>
      </c>
      <c r="J40" s="6">
        <f t="shared" si="30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49" si="31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28"/>
        <v>18.9477051</v>
      </c>
      <c r="I41" s="57">
        <f t="shared" si="29"/>
        <v>-2244.5195874142191</v>
      </c>
      <c r="J41" s="6">
        <f t="shared" si="30"/>
        <v>-8.2776138273503941E-2</v>
      </c>
      <c r="K41" s="1">
        <v>45761</v>
      </c>
      <c r="L41" s="1">
        <v>45768</v>
      </c>
      <c r="M41">
        <f t="shared" ref="M41:M49" si="32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31"/>
        <v>96.336406065231671</v>
      </c>
      <c r="F42" s="3">
        <v>34004.42</v>
      </c>
      <c r="G42" s="56">
        <f>352.9758*89.7849585</f>
        <v>31691.9175545043</v>
      </c>
      <c r="H42" s="57">
        <f t="shared" si="28"/>
        <v>89.784958500000002</v>
      </c>
      <c r="I42" s="57">
        <f t="shared" si="29"/>
        <v>-2312.5024454956983</v>
      </c>
      <c r="J42" s="6">
        <f t="shared" si="30"/>
        <v>-6.8005937036882222E-2</v>
      </c>
      <c r="K42" s="1">
        <v>45762</v>
      </c>
      <c r="L42" s="1">
        <v>45768</v>
      </c>
      <c r="M42">
        <f t="shared" si="32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31"/>
        <v>16.992624876012847</v>
      </c>
      <c r="F43" s="3">
        <v>37971.83</v>
      </c>
      <c r="G43" s="56">
        <f>2234.6065*13.3067232</f>
        <v>29735.2901564208</v>
      </c>
      <c r="H43" s="57">
        <f t="shared" si="28"/>
        <v>13.3067232</v>
      </c>
      <c r="I43" s="57">
        <f t="shared" si="29"/>
        <v>-8236.5398435792013</v>
      </c>
      <c r="J43" s="6">
        <f t="shared" si="30"/>
        <v>-0.21691184869360261</v>
      </c>
      <c r="K43" s="1">
        <v>45652</v>
      </c>
      <c r="L43" s="1">
        <v>45785</v>
      </c>
      <c r="M43">
        <f t="shared" si="32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31"/>
        <v>38.101812248436303</v>
      </c>
      <c r="F44" s="3">
        <v>21940.86</v>
      </c>
      <c r="G44" s="56">
        <f>575.8482*32.7857042</f>
        <v>18879.588749302438</v>
      </c>
      <c r="H44" s="57">
        <f t="shared" si="28"/>
        <v>32.785704199999998</v>
      </c>
      <c r="I44" s="57">
        <f t="shared" si="29"/>
        <v>-3061.2712506975622</v>
      </c>
      <c r="J44" s="6">
        <f t="shared" si="30"/>
        <v>-0.13952375844417958</v>
      </c>
      <c r="K44" s="1">
        <v>45761</v>
      </c>
      <c r="L44" s="1">
        <v>45790</v>
      </c>
      <c r="M44">
        <f t="shared" si="32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31"/>
        <v>24.570291674143743</v>
      </c>
      <c r="F45" s="3">
        <v>23591.34</v>
      </c>
      <c r="G45" s="56">
        <v>19396.37</v>
      </c>
      <c r="H45" s="57">
        <f t="shared" si="28"/>
        <v>20.201246233559068</v>
      </c>
      <c r="I45" s="57">
        <f t="shared" si="29"/>
        <v>-4194.9700000000012</v>
      </c>
      <c r="J45" s="6">
        <f t="shared" si="30"/>
        <v>-0.17781821634548953</v>
      </c>
      <c r="K45" s="1">
        <v>45776</v>
      </c>
      <c r="L45" s="1">
        <v>45812</v>
      </c>
      <c r="M45">
        <f t="shared" si="32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31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28"/>
        <v>84.038907800000004</v>
      </c>
      <c r="I46" s="57">
        <f t="shared" si="29"/>
        <v>-3907.8121523372101</v>
      </c>
      <c r="J46" s="6">
        <f t="shared" si="30"/>
        <v>-0.14246372001691271</v>
      </c>
      <c r="K46" s="1">
        <v>45782</v>
      </c>
      <c r="L46" s="1">
        <v>45818</v>
      </c>
      <c r="M46">
        <f t="shared" si="32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31"/>
        <v>40.437100849618155</v>
      </c>
      <c r="F47" s="3">
        <f>22877.09+14244.67</f>
        <v>37121.760000000002</v>
      </c>
      <c r="G47" s="56">
        <v>34659.56</v>
      </c>
      <c r="H47" s="57">
        <f t="shared" si="28"/>
        <v>37.755002002151599</v>
      </c>
      <c r="I47" s="57">
        <f t="shared" si="29"/>
        <v>-2462.2000000000044</v>
      </c>
      <c r="J47" s="6">
        <f t="shared" si="30"/>
        <v>-6.6327674118899643E-2</v>
      </c>
      <c r="K47" s="1">
        <v>45782</v>
      </c>
      <c r="L47" s="1">
        <v>45828</v>
      </c>
      <c r="M47">
        <f t="shared" si="32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31"/>
        <v>123.70183817297092</v>
      </c>
      <c r="F48" s="3">
        <f>22876.67+14197.82+14808.77</f>
        <v>51883.259999999995</v>
      </c>
      <c r="G48" s="56">
        <v>55156.07</v>
      </c>
      <c r="H48" s="57">
        <f t="shared" ref="H48" si="33">G48/D48</f>
        <v>131.50498340692272</v>
      </c>
      <c r="I48" s="57">
        <f t="shared" ref="I48" si="34">G48-F48</f>
        <v>3272.8100000000049</v>
      </c>
      <c r="J48" s="6">
        <f t="shared" ref="J48" si="35">I48/F48</f>
        <v>6.3080269050171583E-2</v>
      </c>
      <c r="K48" s="1">
        <v>45782</v>
      </c>
      <c r="L48" s="1">
        <v>45839</v>
      </c>
      <c r="M48">
        <f t="shared" si="32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31"/>
        <v>63.194998844628557</v>
      </c>
      <c r="F49" s="3">
        <v>36072.47</v>
      </c>
      <c r="G49" s="56">
        <v>51786.91</v>
      </c>
      <c r="H49" s="57">
        <f t="shared" ref="H49" si="36">G49/D49</f>
        <v>90.724968864535285</v>
      </c>
      <c r="I49" s="57">
        <f t="shared" ref="I49" si="37">G49-F49</f>
        <v>15714.440000000002</v>
      </c>
      <c r="J49" s="6">
        <f t="shared" ref="J49" si="38">I49/F49</f>
        <v>0.43563526423336141</v>
      </c>
      <c r="K49" s="1">
        <v>45796</v>
      </c>
      <c r="L49" s="1">
        <v>45839</v>
      </c>
      <c r="M49">
        <f t="shared" si="32"/>
        <v>42</v>
      </c>
    </row>
    <row r="50" spans="1:13" x14ac:dyDescent="0.25">
      <c r="C50" s="25"/>
      <c r="D50" s="2"/>
      <c r="E50" s="57"/>
      <c r="F50" s="3"/>
      <c r="G50" s="56"/>
      <c r="H50" s="57"/>
      <c r="I50" s="57"/>
      <c r="J50" s="6"/>
      <c r="K50" s="1"/>
      <c r="L50" s="1"/>
    </row>
    <row r="51" spans="1:13" x14ac:dyDescent="0.25">
      <c r="F51" s="56"/>
      <c r="G51" s="56"/>
      <c r="H51" s="3"/>
      <c r="I51" s="3">
        <f>SUM(I26:I50)</f>
        <v>-5734.3018663345247</v>
      </c>
      <c r="J51" s="13" t="s">
        <v>66</v>
      </c>
    </row>
    <row r="52" spans="1:13" x14ac:dyDescent="0.25">
      <c r="F52" s="56"/>
      <c r="G52" s="56"/>
      <c r="H52" s="3" t="s">
        <v>67</v>
      </c>
      <c r="I52" s="59">
        <v>17</v>
      </c>
      <c r="J52" s="5">
        <v>-0.1106</v>
      </c>
    </row>
    <row r="53" spans="1:13" x14ac:dyDescent="0.25">
      <c r="F53" s="56"/>
      <c r="G53" s="56"/>
      <c r="H53" s="3" t="s">
        <v>68</v>
      </c>
      <c r="I53" s="59">
        <v>7</v>
      </c>
      <c r="J53" s="5">
        <v>0.26811000000000001</v>
      </c>
    </row>
    <row r="54" spans="1:13" x14ac:dyDescent="0.25">
      <c r="F54" s="56"/>
      <c r="G54" s="56"/>
      <c r="J54" s="6"/>
    </row>
    <row r="55" spans="1:13" x14ac:dyDescent="0.25">
      <c r="F55" s="56"/>
      <c r="G55" s="56"/>
      <c r="J55" s="6"/>
    </row>
    <row r="56" spans="1:13" x14ac:dyDescent="0.25">
      <c r="F56" s="56"/>
      <c r="G56" s="56"/>
      <c r="J56" s="6"/>
    </row>
    <row r="57" spans="1:13" x14ac:dyDescent="0.25">
      <c r="F57" s="56"/>
      <c r="G57" s="56"/>
      <c r="J57" s="6"/>
    </row>
    <row r="58" spans="1:13" x14ac:dyDescent="0.25">
      <c r="F58" s="56"/>
      <c r="G58" s="56"/>
      <c r="J58" s="6"/>
    </row>
    <row r="59" spans="1:13" x14ac:dyDescent="0.25">
      <c r="F59" s="56"/>
      <c r="G59" s="56"/>
      <c r="J59" s="6"/>
    </row>
    <row r="60" spans="1:13" x14ac:dyDescent="0.25">
      <c r="F60" s="56"/>
      <c r="G60" s="56"/>
      <c r="J60" s="6"/>
    </row>
    <row r="61" spans="1:13" x14ac:dyDescent="0.25">
      <c r="F61" s="56"/>
      <c r="G61" s="56"/>
      <c r="J61" s="6"/>
    </row>
    <row r="62" spans="1:13" x14ac:dyDescent="0.25">
      <c r="F62" s="56"/>
      <c r="G62" s="56"/>
      <c r="J62" s="6"/>
    </row>
    <row r="63" spans="1:13" x14ac:dyDescent="0.25">
      <c r="F63" s="56"/>
      <c r="G63" s="56"/>
      <c r="J63" s="6"/>
    </row>
    <row r="64" spans="1:13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</row>
    <row r="78" spans="6:10" x14ac:dyDescent="0.25">
      <c r="F78" s="56"/>
      <c r="G78" s="56"/>
    </row>
    <row r="79" spans="6:10" x14ac:dyDescent="0.25">
      <c r="F79" s="56"/>
      <c r="G79" s="56"/>
    </row>
    <row r="80" spans="6:10" x14ac:dyDescent="0.25">
      <c r="F80" s="56"/>
      <c r="G80" s="56"/>
    </row>
    <row r="81" spans="6:7" x14ac:dyDescent="0.25">
      <c r="F81" s="56"/>
      <c r="G81" s="56"/>
    </row>
    <row r="82" spans="6:7" x14ac:dyDescent="0.25">
      <c r="F82" s="56"/>
      <c r="G82" s="56"/>
    </row>
  </sheetData>
  <sortState xmlns:xlrd2="http://schemas.microsoft.com/office/spreadsheetml/2017/richdata2" ref="A7:AC12">
    <sortCondition descending="1" ref="L7:L12"/>
  </sortState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131A-BFDD-45FB-AB3D-5C600EC1061D}">
  <dimension ref="A1:AC82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45849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71</v>
      </c>
      <c r="B7" t="s">
        <v>30</v>
      </c>
      <c r="C7" t="s">
        <v>72</v>
      </c>
      <c r="D7" s="2">
        <f>98.1877+35.2566</f>
        <v>133.4443</v>
      </c>
      <c r="E7" s="26">
        <v>539.16</v>
      </c>
      <c r="F7" s="3">
        <f t="shared" ref="F7:F17" si="0">E7*D7</f>
        <v>71947.828787999999</v>
      </c>
      <c r="G7" s="3">
        <f>34962.9+15401.92</f>
        <v>50364.82</v>
      </c>
      <c r="H7" s="4">
        <f t="shared" ref="H7:H17" si="1">G7/D7</f>
        <v>377.42204050678822</v>
      </c>
      <c r="I7" s="3">
        <f t="shared" ref="I7:I17" si="2">F7-G7</f>
        <v>21583.008787999999</v>
      </c>
      <c r="J7" s="26">
        <f t="shared" ref="J7:J17" si="3">E7-H7</f>
        <v>161.73795949321175</v>
      </c>
      <c r="K7" s="27">
        <v>45771</v>
      </c>
      <c r="L7">
        <f t="shared" ref="L7:L17" si="4">DAYS360(K7,$C$1)</f>
        <v>77</v>
      </c>
      <c r="M7" s="5">
        <f t="shared" ref="M7:M17" si="5">(I7/G7)</f>
        <v>0.42853342448161236</v>
      </c>
      <c r="N7">
        <v>2</v>
      </c>
      <c r="O7">
        <v>97</v>
      </c>
      <c r="P7" s="33">
        <v>81</v>
      </c>
      <c r="Q7" s="28">
        <v>444</v>
      </c>
      <c r="R7" s="29">
        <f t="shared" ref="R7:R17" si="6">Q7*0.93</f>
        <v>412.92</v>
      </c>
      <c r="S7" s="29">
        <v>462</v>
      </c>
      <c r="T7" s="28">
        <f t="shared" ref="T7:T17" si="7">Q7*1.25</f>
        <v>555</v>
      </c>
      <c r="U7" s="28">
        <f t="shared" ref="U7:U17" si="8">Q7*1.5</f>
        <v>666</v>
      </c>
      <c r="V7" s="28">
        <f t="shared" ref="V7:V17" si="9">Q7*2</f>
        <v>888</v>
      </c>
      <c r="W7" s="28">
        <f t="shared" ref="W7:W17" si="10">H7-(H7*0.07)</f>
        <v>351.00249767131305</v>
      </c>
      <c r="X7" s="29">
        <v>450</v>
      </c>
      <c r="Y7" s="5">
        <f t="shared" ref="Y7:Y17" si="11">(X7-H7)/H7</f>
        <v>0.19229920805832326</v>
      </c>
      <c r="Z7" s="32">
        <f t="shared" ref="Z7:Z17" si="12">F7/F$20</f>
        <v>0.13874569106790413</v>
      </c>
      <c r="AB7" s="58">
        <v>45861</v>
      </c>
      <c r="AC7" s="9">
        <v>97</v>
      </c>
    </row>
    <row r="8" spans="1:29" x14ac:dyDescent="0.25">
      <c r="A8" t="s">
        <v>111</v>
      </c>
      <c r="B8" t="s">
        <v>30</v>
      </c>
      <c r="C8" s="25" t="s">
        <v>112</v>
      </c>
      <c r="D8" s="2">
        <f>362.8226+163.9908</f>
        <v>526.8134</v>
      </c>
      <c r="E8" s="26">
        <v>105.69</v>
      </c>
      <c r="F8" s="3">
        <f t="shared" si="0"/>
        <v>55678.908245999999</v>
      </c>
      <c r="G8" s="3">
        <f>26856.13+12527.28</f>
        <v>39383.410000000003</v>
      </c>
      <c r="H8" s="4">
        <f t="shared" si="1"/>
        <v>74.757798491837917</v>
      </c>
      <c r="I8" s="3">
        <f t="shared" si="2"/>
        <v>16295.498245999996</v>
      </c>
      <c r="J8" s="26">
        <f t="shared" si="3"/>
        <v>30.93220150816208</v>
      </c>
      <c r="K8" s="27">
        <v>45789</v>
      </c>
      <c r="L8">
        <f t="shared" si="4"/>
        <v>59</v>
      </c>
      <c r="M8" s="5">
        <f t="shared" si="5"/>
        <v>0.41376554864091236</v>
      </c>
      <c r="N8">
        <v>21</v>
      </c>
      <c r="O8">
        <v>98</v>
      </c>
      <c r="P8" s="63">
        <v>39</v>
      </c>
      <c r="Q8" s="28">
        <v>74.239999999999995</v>
      </c>
      <c r="R8" s="29">
        <f t="shared" si="6"/>
        <v>69.043199999999999</v>
      </c>
      <c r="S8" s="29">
        <v>78.66</v>
      </c>
      <c r="T8" s="28">
        <f t="shared" si="7"/>
        <v>92.8</v>
      </c>
      <c r="U8" s="28">
        <f t="shared" si="8"/>
        <v>111.35999999999999</v>
      </c>
      <c r="V8" s="28">
        <f t="shared" si="9"/>
        <v>148.47999999999999</v>
      </c>
      <c r="W8" s="28">
        <f t="shared" si="10"/>
        <v>69.524752597409261</v>
      </c>
      <c r="X8" s="29">
        <v>92</v>
      </c>
      <c r="Y8" s="5">
        <f t="shared" si="11"/>
        <v>0.23064084090229853</v>
      </c>
      <c r="Z8" s="6">
        <f t="shared" si="12"/>
        <v>0.10737236595784755</v>
      </c>
      <c r="AB8" s="58">
        <v>45875</v>
      </c>
      <c r="AC8" s="9">
        <v>92</v>
      </c>
    </row>
    <row r="9" spans="1:29" x14ac:dyDescent="0.25">
      <c r="A9" t="s">
        <v>113</v>
      </c>
      <c r="B9" t="s">
        <v>30</v>
      </c>
      <c r="C9" s="25" t="s">
        <v>114</v>
      </c>
      <c r="D9" s="2">
        <f>392.3916+221.1479</f>
        <v>613.53949999999998</v>
      </c>
      <c r="E9" s="26">
        <v>95.39</v>
      </c>
      <c r="F9" s="3">
        <f t="shared" si="0"/>
        <v>58525.532905</v>
      </c>
      <c r="G9" s="3">
        <f>35895.15+19479.74</f>
        <v>55374.89</v>
      </c>
      <c r="H9" s="4">
        <f t="shared" si="1"/>
        <v>90.254808370121239</v>
      </c>
      <c r="I9" s="3">
        <f t="shared" si="2"/>
        <v>3150.6429050000006</v>
      </c>
      <c r="J9" s="26">
        <f t="shared" si="3"/>
        <v>5.1351916298787614</v>
      </c>
      <c r="K9" s="27">
        <v>45793</v>
      </c>
      <c r="L9">
        <f t="shared" si="4"/>
        <v>55</v>
      </c>
      <c r="M9" s="5">
        <f t="shared" si="5"/>
        <v>5.6896598891663722E-2</v>
      </c>
      <c r="N9">
        <v>6</v>
      </c>
      <c r="O9">
        <v>87</v>
      </c>
      <c r="P9" s="63">
        <v>82</v>
      </c>
      <c r="Q9" s="28">
        <v>87</v>
      </c>
      <c r="R9" s="29">
        <f t="shared" si="6"/>
        <v>80.910000000000011</v>
      </c>
      <c r="S9" s="29">
        <v>81.86</v>
      </c>
      <c r="T9" s="28">
        <f t="shared" si="7"/>
        <v>108.75</v>
      </c>
      <c r="U9" s="28">
        <f t="shared" si="8"/>
        <v>130.5</v>
      </c>
      <c r="V9" s="28">
        <f t="shared" si="9"/>
        <v>174</v>
      </c>
      <c r="W9" s="28">
        <f t="shared" si="10"/>
        <v>83.936971784212744</v>
      </c>
      <c r="X9" s="29">
        <v>85</v>
      </c>
      <c r="Y9" s="5">
        <f t="shared" si="11"/>
        <v>-5.8221921524358781E-2</v>
      </c>
      <c r="Z9" s="32">
        <f t="shared" si="12"/>
        <v>0.11286185622012723</v>
      </c>
      <c r="AB9" s="58">
        <v>45874</v>
      </c>
      <c r="AC9" s="9">
        <v>97</v>
      </c>
    </row>
    <row r="10" spans="1:29" x14ac:dyDescent="0.25">
      <c r="A10" t="s">
        <v>118</v>
      </c>
      <c r="B10" t="s">
        <v>30</v>
      </c>
      <c r="C10" s="25" t="s">
        <v>119</v>
      </c>
      <c r="D10" s="2">
        <f>605.0016+550.0434</f>
        <v>1155.0450000000001</v>
      </c>
      <c r="E10" s="26">
        <v>37.479999999999997</v>
      </c>
      <c r="F10" s="3">
        <f t="shared" si="0"/>
        <v>43291.086600000002</v>
      </c>
      <c r="G10" s="3">
        <f>(605.0016*29.7738017)+17708.65</f>
        <v>35721.847666582718</v>
      </c>
      <c r="H10" s="4">
        <f t="shared" si="1"/>
        <v>30.926801697408081</v>
      </c>
      <c r="I10" s="3">
        <f t="shared" si="2"/>
        <v>7569.238933417284</v>
      </c>
      <c r="J10" s="26">
        <f t="shared" si="3"/>
        <v>6.553198302591916</v>
      </c>
      <c r="K10" s="27">
        <v>45800</v>
      </c>
      <c r="L10">
        <f t="shared" si="4"/>
        <v>48</v>
      </c>
      <c r="M10" s="5">
        <f t="shared" si="5"/>
        <v>0.21189382486780492</v>
      </c>
      <c r="N10">
        <v>2</v>
      </c>
      <c r="O10">
        <v>98</v>
      </c>
      <c r="P10" s="63">
        <v>18</v>
      </c>
      <c r="Q10" s="28">
        <v>29.66</v>
      </c>
      <c r="R10" s="29">
        <f t="shared" si="6"/>
        <v>27.5838</v>
      </c>
      <c r="S10" s="29">
        <v>29.66</v>
      </c>
      <c r="T10" s="31">
        <f t="shared" si="7"/>
        <v>37.075000000000003</v>
      </c>
      <c r="U10" s="28">
        <f t="shared" si="8"/>
        <v>44.49</v>
      </c>
      <c r="V10" s="28">
        <f t="shared" si="9"/>
        <v>59.32</v>
      </c>
      <c r="W10" s="28">
        <f t="shared" si="10"/>
        <v>28.761925578589516</v>
      </c>
      <c r="X10" s="29">
        <v>32</v>
      </c>
      <c r="Y10" s="5">
        <f t="shared" si="11"/>
        <v>3.4701237880729902E-2</v>
      </c>
      <c r="Z10" s="6">
        <f t="shared" si="12"/>
        <v>8.3483432767595692E-2</v>
      </c>
      <c r="AB10" s="58">
        <v>45876</v>
      </c>
      <c r="AC10" s="9">
        <v>87</v>
      </c>
    </row>
    <row r="11" spans="1:29" x14ac:dyDescent="0.25">
      <c r="A11" t="s">
        <v>121</v>
      </c>
      <c r="B11" t="s">
        <v>30</v>
      </c>
      <c r="C11" s="25" t="s">
        <v>122</v>
      </c>
      <c r="D11" s="2">
        <f>1070.2094+395.2675</f>
        <v>1465.4768999999999</v>
      </c>
      <c r="E11" s="26">
        <v>20.5</v>
      </c>
      <c r="F11" s="3">
        <f t="shared" si="0"/>
        <v>30042.276449999998</v>
      </c>
      <c r="G11" s="3">
        <f>18821.97+11334.33</f>
        <v>30156.300000000003</v>
      </c>
      <c r="H11" s="4">
        <f t="shared" si="1"/>
        <v>20.577806446488516</v>
      </c>
      <c r="I11" s="3">
        <f t="shared" si="2"/>
        <v>-114.02355000000534</v>
      </c>
      <c r="J11" s="26">
        <f t="shared" si="3"/>
        <v>-7.7806446488516201E-2</v>
      </c>
      <c r="K11" s="27">
        <v>45814</v>
      </c>
      <c r="L11">
        <f t="shared" si="4"/>
        <v>35</v>
      </c>
      <c r="M11" s="5">
        <f t="shared" si="5"/>
        <v>-3.7810855443143002E-3</v>
      </c>
      <c r="N11">
        <v>14</v>
      </c>
      <c r="O11">
        <v>15</v>
      </c>
      <c r="P11" s="63">
        <v>81</v>
      </c>
      <c r="Q11" s="28">
        <v>16.399999999999999</v>
      </c>
      <c r="R11" s="29">
        <f t="shared" si="6"/>
        <v>15.251999999999999</v>
      </c>
      <c r="S11" s="29">
        <v>11.01</v>
      </c>
      <c r="T11" s="28">
        <f t="shared" si="7"/>
        <v>20.5</v>
      </c>
      <c r="U11" s="28">
        <f t="shared" si="8"/>
        <v>24.599999999999998</v>
      </c>
      <c r="V11" s="28">
        <f t="shared" si="9"/>
        <v>32.799999999999997</v>
      </c>
      <c r="W11" s="28">
        <f t="shared" si="10"/>
        <v>19.13735999523432</v>
      </c>
      <c r="X11" s="29">
        <v>25</v>
      </c>
      <c r="Y11" s="5">
        <f t="shared" si="11"/>
        <v>0.21490111518986055</v>
      </c>
      <c r="Z11" s="6">
        <f t="shared" si="12"/>
        <v>5.793415141950025E-2</v>
      </c>
      <c r="AB11" s="58">
        <v>45887</v>
      </c>
      <c r="AC11" s="9">
        <v>97</v>
      </c>
    </row>
    <row r="12" spans="1:29" x14ac:dyDescent="0.25">
      <c r="A12" t="s">
        <v>124</v>
      </c>
      <c r="B12" t="s">
        <v>30</v>
      </c>
      <c r="C12" s="25" t="s">
        <v>125</v>
      </c>
      <c r="D12" s="2">
        <f>915.359+608.2121</f>
        <v>1523.5711000000001</v>
      </c>
      <c r="E12" s="26">
        <v>39.03</v>
      </c>
      <c r="F12" s="3">
        <f t="shared" si="0"/>
        <v>59464.980033000007</v>
      </c>
      <c r="G12" s="3">
        <f>28630.6+20162.2481</f>
        <v>48792.848100000003</v>
      </c>
      <c r="H12" s="4">
        <f t="shared" si="1"/>
        <v>32.025317426932027</v>
      </c>
      <c r="I12" s="3">
        <f t="shared" si="2"/>
        <v>10672.131933000004</v>
      </c>
      <c r="J12" s="26">
        <f t="shared" si="3"/>
        <v>7.0046825730679743</v>
      </c>
      <c r="K12" s="27">
        <v>45817</v>
      </c>
      <c r="L12">
        <f t="shared" si="4"/>
        <v>32</v>
      </c>
      <c r="M12" s="5">
        <f t="shared" si="5"/>
        <v>0.21872328319772757</v>
      </c>
      <c r="N12">
        <v>7</v>
      </c>
      <c r="O12">
        <v>99</v>
      </c>
      <c r="P12" s="63">
        <v>13</v>
      </c>
      <c r="Q12" s="28">
        <v>30.78</v>
      </c>
      <c r="R12" s="29">
        <f t="shared" si="6"/>
        <v>28.625400000000003</v>
      </c>
      <c r="S12" s="29">
        <v>26.45</v>
      </c>
      <c r="T12" s="28">
        <f t="shared" si="7"/>
        <v>38.475000000000001</v>
      </c>
      <c r="U12" s="28">
        <f t="shared" si="8"/>
        <v>46.17</v>
      </c>
      <c r="V12" s="28">
        <f t="shared" si="9"/>
        <v>61.56</v>
      </c>
      <c r="W12" s="28">
        <f t="shared" si="10"/>
        <v>29.783545207046785</v>
      </c>
      <c r="X12" s="29">
        <v>29</v>
      </c>
      <c r="Y12" s="5">
        <f t="shared" si="11"/>
        <v>-9.4466430624286474E-2</v>
      </c>
      <c r="Z12" s="6">
        <f t="shared" si="12"/>
        <v>0.11467350562208749</v>
      </c>
      <c r="AB12" s="58">
        <v>45876</v>
      </c>
      <c r="AC12" s="9">
        <v>88</v>
      </c>
    </row>
    <row r="13" spans="1:29" x14ac:dyDescent="0.25">
      <c r="A13" t="s">
        <v>126</v>
      </c>
      <c r="B13" t="s">
        <v>30</v>
      </c>
      <c r="C13" s="25" t="s">
        <v>127</v>
      </c>
      <c r="D13" s="2">
        <v>344.45150000000001</v>
      </c>
      <c r="E13" s="26">
        <v>98.52</v>
      </c>
      <c r="F13" s="3">
        <f t="shared" si="0"/>
        <v>33935.361779999999</v>
      </c>
      <c r="G13" s="3">
        <v>30563.18</v>
      </c>
      <c r="H13" s="4">
        <f t="shared" si="1"/>
        <v>88.729995369449682</v>
      </c>
      <c r="I13" s="3">
        <f t="shared" si="2"/>
        <v>3372.181779999999</v>
      </c>
      <c r="J13" s="26">
        <f t="shared" si="3"/>
        <v>9.7900046305503139</v>
      </c>
      <c r="K13" s="27">
        <v>45840</v>
      </c>
      <c r="L13">
        <f t="shared" si="4"/>
        <v>9</v>
      </c>
      <c r="M13" s="5">
        <f t="shared" si="5"/>
        <v>0.11033478126294446</v>
      </c>
      <c r="N13">
        <v>59</v>
      </c>
      <c r="O13">
        <v>98</v>
      </c>
      <c r="P13" s="63">
        <v>81</v>
      </c>
      <c r="Q13" s="28">
        <v>86.84</v>
      </c>
      <c r="R13" s="29">
        <f t="shared" si="6"/>
        <v>80.761200000000002</v>
      </c>
      <c r="S13" s="29">
        <v>81.72</v>
      </c>
      <c r="T13" s="31">
        <f t="shared" si="7"/>
        <v>108.55000000000001</v>
      </c>
      <c r="U13" s="28">
        <f t="shared" si="8"/>
        <v>130.26</v>
      </c>
      <c r="V13" s="28">
        <f t="shared" si="9"/>
        <v>173.68</v>
      </c>
      <c r="W13" s="28">
        <f t="shared" si="10"/>
        <v>82.518895693588206</v>
      </c>
      <c r="X13" s="29">
        <v>82</v>
      </c>
      <c r="Y13" s="5">
        <f t="shared" si="11"/>
        <v>-7.5848030211515857E-2</v>
      </c>
      <c r="Z13" s="6">
        <f t="shared" si="12"/>
        <v>6.5441658228201333E-2</v>
      </c>
      <c r="AB13" s="58">
        <v>45896</v>
      </c>
      <c r="AC13" s="9">
        <v>99</v>
      </c>
    </row>
    <row r="14" spans="1:29" x14ac:dyDescent="0.25">
      <c r="A14" t="s">
        <v>128</v>
      </c>
      <c r="B14" t="s">
        <v>30</v>
      </c>
      <c r="C14" s="25" t="s">
        <v>129</v>
      </c>
      <c r="D14" s="2">
        <v>786.77660000000003</v>
      </c>
      <c r="E14" s="26">
        <v>39.17</v>
      </c>
      <c r="F14" s="3">
        <f t="shared" si="0"/>
        <v>30818.039422000002</v>
      </c>
      <c r="G14" s="3">
        <v>30514.1</v>
      </c>
      <c r="H14" s="4">
        <f t="shared" si="1"/>
        <v>38.78369031310794</v>
      </c>
      <c r="I14" s="3">
        <f t="shared" si="2"/>
        <v>303.93942200000311</v>
      </c>
      <c r="J14" s="26">
        <f t="shared" si="3"/>
        <v>0.38630968689206213</v>
      </c>
      <c r="K14" s="27">
        <v>45840</v>
      </c>
      <c r="L14">
        <f t="shared" si="4"/>
        <v>9</v>
      </c>
      <c r="M14" s="5">
        <f t="shared" si="5"/>
        <v>9.9606222041614574E-3</v>
      </c>
      <c r="N14">
        <v>66</v>
      </c>
      <c r="O14">
        <v>96</v>
      </c>
      <c r="P14" s="64">
        <v>81</v>
      </c>
      <c r="Q14" s="28">
        <v>37.89</v>
      </c>
      <c r="R14" s="29">
        <f t="shared" si="6"/>
        <v>35.237700000000004</v>
      </c>
      <c r="S14" s="29">
        <v>34.869999999999997</v>
      </c>
      <c r="T14" s="31">
        <f t="shared" si="7"/>
        <v>47.362499999999997</v>
      </c>
      <c r="U14" s="28">
        <f t="shared" si="8"/>
        <v>56.835000000000001</v>
      </c>
      <c r="V14" s="28">
        <f t="shared" si="9"/>
        <v>75.78</v>
      </c>
      <c r="W14" s="28">
        <f t="shared" si="10"/>
        <v>36.068831991190386</v>
      </c>
      <c r="X14" s="29">
        <v>36</v>
      </c>
      <c r="Y14" s="5">
        <f t="shared" si="11"/>
        <v>-7.1774766419458555E-2</v>
      </c>
      <c r="Z14" s="6">
        <f t="shared" si="12"/>
        <v>5.9430148886945484E-2</v>
      </c>
      <c r="AB14" s="58">
        <v>45875</v>
      </c>
      <c r="AC14" s="9">
        <v>96</v>
      </c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45191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31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45191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2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45191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383704.01422399998</v>
      </c>
      <c r="G18" s="3">
        <f>SUM(G6:G17)</f>
        <v>320871.39576658269</v>
      </c>
      <c r="H18" s="4"/>
      <c r="I18" s="3">
        <f>SUM(I6:I17)</f>
        <v>62832.61845741728</v>
      </c>
      <c r="M18" s="5"/>
      <c r="Z18" s="6"/>
    </row>
    <row r="19" spans="1:29" x14ac:dyDescent="0.25">
      <c r="D19" s="2" t="s">
        <v>44</v>
      </c>
      <c r="F19" s="3">
        <v>134855</v>
      </c>
      <c r="G19" s="6">
        <f>F19/F20</f>
        <v>0.26005718982979087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518559.01422399998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'07-04-25'!F20</f>
        <v>516028.64176499995</v>
      </c>
      <c r="K21" s="1">
        <v>45657</v>
      </c>
      <c r="L21" s="50">
        <v>170762</v>
      </c>
      <c r="M21" s="50">
        <v>179473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4.903550412134622E-3</v>
      </c>
      <c r="K22" s="9" t="s">
        <v>123</v>
      </c>
      <c r="L22" s="6">
        <f>(M21-L21)/L21</f>
        <v>5.1012520349960767E-2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4">F28/D28</f>
        <v>44.698790833464948</v>
      </c>
      <c r="F28" s="3">
        <v>56489.42</v>
      </c>
      <c r="G28" s="56">
        <v>75501.87</v>
      </c>
      <c r="H28" s="57">
        <f t="shared" ref="H28:H49" si="15">G28/D28</f>
        <v>59.742909285764696</v>
      </c>
      <c r="I28" s="57">
        <f t="shared" ref="I28:I49" si="16">G28-F28</f>
        <v>19012.449999999997</v>
      </c>
      <c r="J28" s="6">
        <f t="shared" ref="J28:J49" si="17">I28/F28</f>
        <v>0.33656656414599401</v>
      </c>
      <c r="K28" s="1">
        <v>45527</v>
      </c>
      <c r="L28" s="1">
        <v>45688</v>
      </c>
      <c r="M28">
        <f t="shared" si="13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4"/>
        <v>169.90901206845703</v>
      </c>
      <c r="F29" s="3">
        <f>59492.79+21969.78</f>
        <v>81462.570000000007</v>
      </c>
      <c r="G29" s="56">
        <v>65047.58</v>
      </c>
      <c r="H29" s="57">
        <f t="shared" si="15"/>
        <v>135.67175765807443</v>
      </c>
      <c r="I29" s="57">
        <f t="shared" si="16"/>
        <v>-16414.990000000005</v>
      </c>
      <c r="J29" s="6">
        <f t="shared" si="17"/>
        <v>-0.20150346349249729</v>
      </c>
      <c r="K29" s="1">
        <v>45671</v>
      </c>
      <c r="L29" s="1">
        <v>45688</v>
      </c>
      <c r="M29">
        <f t="shared" si="13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4"/>
        <v>18.702010092477405</v>
      </c>
      <c r="F30" s="3">
        <v>56486.59</v>
      </c>
      <c r="G30" s="56">
        <v>71124.88</v>
      </c>
      <c r="H30" s="57">
        <f t="shared" si="15"/>
        <v>23.548566546258936</v>
      </c>
      <c r="I30" s="57">
        <f t="shared" si="16"/>
        <v>14638.290000000008</v>
      </c>
      <c r="J30" s="6">
        <f t="shared" si="17"/>
        <v>0.25914628587068206</v>
      </c>
      <c r="K30" s="1">
        <v>45527</v>
      </c>
      <c r="L30" s="1">
        <v>45691</v>
      </c>
      <c r="M30">
        <f t="shared" si="13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4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5"/>
        <v>38.249853000000002</v>
      </c>
      <c r="I31" s="57">
        <f t="shared" si="16"/>
        <v>-6110.386336591735</v>
      </c>
      <c r="J31" s="6">
        <f t="shared" si="17"/>
        <v>-0.10005621882176895</v>
      </c>
      <c r="K31" s="1">
        <v>45706</v>
      </c>
      <c r="L31" s="1">
        <v>45708</v>
      </c>
      <c r="M31">
        <f t="shared" si="13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4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5"/>
        <v>531.63995279999995</v>
      </c>
      <c r="I32" s="57">
        <f t="shared" si="16"/>
        <v>-22176.243614196137</v>
      </c>
      <c r="J32" s="6">
        <f t="shared" si="17"/>
        <v>-0.24194911929355969</v>
      </c>
      <c r="K32" s="1">
        <v>45706</v>
      </c>
      <c r="L32" s="1">
        <v>45708</v>
      </c>
      <c r="M32">
        <f t="shared" si="13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4"/>
        <v>368.56522253629635</v>
      </c>
      <c r="F33" s="3">
        <v>74438.86</v>
      </c>
      <c r="G33" s="56">
        <f>201.9693*360.5332483</f>
        <v>72816.647785877198</v>
      </c>
      <c r="H33" s="57">
        <f t="shared" si="15"/>
        <v>360.53324830000003</v>
      </c>
      <c r="I33" s="57">
        <f t="shared" si="16"/>
        <v>-1622.2122141228028</v>
      </c>
      <c r="J33" s="6">
        <f t="shared" si="17"/>
        <v>-2.1792545105107773E-2</v>
      </c>
      <c r="K33" s="1">
        <v>45664</v>
      </c>
      <c r="L33" s="1">
        <v>45708</v>
      </c>
      <c r="M33">
        <f t="shared" si="13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4"/>
        <v>30.17825528482809</v>
      </c>
      <c r="F34" s="3">
        <v>37884.65</v>
      </c>
      <c r="G34" s="56">
        <f>1255.3625*39.762296</f>
        <v>49916.0953123</v>
      </c>
      <c r="H34" s="57">
        <f t="shared" si="15"/>
        <v>39.762295999999999</v>
      </c>
      <c r="I34" s="57">
        <f t="shared" si="16"/>
        <v>12031.445312299998</v>
      </c>
      <c r="J34" s="6">
        <f t="shared" si="17"/>
        <v>0.31758100740801348</v>
      </c>
      <c r="K34" s="1">
        <v>45663</v>
      </c>
      <c r="L34" s="1">
        <v>45709</v>
      </c>
      <c r="M34">
        <f t="shared" si="13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4"/>
        <v>242.26930551548847</v>
      </c>
      <c r="F35" s="3">
        <v>61221.72</v>
      </c>
      <c r="G35" s="56">
        <f>252.7011*226.6146532</f>
        <v>57265.772139758519</v>
      </c>
      <c r="H35" s="57">
        <f t="shared" si="15"/>
        <v>226.61465319999999</v>
      </c>
      <c r="I35" s="57">
        <f t="shared" si="16"/>
        <v>-3955.947860241482</v>
      </c>
      <c r="J35" s="6">
        <f t="shared" si="17"/>
        <v>-6.4616738311852093E-2</v>
      </c>
      <c r="K35" s="1">
        <v>45699</v>
      </c>
      <c r="L35" s="1">
        <v>45709</v>
      </c>
      <c r="M35">
        <f t="shared" si="13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4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5"/>
        <v>283.93999450000007</v>
      </c>
      <c r="I36" s="57">
        <f t="shared" si="16"/>
        <v>19563.525282954361</v>
      </c>
      <c r="J36" s="6">
        <f t="shared" si="17"/>
        <v>0.36434300703793465</v>
      </c>
      <c r="K36" s="1">
        <v>45580</v>
      </c>
      <c r="L36" s="1">
        <v>45712</v>
      </c>
      <c r="M36">
        <f t="shared" si="13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4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5"/>
        <v>63.365330900000004</v>
      </c>
      <c r="I37" s="57">
        <f t="shared" si="16"/>
        <v>-4549.5912833559851</v>
      </c>
      <c r="J37" s="6">
        <f t="shared" si="17"/>
        <v>-5.9638082078758516E-2</v>
      </c>
      <c r="K37" s="1">
        <v>45673</v>
      </c>
      <c r="L37" s="1">
        <v>45712</v>
      </c>
      <c r="M37">
        <f t="shared" si="13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5"/>
        <v>50.021380499999999</v>
      </c>
      <c r="I38" s="57">
        <f t="shared" si="16"/>
        <v>6027.2875116823998</v>
      </c>
      <c r="J38" s="6">
        <f t="shared" si="17"/>
        <v>9.9771440635884723E-2</v>
      </c>
      <c r="K38" s="1">
        <v>45593</v>
      </c>
      <c r="L38" s="1">
        <v>45713</v>
      </c>
      <c r="M38">
        <f t="shared" si="13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5"/>
        <v>12.519992000000002</v>
      </c>
      <c r="I39" s="57">
        <f t="shared" si="16"/>
        <v>-2230.6527810991975</v>
      </c>
      <c r="J39" s="6">
        <f t="shared" si="17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5"/>
        <v>94.679995300000002</v>
      </c>
      <c r="I40" s="57">
        <f t="shared" si="16"/>
        <v>-4750.690604140058</v>
      </c>
      <c r="J40" s="6">
        <f t="shared" si="17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49" si="18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5"/>
        <v>18.9477051</v>
      </c>
      <c r="I41" s="57">
        <f t="shared" si="16"/>
        <v>-2244.5195874142191</v>
      </c>
      <c r="J41" s="6">
        <f t="shared" si="17"/>
        <v>-8.2776138273503941E-2</v>
      </c>
      <c r="K41" s="1">
        <v>45761</v>
      </c>
      <c r="L41" s="1">
        <v>45768</v>
      </c>
      <c r="M41">
        <f t="shared" ref="M41:M49" si="19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8"/>
        <v>96.336406065231671</v>
      </c>
      <c r="F42" s="3">
        <v>34004.42</v>
      </c>
      <c r="G42" s="56">
        <f>352.9758*89.7849585</f>
        <v>31691.9175545043</v>
      </c>
      <c r="H42" s="57">
        <f t="shared" si="15"/>
        <v>89.784958500000002</v>
      </c>
      <c r="I42" s="57">
        <f t="shared" si="16"/>
        <v>-2312.5024454956983</v>
      </c>
      <c r="J42" s="6">
        <f t="shared" si="17"/>
        <v>-6.8005937036882222E-2</v>
      </c>
      <c r="K42" s="1">
        <v>45762</v>
      </c>
      <c r="L42" s="1">
        <v>45768</v>
      </c>
      <c r="M42">
        <f t="shared" si="19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8"/>
        <v>16.992624876012847</v>
      </c>
      <c r="F43" s="3">
        <v>37971.83</v>
      </c>
      <c r="G43" s="56">
        <f>2234.6065*13.3067232</f>
        <v>29735.2901564208</v>
      </c>
      <c r="H43" s="57">
        <f t="shared" si="15"/>
        <v>13.3067232</v>
      </c>
      <c r="I43" s="57">
        <f t="shared" si="16"/>
        <v>-8236.5398435792013</v>
      </c>
      <c r="J43" s="6">
        <f t="shared" si="17"/>
        <v>-0.21691184869360261</v>
      </c>
      <c r="K43" s="1">
        <v>45652</v>
      </c>
      <c r="L43" s="1">
        <v>45785</v>
      </c>
      <c r="M43">
        <f t="shared" si="19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8"/>
        <v>38.101812248436303</v>
      </c>
      <c r="F44" s="3">
        <v>21940.86</v>
      </c>
      <c r="G44" s="56">
        <f>575.8482*32.7857042</f>
        <v>18879.588749302438</v>
      </c>
      <c r="H44" s="57">
        <f t="shared" si="15"/>
        <v>32.785704199999998</v>
      </c>
      <c r="I44" s="57">
        <f t="shared" si="16"/>
        <v>-3061.2712506975622</v>
      </c>
      <c r="J44" s="6">
        <f t="shared" si="17"/>
        <v>-0.13952375844417958</v>
      </c>
      <c r="K44" s="1">
        <v>45761</v>
      </c>
      <c r="L44" s="1">
        <v>45790</v>
      </c>
      <c r="M44">
        <f t="shared" si="19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8"/>
        <v>24.570291674143743</v>
      </c>
      <c r="F45" s="3">
        <v>23591.34</v>
      </c>
      <c r="G45" s="56">
        <v>19396.37</v>
      </c>
      <c r="H45" s="57">
        <f t="shared" si="15"/>
        <v>20.201246233559068</v>
      </c>
      <c r="I45" s="57">
        <f t="shared" si="16"/>
        <v>-4194.9700000000012</v>
      </c>
      <c r="J45" s="6">
        <f t="shared" si="17"/>
        <v>-0.17781821634548953</v>
      </c>
      <c r="K45" s="1">
        <v>45776</v>
      </c>
      <c r="L45" s="1">
        <v>45812</v>
      </c>
      <c r="M45">
        <f t="shared" si="19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8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5"/>
        <v>84.038907800000004</v>
      </c>
      <c r="I46" s="57">
        <f t="shared" si="16"/>
        <v>-3907.8121523372101</v>
      </c>
      <c r="J46" s="6">
        <f t="shared" si="17"/>
        <v>-0.14246372001691271</v>
      </c>
      <c r="K46" s="1">
        <v>45782</v>
      </c>
      <c r="L46" s="1">
        <v>45818</v>
      </c>
      <c r="M46">
        <f t="shared" si="19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8"/>
        <v>40.437100849618155</v>
      </c>
      <c r="F47" s="3">
        <f>22877.09+14244.67</f>
        <v>37121.760000000002</v>
      </c>
      <c r="G47" s="56">
        <v>34659.56</v>
      </c>
      <c r="H47" s="57">
        <f t="shared" si="15"/>
        <v>37.755002002151599</v>
      </c>
      <c r="I47" s="57">
        <f t="shared" si="16"/>
        <v>-2462.2000000000044</v>
      </c>
      <c r="J47" s="6">
        <f t="shared" si="17"/>
        <v>-6.6327674118899643E-2</v>
      </c>
      <c r="K47" s="1">
        <v>45782</v>
      </c>
      <c r="L47" s="1">
        <v>45828</v>
      </c>
      <c r="M47">
        <f t="shared" si="19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18"/>
        <v>123.70183817297092</v>
      </c>
      <c r="F48" s="3">
        <f>22876.67+14197.82+14808.77</f>
        <v>51883.259999999995</v>
      </c>
      <c r="G48" s="56">
        <v>55156.07</v>
      </c>
      <c r="H48" s="57">
        <f t="shared" si="15"/>
        <v>131.50498340692272</v>
      </c>
      <c r="I48" s="57">
        <f t="shared" si="16"/>
        <v>3272.8100000000049</v>
      </c>
      <c r="J48" s="6">
        <f t="shared" si="17"/>
        <v>6.3080269050171583E-2</v>
      </c>
      <c r="K48" s="1">
        <v>45782</v>
      </c>
      <c r="L48" s="1">
        <v>45839</v>
      </c>
      <c r="M48">
        <f t="shared" si="19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18"/>
        <v>63.194998844628557</v>
      </c>
      <c r="F49" s="3">
        <v>36072.47</v>
      </c>
      <c r="G49" s="56">
        <v>51786.91</v>
      </c>
      <c r="H49" s="57">
        <f t="shared" si="15"/>
        <v>90.724968864535285</v>
      </c>
      <c r="I49" s="57">
        <f t="shared" si="16"/>
        <v>15714.440000000002</v>
      </c>
      <c r="J49" s="6">
        <f t="shared" si="17"/>
        <v>0.43563526423336141</v>
      </c>
      <c r="K49" s="1">
        <v>45796</v>
      </c>
      <c r="L49" s="1">
        <v>45839</v>
      </c>
      <c r="M49">
        <f t="shared" si="19"/>
        <v>42</v>
      </c>
    </row>
    <row r="50" spans="1:13" x14ac:dyDescent="0.25">
      <c r="C50" s="25"/>
      <c r="D50" s="2"/>
      <c r="E50" s="57"/>
      <c r="F50" s="3"/>
      <c r="G50" s="56"/>
      <c r="H50" s="57"/>
      <c r="I50" s="57"/>
      <c r="J50" s="6"/>
      <c r="K50" s="1"/>
      <c r="L50" s="1"/>
    </row>
    <row r="51" spans="1:13" x14ac:dyDescent="0.25">
      <c r="F51" s="56"/>
      <c r="G51" s="56"/>
      <c r="H51" s="3"/>
      <c r="I51" s="3">
        <f>SUM(I26:I50)</f>
        <v>-5734.3018663345247</v>
      </c>
      <c r="J51" s="13" t="s">
        <v>66</v>
      </c>
    </row>
    <row r="52" spans="1:13" x14ac:dyDescent="0.25">
      <c r="F52" s="56"/>
      <c r="G52" s="56"/>
      <c r="H52" s="3" t="s">
        <v>67</v>
      </c>
      <c r="I52" s="59">
        <v>17</v>
      </c>
      <c r="J52" s="5">
        <v>-0.1106</v>
      </c>
    </row>
    <row r="53" spans="1:13" x14ac:dyDescent="0.25">
      <c r="F53" s="56"/>
      <c r="G53" s="56"/>
      <c r="H53" s="3" t="s">
        <v>68</v>
      </c>
      <c r="I53" s="59">
        <v>7</v>
      </c>
      <c r="J53" s="5">
        <v>0.26811000000000001</v>
      </c>
    </row>
    <row r="54" spans="1:13" x14ac:dyDescent="0.25">
      <c r="F54" s="56"/>
      <c r="G54" s="56"/>
      <c r="J54" s="6"/>
    </row>
    <row r="55" spans="1:13" x14ac:dyDescent="0.25">
      <c r="F55" s="56"/>
      <c r="G55" s="56"/>
      <c r="J55" s="6"/>
    </row>
    <row r="56" spans="1:13" x14ac:dyDescent="0.25">
      <c r="F56" s="56"/>
      <c r="G56" s="56"/>
      <c r="J56" s="6"/>
    </row>
    <row r="57" spans="1:13" x14ac:dyDescent="0.25">
      <c r="F57" s="56"/>
      <c r="G57" s="56"/>
      <c r="J57" s="6"/>
    </row>
    <row r="58" spans="1:13" x14ac:dyDescent="0.25">
      <c r="F58" s="56"/>
      <c r="G58" s="56"/>
      <c r="J58" s="6"/>
    </row>
    <row r="59" spans="1:13" x14ac:dyDescent="0.25">
      <c r="F59" s="56"/>
      <c r="G59" s="56"/>
      <c r="J59" s="6"/>
    </row>
    <row r="60" spans="1:13" x14ac:dyDescent="0.25">
      <c r="F60" s="56"/>
      <c r="G60" s="56"/>
      <c r="J60" s="6"/>
    </row>
    <row r="61" spans="1:13" x14ac:dyDescent="0.25">
      <c r="F61" s="56"/>
      <c r="G61" s="56"/>
      <c r="J61" s="6"/>
    </row>
    <row r="62" spans="1:13" x14ac:dyDescent="0.25">
      <c r="F62" s="56"/>
      <c r="G62" s="56"/>
      <c r="J62" s="6"/>
    </row>
    <row r="63" spans="1:13" x14ac:dyDescent="0.25">
      <c r="F63" s="56"/>
      <c r="G63" s="56"/>
      <c r="J63" s="6"/>
    </row>
    <row r="64" spans="1:13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</row>
    <row r="78" spans="6:10" x14ac:dyDescent="0.25">
      <c r="F78" s="56"/>
      <c r="G78" s="56"/>
    </row>
    <row r="79" spans="6:10" x14ac:dyDescent="0.25">
      <c r="F79" s="56"/>
      <c r="G79" s="56"/>
    </row>
    <row r="80" spans="6:10" x14ac:dyDescent="0.25">
      <c r="F80" s="56"/>
      <c r="G80" s="56"/>
    </row>
    <row r="81" spans="6:7" x14ac:dyDescent="0.25">
      <c r="F81" s="56"/>
      <c r="G81" s="56"/>
    </row>
    <row r="82" spans="6:7" x14ac:dyDescent="0.25">
      <c r="F82" s="56"/>
      <c r="G82" s="56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D54B-1DB3-45FD-80F0-18767AAE7BCB}">
  <dimension ref="A1:AC85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45856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71</v>
      </c>
      <c r="B7" t="s">
        <v>30</v>
      </c>
      <c r="C7" t="s">
        <v>72</v>
      </c>
      <c r="D7" s="2">
        <f>98.1877+35.2566</f>
        <v>133.4443</v>
      </c>
      <c r="E7" s="26">
        <v>574.6</v>
      </c>
      <c r="F7" s="3">
        <f t="shared" ref="F7:F15" si="0">E7*D7</f>
        <v>76677.094779999999</v>
      </c>
      <c r="G7" s="3">
        <f>34962.9+15401.92</f>
        <v>50364.82</v>
      </c>
      <c r="H7" s="4">
        <f t="shared" ref="H7:H15" si="1">G7/D7</f>
        <v>377.42204050678822</v>
      </c>
      <c r="I7" s="3">
        <f t="shared" ref="I7:I15" si="2">F7-G7</f>
        <v>26312.27478</v>
      </c>
      <c r="J7" s="26">
        <f t="shared" ref="J7:J15" si="3">E7-H7</f>
        <v>197.1779594932118</v>
      </c>
      <c r="K7" s="27">
        <v>45771</v>
      </c>
      <c r="L7">
        <f t="shared" ref="L7:L15" si="4">DAYS360(K7,$C$1)</f>
        <v>84</v>
      </c>
      <c r="M7" s="5">
        <f t="shared" ref="M7:M15" si="5">(I7/G7)</f>
        <v>0.52243361100069452</v>
      </c>
      <c r="N7">
        <v>1</v>
      </c>
      <c r="O7">
        <v>97</v>
      </c>
      <c r="P7" s="33">
        <v>81</v>
      </c>
      <c r="Q7" s="28">
        <v>444</v>
      </c>
      <c r="R7" s="29">
        <f t="shared" ref="R7:R15" si="6">Q7*0.93</f>
        <v>412.92</v>
      </c>
      <c r="S7" s="29">
        <v>462</v>
      </c>
      <c r="T7" s="28">
        <f t="shared" ref="T7:T15" si="7">Q7*1.25</f>
        <v>555</v>
      </c>
      <c r="U7" s="28">
        <f t="shared" ref="U7:U15" si="8">Q7*1.5</f>
        <v>666</v>
      </c>
      <c r="V7" s="28">
        <f t="shared" ref="V7:V15" si="9">Q7*2</f>
        <v>888</v>
      </c>
      <c r="W7" s="28">
        <f t="shared" ref="W7:W15" si="10">H7-(H7*0.07)</f>
        <v>351.00249767131305</v>
      </c>
      <c r="X7" s="29">
        <v>475</v>
      </c>
      <c r="Y7" s="5">
        <f t="shared" ref="Y7:Y15" si="11">(X7-H7)/H7</f>
        <v>0.25853805295045235</v>
      </c>
      <c r="Z7" s="32">
        <f t="shared" ref="Z7:Z15" si="12">F7/F$20</f>
        <v>0.13439984518144152</v>
      </c>
      <c r="AB7" s="60">
        <v>45861</v>
      </c>
      <c r="AC7" s="9">
        <v>98</v>
      </c>
    </row>
    <row r="8" spans="1:29" x14ac:dyDescent="0.25">
      <c r="A8" t="s">
        <v>111</v>
      </c>
      <c r="B8" t="s">
        <v>30</v>
      </c>
      <c r="C8" s="25" t="s">
        <v>112</v>
      </c>
      <c r="D8" s="2">
        <f>362.8226+163.9908</f>
        <v>526.8134</v>
      </c>
      <c r="E8" s="26">
        <v>124.5</v>
      </c>
      <c r="F8" s="3">
        <f t="shared" si="0"/>
        <v>65588.268299999996</v>
      </c>
      <c r="G8" s="3">
        <f>26856.13+12527.28</f>
        <v>39383.410000000003</v>
      </c>
      <c r="H8" s="4">
        <f t="shared" si="1"/>
        <v>74.757798491837917</v>
      </c>
      <c r="I8" s="3">
        <f t="shared" si="2"/>
        <v>26204.858299999993</v>
      </c>
      <c r="J8" s="26">
        <f t="shared" si="3"/>
        <v>49.742201508162083</v>
      </c>
      <c r="K8" s="27">
        <v>45789</v>
      </c>
      <c r="L8">
        <f t="shared" si="4"/>
        <v>66</v>
      </c>
      <c r="M8" s="5">
        <f t="shared" si="5"/>
        <v>0.66537809448191487</v>
      </c>
      <c r="N8">
        <v>17</v>
      </c>
      <c r="O8">
        <v>98</v>
      </c>
      <c r="P8" s="63">
        <v>39</v>
      </c>
      <c r="Q8" s="28">
        <v>74.239999999999995</v>
      </c>
      <c r="R8" s="29">
        <f t="shared" si="6"/>
        <v>69.043199999999999</v>
      </c>
      <c r="S8" s="29">
        <v>78.66</v>
      </c>
      <c r="T8" s="28">
        <f t="shared" si="7"/>
        <v>92.8</v>
      </c>
      <c r="U8" s="28">
        <f t="shared" si="8"/>
        <v>111.35999999999999</v>
      </c>
      <c r="V8" s="28">
        <f t="shared" si="9"/>
        <v>148.47999999999999</v>
      </c>
      <c r="W8" s="28">
        <f t="shared" si="10"/>
        <v>69.524752597409261</v>
      </c>
      <c r="X8" s="29">
        <v>95</v>
      </c>
      <c r="Y8" s="5">
        <f t="shared" si="11"/>
        <v>0.27077043354041697</v>
      </c>
      <c r="Z8" s="6">
        <f t="shared" si="12"/>
        <v>0.11496331636626007</v>
      </c>
      <c r="AB8" s="58">
        <v>45869</v>
      </c>
      <c r="AC8" s="9">
        <v>93</v>
      </c>
    </row>
    <row r="9" spans="1:29" x14ac:dyDescent="0.25">
      <c r="A9" t="s">
        <v>118</v>
      </c>
      <c r="B9" t="s">
        <v>30</v>
      </c>
      <c r="C9" s="25" t="s">
        <v>119</v>
      </c>
      <c r="D9" s="2">
        <f>605.0016+550.0434</f>
        <v>1155.0450000000001</v>
      </c>
      <c r="E9" s="26">
        <v>50.25</v>
      </c>
      <c r="F9" s="3">
        <f t="shared" si="0"/>
        <v>58041.011250000003</v>
      </c>
      <c r="G9" s="3">
        <f>(605.0016*29.7738017)+17708.65</f>
        <v>35721.847666582718</v>
      </c>
      <c r="H9" s="4">
        <f t="shared" si="1"/>
        <v>30.926801697408081</v>
      </c>
      <c r="I9" s="3">
        <f t="shared" si="2"/>
        <v>22319.163583417285</v>
      </c>
      <c r="J9" s="26">
        <f t="shared" si="3"/>
        <v>19.323198302591919</v>
      </c>
      <c r="K9" s="27">
        <v>45800</v>
      </c>
      <c r="L9">
        <f t="shared" si="4"/>
        <v>55</v>
      </c>
      <c r="M9" s="5">
        <f t="shared" si="5"/>
        <v>0.62480428760958373</v>
      </c>
      <c r="N9">
        <v>1</v>
      </c>
      <c r="O9">
        <v>99</v>
      </c>
      <c r="P9" s="63">
        <v>17</v>
      </c>
      <c r="Q9" s="28">
        <v>29.66</v>
      </c>
      <c r="R9" s="29">
        <f t="shared" si="6"/>
        <v>27.5838</v>
      </c>
      <c r="S9" s="29">
        <v>29.66</v>
      </c>
      <c r="T9" s="31">
        <f t="shared" si="7"/>
        <v>37.075000000000003</v>
      </c>
      <c r="U9" s="28">
        <f t="shared" si="8"/>
        <v>44.49</v>
      </c>
      <c r="V9" s="28">
        <f t="shared" si="9"/>
        <v>59.32</v>
      </c>
      <c r="W9" s="28">
        <f t="shared" si="10"/>
        <v>28.761925578589516</v>
      </c>
      <c r="X9" s="29">
        <v>42</v>
      </c>
      <c r="Y9" s="5">
        <f t="shared" si="11"/>
        <v>0.35804537471845799</v>
      </c>
      <c r="Z9" s="6">
        <f t="shared" si="12"/>
        <v>0.10173446123064375</v>
      </c>
      <c r="AB9" s="58">
        <v>45876</v>
      </c>
      <c r="AC9" s="9">
        <v>91</v>
      </c>
    </row>
    <row r="10" spans="1:29" x14ac:dyDescent="0.25">
      <c r="A10" t="s">
        <v>121</v>
      </c>
      <c r="B10" t="s">
        <v>30</v>
      </c>
      <c r="C10" s="25" t="s">
        <v>122</v>
      </c>
      <c r="D10" s="2">
        <f>1070.2094+395.2675</f>
        <v>1465.4768999999999</v>
      </c>
      <c r="E10" s="26">
        <v>23.18</v>
      </c>
      <c r="F10" s="3">
        <f t="shared" si="0"/>
        <v>33969.754541999995</v>
      </c>
      <c r="G10" s="3">
        <f>18821.97+11334.33</f>
        <v>30156.300000000003</v>
      </c>
      <c r="H10" s="4">
        <f t="shared" si="1"/>
        <v>20.577806446488516</v>
      </c>
      <c r="I10" s="3">
        <f t="shared" si="2"/>
        <v>3813.4545419999922</v>
      </c>
      <c r="J10" s="26">
        <f t="shared" si="3"/>
        <v>2.6021935535114835</v>
      </c>
      <c r="K10" s="27">
        <v>45814</v>
      </c>
      <c r="L10">
        <f t="shared" si="4"/>
        <v>42</v>
      </c>
      <c r="M10" s="5">
        <f t="shared" si="5"/>
        <v>0.1264563140040387</v>
      </c>
      <c r="N10">
        <v>16</v>
      </c>
      <c r="O10">
        <v>98</v>
      </c>
      <c r="P10" s="63">
        <v>81</v>
      </c>
      <c r="Q10" s="28">
        <v>16.399999999999999</v>
      </c>
      <c r="R10" s="29">
        <f t="shared" si="6"/>
        <v>15.251999999999999</v>
      </c>
      <c r="S10" s="29">
        <v>11.01</v>
      </c>
      <c r="T10" s="28">
        <f t="shared" si="7"/>
        <v>20.5</v>
      </c>
      <c r="U10" s="28">
        <f t="shared" si="8"/>
        <v>24.599999999999998</v>
      </c>
      <c r="V10" s="28">
        <f t="shared" si="9"/>
        <v>32.799999999999997</v>
      </c>
      <c r="W10" s="28">
        <f t="shared" si="10"/>
        <v>19.13735999523432</v>
      </c>
      <c r="X10" s="29">
        <v>19</v>
      </c>
      <c r="Y10" s="5">
        <f t="shared" si="11"/>
        <v>-7.6675152455705969E-2</v>
      </c>
      <c r="Z10" s="6">
        <f t="shared" si="12"/>
        <v>5.954228918552109E-2</v>
      </c>
      <c r="AB10" s="58">
        <v>45887</v>
      </c>
      <c r="AC10" s="9">
        <v>97</v>
      </c>
    </row>
    <row r="11" spans="1:29" x14ac:dyDescent="0.25">
      <c r="A11" t="s">
        <v>124</v>
      </c>
      <c r="B11" t="s">
        <v>30</v>
      </c>
      <c r="C11" s="25" t="s">
        <v>125</v>
      </c>
      <c r="D11" s="2">
        <f>915.359+608.2121</f>
        <v>1523.5711000000001</v>
      </c>
      <c r="E11" s="26">
        <v>51.39</v>
      </c>
      <c r="F11" s="3">
        <f t="shared" si="0"/>
        <v>78296.318829000011</v>
      </c>
      <c r="G11" s="3">
        <f>28630.6+20162.2481</f>
        <v>48792.848100000003</v>
      </c>
      <c r="H11" s="4">
        <f t="shared" si="1"/>
        <v>32.025317426932027</v>
      </c>
      <c r="I11" s="3">
        <f t="shared" si="2"/>
        <v>29503.470729000008</v>
      </c>
      <c r="J11" s="26">
        <f t="shared" si="3"/>
        <v>19.364682573067974</v>
      </c>
      <c r="K11" s="27">
        <v>45817</v>
      </c>
      <c r="L11">
        <f t="shared" si="4"/>
        <v>39</v>
      </c>
      <c r="M11" s="5">
        <f t="shared" si="5"/>
        <v>0.60466793552475584</v>
      </c>
      <c r="N11">
        <v>7</v>
      </c>
      <c r="O11">
        <v>99</v>
      </c>
      <c r="P11" s="63">
        <v>14</v>
      </c>
      <c r="Q11" s="28">
        <v>30.78</v>
      </c>
      <c r="R11" s="29">
        <f t="shared" si="6"/>
        <v>28.625400000000003</v>
      </c>
      <c r="S11" s="29">
        <v>26.45</v>
      </c>
      <c r="T11" s="28">
        <f t="shared" si="7"/>
        <v>38.475000000000001</v>
      </c>
      <c r="U11" s="28">
        <f t="shared" si="8"/>
        <v>46.17</v>
      </c>
      <c r="V11" s="28">
        <f t="shared" si="9"/>
        <v>61.56</v>
      </c>
      <c r="W11" s="28">
        <f t="shared" si="10"/>
        <v>29.783545207046785</v>
      </c>
      <c r="X11" s="29">
        <v>38</v>
      </c>
      <c r="Y11" s="5">
        <f t="shared" si="11"/>
        <v>0.18656122883714185</v>
      </c>
      <c r="Z11" s="6">
        <f t="shared" si="12"/>
        <v>0.13723802602441776</v>
      </c>
      <c r="AB11" s="58">
        <v>45876</v>
      </c>
      <c r="AC11" s="9">
        <v>89</v>
      </c>
    </row>
    <row r="12" spans="1:29" x14ac:dyDescent="0.25">
      <c r="A12" t="s">
        <v>126</v>
      </c>
      <c r="B12" t="s">
        <v>30</v>
      </c>
      <c r="C12" s="25" t="s">
        <v>127</v>
      </c>
      <c r="D12" s="2">
        <v>344.45150000000001</v>
      </c>
      <c r="E12" s="26">
        <v>93.47</v>
      </c>
      <c r="F12" s="3">
        <f t="shared" si="0"/>
        <v>32195.881705</v>
      </c>
      <c r="G12" s="3">
        <v>30563.18</v>
      </c>
      <c r="H12" s="4">
        <f t="shared" si="1"/>
        <v>88.729995369449682</v>
      </c>
      <c r="I12" s="3">
        <f t="shared" si="2"/>
        <v>1632.7017049999995</v>
      </c>
      <c r="J12" s="26">
        <f t="shared" si="3"/>
        <v>4.7400046305503167</v>
      </c>
      <c r="K12" s="27">
        <v>45840</v>
      </c>
      <c r="L12">
        <f t="shared" si="4"/>
        <v>16</v>
      </c>
      <c r="M12" s="5">
        <f t="shared" si="5"/>
        <v>5.3420544099141501E-2</v>
      </c>
      <c r="N12">
        <v>96</v>
      </c>
      <c r="O12">
        <v>98</v>
      </c>
      <c r="P12" s="63">
        <v>81</v>
      </c>
      <c r="Q12" s="28">
        <v>86.84</v>
      </c>
      <c r="R12" s="29">
        <f t="shared" si="6"/>
        <v>80.761200000000002</v>
      </c>
      <c r="S12" s="29">
        <v>81.72</v>
      </c>
      <c r="T12" s="31">
        <f t="shared" si="7"/>
        <v>108.55000000000001</v>
      </c>
      <c r="U12" s="28">
        <f t="shared" si="8"/>
        <v>130.26</v>
      </c>
      <c r="V12" s="28">
        <f t="shared" si="9"/>
        <v>173.68</v>
      </c>
      <c r="W12" s="28">
        <f t="shared" si="10"/>
        <v>82.518895693588206</v>
      </c>
      <c r="X12" s="29">
        <v>82</v>
      </c>
      <c r="Y12" s="5">
        <f t="shared" si="11"/>
        <v>-7.5848030211515857E-2</v>
      </c>
      <c r="Z12" s="6">
        <f t="shared" si="12"/>
        <v>5.6433039476094841E-2</v>
      </c>
      <c r="AB12" s="58">
        <v>45896</v>
      </c>
      <c r="AC12" s="9">
        <v>99</v>
      </c>
    </row>
    <row r="13" spans="1:29" x14ac:dyDescent="0.25">
      <c r="A13" t="s">
        <v>128</v>
      </c>
      <c r="B13" t="s">
        <v>30</v>
      </c>
      <c r="C13" s="25" t="s">
        <v>129</v>
      </c>
      <c r="D13" s="2">
        <f>786.7766+525.5828</f>
        <v>1312.3594000000001</v>
      </c>
      <c r="E13" s="26">
        <v>42.72</v>
      </c>
      <c r="F13" s="3">
        <f t="shared" si="0"/>
        <v>56063.993567999998</v>
      </c>
      <c r="G13" s="3">
        <f>30514.1+21675.87</f>
        <v>52189.97</v>
      </c>
      <c r="H13" s="4">
        <f t="shared" si="1"/>
        <v>39.768046771334134</v>
      </c>
      <c r="I13" s="3">
        <f t="shared" si="2"/>
        <v>3874.0235679999969</v>
      </c>
      <c r="J13" s="26">
        <f t="shared" si="3"/>
        <v>2.9519532286658645</v>
      </c>
      <c r="K13" s="27">
        <v>45840</v>
      </c>
      <c r="L13">
        <f t="shared" si="4"/>
        <v>16</v>
      </c>
      <c r="M13" s="5">
        <f t="shared" si="5"/>
        <v>7.4229273709105342E-2</v>
      </c>
      <c r="N13">
        <v>48</v>
      </c>
      <c r="O13">
        <v>97</v>
      </c>
      <c r="P13" s="64">
        <v>81</v>
      </c>
      <c r="Q13" s="28">
        <v>37.89</v>
      </c>
      <c r="R13" s="29">
        <f t="shared" si="6"/>
        <v>35.237700000000004</v>
      </c>
      <c r="S13" s="29">
        <v>34.869999999999997</v>
      </c>
      <c r="T13" s="31">
        <f t="shared" si="7"/>
        <v>47.362499999999997</v>
      </c>
      <c r="U13" s="28">
        <f t="shared" si="8"/>
        <v>56.835000000000001</v>
      </c>
      <c r="V13" s="28">
        <f t="shared" si="9"/>
        <v>75.78</v>
      </c>
      <c r="W13" s="28">
        <f t="shared" si="10"/>
        <v>36.984283497340748</v>
      </c>
      <c r="X13" s="29">
        <v>39</v>
      </c>
      <c r="Y13" s="5">
        <f t="shared" si="11"/>
        <v>-1.9313163046462793E-2</v>
      </c>
      <c r="Z13" s="6">
        <f t="shared" si="12"/>
        <v>9.8269138618406762E-2</v>
      </c>
      <c r="AB13" s="58">
        <v>45875</v>
      </c>
      <c r="AC13" s="9">
        <v>97</v>
      </c>
    </row>
    <row r="14" spans="1:29" x14ac:dyDescent="0.25">
      <c r="A14" t="s">
        <v>69</v>
      </c>
      <c r="B14" t="s">
        <v>30</v>
      </c>
      <c r="C14" s="25" t="s">
        <v>70</v>
      </c>
      <c r="D14" s="2">
        <v>682.05550000000005</v>
      </c>
      <c r="E14" s="26">
        <v>68.98</v>
      </c>
      <c r="F14" s="3">
        <f t="shared" si="0"/>
        <v>47048.188390000003</v>
      </c>
      <c r="G14" s="3">
        <v>43555.21</v>
      </c>
      <c r="H14" s="4">
        <f t="shared" si="1"/>
        <v>63.85874756526411</v>
      </c>
      <c r="I14" s="3">
        <f t="shared" si="2"/>
        <v>3492.9783900000039</v>
      </c>
      <c r="J14" s="26">
        <f t="shared" si="3"/>
        <v>5.1212524347358936</v>
      </c>
      <c r="K14" s="27">
        <v>45854</v>
      </c>
      <c r="L14">
        <f t="shared" si="4"/>
        <v>2</v>
      </c>
      <c r="M14" s="5">
        <f t="shared" si="5"/>
        <v>8.0196568676858732E-2</v>
      </c>
      <c r="N14">
        <v>1</v>
      </c>
      <c r="O14">
        <v>99</v>
      </c>
      <c r="P14" s="63">
        <v>48</v>
      </c>
      <c r="Q14" s="28">
        <v>58.69</v>
      </c>
      <c r="R14" s="29">
        <f t="shared" si="6"/>
        <v>54.581699999999998</v>
      </c>
      <c r="S14" s="29">
        <v>50.08</v>
      </c>
      <c r="T14" s="31">
        <f t="shared" si="7"/>
        <v>73.362499999999997</v>
      </c>
      <c r="U14" s="28">
        <f t="shared" si="8"/>
        <v>88.034999999999997</v>
      </c>
      <c r="V14" s="28">
        <f t="shared" si="9"/>
        <v>117.38</v>
      </c>
      <c r="W14" s="28">
        <f t="shared" si="10"/>
        <v>59.388635235695624</v>
      </c>
      <c r="X14" s="29">
        <v>59</v>
      </c>
      <c r="Y14" s="5">
        <f t="shared" si="11"/>
        <v>-7.6085857466879292E-2</v>
      </c>
      <c r="Z14" s="32">
        <f t="shared" si="12"/>
        <v>8.2466207852890897E-2</v>
      </c>
      <c r="AB14" s="58">
        <v>45888</v>
      </c>
      <c r="AC14" s="9">
        <v>91</v>
      </c>
    </row>
    <row r="15" spans="1:29" x14ac:dyDescent="0.25">
      <c r="A15" t="s">
        <v>130</v>
      </c>
      <c r="B15" t="s">
        <v>30</v>
      </c>
      <c r="C15" s="25" t="s">
        <v>131</v>
      </c>
      <c r="D15" s="2">
        <v>401.66629999999998</v>
      </c>
      <c r="E15" s="26">
        <v>107.57</v>
      </c>
      <c r="F15" s="3">
        <f t="shared" si="0"/>
        <v>43207.243890999998</v>
      </c>
      <c r="G15" s="3">
        <v>45409.8</v>
      </c>
      <c r="H15" s="4">
        <f t="shared" si="1"/>
        <v>113.05354718581073</v>
      </c>
      <c r="I15" s="3">
        <f t="shared" si="2"/>
        <v>-2202.5561090000047</v>
      </c>
      <c r="J15" s="26">
        <f t="shared" si="3"/>
        <v>-5.4835471858107354</v>
      </c>
      <c r="K15" s="27">
        <v>45855</v>
      </c>
      <c r="L15">
        <f t="shared" si="4"/>
        <v>1</v>
      </c>
      <c r="M15" s="5">
        <f t="shared" si="5"/>
        <v>-4.8503981717602909E-2</v>
      </c>
      <c r="N15">
        <v>18</v>
      </c>
      <c r="O15">
        <v>91</v>
      </c>
      <c r="P15" s="63">
        <v>94</v>
      </c>
      <c r="Q15" s="28">
        <v>111.98</v>
      </c>
      <c r="R15" s="29">
        <f t="shared" si="6"/>
        <v>104.1414</v>
      </c>
      <c r="S15" s="29">
        <v>98.65</v>
      </c>
      <c r="T15" s="28">
        <f t="shared" si="7"/>
        <v>139.97499999999999</v>
      </c>
      <c r="U15" s="28">
        <f t="shared" si="8"/>
        <v>167.97</v>
      </c>
      <c r="V15" s="28">
        <f t="shared" si="9"/>
        <v>223.96</v>
      </c>
      <c r="W15" s="28">
        <f t="shared" si="10"/>
        <v>105.13979888280397</v>
      </c>
      <c r="X15" s="29">
        <v>102</v>
      </c>
      <c r="Y15" s="5">
        <f t="shared" si="11"/>
        <v>-9.7772670216561344E-2</v>
      </c>
      <c r="Z15" s="32">
        <f t="shared" si="12"/>
        <v>7.5733788640905325E-2</v>
      </c>
      <c r="AB15" s="58">
        <v>45876</v>
      </c>
      <c r="AC15" s="9">
        <v>99</v>
      </c>
    </row>
    <row r="16" spans="1:29" x14ac:dyDescent="0.25">
      <c r="C16" s="25"/>
      <c r="D16" s="2"/>
      <c r="E16" s="26"/>
      <c r="F16" s="3">
        <f t="shared" ref="F16:F17" si="13">E16*D16</f>
        <v>0</v>
      </c>
      <c r="G16" s="3"/>
      <c r="H16" s="4" t="e">
        <f t="shared" ref="H16:H17" si="14">G16/D16</f>
        <v>#DIV/0!</v>
      </c>
      <c r="I16" s="3">
        <f t="shared" ref="I16:I17" si="15">F16-G16</f>
        <v>0</v>
      </c>
      <c r="J16" s="26" t="e">
        <f t="shared" ref="J16:J17" si="16">E16-H16</f>
        <v>#DIV/0!</v>
      </c>
      <c r="K16" s="27"/>
      <c r="L16">
        <f t="shared" ref="L16:L17" si="17">DAYS360(K16,$C$1)</f>
        <v>45198</v>
      </c>
      <c r="M16" s="5" t="e">
        <f t="shared" ref="M16:M17" si="18">(I16/G16)</f>
        <v>#DIV/0!</v>
      </c>
      <c r="P16" s="63"/>
      <c r="Q16" s="28"/>
      <c r="R16" s="29">
        <f t="shared" ref="R16:R17" si="19">Q16*0.93</f>
        <v>0</v>
      </c>
      <c r="S16" s="29"/>
      <c r="T16" s="28">
        <f t="shared" ref="T16:T17" si="20">Q16*1.25</f>
        <v>0</v>
      </c>
      <c r="U16" s="28">
        <f t="shared" ref="U16:U17" si="21">Q16*1.5</f>
        <v>0</v>
      </c>
      <c r="V16" s="28">
        <f t="shared" ref="V16:V17" si="22">Q16*2</f>
        <v>0</v>
      </c>
      <c r="W16" s="28" t="e">
        <f t="shared" ref="W16:W17" si="23">H16-(H16*0.07)</f>
        <v>#DIV/0!</v>
      </c>
      <c r="X16" s="29"/>
      <c r="Y16" s="5" t="e">
        <f t="shared" ref="Y16:Y17" si="24">(X16-H16)/H16</f>
        <v>#DIV/0!</v>
      </c>
      <c r="Z16" s="32">
        <f t="shared" ref="Z16:Z17" si="25">F16/F$20</f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3"/>
        <v>0</v>
      </c>
      <c r="G17" s="39"/>
      <c r="H17" s="40" t="e">
        <f t="shared" si="14"/>
        <v>#DIV/0!</v>
      </c>
      <c r="I17" s="39">
        <f t="shared" si="15"/>
        <v>0</v>
      </c>
      <c r="J17" s="38" t="e">
        <f t="shared" si="16"/>
        <v>#DIV/0!</v>
      </c>
      <c r="K17" s="41"/>
      <c r="L17" s="35">
        <f t="shared" si="17"/>
        <v>45198</v>
      </c>
      <c r="M17" s="42" t="e">
        <f t="shared" si="18"/>
        <v>#DIV/0!</v>
      </c>
      <c r="N17" s="35"/>
      <c r="O17" s="35"/>
      <c r="P17" s="65"/>
      <c r="Q17" s="44"/>
      <c r="R17" s="45">
        <f t="shared" si="19"/>
        <v>0</v>
      </c>
      <c r="S17" s="45"/>
      <c r="T17" s="46">
        <f t="shared" si="20"/>
        <v>0</v>
      </c>
      <c r="U17" s="44">
        <f t="shared" si="21"/>
        <v>0</v>
      </c>
      <c r="V17" s="44">
        <f t="shared" si="22"/>
        <v>0</v>
      </c>
      <c r="W17" s="44" t="e">
        <f t="shared" si="23"/>
        <v>#DIV/0!</v>
      </c>
      <c r="X17" s="45"/>
      <c r="Y17" s="42" t="e">
        <f t="shared" si="24"/>
        <v>#DIV/0!</v>
      </c>
      <c r="Z17" s="47">
        <f t="shared" si="25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491087.75525499997</v>
      </c>
      <c r="G18" s="3">
        <f>SUM(G6:G17)</f>
        <v>376137.38576658274</v>
      </c>
      <c r="H18" s="4"/>
      <c r="I18" s="3">
        <f>SUM(I6:I17)</f>
        <v>114950.36948841729</v>
      </c>
      <c r="M18" s="5"/>
      <c r="Z18" s="6"/>
    </row>
    <row r="19" spans="1:29" x14ac:dyDescent="0.25">
      <c r="D19" s="2" t="s">
        <v>44</v>
      </c>
      <c r="F19" s="3">
        <v>79427</v>
      </c>
      <c r="G19" s="6">
        <f>F19/F20</f>
        <v>0.13921988742341806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570514.75525499997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'07-11-25'!F20</f>
        <v>518559.01422399998</v>
      </c>
      <c r="K21" s="1">
        <v>45657</v>
      </c>
      <c r="L21" s="50">
        <v>170762</v>
      </c>
      <c r="M21" s="50">
        <v>197415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0.10019253277999494</v>
      </c>
      <c r="K22" s="9" t="s">
        <v>123</v>
      </c>
      <c r="L22" s="6">
        <f>(M21-L21)/L21</f>
        <v>0.15608273503472669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26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26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27">F28/D28</f>
        <v>44.698790833464948</v>
      </c>
      <c r="F28" s="3">
        <v>56489.42</v>
      </c>
      <c r="G28" s="56">
        <v>75501.87</v>
      </c>
      <c r="H28" s="57">
        <f t="shared" ref="H28:H49" si="28">G28/D28</f>
        <v>59.742909285764696</v>
      </c>
      <c r="I28" s="57">
        <f t="shared" ref="I28:I49" si="29">G28-F28</f>
        <v>19012.449999999997</v>
      </c>
      <c r="J28" s="6">
        <f t="shared" ref="J28:J49" si="30">I28/F28</f>
        <v>0.33656656414599401</v>
      </c>
      <c r="K28" s="1">
        <v>45527</v>
      </c>
      <c r="L28" s="1">
        <v>45688</v>
      </c>
      <c r="M28">
        <f t="shared" si="26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27"/>
        <v>169.90901206845703</v>
      </c>
      <c r="F29" s="3">
        <f>59492.79+21969.78</f>
        <v>81462.570000000007</v>
      </c>
      <c r="G29" s="56">
        <v>65047.58</v>
      </c>
      <c r="H29" s="57">
        <f t="shared" si="28"/>
        <v>135.67175765807443</v>
      </c>
      <c r="I29" s="57">
        <f t="shared" si="29"/>
        <v>-16414.990000000005</v>
      </c>
      <c r="J29" s="6">
        <f t="shared" si="30"/>
        <v>-0.20150346349249729</v>
      </c>
      <c r="K29" s="1">
        <v>45671</v>
      </c>
      <c r="L29" s="1">
        <v>45688</v>
      </c>
      <c r="M29">
        <f t="shared" si="26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27"/>
        <v>18.702010092477405</v>
      </c>
      <c r="F30" s="3">
        <v>56486.59</v>
      </c>
      <c r="G30" s="56">
        <v>71124.88</v>
      </c>
      <c r="H30" s="57">
        <f t="shared" si="28"/>
        <v>23.548566546258936</v>
      </c>
      <c r="I30" s="57">
        <f t="shared" si="29"/>
        <v>14638.290000000008</v>
      </c>
      <c r="J30" s="6">
        <f t="shared" si="30"/>
        <v>0.25914628587068206</v>
      </c>
      <c r="K30" s="1">
        <v>45527</v>
      </c>
      <c r="L30" s="1">
        <v>45691</v>
      </c>
      <c r="M30">
        <f t="shared" si="26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27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28"/>
        <v>38.249853000000002</v>
      </c>
      <c r="I31" s="57">
        <f t="shared" si="29"/>
        <v>-6110.386336591735</v>
      </c>
      <c r="J31" s="6">
        <f t="shared" si="30"/>
        <v>-0.10005621882176895</v>
      </c>
      <c r="K31" s="1">
        <v>45706</v>
      </c>
      <c r="L31" s="1">
        <v>45708</v>
      </c>
      <c r="M31">
        <f t="shared" si="26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27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28"/>
        <v>531.63995279999995</v>
      </c>
      <c r="I32" s="57">
        <f t="shared" si="29"/>
        <v>-22176.243614196137</v>
      </c>
      <c r="J32" s="6">
        <f t="shared" si="30"/>
        <v>-0.24194911929355969</v>
      </c>
      <c r="K32" s="1">
        <v>45706</v>
      </c>
      <c r="L32" s="1">
        <v>45708</v>
      </c>
      <c r="M32">
        <f t="shared" si="26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27"/>
        <v>368.56522253629635</v>
      </c>
      <c r="F33" s="3">
        <v>74438.86</v>
      </c>
      <c r="G33" s="56">
        <f>201.9693*360.5332483</f>
        <v>72816.647785877198</v>
      </c>
      <c r="H33" s="57">
        <f t="shared" si="28"/>
        <v>360.53324830000003</v>
      </c>
      <c r="I33" s="57">
        <f t="shared" si="29"/>
        <v>-1622.2122141228028</v>
      </c>
      <c r="J33" s="6">
        <f t="shared" si="30"/>
        <v>-2.1792545105107773E-2</v>
      </c>
      <c r="K33" s="1">
        <v>45664</v>
      </c>
      <c r="L33" s="1">
        <v>45708</v>
      </c>
      <c r="M33">
        <f t="shared" si="26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27"/>
        <v>30.17825528482809</v>
      </c>
      <c r="F34" s="3">
        <v>37884.65</v>
      </c>
      <c r="G34" s="56">
        <f>1255.3625*39.762296</f>
        <v>49916.0953123</v>
      </c>
      <c r="H34" s="57">
        <f t="shared" si="28"/>
        <v>39.762295999999999</v>
      </c>
      <c r="I34" s="57">
        <f t="shared" si="29"/>
        <v>12031.445312299998</v>
      </c>
      <c r="J34" s="6">
        <f t="shared" si="30"/>
        <v>0.31758100740801348</v>
      </c>
      <c r="K34" s="1">
        <v>45663</v>
      </c>
      <c r="L34" s="1">
        <v>45709</v>
      </c>
      <c r="M34">
        <f t="shared" si="26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27"/>
        <v>242.26930551548847</v>
      </c>
      <c r="F35" s="3">
        <v>61221.72</v>
      </c>
      <c r="G35" s="56">
        <f>252.7011*226.6146532</f>
        <v>57265.772139758519</v>
      </c>
      <c r="H35" s="57">
        <f t="shared" si="28"/>
        <v>226.61465319999999</v>
      </c>
      <c r="I35" s="57">
        <f t="shared" si="29"/>
        <v>-3955.947860241482</v>
      </c>
      <c r="J35" s="6">
        <f t="shared" si="30"/>
        <v>-6.4616738311852093E-2</v>
      </c>
      <c r="K35" s="1">
        <v>45699</v>
      </c>
      <c r="L35" s="1">
        <v>45709</v>
      </c>
      <c r="M35">
        <f t="shared" si="26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27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28"/>
        <v>283.93999450000007</v>
      </c>
      <c r="I36" s="57">
        <f t="shared" si="29"/>
        <v>19563.525282954361</v>
      </c>
      <c r="J36" s="6">
        <f t="shared" si="30"/>
        <v>0.36434300703793465</v>
      </c>
      <c r="K36" s="1">
        <v>45580</v>
      </c>
      <c r="L36" s="1">
        <v>45712</v>
      </c>
      <c r="M36">
        <f t="shared" si="26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27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28"/>
        <v>63.365330900000004</v>
      </c>
      <c r="I37" s="57">
        <f t="shared" si="29"/>
        <v>-4549.5912833559851</v>
      </c>
      <c r="J37" s="6">
        <f t="shared" si="30"/>
        <v>-5.9638082078758516E-2</v>
      </c>
      <c r="K37" s="1">
        <v>45673</v>
      </c>
      <c r="L37" s="1">
        <v>45712</v>
      </c>
      <c r="M37">
        <f t="shared" si="26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28"/>
        <v>50.021380499999999</v>
      </c>
      <c r="I38" s="57">
        <f t="shared" si="29"/>
        <v>6027.2875116823998</v>
      </c>
      <c r="J38" s="6">
        <f t="shared" si="30"/>
        <v>9.9771440635884723E-2</v>
      </c>
      <c r="K38" s="1">
        <v>45593</v>
      </c>
      <c r="L38" s="1">
        <v>45713</v>
      </c>
      <c r="M38">
        <f t="shared" si="26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28"/>
        <v>12.519992000000002</v>
      </c>
      <c r="I39" s="57">
        <f t="shared" si="29"/>
        <v>-2230.6527810991975</v>
      </c>
      <c r="J39" s="6">
        <f t="shared" si="30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28"/>
        <v>94.679995300000002</v>
      </c>
      <c r="I40" s="57">
        <f t="shared" si="29"/>
        <v>-4750.690604140058</v>
      </c>
      <c r="J40" s="6">
        <f t="shared" si="30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50" si="31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28"/>
        <v>18.9477051</v>
      </c>
      <c r="I41" s="57">
        <f t="shared" si="29"/>
        <v>-2244.5195874142191</v>
      </c>
      <c r="J41" s="6">
        <f t="shared" si="30"/>
        <v>-8.2776138273503941E-2</v>
      </c>
      <c r="K41" s="1">
        <v>45761</v>
      </c>
      <c r="L41" s="1">
        <v>45768</v>
      </c>
      <c r="M41">
        <f t="shared" ref="M41:M50" si="32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31"/>
        <v>96.336406065231671</v>
      </c>
      <c r="F42" s="3">
        <v>34004.42</v>
      </c>
      <c r="G42" s="56">
        <f>352.9758*89.7849585</f>
        <v>31691.9175545043</v>
      </c>
      <c r="H42" s="57">
        <f t="shared" si="28"/>
        <v>89.784958500000002</v>
      </c>
      <c r="I42" s="57">
        <f t="shared" si="29"/>
        <v>-2312.5024454956983</v>
      </c>
      <c r="J42" s="6">
        <f t="shared" si="30"/>
        <v>-6.8005937036882222E-2</v>
      </c>
      <c r="K42" s="1">
        <v>45762</v>
      </c>
      <c r="L42" s="1">
        <v>45768</v>
      </c>
      <c r="M42">
        <f t="shared" si="32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31"/>
        <v>16.992624876012847</v>
      </c>
      <c r="F43" s="3">
        <v>37971.83</v>
      </c>
      <c r="G43" s="56">
        <f>2234.6065*13.3067232</f>
        <v>29735.2901564208</v>
      </c>
      <c r="H43" s="57">
        <f t="shared" si="28"/>
        <v>13.3067232</v>
      </c>
      <c r="I43" s="57">
        <f t="shared" si="29"/>
        <v>-8236.5398435792013</v>
      </c>
      <c r="J43" s="6">
        <f t="shared" si="30"/>
        <v>-0.21691184869360261</v>
      </c>
      <c r="K43" s="1">
        <v>45652</v>
      </c>
      <c r="L43" s="1">
        <v>45785</v>
      </c>
      <c r="M43">
        <f t="shared" si="32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31"/>
        <v>38.101812248436303</v>
      </c>
      <c r="F44" s="3">
        <v>21940.86</v>
      </c>
      <c r="G44" s="56">
        <f>575.8482*32.7857042</f>
        <v>18879.588749302438</v>
      </c>
      <c r="H44" s="57">
        <f t="shared" si="28"/>
        <v>32.785704199999998</v>
      </c>
      <c r="I44" s="57">
        <f t="shared" si="29"/>
        <v>-3061.2712506975622</v>
      </c>
      <c r="J44" s="6">
        <f t="shared" si="30"/>
        <v>-0.13952375844417958</v>
      </c>
      <c r="K44" s="1">
        <v>45761</v>
      </c>
      <c r="L44" s="1">
        <v>45790</v>
      </c>
      <c r="M44">
        <f t="shared" si="32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31"/>
        <v>24.570291674143743</v>
      </c>
      <c r="F45" s="3">
        <v>23591.34</v>
      </c>
      <c r="G45" s="56">
        <v>19396.37</v>
      </c>
      <c r="H45" s="57">
        <f t="shared" si="28"/>
        <v>20.201246233559068</v>
      </c>
      <c r="I45" s="57">
        <f t="shared" si="29"/>
        <v>-4194.9700000000012</v>
      </c>
      <c r="J45" s="6">
        <f t="shared" si="30"/>
        <v>-0.17781821634548953</v>
      </c>
      <c r="K45" s="1">
        <v>45776</v>
      </c>
      <c r="L45" s="1">
        <v>45812</v>
      </c>
      <c r="M45">
        <f t="shared" si="32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31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28"/>
        <v>84.038907800000004</v>
      </c>
      <c r="I46" s="57">
        <f t="shared" si="29"/>
        <v>-3907.8121523372101</v>
      </c>
      <c r="J46" s="6">
        <f t="shared" si="30"/>
        <v>-0.14246372001691271</v>
      </c>
      <c r="K46" s="1">
        <v>45782</v>
      </c>
      <c r="L46" s="1">
        <v>45818</v>
      </c>
      <c r="M46">
        <f t="shared" si="32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31"/>
        <v>40.437100849618155</v>
      </c>
      <c r="F47" s="3">
        <f>22877.09+14244.67</f>
        <v>37121.760000000002</v>
      </c>
      <c r="G47" s="56">
        <v>34659.56</v>
      </c>
      <c r="H47" s="57">
        <f t="shared" si="28"/>
        <v>37.755002002151599</v>
      </c>
      <c r="I47" s="57">
        <f t="shared" si="29"/>
        <v>-2462.2000000000044</v>
      </c>
      <c r="J47" s="6">
        <f t="shared" si="30"/>
        <v>-6.6327674118899643E-2</v>
      </c>
      <c r="K47" s="1">
        <v>45782</v>
      </c>
      <c r="L47" s="1">
        <v>45828</v>
      </c>
      <c r="M47">
        <f t="shared" si="32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31"/>
        <v>123.70183817297092</v>
      </c>
      <c r="F48" s="3">
        <f>22876.67+14197.82+14808.77</f>
        <v>51883.259999999995</v>
      </c>
      <c r="G48" s="56">
        <v>55156.07</v>
      </c>
      <c r="H48" s="57">
        <f t="shared" si="28"/>
        <v>131.50498340692272</v>
      </c>
      <c r="I48" s="57">
        <f t="shared" si="29"/>
        <v>3272.8100000000049</v>
      </c>
      <c r="J48" s="6">
        <f t="shared" si="30"/>
        <v>6.3080269050171583E-2</v>
      </c>
      <c r="K48" s="1">
        <v>45782</v>
      </c>
      <c r="L48" s="1">
        <v>45839</v>
      </c>
      <c r="M48">
        <f t="shared" si="32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31"/>
        <v>63.194998844628557</v>
      </c>
      <c r="F49" s="3">
        <v>36072.47</v>
      </c>
      <c r="G49" s="56">
        <v>51786.91</v>
      </c>
      <c r="H49" s="57">
        <f t="shared" si="28"/>
        <v>90.724968864535285</v>
      </c>
      <c r="I49" s="57">
        <f t="shared" si="29"/>
        <v>15714.440000000002</v>
      </c>
      <c r="J49" s="6">
        <f t="shared" si="30"/>
        <v>0.43563526423336141</v>
      </c>
      <c r="K49" s="1">
        <v>45796</v>
      </c>
      <c r="L49" s="1">
        <v>45839</v>
      </c>
      <c r="M49">
        <f t="shared" si="32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31"/>
        <v>90.254808370121239</v>
      </c>
      <c r="F50" s="3">
        <f>35895.15+19479.74</f>
        <v>55374.89</v>
      </c>
      <c r="G50" s="56">
        <v>55236.959999999999</v>
      </c>
      <c r="H50" s="57">
        <f t="shared" ref="H50" si="33">G50/D50</f>
        <v>90.029998068584007</v>
      </c>
      <c r="I50" s="57">
        <f t="shared" ref="I50" si="34">G50-F50</f>
        <v>-137.93000000000029</v>
      </c>
      <c r="J50" s="6">
        <f t="shared" ref="J50" si="35">I50/F50</f>
        <v>-2.4908401623912986E-3</v>
      </c>
      <c r="K50" s="1">
        <v>45789</v>
      </c>
      <c r="L50" s="1">
        <v>45855</v>
      </c>
      <c r="M50">
        <f t="shared" si="32"/>
        <v>65</v>
      </c>
    </row>
    <row r="51" spans="1:13" x14ac:dyDescent="0.25">
      <c r="C51" s="25"/>
      <c r="D51" s="2"/>
      <c r="E51" s="57"/>
      <c r="F51" s="3"/>
      <c r="G51" s="56"/>
      <c r="H51" s="57"/>
      <c r="I51" s="57"/>
      <c r="J51" s="6"/>
      <c r="K51" s="1"/>
      <c r="L51" s="1"/>
    </row>
    <row r="52" spans="1:13" x14ac:dyDescent="0.25">
      <c r="C52" s="25"/>
      <c r="D52" s="2"/>
      <c r="E52" s="57"/>
      <c r="F52" s="3"/>
      <c r="G52" s="56"/>
      <c r="H52" s="57"/>
      <c r="I52" s="57"/>
      <c r="J52" s="6"/>
      <c r="K52" s="1"/>
      <c r="L52" s="1"/>
    </row>
    <row r="53" spans="1:13" x14ac:dyDescent="0.25">
      <c r="C53" s="25"/>
      <c r="D53" s="2"/>
      <c r="E53" s="57"/>
      <c r="F53" s="3"/>
      <c r="G53" s="56"/>
      <c r="H53" s="57"/>
      <c r="I53" s="57"/>
      <c r="J53" s="6"/>
      <c r="K53" s="1"/>
      <c r="L53" s="1"/>
    </row>
    <row r="54" spans="1:13" x14ac:dyDescent="0.25">
      <c r="F54" s="56"/>
      <c r="G54" s="56"/>
      <c r="H54" s="3"/>
      <c r="I54" s="3">
        <f>SUM(I26:I53)</f>
        <v>-5872.231866334525</v>
      </c>
      <c r="J54" s="13" t="s">
        <v>66</v>
      </c>
    </row>
    <row r="55" spans="1:13" x14ac:dyDescent="0.25">
      <c r="F55" s="56"/>
      <c r="G55" s="56"/>
      <c r="H55" s="3" t="s">
        <v>67</v>
      </c>
      <c r="I55" s="59">
        <v>18</v>
      </c>
      <c r="J55" s="5">
        <v>-0.1043</v>
      </c>
    </row>
    <row r="56" spans="1:13" x14ac:dyDescent="0.25">
      <c r="F56" s="56"/>
      <c r="G56" s="56"/>
      <c r="H56" s="3" t="s">
        <v>68</v>
      </c>
      <c r="I56" s="59">
        <v>7</v>
      </c>
      <c r="J56" s="5">
        <v>0.26811000000000001</v>
      </c>
    </row>
    <row r="57" spans="1:13" x14ac:dyDescent="0.25">
      <c r="F57" s="56"/>
      <c r="G57" s="56"/>
      <c r="J57" s="6"/>
    </row>
    <row r="58" spans="1:13" x14ac:dyDescent="0.25">
      <c r="F58" s="56"/>
      <c r="G58" s="56"/>
      <c r="J58" s="6"/>
    </row>
    <row r="59" spans="1:13" x14ac:dyDescent="0.25">
      <c r="F59" s="56"/>
      <c r="G59" s="56"/>
      <c r="J59" s="6"/>
    </row>
    <row r="60" spans="1:13" x14ac:dyDescent="0.25">
      <c r="F60" s="56"/>
      <c r="G60" s="56"/>
      <c r="J60" s="6"/>
    </row>
    <row r="61" spans="1:13" x14ac:dyDescent="0.25">
      <c r="F61" s="56"/>
      <c r="G61" s="56"/>
      <c r="J61" s="6"/>
    </row>
    <row r="62" spans="1:13" x14ac:dyDescent="0.25">
      <c r="F62" s="56"/>
      <c r="G62" s="56"/>
      <c r="J62" s="6"/>
    </row>
    <row r="63" spans="1:13" x14ac:dyDescent="0.25">
      <c r="F63" s="56"/>
      <c r="G63" s="56"/>
      <c r="J63" s="6"/>
    </row>
    <row r="64" spans="1:13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  <c r="J77" s="6"/>
    </row>
    <row r="78" spans="6:10" x14ac:dyDescent="0.25">
      <c r="F78" s="56"/>
      <c r="G78" s="56"/>
      <c r="J78" s="6"/>
    </row>
    <row r="79" spans="6:10" x14ac:dyDescent="0.25">
      <c r="F79" s="56"/>
      <c r="G79" s="56"/>
      <c r="J79" s="6"/>
    </row>
    <row r="80" spans="6:10" x14ac:dyDescent="0.25">
      <c r="F80" s="56"/>
      <c r="G80" s="56"/>
    </row>
    <row r="81" spans="6:7" x14ac:dyDescent="0.25">
      <c r="F81" s="56"/>
      <c r="G81" s="56"/>
    </row>
    <row r="82" spans="6:7" x14ac:dyDescent="0.25">
      <c r="F82" s="56"/>
      <c r="G82" s="56"/>
    </row>
    <row r="83" spans="6:7" x14ac:dyDescent="0.25">
      <c r="F83" s="56"/>
      <c r="G83" s="56"/>
    </row>
    <row r="84" spans="6:7" x14ac:dyDescent="0.25">
      <c r="F84" s="56"/>
      <c r="G84" s="56"/>
    </row>
    <row r="85" spans="6:7" x14ac:dyDescent="0.25">
      <c r="F85" s="56"/>
      <c r="G85" s="56"/>
    </row>
  </sheetData>
  <sortState xmlns:xlrd2="http://schemas.microsoft.com/office/spreadsheetml/2017/richdata2" ref="A7:AC15">
    <sortCondition descending="1" ref="L7:L15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7518-712D-4000-947E-3C164AAC2BEC}">
  <dimension ref="A1:AC85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45863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71</v>
      </c>
      <c r="B7" t="s">
        <v>30</v>
      </c>
      <c r="C7" t="s">
        <v>72</v>
      </c>
      <c r="D7" s="2">
        <f>98.1877+35.2566</f>
        <v>133.4443</v>
      </c>
      <c r="E7" s="26">
        <v>644.59</v>
      </c>
      <c r="F7" s="3">
        <f t="shared" ref="F7:F17" si="0">E7*D7</f>
        <v>86016.861337000009</v>
      </c>
      <c r="G7" s="3">
        <f>34962.9+15401.92</f>
        <v>50364.82</v>
      </c>
      <c r="H7" s="4">
        <f t="shared" ref="H7:H17" si="1">G7/D7</f>
        <v>377.42204050678822</v>
      </c>
      <c r="I7" s="3">
        <f t="shared" ref="I7:I17" si="2">F7-G7</f>
        <v>35652.04133700001</v>
      </c>
      <c r="J7" s="26">
        <f t="shared" ref="J7:J17" si="3">E7-H7</f>
        <v>267.16795949321181</v>
      </c>
      <c r="K7" s="27">
        <v>45771</v>
      </c>
      <c r="L7">
        <f t="shared" ref="L7:L17" si="4">DAYS360(K7,$C$1)</f>
        <v>91</v>
      </c>
      <c r="M7" s="5">
        <f t="shared" ref="M7:M17" si="5">(I7/G7)</f>
        <v>0.70787588116069922</v>
      </c>
      <c r="N7">
        <v>2</v>
      </c>
      <c r="O7">
        <v>98</v>
      </c>
      <c r="P7" s="33">
        <v>31</v>
      </c>
      <c r="Q7" s="28">
        <v>444</v>
      </c>
      <c r="R7" s="29">
        <f t="shared" ref="R7:R17" si="6">Q7*0.93</f>
        <v>412.92</v>
      </c>
      <c r="S7" s="29">
        <v>462</v>
      </c>
      <c r="T7" s="28">
        <f t="shared" ref="T7:T17" si="7">Q7*1.25</f>
        <v>555</v>
      </c>
      <c r="U7" s="28">
        <f t="shared" ref="U7:U17" si="8">Q7*1.5</f>
        <v>666</v>
      </c>
      <c r="V7" s="28">
        <f t="shared" ref="V7:V17" si="9">Q7*2</f>
        <v>888</v>
      </c>
      <c r="W7" s="28">
        <f t="shared" ref="W7:W17" si="10">H7-(H7*0.07)</f>
        <v>351.00249767131305</v>
      </c>
      <c r="X7" s="29">
        <v>550</v>
      </c>
      <c r="Y7" s="5">
        <f t="shared" ref="Y7:Y17" si="11">(X7-H7)/H7</f>
        <v>0.45725458762683957</v>
      </c>
      <c r="Z7" s="32">
        <f t="shared" ref="Z7:Z17" si="12">F7/F$20</f>
        <v>0.14665556176514341</v>
      </c>
      <c r="AB7" s="58">
        <v>45952</v>
      </c>
      <c r="AC7" s="9">
        <v>90</v>
      </c>
    </row>
    <row r="8" spans="1:29" x14ac:dyDescent="0.25">
      <c r="A8" t="s">
        <v>111</v>
      </c>
      <c r="B8" t="s">
        <v>30</v>
      </c>
      <c r="C8" s="25" t="s">
        <v>112</v>
      </c>
      <c r="D8" s="2">
        <f>362.8226+163.9908</f>
        <v>526.8134</v>
      </c>
      <c r="E8" s="26">
        <v>118.82</v>
      </c>
      <c r="F8" s="3">
        <f t="shared" si="0"/>
        <v>62595.968187999999</v>
      </c>
      <c r="G8" s="3">
        <f>26856.13+12527.28</f>
        <v>39383.410000000003</v>
      </c>
      <c r="H8" s="4">
        <f t="shared" si="1"/>
        <v>74.757798491837917</v>
      </c>
      <c r="I8" s="3">
        <f t="shared" si="2"/>
        <v>23212.558187999995</v>
      </c>
      <c r="J8" s="26">
        <f t="shared" si="3"/>
        <v>44.062201508162076</v>
      </c>
      <c r="K8" s="27">
        <v>45789</v>
      </c>
      <c r="L8">
        <f t="shared" si="4"/>
        <v>73</v>
      </c>
      <c r="M8" s="5">
        <f t="shared" si="5"/>
        <v>0.58939939908707739</v>
      </c>
      <c r="N8">
        <v>10</v>
      </c>
      <c r="O8">
        <v>98</v>
      </c>
      <c r="P8" s="63">
        <v>41</v>
      </c>
      <c r="Q8" s="28">
        <v>74.239999999999995</v>
      </c>
      <c r="R8" s="29">
        <f t="shared" si="6"/>
        <v>69.043199999999999</v>
      </c>
      <c r="S8" s="29">
        <v>78.66</v>
      </c>
      <c r="T8" s="28">
        <f t="shared" si="7"/>
        <v>92.8</v>
      </c>
      <c r="U8" s="28">
        <f t="shared" si="8"/>
        <v>111.35999999999999</v>
      </c>
      <c r="V8" s="28">
        <f t="shared" si="9"/>
        <v>148.47999999999999</v>
      </c>
      <c r="W8" s="28">
        <f t="shared" si="10"/>
        <v>69.524752597409261</v>
      </c>
      <c r="X8" s="29">
        <v>95</v>
      </c>
      <c r="Y8" s="5">
        <f t="shared" si="11"/>
        <v>0.27077043354041697</v>
      </c>
      <c r="Z8" s="6">
        <f t="shared" si="12"/>
        <v>0.10672380666016472</v>
      </c>
      <c r="AB8" s="60">
        <v>45869</v>
      </c>
      <c r="AC8" s="9">
        <v>90</v>
      </c>
    </row>
    <row r="9" spans="1:29" x14ac:dyDescent="0.25">
      <c r="A9" t="s">
        <v>118</v>
      </c>
      <c r="B9" t="s">
        <v>30</v>
      </c>
      <c r="C9" s="25" t="s">
        <v>119</v>
      </c>
      <c r="D9" s="2">
        <f>605.0016+550.0434</f>
        <v>1155.0450000000001</v>
      </c>
      <c r="E9" s="26">
        <v>51.67</v>
      </c>
      <c r="F9" s="3">
        <f t="shared" si="0"/>
        <v>59681.175150000003</v>
      </c>
      <c r="G9" s="3">
        <f>(605.0016*29.7738017)+17708.65</f>
        <v>35721.847666582718</v>
      </c>
      <c r="H9" s="4">
        <f t="shared" si="1"/>
        <v>30.926801697408081</v>
      </c>
      <c r="I9" s="3">
        <f t="shared" si="2"/>
        <v>23959.327483417284</v>
      </c>
      <c r="J9" s="26">
        <f t="shared" si="3"/>
        <v>20.743198302591921</v>
      </c>
      <c r="K9" s="27">
        <v>45800</v>
      </c>
      <c r="L9">
        <f t="shared" si="4"/>
        <v>62</v>
      </c>
      <c r="M9" s="5">
        <f t="shared" si="5"/>
        <v>0.67071915504054103</v>
      </c>
      <c r="N9">
        <v>2</v>
      </c>
      <c r="O9">
        <v>99</v>
      </c>
      <c r="P9" s="63">
        <v>19</v>
      </c>
      <c r="Q9" s="28">
        <v>29.66</v>
      </c>
      <c r="R9" s="29">
        <f t="shared" si="6"/>
        <v>27.5838</v>
      </c>
      <c r="S9" s="29">
        <v>29.66</v>
      </c>
      <c r="T9" s="31">
        <f t="shared" si="7"/>
        <v>37.075000000000003</v>
      </c>
      <c r="U9" s="28">
        <f t="shared" si="8"/>
        <v>44.49</v>
      </c>
      <c r="V9" s="28">
        <f t="shared" si="9"/>
        <v>59.32</v>
      </c>
      <c r="W9" s="28">
        <f t="shared" si="10"/>
        <v>28.761925578589516</v>
      </c>
      <c r="X9" s="29">
        <v>42</v>
      </c>
      <c r="Y9" s="5">
        <f t="shared" si="11"/>
        <v>0.35804537471845799</v>
      </c>
      <c r="Z9" s="6">
        <f t="shared" si="12"/>
        <v>0.10175419251972011</v>
      </c>
      <c r="AB9" s="58">
        <v>45876</v>
      </c>
      <c r="AC9" s="9">
        <v>91</v>
      </c>
    </row>
    <row r="10" spans="1:29" x14ac:dyDescent="0.25">
      <c r="A10" t="s">
        <v>121</v>
      </c>
      <c r="B10" t="s">
        <v>30</v>
      </c>
      <c r="C10" s="25" t="s">
        <v>122</v>
      </c>
      <c r="D10" s="2">
        <f>1070.2094+395.2675</f>
        <v>1465.4768999999999</v>
      </c>
      <c r="E10" s="26">
        <v>28.95</v>
      </c>
      <c r="F10" s="3">
        <f t="shared" si="0"/>
        <v>42425.556254999996</v>
      </c>
      <c r="G10" s="3">
        <f>18821.97+11334.33</f>
        <v>30156.300000000003</v>
      </c>
      <c r="H10" s="4">
        <f t="shared" si="1"/>
        <v>20.577806446488516</v>
      </c>
      <c r="I10" s="3">
        <f t="shared" si="2"/>
        <v>12269.256254999993</v>
      </c>
      <c r="J10" s="26">
        <f t="shared" si="3"/>
        <v>8.3721935535114831</v>
      </c>
      <c r="K10" s="27">
        <v>45814</v>
      </c>
      <c r="L10">
        <f t="shared" si="4"/>
        <v>49</v>
      </c>
      <c r="M10" s="5">
        <f t="shared" si="5"/>
        <v>0.40685549138985855</v>
      </c>
      <c r="N10">
        <v>21</v>
      </c>
      <c r="O10">
        <v>98</v>
      </c>
      <c r="P10" s="63">
        <v>81</v>
      </c>
      <c r="Q10" s="28">
        <v>16.399999999999999</v>
      </c>
      <c r="R10" s="29">
        <f t="shared" si="6"/>
        <v>15.251999999999999</v>
      </c>
      <c r="S10" s="29">
        <v>11.01</v>
      </c>
      <c r="T10" s="28">
        <f t="shared" si="7"/>
        <v>20.5</v>
      </c>
      <c r="U10" s="28">
        <f t="shared" si="8"/>
        <v>24.599999999999998</v>
      </c>
      <c r="V10" s="28">
        <f t="shared" si="9"/>
        <v>32.799999999999997</v>
      </c>
      <c r="W10" s="28">
        <f t="shared" si="10"/>
        <v>19.13735999523432</v>
      </c>
      <c r="X10" s="29">
        <v>19</v>
      </c>
      <c r="Y10" s="5">
        <f t="shared" si="11"/>
        <v>-7.6675152455705969E-2</v>
      </c>
      <c r="Z10" s="6">
        <f t="shared" si="12"/>
        <v>7.2334001602303979E-2</v>
      </c>
      <c r="AB10" s="58">
        <v>45887</v>
      </c>
      <c r="AC10" s="9">
        <v>98</v>
      </c>
    </row>
    <row r="11" spans="1:29" x14ac:dyDescent="0.25">
      <c r="A11" t="s">
        <v>124</v>
      </c>
      <c r="B11" t="s">
        <v>30</v>
      </c>
      <c r="C11" s="25" t="s">
        <v>125</v>
      </c>
      <c r="D11" s="2">
        <f>915.359+608.2121</f>
        <v>1523.5711000000001</v>
      </c>
      <c r="E11" s="26">
        <v>47.43</v>
      </c>
      <c r="F11" s="3">
        <f t="shared" si="0"/>
        <v>72262.977273000011</v>
      </c>
      <c r="G11" s="3">
        <f>28630.6+20162.2481</f>
        <v>48792.848100000003</v>
      </c>
      <c r="H11" s="4">
        <f t="shared" si="1"/>
        <v>32.025317426932027</v>
      </c>
      <c r="I11" s="3">
        <f t="shared" si="2"/>
        <v>23470.129173000008</v>
      </c>
      <c r="J11" s="26">
        <f t="shared" si="3"/>
        <v>15.404682573067973</v>
      </c>
      <c r="K11" s="27">
        <v>45817</v>
      </c>
      <c r="L11">
        <f t="shared" si="4"/>
        <v>46</v>
      </c>
      <c r="M11" s="5">
        <f t="shared" si="5"/>
        <v>0.48101576536172741</v>
      </c>
      <c r="N11">
        <v>6</v>
      </c>
      <c r="O11">
        <v>99</v>
      </c>
      <c r="P11" s="63">
        <v>16</v>
      </c>
      <c r="Q11" s="28">
        <v>30.78</v>
      </c>
      <c r="R11" s="29">
        <f t="shared" si="6"/>
        <v>28.625400000000003</v>
      </c>
      <c r="S11" s="29">
        <v>26.45</v>
      </c>
      <c r="T11" s="28">
        <f t="shared" si="7"/>
        <v>38.475000000000001</v>
      </c>
      <c r="U11" s="28">
        <f t="shared" si="8"/>
        <v>46.17</v>
      </c>
      <c r="V11" s="28">
        <f t="shared" si="9"/>
        <v>61.56</v>
      </c>
      <c r="W11" s="28">
        <f t="shared" si="10"/>
        <v>29.783545207046785</v>
      </c>
      <c r="X11" s="29">
        <v>38</v>
      </c>
      <c r="Y11" s="5">
        <f t="shared" si="11"/>
        <v>0.18656122883714185</v>
      </c>
      <c r="Z11" s="6">
        <f t="shared" si="12"/>
        <v>0.12320569899979594</v>
      </c>
      <c r="AB11" s="58">
        <v>45876</v>
      </c>
      <c r="AC11" s="9">
        <v>88</v>
      </c>
    </row>
    <row r="12" spans="1:29" x14ac:dyDescent="0.25">
      <c r="A12" t="s">
        <v>126</v>
      </c>
      <c r="B12" t="s">
        <v>30</v>
      </c>
      <c r="C12" s="25" t="s">
        <v>127</v>
      </c>
      <c r="D12" s="2">
        <f>344.4515+240</f>
        <v>584.45150000000001</v>
      </c>
      <c r="E12" s="26">
        <v>101.22</v>
      </c>
      <c r="F12" s="3">
        <f t="shared" si="0"/>
        <v>59158.180829999998</v>
      </c>
      <c r="G12" s="3">
        <f>30563.18+23352</f>
        <v>53915.18</v>
      </c>
      <c r="H12" s="4">
        <f t="shared" si="1"/>
        <v>92.249194330068448</v>
      </c>
      <c r="I12" s="3">
        <f t="shared" si="2"/>
        <v>5243.0008299999972</v>
      </c>
      <c r="J12" s="26">
        <f t="shared" si="3"/>
        <v>8.9708056699315506</v>
      </c>
      <c r="K12" s="27">
        <v>45840</v>
      </c>
      <c r="L12">
        <f t="shared" si="4"/>
        <v>23</v>
      </c>
      <c r="M12" s="5">
        <f t="shared" si="5"/>
        <v>9.724535520423E-2</v>
      </c>
      <c r="N12">
        <v>79</v>
      </c>
      <c r="O12">
        <v>98</v>
      </c>
      <c r="P12" s="63">
        <v>81</v>
      </c>
      <c r="Q12" s="28">
        <v>86.84</v>
      </c>
      <c r="R12" s="29">
        <f t="shared" si="6"/>
        <v>80.761200000000002</v>
      </c>
      <c r="S12" s="29">
        <v>81.72</v>
      </c>
      <c r="T12" s="31">
        <f t="shared" si="7"/>
        <v>108.55000000000001</v>
      </c>
      <c r="U12" s="28">
        <f t="shared" si="8"/>
        <v>130.26</v>
      </c>
      <c r="V12" s="28">
        <f t="shared" si="9"/>
        <v>173.68</v>
      </c>
      <c r="W12" s="28">
        <f t="shared" si="10"/>
        <v>85.791750726963656</v>
      </c>
      <c r="X12" s="29">
        <v>82</v>
      </c>
      <c r="Y12" s="5">
        <f t="shared" si="11"/>
        <v>-0.11110334788829417</v>
      </c>
      <c r="Z12" s="6">
        <f t="shared" si="12"/>
        <v>0.10086250658038919</v>
      </c>
      <c r="AB12" s="58">
        <v>45896</v>
      </c>
      <c r="AC12" s="9">
        <v>99</v>
      </c>
    </row>
    <row r="13" spans="1:29" x14ac:dyDescent="0.25">
      <c r="A13" t="s">
        <v>128</v>
      </c>
      <c r="B13" t="s">
        <v>30</v>
      </c>
      <c r="C13" s="25" t="s">
        <v>129</v>
      </c>
      <c r="D13" s="2">
        <f>786.7766+525.5828</f>
        <v>1312.3594000000001</v>
      </c>
      <c r="E13" s="26">
        <v>43.2</v>
      </c>
      <c r="F13" s="3">
        <f t="shared" si="0"/>
        <v>56693.926080000005</v>
      </c>
      <c r="G13" s="3">
        <f>30514.1+21675.87</f>
        <v>52189.97</v>
      </c>
      <c r="H13" s="4">
        <f t="shared" si="1"/>
        <v>39.768046771334134</v>
      </c>
      <c r="I13" s="3">
        <f t="shared" si="2"/>
        <v>4503.9560800000036</v>
      </c>
      <c r="J13" s="26">
        <f t="shared" si="3"/>
        <v>3.4319532286658685</v>
      </c>
      <c r="K13" s="27">
        <v>45840</v>
      </c>
      <c r="L13">
        <f t="shared" si="4"/>
        <v>23</v>
      </c>
      <c r="M13" s="5">
        <f t="shared" si="5"/>
        <v>8.6299265548533621E-2</v>
      </c>
      <c r="N13">
        <v>48</v>
      </c>
      <c r="O13">
        <v>97</v>
      </c>
      <c r="P13" s="64">
        <v>81</v>
      </c>
      <c r="Q13" s="28">
        <v>37.89</v>
      </c>
      <c r="R13" s="29">
        <f t="shared" si="6"/>
        <v>35.237700000000004</v>
      </c>
      <c r="S13" s="29">
        <v>34.869999999999997</v>
      </c>
      <c r="T13" s="31">
        <f t="shared" si="7"/>
        <v>47.362499999999997</v>
      </c>
      <c r="U13" s="28">
        <f t="shared" si="8"/>
        <v>56.835000000000001</v>
      </c>
      <c r="V13" s="28">
        <f t="shared" si="9"/>
        <v>75.78</v>
      </c>
      <c r="W13" s="28">
        <f t="shared" si="10"/>
        <v>36.984283497340748</v>
      </c>
      <c r="X13" s="29">
        <v>39</v>
      </c>
      <c r="Y13" s="5">
        <f t="shared" si="11"/>
        <v>-1.9313163046462793E-2</v>
      </c>
      <c r="Z13" s="6">
        <f t="shared" si="12"/>
        <v>9.6661043529118584E-2</v>
      </c>
      <c r="AB13" s="60">
        <v>45868</v>
      </c>
      <c r="AC13" s="9">
        <v>96</v>
      </c>
    </row>
    <row r="14" spans="1:29" x14ac:dyDescent="0.25">
      <c r="A14" t="s">
        <v>69</v>
      </c>
      <c r="B14" t="s">
        <v>30</v>
      </c>
      <c r="C14" s="25" t="s">
        <v>70</v>
      </c>
      <c r="D14" s="2">
        <v>682.05550000000005</v>
      </c>
      <c r="E14" s="26">
        <v>75.5</v>
      </c>
      <c r="F14" s="3">
        <f t="shared" si="0"/>
        <v>51495.190250000007</v>
      </c>
      <c r="G14" s="3">
        <v>43555.21</v>
      </c>
      <c r="H14" s="4">
        <f t="shared" si="1"/>
        <v>63.85874756526411</v>
      </c>
      <c r="I14" s="3">
        <f t="shared" si="2"/>
        <v>7939.9802500000078</v>
      </c>
      <c r="J14" s="26">
        <f t="shared" si="3"/>
        <v>11.64125243473589</v>
      </c>
      <c r="K14" s="27">
        <v>45854</v>
      </c>
      <c r="L14">
        <f t="shared" si="4"/>
        <v>9</v>
      </c>
      <c r="M14" s="5">
        <f t="shared" si="5"/>
        <v>0.18229691120763758</v>
      </c>
      <c r="N14">
        <v>2</v>
      </c>
      <c r="O14">
        <v>99</v>
      </c>
      <c r="P14" s="63">
        <v>49</v>
      </c>
      <c r="Q14" s="28">
        <v>58.69</v>
      </c>
      <c r="R14" s="29">
        <f t="shared" si="6"/>
        <v>54.581699999999998</v>
      </c>
      <c r="S14" s="29">
        <v>50.08</v>
      </c>
      <c r="T14" s="31">
        <f t="shared" si="7"/>
        <v>73.362499999999997</v>
      </c>
      <c r="U14" s="28">
        <f t="shared" si="8"/>
        <v>88.034999999999997</v>
      </c>
      <c r="V14" s="28">
        <f t="shared" si="9"/>
        <v>117.38</v>
      </c>
      <c r="W14" s="28">
        <f t="shared" si="10"/>
        <v>59.388635235695624</v>
      </c>
      <c r="X14" s="29">
        <v>59</v>
      </c>
      <c r="Y14" s="5">
        <f t="shared" si="11"/>
        <v>-7.6085857466879292E-2</v>
      </c>
      <c r="Z14" s="32">
        <f t="shared" si="12"/>
        <v>8.779739154546648E-2</v>
      </c>
      <c r="AB14" s="58">
        <v>45888</v>
      </c>
      <c r="AC14" s="9">
        <v>92</v>
      </c>
    </row>
    <row r="15" spans="1:29" x14ac:dyDescent="0.25">
      <c r="A15" t="s">
        <v>132</v>
      </c>
      <c r="B15" t="s">
        <v>30</v>
      </c>
      <c r="C15" s="25" t="s">
        <v>133</v>
      </c>
      <c r="D15" s="2">
        <v>1314.7320999999999</v>
      </c>
      <c r="E15" s="26">
        <v>16.71</v>
      </c>
      <c r="F15" s="3">
        <f t="shared" si="0"/>
        <v>21969.173391</v>
      </c>
      <c r="G15" s="3">
        <v>22797.23</v>
      </c>
      <c r="H15" s="4">
        <f t="shared" si="1"/>
        <v>17.339829156069133</v>
      </c>
      <c r="I15" s="3">
        <f t="shared" si="2"/>
        <v>-828.0566089999993</v>
      </c>
      <c r="J15" s="26">
        <f t="shared" si="3"/>
        <v>-0.62982915606913181</v>
      </c>
      <c r="K15" s="27">
        <v>45861</v>
      </c>
      <c r="L15">
        <f t="shared" si="4"/>
        <v>2</v>
      </c>
      <c r="M15" s="5">
        <f t="shared" si="5"/>
        <v>-3.6322685212194609E-2</v>
      </c>
      <c r="N15">
        <v>21</v>
      </c>
      <c r="O15">
        <v>99</v>
      </c>
      <c r="P15" s="63">
        <v>34</v>
      </c>
      <c r="Q15" s="28">
        <v>21.74</v>
      </c>
      <c r="R15" s="29">
        <f t="shared" si="6"/>
        <v>20.2182</v>
      </c>
      <c r="S15" s="29">
        <v>15.5</v>
      </c>
      <c r="T15" s="28">
        <f t="shared" si="7"/>
        <v>27.174999999999997</v>
      </c>
      <c r="U15" s="28">
        <f t="shared" si="8"/>
        <v>32.61</v>
      </c>
      <c r="V15" s="28">
        <f t="shared" si="9"/>
        <v>43.48</v>
      </c>
      <c r="W15" s="28">
        <f t="shared" si="10"/>
        <v>16.126041115144293</v>
      </c>
      <c r="X15" s="29">
        <v>16.13</v>
      </c>
      <c r="Y15" s="5">
        <f t="shared" si="11"/>
        <v>-6.9771688358629527E-2</v>
      </c>
      <c r="Z15" s="32">
        <f t="shared" si="12"/>
        <v>3.7456626701944662E-2</v>
      </c>
      <c r="AB15" s="58">
        <v>45887</v>
      </c>
      <c r="AC15" s="9">
        <v>77</v>
      </c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45205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2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45205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512299.00875400007</v>
      </c>
      <c r="G18" s="3">
        <f>SUM(G6:G17)</f>
        <v>376876.81576658273</v>
      </c>
      <c r="H18" s="4"/>
      <c r="I18" s="3">
        <f>SUM(I6:I17)</f>
        <v>135422.19298741731</v>
      </c>
      <c r="M18" s="5"/>
      <c r="Z18" s="6"/>
    </row>
    <row r="19" spans="1:29" x14ac:dyDescent="0.25">
      <c r="D19" s="2" t="s">
        <v>44</v>
      </c>
      <c r="F19" s="3">
        <v>74224</v>
      </c>
      <c r="G19" s="6">
        <f>F19/F20</f>
        <v>0.12654917009595285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586523.00875400007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'07-18-25'!F20</f>
        <v>570514.75525499997</v>
      </c>
      <c r="K21" s="1">
        <v>45657</v>
      </c>
      <c r="L21" s="50">
        <v>170762</v>
      </c>
      <c r="M21" s="50">
        <v>203029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2.8059315471770711E-2</v>
      </c>
      <c r="K22" s="9" t="s">
        <v>123</v>
      </c>
      <c r="L22" s="6">
        <f>(M21-L21)/L21</f>
        <v>0.18895890186341224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4">F28/D28</f>
        <v>44.698790833464948</v>
      </c>
      <c r="F28" s="3">
        <v>56489.42</v>
      </c>
      <c r="G28" s="56">
        <v>75501.87</v>
      </c>
      <c r="H28" s="57">
        <f t="shared" ref="H28:H50" si="15">G28/D28</f>
        <v>59.742909285764696</v>
      </c>
      <c r="I28" s="57">
        <f t="shared" ref="I28:I50" si="16">G28-F28</f>
        <v>19012.449999999997</v>
      </c>
      <c r="J28" s="6">
        <f t="shared" ref="J28:J50" si="17">I28/F28</f>
        <v>0.33656656414599401</v>
      </c>
      <c r="K28" s="1">
        <v>45527</v>
      </c>
      <c r="L28" s="1">
        <v>45688</v>
      </c>
      <c r="M28">
        <f t="shared" si="13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4"/>
        <v>169.90901206845703</v>
      </c>
      <c r="F29" s="3">
        <f>59492.79+21969.78</f>
        <v>81462.570000000007</v>
      </c>
      <c r="G29" s="56">
        <v>65047.58</v>
      </c>
      <c r="H29" s="57">
        <f t="shared" si="15"/>
        <v>135.67175765807443</v>
      </c>
      <c r="I29" s="57">
        <f t="shared" si="16"/>
        <v>-16414.990000000005</v>
      </c>
      <c r="J29" s="6">
        <f t="shared" si="17"/>
        <v>-0.20150346349249729</v>
      </c>
      <c r="K29" s="1">
        <v>45671</v>
      </c>
      <c r="L29" s="1">
        <v>45688</v>
      </c>
      <c r="M29">
        <f t="shared" si="13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4"/>
        <v>18.702010092477405</v>
      </c>
      <c r="F30" s="3">
        <v>56486.59</v>
      </c>
      <c r="G30" s="56">
        <v>71124.88</v>
      </c>
      <c r="H30" s="57">
        <f t="shared" si="15"/>
        <v>23.548566546258936</v>
      </c>
      <c r="I30" s="57">
        <f t="shared" si="16"/>
        <v>14638.290000000008</v>
      </c>
      <c r="J30" s="6">
        <f t="shared" si="17"/>
        <v>0.25914628587068206</v>
      </c>
      <c r="K30" s="1">
        <v>45527</v>
      </c>
      <c r="L30" s="1">
        <v>45691</v>
      </c>
      <c r="M30">
        <f t="shared" si="13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4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5"/>
        <v>38.249853000000002</v>
      </c>
      <c r="I31" s="57">
        <f t="shared" si="16"/>
        <v>-6110.386336591735</v>
      </c>
      <c r="J31" s="6">
        <f t="shared" si="17"/>
        <v>-0.10005621882176895</v>
      </c>
      <c r="K31" s="1">
        <v>45706</v>
      </c>
      <c r="L31" s="1">
        <v>45708</v>
      </c>
      <c r="M31">
        <f t="shared" si="13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4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5"/>
        <v>531.63995279999995</v>
      </c>
      <c r="I32" s="57">
        <f t="shared" si="16"/>
        <v>-22176.243614196137</v>
      </c>
      <c r="J32" s="6">
        <f t="shared" si="17"/>
        <v>-0.24194911929355969</v>
      </c>
      <c r="K32" s="1">
        <v>45706</v>
      </c>
      <c r="L32" s="1">
        <v>45708</v>
      </c>
      <c r="M32">
        <f t="shared" si="13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4"/>
        <v>368.56522253629635</v>
      </c>
      <c r="F33" s="3">
        <v>74438.86</v>
      </c>
      <c r="G33" s="56">
        <f>201.9693*360.5332483</f>
        <v>72816.647785877198</v>
      </c>
      <c r="H33" s="57">
        <f t="shared" si="15"/>
        <v>360.53324830000003</v>
      </c>
      <c r="I33" s="57">
        <f t="shared" si="16"/>
        <v>-1622.2122141228028</v>
      </c>
      <c r="J33" s="6">
        <f t="shared" si="17"/>
        <v>-2.1792545105107773E-2</v>
      </c>
      <c r="K33" s="1">
        <v>45664</v>
      </c>
      <c r="L33" s="1">
        <v>45708</v>
      </c>
      <c r="M33">
        <f t="shared" si="13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4"/>
        <v>30.17825528482809</v>
      </c>
      <c r="F34" s="3">
        <v>37884.65</v>
      </c>
      <c r="G34" s="56">
        <f>1255.3625*39.762296</f>
        <v>49916.0953123</v>
      </c>
      <c r="H34" s="57">
        <f t="shared" si="15"/>
        <v>39.762295999999999</v>
      </c>
      <c r="I34" s="57">
        <f t="shared" si="16"/>
        <v>12031.445312299998</v>
      </c>
      <c r="J34" s="6">
        <f t="shared" si="17"/>
        <v>0.31758100740801348</v>
      </c>
      <c r="K34" s="1">
        <v>45663</v>
      </c>
      <c r="L34" s="1">
        <v>45709</v>
      </c>
      <c r="M34">
        <f t="shared" si="13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4"/>
        <v>242.26930551548847</v>
      </c>
      <c r="F35" s="3">
        <v>61221.72</v>
      </c>
      <c r="G35" s="56">
        <f>252.7011*226.6146532</f>
        <v>57265.772139758519</v>
      </c>
      <c r="H35" s="57">
        <f t="shared" si="15"/>
        <v>226.61465319999999</v>
      </c>
      <c r="I35" s="57">
        <f t="shared" si="16"/>
        <v>-3955.947860241482</v>
      </c>
      <c r="J35" s="6">
        <f t="shared" si="17"/>
        <v>-6.4616738311852093E-2</v>
      </c>
      <c r="K35" s="1">
        <v>45699</v>
      </c>
      <c r="L35" s="1">
        <v>45709</v>
      </c>
      <c r="M35">
        <f t="shared" si="13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4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5"/>
        <v>283.93999450000007</v>
      </c>
      <c r="I36" s="57">
        <f t="shared" si="16"/>
        <v>19563.525282954361</v>
      </c>
      <c r="J36" s="6">
        <f t="shared" si="17"/>
        <v>0.36434300703793465</v>
      </c>
      <c r="K36" s="1">
        <v>45580</v>
      </c>
      <c r="L36" s="1">
        <v>45712</v>
      </c>
      <c r="M36">
        <f t="shared" si="13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4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5"/>
        <v>63.365330900000004</v>
      </c>
      <c r="I37" s="57">
        <f t="shared" si="16"/>
        <v>-4549.5912833559851</v>
      </c>
      <c r="J37" s="6">
        <f t="shared" si="17"/>
        <v>-5.9638082078758516E-2</v>
      </c>
      <c r="K37" s="1">
        <v>45673</v>
      </c>
      <c r="L37" s="1">
        <v>45712</v>
      </c>
      <c r="M37">
        <f t="shared" si="13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5"/>
        <v>50.021380499999999</v>
      </c>
      <c r="I38" s="57">
        <f t="shared" si="16"/>
        <v>6027.2875116823998</v>
      </c>
      <c r="J38" s="6">
        <f t="shared" si="17"/>
        <v>9.9771440635884723E-2</v>
      </c>
      <c r="K38" s="1">
        <v>45593</v>
      </c>
      <c r="L38" s="1">
        <v>45713</v>
      </c>
      <c r="M38">
        <f t="shared" si="13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5"/>
        <v>12.519992000000002</v>
      </c>
      <c r="I39" s="57">
        <f t="shared" si="16"/>
        <v>-2230.6527810991975</v>
      </c>
      <c r="J39" s="6">
        <f t="shared" si="17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5"/>
        <v>94.679995300000002</v>
      </c>
      <c r="I40" s="57">
        <f t="shared" si="16"/>
        <v>-4750.690604140058</v>
      </c>
      <c r="J40" s="6">
        <f t="shared" si="17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51" si="18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5"/>
        <v>18.9477051</v>
      </c>
      <c r="I41" s="57">
        <f t="shared" si="16"/>
        <v>-2244.5195874142191</v>
      </c>
      <c r="J41" s="6">
        <f t="shared" si="17"/>
        <v>-8.2776138273503941E-2</v>
      </c>
      <c r="K41" s="1">
        <v>45761</v>
      </c>
      <c r="L41" s="1">
        <v>45768</v>
      </c>
      <c r="M41">
        <f t="shared" ref="M41:M51" si="19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8"/>
        <v>96.336406065231671</v>
      </c>
      <c r="F42" s="3">
        <v>34004.42</v>
      </c>
      <c r="G42" s="56">
        <f>352.9758*89.7849585</f>
        <v>31691.9175545043</v>
      </c>
      <c r="H42" s="57">
        <f t="shared" si="15"/>
        <v>89.784958500000002</v>
      </c>
      <c r="I42" s="57">
        <f t="shared" si="16"/>
        <v>-2312.5024454956983</v>
      </c>
      <c r="J42" s="6">
        <f t="shared" si="17"/>
        <v>-6.8005937036882222E-2</v>
      </c>
      <c r="K42" s="1">
        <v>45762</v>
      </c>
      <c r="L42" s="1">
        <v>45768</v>
      </c>
      <c r="M42">
        <f t="shared" si="19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8"/>
        <v>16.992624876012847</v>
      </c>
      <c r="F43" s="3">
        <v>37971.83</v>
      </c>
      <c r="G43" s="56">
        <f>2234.6065*13.3067232</f>
        <v>29735.2901564208</v>
      </c>
      <c r="H43" s="57">
        <f t="shared" si="15"/>
        <v>13.3067232</v>
      </c>
      <c r="I43" s="57">
        <f t="shared" si="16"/>
        <v>-8236.5398435792013</v>
      </c>
      <c r="J43" s="6">
        <f t="shared" si="17"/>
        <v>-0.21691184869360261</v>
      </c>
      <c r="K43" s="1">
        <v>45652</v>
      </c>
      <c r="L43" s="1">
        <v>45785</v>
      </c>
      <c r="M43">
        <f t="shared" si="19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8"/>
        <v>38.101812248436303</v>
      </c>
      <c r="F44" s="3">
        <v>21940.86</v>
      </c>
      <c r="G44" s="56">
        <f>575.8482*32.7857042</f>
        <v>18879.588749302438</v>
      </c>
      <c r="H44" s="57">
        <f t="shared" si="15"/>
        <v>32.785704199999998</v>
      </c>
      <c r="I44" s="57">
        <f t="shared" si="16"/>
        <v>-3061.2712506975622</v>
      </c>
      <c r="J44" s="6">
        <f t="shared" si="17"/>
        <v>-0.13952375844417958</v>
      </c>
      <c r="K44" s="1">
        <v>45761</v>
      </c>
      <c r="L44" s="1">
        <v>45790</v>
      </c>
      <c r="M44">
        <f t="shared" si="19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8"/>
        <v>24.570291674143743</v>
      </c>
      <c r="F45" s="3">
        <v>23591.34</v>
      </c>
      <c r="G45" s="56">
        <v>19396.37</v>
      </c>
      <c r="H45" s="57">
        <f t="shared" si="15"/>
        <v>20.201246233559068</v>
      </c>
      <c r="I45" s="57">
        <f t="shared" si="16"/>
        <v>-4194.9700000000012</v>
      </c>
      <c r="J45" s="6">
        <f t="shared" si="17"/>
        <v>-0.17781821634548953</v>
      </c>
      <c r="K45" s="1">
        <v>45776</v>
      </c>
      <c r="L45" s="1">
        <v>45812</v>
      </c>
      <c r="M45">
        <f t="shared" si="19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8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5"/>
        <v>84.038907800000004</v>
      </c>
      <c r="I46" s="57">
        <f t="shared" si="16"/>
        <v>-3907.8121523372101</v>
      </c>
      <c r="J46" s="6">
        <f t="shared" si="17"/>
        <v>-0.14246372001691271</v>
      </c>
      <c r="K46" s="1">
        <v>45782</v>
      </c>
      <c r="L46" s="1">
        <v>45818</v>
      </c>
      <c r="M46">
        <f t="shared" si="19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8"/>
        <v>40.437100849618155</v>
      </c>
      <c r="F47" s="3">
        <f>22877.09+14244.67</f>
        <v>37121.760000000002</v>
      </c>
      <c r="G47" s="56">
        <v>34659.56</v>
      </c>
      <c r="H47" s="57">
        <f t="shared" si="15"/>
        <v>37.755002002151599</v>
      </c>
      <c r="I47" s="57">
        <f t="shared" si="16"/>
        <v>-2462.2000000000044</v>
      </c>
      <c r="J47" s="6">
        <f t="shared" si="17"/>
        <v>-6.6327674118899643E-2</v>
      </c>
      <c r="K47" s="1">
        <v>45782</v>
      </c>
      <c r="L47" s="1">
        <v>45828</v>
      </c>
      <c r="M47">
        <f t="shared" si="19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18"/>
        <v>123.70183817297092</v>
      </c>
      <c r="F48" s="3">
        <f>22876.67+14197.82+14808.77</f>
        <v>51883.259999999995</v>
      </c>
      <c r="G48" s="56">
        <v>55156.07</v>
      </c>
      <c r="H48" s="57">
        <f t="shared" si="15"/>
        <v>131.50498340692272</v>
      </c>
      <c r="I48" s="57">
        <f t="shared" si="16"/>
        <v>3272.8100000000049</v>
      </c>
      <c r="J48" s="6">
        <f t="shared" si="17"/>
        <v>6.3080269050171583E-2</v>
      </c>
      <c r="K48" s="1">
        <v>45782</v>
      </c>
      <c r="L48" s="1">
        <v>45839</v>
      </c>
      <c r="M48">
        <f t="shared" si="19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18"/>
        <v>63.194998844628557</v>
      </c>
      <c r="F49" s="3">
        <v>36072.47</v>
      </c>
      <c r="G49" s="56">
        <v>51786.91</v>
      </c>
      <c r="H49" s="57">
        <f t="shared" si="15"/>
        <v>90.724968864535285</v>
      </c>
      <c r="I49" s="57">
        <f t="shared" si="16"/>
        <v>15714.440000000002</v>
      </c>
      <c r="J49" s="6">
        <f t="shared" si="17"/>
        <v>0.43563526423336141</v>
      </c>
      <c r="K49" s="1">
        <v>45796</v>
      </c>
      <c r="L49" s="1">
        <v>45839</v>
      </c>
      <c r="M49">
        <f t="shared" si="19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18"/>
        <v>90.254808370121239</v>
      </c>
      <c r="F50" s="3">
        <f>35895.15+19479.74</f>
        <v>55374.89</v>
      </c>
      <c r="G50" s="56">
        <v>55236.959999999999</v>
      </c>
      <c r="H50" s="57">
        <f t="shared" si="15"/>
        <v>90.029998068584007</v>
      </c>
      <c r="I50" s="57">
        <f t="shared" si="16"/>
        <v>-137.93000000000029</v>
      </c>
      <c r="J50" s="6">
        <f t="shared" si="17"/>
        <v>-2.4908401623912986E-3</v>
      </c>
      <c r="K50" s="1">
        <v>45789</v>
      </c>
      <c r="L50" s="1">
        <v>45855</v>
      </c>
      <c r="M50">
        <f t="shared" si="19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18"/>
        <v>113.05354718581073</v>
      </c>
      <c r="F51" s="3">
        <v>45409.8</v>
      </c>
      <c r="G51" s="56">
        <v>41051.0026</v>
      </c>
      <c r="H51" s="57">
        <f t="shared" ref="H51" si="20">G51/D51</f>
        <v>102.2017595202784</v>
      </c>
      <c r="I51" s="57">
        <f t="shared" ref="I51" si="21">G51-F51</f>
        <v>-4358.7974000000031</v>
      </c>
      <c r="J51" s="6">
        <f t="shared" ref="J51" si="22">I51/F51</f>
        <v>-9.5988033420098803E-2</v>
      </c>
      <c r="K51" s="1">
        <v>45855</v>
      </c>
      <c r="L51" s="1">
        <v>45860</v>
      </c>
      <c r="M51">
        <f t="shared" si="19"/>
        <v>5</v>
      </c>
    </row>
    <row r="52" spans="1:13" x14ac:dyDescent="0.25">
      <c r="C52" s="25"/>
      <c r="D52" s="2"/>
      <c r="E52" s="57"/>
      <c r="F52" s="3"/>
      <c r="G52" s="56"/>
      <c r="H52" s="57"/>
      <c r="I52" s="57"/>
      <c r="J52" s="6"/>
      <c r="K52" s="1"/>
      <c r="L52" s="1"/>
    </row>
    <row r="53" spans="1:13" x14ac:dyDescent="0.25">
      <c r="C53" s="25"/>
      <c r="D53" s="2"/>
      <c r="E53" s="57"/>
      <c r="F53" s="3"/>
      <c r="G53" s="56"/>
      <c r="H53" s="57"/>
      <c r="I53" s="57"/>
      <c r="J53" s="6"/>
      <c r="K53" s="1"/>
      <c r="L53" s="1"/>
    </row>
    <row r="54" spans="1:13" x14ac:dyDescent="0.25">
      <c r="F54" s="56"/>
      <c r="G54" s="56"/>
      <c r="H54" s="3"/>
      <c r="I54" s="3">
        <f>SUM(I26:I53)</f>
        <v>-10231.029266334528</v>
      </c>
      <c r="J54" s="13" t="s">
        <v>66</v>
      </c>
    </row>
    <row r="55" spans="1:13" x14ac:dyDescent="0.25">
      <c r="F55" s="56"/>
      <c r="G55" s="56"/>
      <c r="H55" s="3" t="s">
        <v>67</v>
      </c>
      <c r="I55" s="59">
        <v>19</v>
      </c>
      <c r="J55" s="5">
        <v>-0.10390000000000001</v>
      </c>
    </row>
    <row r="56" spans="1:13" x14ac:dyDescent="0.25">
      <c r="F56" s="56"/>
      <c r="G56" s="56"/>
      <c r="H56" s="3" t="s">
        <v>68</v>
      </c>
      <c r="I56" s="59">
        <v>7</v>
      </c>
      <c r="J56" s="5">
        <v>0.26811000000000001</v>
      </c>
    </row>
    <row r="57" spans="1:13" x14ac:dyDescent="0.25">
      <c r="F57" s="56"/>
      <c r="G57" s="56"/>
      <c r="J57" s="6"/>
    </row>
    <row r="58" spans="1:13" x14ac:dyDescent="0.25">
      <c r="F58" s="56"/>
      <c r="G58" s="56"/>
      <c r="J58" s="6"/>
    </row>
    <row r="59" spans="1:13" x14ac:dyDescent="0.25">
      <c r="F59" s="56"/>
      <c r="G59" s="56"/>
      <c r="J59" s="6"/>
    </row>
    <row r="60" spans="1:13" x14ac:dyDescent="0.25">
      <c r="F60" s="56"/>
      <c r="G60" s="56"/>
      <c r="J60" s="6"/>
    </row>
    <row r="61" spans="1:13" x14ac:dyDescent="0.25">
      <c r="F61" s="56"/>
      <c r="G61" s="56"/>
      <c r="J61" s="6"/>
    </row>
    <row r="62" spans="1:13" x14ac:dyDescent="0.25">
      <c r="F62" s="56"/>
      <c r="G62" s="56"/>
      <c r="J62" s="6"/>
    </row>
    <row r="63" spans="1:13" x14ac:dyDescent="0.25">
      <c r="F63" s="56"/>
      <c r="G63" s="56"/>
      <c r="J63" s="6"/>
    </row>
    <row r="64" spans="1:13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  <c r="J77" s="6"/>
    </row>
    <row r="78" spans="6:10" x14ac:dyDescent="0.25">
      <c r="F78" s="56"/>
      <c r="G78" s="56"/>
      <c r="J78" s="6"/>
    </row>
    <row r="79" spans="6:10" x14ac:dyDescent="0.25">
      <c r="F79" s="56"/>
      <c r="G79" s="56"/>
      <c r="J79" s="6"/>
    </row>
    <row r="80" spans="6:10" x14ac:dyDescent="0.25">
      <c r="F80" s="56"/>
      <c r="G80" s="56"/>
    </row>
    <row r="81" spans="6:7" x14ac:dyDescent="0.25">
      <c r="F81" s="56"/>
      <c r="G81" s="56"/>
    </row>
    <row r="82" spans="6:7" x14ac:dyDescent="0.25">
      <c r="F82" s="56"/>
      <c r="G82" s="56"/>
    </row>
    <row r="83" spans="6:7" x14ac:dyDescent="0.25">
      <c r="F83" s="56"/>
      <c r="G83" s="56"/>
    </row>
    <row r="84" spans="6:7" x14ac:dyDescent="0.25">
      <c r="F84" s="56"/>
      <c r="G84" s="56"/>
    </row>
    <row r="85" spans="6:7" x14ac:dyDescent="0.25">
      <c r="F85" s="56"/>
      <c r="G85" s="56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87AA-C7B4-4AB0-967B-537758BB754E}">
  <dimension ref="A1:AC91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45870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71</v>
      </c>
      <c r="B7" t="s">
        <v>30</v>
      </c>
      <c r="C7" t="s">
        <v>72</v>
      </c>
      <c r="D7" s="2">
        <f>98.1877+35.2566</f>
        <v>133.4443</v>
      </c>
      <c r="E7" s="26">
        <v>656.5</v>
      </c>
      <c r="F7" s="3">
        <f t="shared" ref="F7:F14" si="0">E7*D7</f>
        <v>87606.182950000002</v>
      </c>
      <c r="G7" s="3">
        <f>34962.9+15401.92</f>
        <v>50364.82</v>
      </c>
      <c r="H7" s="4">
        <f t="shared" ref="H7:H14" si="1">G7/D7</f>
        <v>377.42204050678822</v>
      </c>
      <c r="I7" s="3">
        <f t="shared" ref="I7:I14" si="2">F7-G7</f>
        <v>37241.362950000002</v>
      </c>
      <c r="J7" s="26">
        <f t="shared" ref="J7:J14" si="3">E7-H7</f>
        <v>279.07795949321178</v>
      </c>
      <c r="K7" s="27">
        <v>45771</v>
      </c>
      <c r="L7">
        <f t="shared" ref="L7:L14" si="4">DAYS360(K7,$C$1)</f>
        <v>97</v>
      </c>
      <c r="M7" s="5">
        <f t="shared" ref="M7:M14" si="5">(I7/G7)</f>
        <v>0.73943206686730945</v>
      </c>
      <c r="N7">
        <v>1</v>
      </c>
      <c r="O7">
        <v>98</v>
      </c>
      <c r="P7" s="33">
        <v>31</v>
      </c>
      <c r="Q7" s="28">
        <v>444</v>
      </c>
      <c r="R7" s="29">
        <f t="shared" ref="R7:R14" si="6">Q7*0.93</f>
        <v>412.92</v>
      </c>
      <c r="S7" s="29">
        <v>462</v>
      </c>
      <c r="T7" s="28">
        <f t="shared" ref="T7:T14" si="7">Q7*1.25</f>
        <v>555</v>
      </c>
      <c r="U7" s="28">
        <f t="shared" ref="U7:U14" si="8">Q7*1.5</f>
        <v>666</v>
      </c>
      <c r="V7" s="28">
        <f t="shared" ref="V7:V14" si="9">Q7*2</f>
        <v>888</v>
      </c>
      <c r="W7" s="28">
        <f t="shared" ref="W7:W14" si="10">H7-(H7*0.07)</f>
        <v>351.00249767131305</v>
      </c>
      <c r="X7" s="29">
        <v>550</v>
      </c>
      <c r="Y7" s="5">
        <f t="shared" ref="Y7:Y14" si="11">(X7-H7)/H7</f>
        <v>0.45725458762683957</v>
      </c>
      <c r="Z7" s="32">
        <f t="shared" ref="Z7:Z14" si="12">F7/F$20</f>
        <v>0.14863168448419806</v>
      </c>
      <c r="AB7" s="58">
        <v>45952</v>
      </c>
      <c r="AC7" s="9">
        <v>93</v>
      </c>
    </row>
    <row r="8" spans="1:29" x14ac:dyDescent="0.25">
      <c r="A8" t="s">
        <v>118</v>
      </c>
      <c r="B8" t="s">
        <v>30</v>
      </c>
      <c r="C8" s="25" t="s">
        <v>119</v>
      </c>
      <c r="D8" s="2">
        <f>605.0016+550.0434</f>
        <v>1155.0450000000001</v>
      </c>
      <c r="E8" s="26">
        <v>44.43</v>
      </c>
      <c r="F8" s="3">
        <f t="shared" si="0"/>
        <v>51318.64935</v>
      </c>
      <c r="G8" s="3">
        <f>(605.0016*29.7738017)+17708.65</f>
        <v>35721.847666582718</v>
      </c>
      <c r="H8" s="4">
        <f t="shared" si="1"/>
        <v>30.926801697408081</v>
      </c>
      <c r="I8" s="3">
        <f t="shared" si="2"/>
        <v>15596.801683417281</v>
      </c>
      <c r="J8" s="26">
        <f t="shared" si="3"/>
        <v>13.503198302591919</v>
      </c>
      <c r="K8" s="27">
        <v>45800</v>
      </c>
      <c r="L8">
        <f t="shared" si="4"/>
        <v>68</v>
      </c>
      <c r="M8" s="5">
        <f t="shared" si="5"/>
        <v>0.43661799997002587</v>
      </c>
      <c r="N8">
        <v>1</v>
      </c>
      <c r="O8">
        <v>99</v>
      </c>
      <c r="P8" s="63">
        <v>19</v>
      </c>
      <c r="Q8" s="28">
        <v>29.66</v>
      </c>
      <c r="R8" s="29">
        <f t="shared" si="6"/>
        <v>27.5838</v>
      </c>
      <c r="S8" s="29">
        <v>29.66</v>
      </c>
      <c r="T8" s="31">
        <f t="shared" si="7"/>
        <v>37.075000000000003</v>
      </c>
      <c r="U8" s="28">
        <f t="shared" si="8"/>
        <v>44.49</v>
      </c>
      <c r="V8" s="28">
        <f t="shared" si="9"/>
        <v>59.32</v>
      </c>
      <c r="W8" s="28">
        <f t="shared" si="10"/>
        <v>28.761925578589516</v>
      </c>
      <c r="X8" s="29">
        <v>42</v>
      </c>
      <c r="Y8" s="5">
        <f t="shared" si="11"/>
        <v>0.35804537471845799</v>
      </c>
      <c r="Z8" s="6">
        <f t="shared" si="12"/>
        <v>8.7066654903772356E-2</v>
      </c>
      <c r="AB8" s="60">
        <v>45876</v>
      </c>
      <c r="AC8" s="9">
        <v>91</v>
      </c>
    </row>
    <row r="9" spans="1:29" x14ac:dyDescent="0.25">
      <c r="A9" t="s">
        <v>121</v>
      </c>
      <c r="B9" t="s">
        <v>30</v>
      </c>
      <c r="C9" s="25" t="s">
        <v>122</v>
      </c>
      <c r="D9" s="2">
        <f>1070.2094+395.2675+756.7021</f>
        <v>2222.1790000000001</v>
      </c>
      <c r="E9" s="26">
        <v>27.09</v>
      </c>
      <c r="F9" s="3">
        <f t="shared" si="0"/>
        <v>60198.829109999999</v>
      </c>
      <c r="G9" s="3">
        <f>18821.97+11334.33+20180.34</f>
        <v>50336.639999999999</v>
      </c>
      <c r="H9" s="4">
        <f t="shared" si="1"/>
        <v>22.651928580010882</v>
      </c>
      <c r="I9" s="3">
        <f t="shared" si="2"/>
        <v>9862.1891099999993</v>
      </c>
      <c r="J9" s="26">
        <f t="shared" si="3"/>
        <v>4.438071419989118</v>
      </c>
      <c r="K9" s="27">
        <v>45814</v>
      </c>
      <c r="L9">
        <f t="shared" si="4"/>
        <v>55</v>
      </c>
      <c r="M9" s="5">
        <f t="shared" si="5"/>
        <v>0.19592466064481062</v>
      </c>
      <c r="N9">
        <v>33</v>
      </c>
      <c r="O9">
        <v>99</v>
      </c>
      <c r="P9" s="63">
        <v>80</v>
      </c>
      <c r="Q9" s="28">
        <v>16.399999999999999</v>
      </c>
      <c r="R9" s="29">
        <f t="shared" si="6"/>
        <v>15.251999999999999</v>
      </c>
      <c r="S9" s="29">
        <v>11.01</v>
      </c>
      <c r="T9" s="28">
        <f t="shared" si="7"/>
        <v>20.5</v>
      </c>
      <c r="U9" s="28">
        <f t="shared" si="8"/>
        <v>24.599999999999998</v>
      </c>
      <c r="V9" s="28">
        <f t="shared" si="9"/>
        <v>32.799999999999997</v>
      </c>
      <c r="W9" s="28">
        <f t="shared" si="10"/>
        <v>21.066293579410122</v>
      </c>
      <c r="X9" s="29">
        <v>19</v>
      </c>
      <c r="Y9" s="5">
        <f t="shared" si="11"/>
        <v>-0.16121932254516791</v>
      </c>
      <c r="Z9" s="6">
        <f t="shared" si="12"/>
        <v>0.10213267001602284</v>
      </c>
      <c r="AB9" s="58">
        <v>45887</v>
      </c>
      <c r="AC9" s="9">
        <v>98</v>
      </c>
    </row>
    <row r="10" spans="1:29" x14ac:dyDescent="0.25">
      <c r="A10" t="s">
        <v>124</v>
      </c>
      <c r="B10" t="s">
        <v>30</v>
      </c>
      <c r="C10" s="25" t="s">
        <v>125</v>
      </c>
      <c r="D10" s="2">
        <f>915.359+608.2121</f>
        <v>1523.5711000000001</v>
      </c>
      <c r="E10" s="26">
        <v>44.81</v>
      </c>
      <c r="F10" s="3">
        <f t="shared" si="0"/>
        <v>68271.220991000009</v>
      </c>
      <c r="G10" s="3">
        <f>28630.6+20162.2481</f>
        <v>48792.848100000003</v>
      </c>
      <c r="H10" s="4">
        <f t="shared" si="1"/>
        <v>32.025317426932027</v>
      </c>
      <c r="I10" s="3">
        <f t="shared" si="2"/>
        <v>19478.372891000006</v>
      </c>
      <c r="J10" s="26">
        <f t="shared" si="3"/>
        <v>12.784682573067975</v>
      </c>
      <c r="K10" s="27">
        <v>45817</v>
      </c>
      <c r="L10">
        <f t="shared" si="4"/>
        <v>52</v>
      </c>
      <c r="M10" s="5">
        <f t="shared" si="5"/>
        <v>0.39920549116295601</v>
      </c>
      <c r="N10">
        <v>7</v>
      </c>
      <c r="O10">
        <v>99</v>
      </c>
      <c r="P10" s="63">
        <v>15</v>
      </c>
      <c r="Q10" s="28">
        <v>30.78</v>
      </c>
      <c r="R10" s="29">
        <f t="shared" si="6"/>
        <v>28.625400000000003</v>
      </c>
      <c r="S10" s="29">
        <v>26.45</v>
      </c>
      <c r="T10" s="28">
        <f t="shared" si="7"/>
        <v>38.475000000000001</v>
      </c>
      <c r="U10" s="28">
        <f t="shared" si="8"/>
        <v>46.17</v>
      </c>
      <c r="V10" s="28">
        <f t="shared" si="9"/>
        <v>61.56</v>
      </c>
      <c r="W10" s="28">
        <f t="shared" si="10"/>
        <v>29.783545207046785</v>
      </c>
      <c r="X10" s="29">
        <v>38</v>
      </c>
      <c r="Y10" s="5">
        <f t="shared" si="11"/>
        <v>0.18656122883714185</v>
      </c>
      <c r="Z10" s="6">
        <f t="shared" si="12"/>
        <v>0.11582820111540167</v>
      </c>
      <c r="AB10" s="60">
        <v>45876</v>
      </c>
      <c r="AC10" s="9">
        <v>88</v>
      </c>
    </row>
    <row r="11" spans="1:29" x14ac:dyDescent="0.25">
      <c r="A11" t="s">
        <v>126</v>
      </c>
      <c r="B11" t="s">
        <v>30</v>
      </c>
      <c r="C11" s="25" t="s">
        <v>127</v>
      </c>
      <c r="D11" s="2">
        <f>344.4515+240</f>
        <v>584.45150000000001</v>
      </c>
      <c r="E11" s="26">
        <v>107.56</v>
      </c>
      <c r="F11" s="3">
        <f t="shared" si="0"/>
        <v>62863.603340000001</v>
      </c>
      <c r="G11" s="3">
        <f>30563.18+23352</f>
        <v>53915.18</v>
      </c>
      <c r="H11" s="4">
        <f t="shared" si="1"/>
        <v>92.249194330068448</v>
      </c>
      <c r="I11" s="3">
        <f t="shared" si="2"/>
        <v>8948.4233400000012</v>
      </c>
      <c r="J11" s="26">
        <f t="shared" si="3"/>
        <v>15.310805669931554</v>
      </c>
      <c r="K11" s="27">
        <v>45840</v>
      </c>
      <c r="L11">
        <f t="shared" si="4"/>
        <v>29</v>
      </c>
      <c r="M11" s="5">
        <f t="shared" si="5"/>
        <v>0.16597224269676927</v>
      </c>
      <c r="N11">
        <v>22</v>
      </c>
      <c r="O11">
        <v>98</v>
      </c>
      <c r="P11" s="63">
        <v>80</v>
      </c>
      <c r="Q11" s="28">
        <v>86.84</v>
      </c>
      <c r="R11" s="29">
        <f t="shared" si="6"/>
        <v>80.761200000000002</v>
      </c>
      <c r="S11" s="29">
        <v>81.72</v>
      </c>
      <c r="T11" s="31">
        <f t="shared" si="7"/>
        <v>108.55000000000001</v>
      </c>
      <c r="U11" s="28">
        <f t="shared" si="8"/>
        <v>130.26</v>
      </c>
      <c r="V11" s="28">
        <f t="shared" si="9"/>
        <v>173.68</v>
      </c>
      <c r="W11" s="28">
        <f t="shared" si="10"/>
        <v>85.791750726963656</v>
      </c>
      <c r="X11" s="29">
        <v>82</v>
      </c>
      <c r="Y11" s="5">
        <f t="shared" si="11"/>
        <v>-0.11110334788829417</v>
      </c>
      <c r="Z11" s="6">
        <f t="shared" si="12"/>
        <v>0.10665369660613273</v>
      </c>
      <c r="AB11" s="58">
        <v>45896</v>
      </c>
      <c r="AC11" s="9">
        <v>99</v>
      </c>
    </row>
    <row r="12" spans="1:29" x14ac:dyDescent="0.25">
      <c r="A12" t="s">
        <v>128</v>
      </c>
      <c r="B12" t="s">
        <v>30</v>
      </c>
      <c r="C12" s="25" t="s">
        <v>129</v>
      </c>
      <c r="D12" s="2">
        <f>786.7766+525.5828</f>
        <v>1312.3594000000001</v>
      </c>
      <c r="E12" s="26">
        <v>53.75</v>
      </c>
      <c r="F12" s="3">
        <f t="shared" si="0"/>
        <v>70539.317750000002</v>
      </c>
      <c r="G12" s="3">
        <f>30514.1+21675.87</f>
        <v>52189.97</v>
      </c>
      <c r="H12" s="4">
        <f t="shared" si="1"/>
        <v>39.768046771334134</v>
      </c>
      <c r="I12" s="3">
        <f t="shared" si="2"/>
        <v>18349.347750000001</v>
      </c>
      <c r="J12" s="26">
        <f t="shared" si="3"/>
        <v>13.981953228665866</v>
      </c>
      <c r="K12" s="27">
        <v>45840</v>
      </c>
      <c r="L12">
        <f t="shared" si="4"/>
        <v>29</v>
      </c>
      <c r="M12" s="5">
        <f t="shared" si="5"/>
        <v>0.35158762785263148</v>
      </c>
      <c r="N12">
        <v>20</v>
      </c>
      <c r="O12">
        <v>98</v>
      </c>
      <c r="P12" s="64">
        <v>80</v>
      </c>
      <c r="Q12" s="28">
        <v>37.89</v>
      </c>
      <c r="R12" s="29">
        <f t="shared" si="6"/>
        <v>35.237700000000004</v>
      </c>
      <c r="S12" s="29">
        <v>34.869999999999997</v>
      </c>
      <c r="T12" s="31">
        <f t="shared" si="7"/>
        <v>47.362499999999997</v>
      </c>
      <c r="U12" s="28">
        <f t="shared" si="8"/>
        <v>56.835000000000001</v>
      </c>
      <c r="V12" s="28">
        <f t="shared" si="9"/>
        <v>75.78</v>
      </c>
      <c r="W12" s="28">
        <f t="shared" si="10"/>
        <v>36.984283497340748</v>
      </c>
      <c r="X12" s="29">
        <v>39</v>
      </c>
      <c r="Y12" s="5">
        <f t="shared" si="11"/>
        <v>-1.9313163046462793E-2</v>
      </c>
      <c r="Z12" s="6">
        <f t="shared" si="12"/>
        <v>0.11967622908000002</v>
      </c>
      <c r="AB12" s="58">
        <v>45959</v>
      </c>
      <c r="AC12" s="9">
        <v>99</v>
      </c>
    </row>
    <row r="13" spans="1:29" x14ac:dyDescent="0.25">
      <c r="A13" t="s">
        <v>69</v>
      </c>
      <c r="B13" t="s">
        <v>30</v>
      </c>
      <c r="C13" s="25" t="s">
        <v>70</v>
      </c>
      <c r="D13" s="2">
        <v>682.05550000000005</v>
      </c>
      <c r="E13" s="26">
        <v>71.489999999999995</v>
      </c>
      <c r="F13" s="3">
        <f t="shared" si="0"/>
        <v>48760.147695</v>
      </c>
      <c r="G13" s="3">
        <v>43555.21</v>
      </c>
      <c r="H13" s="4">
        <f t="shared" si="1"/>
        <v>63.85874756526411</v>
      </c>
      <c r="I13" s="3">
        <f t="shared" si="2"/>
        <v>5204.9376950000005</v>
      </c>
      <c r="J13" s="26">
        <f t="shared" si="3"/>
        <v>7.6312524347358845</v>
      </c>
      <c r="K13" s="27">
        <v>45854</v>
      </c>
      <c r="L13">
        <f t="shared" si="4"/>
        <v>15</v>
      </c>
      <c r="M13" s="5">
        <f t="shared" si="5"/>
        <v>0.1195020686388609</v>
      </c>
      <c r="N13">
        <v>1</v>
      </c>
      <c r="O13">
        <v>99</v>
      </c>
      <c r="P13" s="63">
        <v>48</v>
      </c>
      <c r="Q13" s="28">
        <v>58.69</v>
      </c>
      <c r="R13" s="29">
        <f t="shared" si="6"/>
        <v>54.581699999999998</v>
      </c>
      <c r="S13" s="29">
        <v>50.08</v>
      </c>
      <c r="T13" s="31">
        <f t="shared" si="7"/>
        <v>73.362499999999997</v>
      </c>
      <c r="U13" s="28">
        <f t="shared" si="8"/>
        <v>88.034999999999997</v>
      </c>
      <c r="V13" s="28">
        <f t="shared" si="9"/>
        <v>117.38</v>
      </c>
      <c r="W13" s="28">
        <f t="shared" si="10"/>
        <v>59.388635235695624</v>
      </c>
      <c r="X13" s="29">
        <v>59</v>
      </c>
      <c r="Y13" s="5">
        <f t="shared" si="11"/>
        <v>-7.6085857466879292E-2</v>
      </c>
      <c r="Z13" s="32">
        <f t="shared" si="12"/>
        <v>8.2725929193176159E-2</v>
      </c>
      <c r="AB13" s="58">
        <v>45880</v>
      </c>
      <c r="AC13" s="9">
        <v>93</v>
      </c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45211</v>
      </c>
      <c r="M14" s="5" t="e">
        <f t="shared" si="5"/>
        <v>#DIV/0!</v>
      </c>
      <c r="P14" s="63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60"/>
      <c r="AC14" s="9"/>
    </row>
    <row r="15" spans="1:29" x14ac:dyDescent="0.25">
      <c r="C15" s="25"/>
      <c r="D15" s="2"/>
      <c r="E15" s="26"/>
      <c r="F15" s="3">
        <f t="shared" ref="F15:F17" si="13">E15*D15</f>
        <v>0</v>
      </c>
      <c r="G15" s="3"/>
      <c r="H15" s="4" t="e">
        <f t="shared" ref="H15:H17" si="14">G15/D15</f>
        <v>#DIV/0!</v>
      </c>
      <c r="I15" s="3">
        <f t="shared" ref="I15:I17" si="15">F15-G15</f>
        <v>0</v>
      </c>
      <c r="J15" s="26" t="e">
        <f t="shared" ref="J15:J17" si="16">E15-H15</f>
        <v>#DIV/0!</v>
      </c>
      <c r="K15" s="27"/>
      <c r="L15">
        <f t="shared" ref="L15:L17" si="17">DAYS360(K15,$C$1)</f>
        <v>45211</v>
      </c>
      <c r="M15" s="5" t="e">
        <f t="shared" ref="M15:M17" si="18">(I15/G15)</f>
        <v>#DIV/0!</v>
      </c>
      <c r="P15" s="63"/>
      <c r="Q15" s="28"/>
      <c r="R15" s="29">
        <f t="shared" ref="R15:R17" si="19">Q15*0.93</f>
        <v>0</v>
      </c>
      <c r="S15" s="29"/>
      <c r="T15" s="28">
        <f t="shared" ref="T15:T17" si="20">Q15*1.25</f>
        <v>0</v>
      </c>
      <c r="U15" s="28">
        <f t="shared" ref="U15:U17" si="21">Q15*1.5</f>
        <v>0</v>
      </c>
      <c r="V15" s="28">
        <f t="shared" ref="V15:V17" si="22">Q15*2</f>
        <v>0</v>
      </c>
      <c r="W15" s="28" t="e">
        <f t="shared" ref="W15:W17" si="23">H15-(H15*0.07)</f>
        <v>#DIV/0!</v>
      </c>
      <c r="X15" s="29"/>
      <c r="Y15" s="5" t="e">
        <f t="shared" ref="Y15:Y17" si="24">(X15-H15)/H15</f>
        <v>#DIV/0!</v>
      </c>
      <c r="Z15" s="32">
        <f t="shared" ref="Z15:Z17" si="25">F15/F$20</f>
        <v>0</v>
      </c>
      <c r="AB15" s="58"/>
      <c r="AC15" s="9"/>
    </row>
    <row r="16" spans="1:29" x14ac:dyDescent="0.25">
      <c r="C16" s="25"/>
      <c r="D16" s="2"/>
      <c r="E16" s="26"/>
      <c r="F16" s="3">
        <f t="shared" si="13"/>
        <v>0</v>
      </c>
      <c r="G16" s="3"/>
      <c r="H16" s="4" t="e">
        <f t="shared" si="14"/>
        <v>#DIV/0!</v>
      </c>
      <c r="I16" s="3">
        <f t="shared" si="15"/>
        <v>0</v>
      </c>
      <c r="J16" s="26" t="e">
        <f t="shared" si="16"/>
        <v>#DIV/0!</v>
      </c>
      <c r="K16" s="27"/>
      <c r="L16">
        <f t="shared" si="17"/>
        <v>45211</v>
      </c>
      <c r="M16" s="5" t="e">
        <f t="shared" si="18"/>
        <v>#DIV/0!</v>
      </c>
      <c r="P16" s="63"/>
      <c r="Q16" s="28"/>
      <c r="R16" s="29">
        <f t="shared" si="19"/>
        <v>0</v>
      </c>
      <c r="S16" s="29"/>
      <c r="T16" s="28">
        <f t="shared" si="20"/>
        <v>0</v>
      </c>
      <c r="U16" s="28">
        <f t="shared" si="21"/>
        <v>0</v>
      </c>
      <c r="V16" s="28">
        <f t="shared" si="22"/>
        <v>0</v>
      </c>
      <c r="W16" s="28" t="e">
        <f t="shared" si="23"/>
        <v>#DIV/0!</v>
      </c>
      <c r="X16" s="29"/>
      <c r="Y16" s="5" t="e">
        <f t="shared" si="24"/>
        <v>#DIV/0!</v>
      </c>
      <c r="Z16" s="32">
        <f t="shared" si="25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3"/>
        <v>0</v>
      </c>
      <c r="G17" s="39"/>
      <c r="H17" s="40" t="e">
        <f t="shared" si="14"/>
        <v>#DIV/0!</v>
      </c>
      <c r="I17" s="39">
        <f t="shared" si="15"/>
        <v>0</v>
      </c>
      <c r="J17" s="38" t="e">
        <f t="shared" si="16"/>
        <v>#DIV/0!</v>
      </c>
      <c r="K17" s="41"/>
      <c r="L17" s="35">
        <f t="shared" si="17"/>
        <v>45211</v>
      </c>
      <c r="M17" s="42" t="e">
        <f t="shared" si="18"/>
        <v>#DIV/0!</v>
      </c>
      <c r="N17" s="35"/>
      <c r="O17" s="35"/>
      <c r="P17" s="65"/>
      <c r="Q17" s="44"/>
      <c r="R17" s="45">
        <f t="shared" si="19"/>
        <v>0</v>
      </c>
      <c r="S17" s="45"/>
      <c r="T17" s="46">
        <f t="shared" si="20"/>
        <v>0</v>
      </c>
      <c r="U17" s="44">
        <f t="shared" si="21"/>
        <v>0</v>
      </c>
      <c r="V17" s="44">
        <f t="shared" si="22"/>
        <v>0</v>
      </c>
      <c r="W17" s="44" t="e">
        <f t="shared" si="23"/>
        <v>#DIV/0!</v>
      </c>
      <c r="X17" s="45"/>
      <c r="Y17" s="42" t="e">
        <f t="shared" si="24"/>
        <v>#DIV/0!</v>
      </c>
      <c r="Z17" s="47">
        <f t="shared" si="25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449557.95118600002</v>
      </c>
      <c r="G18" s="3">
        <f>SUM(G6:G17)</f>
        <v>334876.51576658274</v>
      </c>
      <c r="H18" s="4"/>
      <c r="I18" s="3">
        <f>SUM(I6:I17)</f>
        <v>114681.43541941729</v>
      </c>
      <c r="M18" s="5"/>
      <c r="Z18" s="6"/>
    </row>
    <row r="19" spans="1:29" x14ac:dyDescent="0.25">
      <c r="D19" s="2" t="s">
        <v>44</v>
      </c>
      <c r="F19" s="3">
        <v>139860</v>
      </c>
      <c r="G19" s="6">
        <f>F19/F20</f>
        <v>0.23728493460129618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589417.95118600002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'07-25-25'!F20</f>
        <v>586523.00875400007</v>
      </c>
      <c r="K21" s="1">
        <v>45657</v>
      </c>
      <c r="L21" s="50">
        <v>170762</v>
      </c>
      <c r="M21" s="50">
        <v>204024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4.9357695926540391E-3</v>
      </c>
      <c r="K22" s="9" t="s">
        <v>123</v>
      </c>
      <c r="L22" s="6">
        <f>(M21-L21)/L21</f>
        <v>0.19478572516133566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26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26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27">F28/D28</f>
        <v>44.698790833464948</v>
      </c>
      <c r="F28" s="3">
        <v>56489.42</v>
      </c>
      <c r="G28" s="56">
        <v>75501.87</v>
      </c>
      <c r="H28" s="57">
        <f t="shared" ref="H28:H51" si="28">G28/D28</f>
        <v>59.742909285764696</v>
      </c>
      <c r="I28" s="57">
        <f t="shared" ref="I28:I51" si="29">G28-F28</f>
        <v>19012.449999999997</v>
      </c>
      <c r="J28" s="6">
        <f t="shared" ref="J28:J51" si="30">I28/F28</f>
        <v>0.33656656414599401</v>
      </c>
      <c r="K28" s="1">
        <v>45527</v>
      </c>
      <c r="L28" s="1">
        <v>45688</v>
      </c>
      <c r="M28">
        <f t="shared" si="26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27"/>
        <v>169.90901206845703</v>
      </c>
      <c r="F29" s="3">
        <f>59492.79+21969.78</f>
        <v>81462.570000000007</v>
      </c>
      <c r="G29" s="56">
        <v>65047.58</v>
      </c>
      <c r="H29" s="57">
        <f t="shared" si="28"/>
        <v>135.67175765807443</v>
      </c>
      <c r="I29" s="57">
        <f t="shared" si="29"/>
        <v>-16414.990000000005</v>
      </c>
      <c r="J29" s="6">
        <f t="shared" si="30"/>
        <v>-0.20150346349249729</v>
      </c>
      <c r="K29" s="1">
        <v>45671</v>
      </c>
      <c r="L29" s="1">
        <v>45688</v>
      </c>
      <c r="M29">
        <f t="shared" si="26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27"/>
        <v>18.702010092477405</v>
      </c>
      <c r="F30" s="3">
        <v>56486.59</v>
      </c>
      <c r="G30" s="56">
        <v>71124.88</v>
      </c>
      <c r="H30" s="57">
        <f t="shared" si="28"/>
        <v>23.548566546258936</v>
      </c>
      <c r="I30" s="57">
        <f t="shared" si="29"/>
        <v>14638.290000000008</v>
      </c>
      <c r="J30" s="6">
        <f t="shared" si="30"/>
        <v>0.25914628587068206</v>
      </c>
      <c r="K30" s="1">
        <v>45527</v>
      </c>
      <c r="L30" s="1">
        <v>45691</v>
      </c>
      <c r="M30">
        <f t="shared" si="26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27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28"/>
        <v>38.249853000000002</v>
      </c>
      <c r="I31" s="57">
        <f t="shared" si="29"/>
        <v>-6110.386336591735</v>
      </c>
      <c r="J31" s="6">
        <f t="shared" si="30"/>
        <v>-0.10005621882176895</v>
      </c>
      <c r="K31" s="1">
        <v>45706</v>
      </c>
      <c r="L31" s="1">
        <v>45708</v>
      </c>
      <c r="M31">
        <f t="shared" si="26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27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28"/>
        <v>531.63995279999995</v>
      </c>
      <c r="I32" s="57">
        <f t="shared" si="29"/>
        <v>-22176.243614196137</v>
      </c>
      <c r="J32" s="6">
        <f t="shared" si="30"/>
        <v>-0.24194911929355969</v>
      </c>
      <c r="K32" s="1">
        <v>45706</v>
      </c>
      <c r="L32" s="1">
        <v>45708</v>
      </c>
      <c r="M32">
        <f t="shared" si="26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27"/>
        <v>368.56522253629635</v>
      </c>
      <c r="F33" s="3">
        <v>74438.86</v>
      </c>
      <c r="G33" s="56">
        <f>201.9693*360.5332483</f>
        <v>72816.647785877198</v>
      </c>
      <c r="H33" s="57">
        <f t="shared" si="28"/>
        <v>360.53324830000003</v>
      </c>
      <c r="I33" s="57">
        <f t="shared" si="29"/>
        <v>-1622.2122141228028</v>
      </c>
      <c r="J33" s="6">
        <f t="shared" si="30"/>
        <v>-2.1792545105107773E-2</v>
      </c>
      <c r="K33" s="1">
        <v>45664</v>
      </c>
      <c r="L33" s="1">
        <v>45708</v>
      </c>
      <c r="M33">
        <f t="shared" si="26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27"/>
        <v>30.17825528482809</v>
      </c>
      <c r="F34" s="3">
        <v>37884.65</v>
      </c>
      <c r="G34" s="56">
        <f>1255.3625*39.762296</f>
        <v>49916.0953123</v>
      </c>
      <c r="H34" s="57">
        <f t="shared" si="28"/>
        <v>39.762295999999999</v>
      </c>
      <c r="I34" s="57">
        <f t="shared" si="29"/>
        <v>12031.445312299998</v>
      </c>
      <c r="J34" s="6">
        <f t="shared" si="30"/>
        <v>0.31758100740801348</v>
      </c>
      <c r="K34" s="1">
        <v>45663</v>
      </c>
      <c r="L34" s="1">
        <v>45709</v>
      </c>
      <c r="M34">
        <f t="shared" si="26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27"/>
        <v>242.26930551548847</v>
      </c>
      <c r="F35" s="3">
        <v>61221.72</v>
      </c>
      <c r="G35" s="56">
        <f>252.7011*226.6146532</f>
        <v>57265.772139758519</v>
      </c>
      <c r="H35" s="57">
        <f t="shared" si="28"/>
        <v>226.61465319999999</v>
      </c>
      <c r="I35" s="57">
        <f t="shared" si="29"/>
        <v>-3955.947860241482</v>
      </c>
      <c r="J35" s="6">
        <f t="shared" si="30"/>
        <v>-6.4616738311852093E-2</v>
      </c>
      <c r="K35" s="1">
        <v>45699</v>
      </c>
      <c r="L35" s="1">
        <v>45709</v>
      </c>
      <c r="M35">
        <f t="shared" si="26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27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28"/>
        <v>283.93999450000007</v>
      </c>
      <c r="I36" s="57">
        <f t="shared" si="29"/>
        <v>19563.525282954361</v>
      </c>
      <c r="J36" s="6">
        <f t="shared" si="30"/>
        <v>0.36434300703793465</v>
      </c>
      <c r="K36" s="1">
        <v>45580</v>
      </c>
      <c r="L36" s="1">
        <v>45712</v>
      </c>
      <c r="M36">
        <f t="shared" si="26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27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28"/>
        <v>63.365330900000004</v>
      </c>
      <c r="I37" s="57">
        <f t="shared" si="29"/>
        <v>-4549.5912833559851</v>
      </c>
      <c r="J37" s="6">
        <f t="shared" si="30"/>
        <v>-5.9638082078758516E-2</v>
      </c>
      <c r="K37" s="1">
        <v>45673</v>
      </c>
      <c r="L37" s="1">
        <v>45712</v>
      </c>
      <c r="M37">
        <f t="shared" si="26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28"/>
        <v>50.021380499999999</v>
      </c>
      <c r="I38" s="57">
        <f t="shared" si="29"/>
        <v>6027.2875116823998</v>
      </c>
      <c r="J38" s="6">
        <f t="shared" si="30"/>
        <v>9.9771440635884723E-2</v>
      </c>
      <c r="K38" s="1">
        <v>45593</v>
      </c>
      <c r="L38" s="1">
        <v>45713</v>
      </c>
      <c r="M38">
        <f t="shared" si="26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28"/>
        <v>12.519992000000002</v>
      </c>
      <c r="I39" s="57">
        <f t="shared" si="29"/>
        <v>-2230.6527810991975</v>
      </c>
      <c r="J39" s="6">
        <f t="shared" si="30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28"/>
        <v>94.679995300000002</v>
      </c>
      <c r="I40" s="57">
        <f t="shared" si="29"/>
        <v>-4750.690604140058</v>
      </c>
      <c r="J40" s="6">
        <f t="shared" si="30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53" si="31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28"/>
        <v>18.9477051</v>
      </c>
      <c r="I41" s="57">
        <f t="shared" si="29"/>
        <v>-2244.5195874142191</v>
      </c>
      <c r="J41" s="6">
        <f t="shared" si="30"/>
        <v>-8.2776138273503941E-2</v>
      </c>
      <c r="K41" s="1">
        <v>45761</v>
      </c>
      <c r="L41" s="1">
        <v>45768</v>
      </c>
      <c r="M41">
        <f t="shared" ref="M41:M53" si="32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31"/>
        <v>96.336406065231671</v>
      </c>
      <c r="F42" s="3">
        <v>34004.42</v>
      </c>
      <c r="G42" s="56">
        <f>352.9758*89.7849585</f>
        <v>31691.9175545043</v>
      </c>
      <c r="H42" s="57">
        <f t="shared" si="28"/>
        <v>89.784958500000002</v>
      </c>
      <c r="I42" s="57">
        <f t="shared" si="29"/>
        <v>-2312.5024454956983</v>
      </c>
      <c r="J42" s="6">
        <f t="shared" si="30"/>
        <v>-6.8005937036882222E-2</v>
      </c>
      <c r="K42" s="1">
        <v>45762</v>
      </c>
      <c r="L42" s="1">
        <v>45768</v>
      </c>
      <c r="M42">
        <f t="shared" si="32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31"/>
        <v>16.992624876012847</v>
      </c>
      <c r="F43" s="3">
        <v>37971.83</v>
      </c>
      <c r="G43" s="56">
        <f>2234.6065*13.3067232</f>
        <v>29735.2901564208</v>
      </c>
      <c r="H43" s="57">
        <f t="shared" si="28"/>
        <v>13.3067232</v>
      </c>
      <c r="I43" s="57">
        <f t="shared" si="29"/>
        <v>-8236.5398435792013</v>
      </c>
      <c r="J43" s="6">
        <f t="shared" si="30"/>
        <v>-0.21691184869360261</v>
      </c>
      <c r="K43" s="1">
        <v>45652</v>
      </c>
      <c r="L43" s="1">
        <v>45785</v>
      </c>
      <c r="M43">
        <f t="shared" si="32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31"/>
        <v>38.101812248436303</v>
      </c>
      <c r="F44" s="3">
        <v>21940.86</v>
      </c>
      <c r="G44" s="56">
        <f>575.8482*32.7857042</f>
        <v>18879.588749302438</v>
      </c>
      <c r="H44" s="57">
        <f t="shared" si="28"/>
        <v>32.785704199999998</v>
      </c>
      <c r="I44" s="57">
        <f t="shared" si="29"/>
        <v>-3061.2712506975622</v>
      </c>
      <c r="J44" s="6">
        <f t="shared" si="30"/>
        <v>-0.13952375844417958</v>
      </c>
      <c r="K44" s="1">
        <v>45761</v>
      </c>
      <c r="L44" s="1">
        <v>45790</v>
      </c>
      <c r="M44">
        <f t="shared" si="32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31"/>
        <v>24.570291674143743</v>
      </c>
      <c r="F45" s="3">
        <v>23591.34</v>
      </c>
      <c r="G45" s="56">
        <v>19396.37</v>
      </c>
      <c r="H45" s="57">
        <f t="shared" si="28"/>
        <v>20.201246233559068</v>
      </c>
      <c r="I45" s="57">
        <f t="shared" si="29"/>
        <v>-4194.9700000000012</v>
      </c>
      <c r="J45" s="6">
        <f t="shared" si="30"/>
        <v>-0.17781821634548953</v>
      </c>
      <c r="K45" s="1">
        <v>45776</v>
      </c>
      <c r="L45" s="1">
        <v>45812</v>
      </c>
      <c r="M45">
        <f t="shared" si="32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31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28"/>
        <v>84.038907800000004</v>
      </c>
      <c r="I46" s="57">
        <f t="shared" si="29"/>
        <v>-3907.8121523372101</v>
      </c>
      <c r="J46" s="6">
        <f t="shared" si="30"/>
        <v>-0.14246372001691271</v>
      </c>
      <c r="K46" s="1">
        <v>45782</v>
      </c>
      <c r="L46" s="1">
        <v>45818</v>
      </c>
      <c r="M46">
        <f t="shared" si="32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31"/>
        <v>40.437100849618155</v>
      </c>
      <c r="F47" s="3">
        <f>22877.09+14244.67</f>
        <v>37121.760000000002</v>
      </c>
      <c r="G47" s="56">
        <v>34659.56</v>
      </c>
      <c r="H47" s="57">
        <f t="shared" si="28"/>
        <v>37.755002002151599</v>
      </c>
      <c r="I47" s="57">
        <f t="shared" si="29"/>
        <v>-2462.2000000000044</v>
      </c>
      <c r="J47" s="6">
        <f t="shared" si="30"/>
        <v>-6.6327674118899643E-2</v>
      </c>
      <c r="K47" s="1">
        <v>45782</v>
      </c>
      <c r="L47" s="1">
        <v>45828</v>
      </c>
      <c r="M47">
        <f t="shared" si="32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31"/>
        <v>123.70183817297092</v>
      </c>
      <c r="F48" s="3">
        <f>22876.67+14197.82+14808.77</f>
        <v>51883.259999999995</v>
      </c>
      <c r="G48" s="56">
        <v>55156.07</v>
      </c>
      <c r="H48" s="57">
        <f t="shared" si="28"/>
        <v>131.50498340692272</v>
      </c>
      <c r="I48" s="57">
        <f t="shared" si="29"/>
        <v>3272.8100000000049</v>
      </c>
      <c r="J48" s="6">
        <f t="shared" si="30"/>
        <v>6.3080269050171583E-2</v>
      </c>
      <c r="K48" s="1">
        <v>45782</v>
      </c>
      <c r="L48" s="1">
        <v>45839</v>
      </c>
      <c r="M48">
        <f t="shared" si="32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31"/>
        <v>63.194998844628557</v>
      </c>
      <c r="F49" s="3">
        <v>36072.47</v>
      </c>
      <c r="G49" s="56">
        <v>51786.91</v>
      </c>
      <c r="H49" s="57">
        <f t="shared" si="28"/>
        <v>90.724968864535285</v>
      </c>
      <c r="I49" s="57">
        <f t="shared" si="29"/>
        <v>15714.440000000002</v>
      </c>
      <c r="J49" s="6">
        <f t="shared" si="30"/>
        <v>0.43563526423336141</v>
      </c>
      <c r="K49" s="1">
        <v>45796</v>
      </c>
      <c r="L49" s="1">
        <v>45839</v>
      </c>
      <c r="M49">
        <f t="shared" si="32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31"/>
        <v>90.254808370121239</v>
      </c>
      <c r="F50" s="3">
        <f>35895.15+19479.74</f>
        <v>55374.89</v>
      </c>
      <c r="G50" s="56">
        <v>55236.959999999999</v>
      </c>
      <c r="H50" s="57">
        <f t="shared" si="28"/>
        <v>90.029998068584007</v>
      </c>
      <c r="I50" s="57">
        <f t="shared" si="29"/>
        <v>-137.93000000000029</v>
      </c>
      <c r="J50" s="6">
        <f t="shared" si="30"/>
        <v>-2.4908401623912986E-3</v>
      </c>
      <c r="K50" s="1">
        <v>45789</v>
      </c>
      <c r="L50" s="1">
        <v>45855</v>
      </c>
      <c r="M50">
        <f t="shared" si="32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31"/>
        <v>113.05354718581073</v>
      </c>
      <c r="F51" s="3">
        <v>45409.8</v>
      </c>
      <c r="G51" s="56">
        <v>41051.0026</v>
      </c>
      <c r="H51" s="57">
        <f t="shared" si="28"/>
        <v>102.2017595202784</v>
      </c>
      <c r="I51" s="57">
        <f t="shared" si="29"/>
        <v>-4358.7974000000031</v>
      </c>
      <c r="J51" s="6">
        <f t="shared" si="30"/>
        <v>-9.5988033420098803E-2</v>
      </c>
      <c r="K51" s="1">
        <v>45855</v>
      </c>
      <c r="L51" s="1">
        <v>45860</v>
      </c>
      <c r="M51">
        <f t="shared" si="32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31"/>
        <v>17.339829156069133</v>
      </c>
      <c r="F52" s="3">
        <v>22797.23</v>
      </c>
      <c r="G52" s="56">
        <v>18655.11</v>
      </c>
      <c r="H52" s="57">
        <f t="shared" ref="H52" si="33">G52/D52</f>
        <v>14.189286167121043</v>
      </c>
      <c r="I52" s="57">
        <f t="shared" ref="I52" si="34">G52-F52</f>
        <v>-4142.119999999999</v>
      </c>
      <c r="J52" s="6">
        <f t="shared" ref="J52" si="35">I52/F52</f>
        <v>-0.18169400405224664</v>
      </c>
      <c r="K52" s="1">
        <v>45861</v>
      </c>
      <c r="L52" s="1">
        <v>45870</v>
      </c>
      <c r="M52">
        <f t="shared" si="32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31"/>
        <v>74.757798491837917</v>
      </c>
      <c r="F53" s="3">
        <f>26856.13+12527.28</f>
        <v>39383.410000000003</v>
      </c>
      <c r="G53" s="56">
        <v>67176.488400000002</v>
      </c>
      <c r="H53" s="57">
        <f t="shared" ref="H53" si="36">G53/D53</f>
        <v>127.51476784759082</v>
      </c>
      <c r="I53" s="57">
        <f t="shared" ref="I53" si="37">G53-F53</f>
        <v>27793.078399999999</v>
      </c>
      <c r="J53" s="6">
        <f t="shared" ref="J53" si="38">I53/F53</f>
        <v>0.7057052296893539</v>
      </c>
      <c r="K53" s="1">
        <v>45789</v>
      </c>
      <c r="L53" s="1">
        <v>45870</v>
      </c>
      <c r="M53">
        <f t="shared" si="32"/>
        <v>79</v>
      </c>
    </row>
    <row r="54" spans="1:13" x14ac:dyDescent="0.25">
      <c r="C54" s="25"/>
      <c r="D54" s="2"/>
      <c r="E54" s="57"/>
      <c r="F54" s="3"/>
      <c r="G54" s="56"/>
      <c r="H54" s="57"/>
      <c r="I54" s="57"/>
      <c r="J54" s="6"/>
      <c r="K54" s="1"/>
      <c r="L54" s="1"/>
    </row>
    <row r="55" spans="1:13" x14ac:dyDescent="0.25">
      <c r="C55" s="25"/>
      <c r="D55" s="2"/>
      <c r="E55" s="57"/>
      <c r="F55" s="3"/>
      <c r="G55" s="56"/>
      <c r="H55" s="57"/>
      <c r="I55" s="57"/>
      <c r="J55" s="6"/>
      <c r="K55" s="1"/>
      <c r="L55" s="1"/>
    </row>
    <row r="56" spans="1:13" x14ac:dyDescent="0.25">
      <c r="C56" s="25"/>
      <c r="D56" s="2"/>
      <c r="E56" s="57"/>
      <c r="F56" s="3"/>
      <c r="G56" s="56"/>
      <c r="H56" s="57"/>
      <c r="I56" s="57"/>
      <c r="J56" s="6"/>
      <c r="K56" s="1"/>
      <c r="L56" s="1"/>
    </row>
    <row r="57" spans="1:13" x14ac:dyDescent="0.25">
      <c r="C57" s="25"/>
      <c r="D57" s="2"/>
      <c r="E57" s="57"/>
      <c r="F57" s="3"/>
      <c r="G57" s="56"/>
      <c r="H57" s="57"/>
      <c r="I57" s="57"/>
      <c r="J57" s="6"/>
      <c r="K57" s="1"/>
      <c r="L57" s="1"/>
    </row>
    <row r="58" spans="1:13" x14ac:dyDescent="0.25">
      <c r="C58" s="25"/>
      <c r="D58" s="2"/>
      <c r="E58" s="57"/>
      <c r="F58" s="3"/>
      <c r="G58" s="56"/>
      <c r="H58" s="57"/>
      <c r="I58" s="57"/>
      <c r="J58" s="6"/>
      <c r="K58" s="1"/>
      <c r="L58" s="1"/>
    </row>
    <row r="59" spans="1:13" x14ac:dyDescent="0.25">
      <c r="C59" s="25"/>
      <c r="D59" s="2"/>
      <c r="E59" s="57"/>
      <c r="F59" s="3"/>
      <c r="G59" s="56"/>
      <c r="H59" s="57"/>
      <c r="I59" s="57"/>
      <c r="J59" s="6"/>
      <c r="K59" s="1"/>
      <c r="L59" s="1"/>
    </row>
    <row r="60" spans="1:13" x14ac:dyDescent="0.25">
      <c r="F60" s="56"/>
      <c r="G60" s="56"/>
      <c r="H60" s="3"/>
      <c r="I60" s="3">
        <f>SUM(I26:I53)</f>
        <v>13419.929133665471</v>
      </c>
      <c r="J60" s="13" t="s">
        <v>66</v>
      </c>
    </row>
    <row r="61" spans="1:13" x14ac:dyDescent="0.25">
      <c r="F61" s="56"/>
      <c r="G61" s="56"/>
      <c r="H61" s="3" t="s">
        <v>67</v>
      </c>
      <c r="I61" s="59">
        <v>20</v>
      </c>
      <c r="J61" s="5">
        <v>-0.10780000000000001</v>
      </c>
    </row>
    <row r="62" spans="1:13" x14ac:dyDescent="0.25">
      <c r="F62" s="56"/>
      <c r="G62" s="56"/>
      <c r="H62" s="3" t="s">
        <v>68</v>
      </c>
      <c r="I62" s="59">
        <v>8</v>
      </c>
      <c r="J62" s="5">
        <v>0.32279999999999998</v>
      </c>
    </row>
    <row r="63" spans="1:13" x14ac:dyDescent="0.25">
      <c r="F63" s="56"/>
      <c r="G63" s="56"/>
      <c r="J63" s="6"/>
    </row>
    <row r="64" spans="1:13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  <c r="J77" s="6"/>
    </row>
    <row r="78" spans="6:10" x14ac:dyDescent="0.25">
      <c r="F78" s="56"/>
      <c r="G78" s="56"/>
      <c r="J78" s="6"/>
    </row>
    <row r="79" spans="6:10" x14ac:dyDescent="0.25">
      <c r="F79" s="56"/>
      <c r="G79" s="56"/>
      <c r="J79" s="6"/>
    </row>
    <row r="80" spans="6:10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</row>
    <row r="87" spans="6:10" x14ac:dyDescent="0.25">
      <c r="F87" s="56"/>
      <c r="G87" s="56"/>
    </row>
    <row r="88" spans="6:10" x14ac:dyDescent="0.25">
      <c r="F88" s="56"/>
      <c r="G88" s="56"/>
    </row>
    <row r="89" spans="6:10" x14ac:dyDescent="0.25">
      <c r="F89" s="56"/>
      <c r="G89" s="56"/>
    </row>
    <row r="90" spans="6:10" x14ac:dyDescent="0.25">
      <c r="F90" s="56"/>
      <c r="G90" s="56"/>
    </row>
    <row r="91" spans="6:10" x14ac:dyDescent="0.25">
      <c r="F91" s="56"/>
      <c r="G91" s="56"/>
    </row>
  </sheetData>
  <sortState xmlns:xlrd2="http://schemas.microsoft.com/office/spreadsheetml/2017/richdata2" ref="A7:AC13">
    <sortCondition descending="1" ref="L7:L13"/>
  </sortState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AE40-7EFF-40E6-97D7-C17E5F6C6E56}">
  <dimension ref="A1:AC91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45877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71</v>
      </c>
      <c r="B7" t="s">
        <v>30</v>
      </c>
      <c r="C7" t="s">
        <v>72</v>
      </c>
      <c r="D7" s="2">
        <f>98.1877+35.2566</f>
        <v>133.4443</v>
      </c>
      <c r="E7" s="26">
        <v>649.09</v>
      </c>
      <c r="F7" s="3">
        <f t="shared" ref="F7:F17" si="0">E7*D7</f>
        <v>86617.360687000008</v>
      </c>
      <c r="G7" s="3">
        <f>34962.9+15401.92</f>
        <v>50364.82</v>
      </c>
      <c r="H7" s="4">
        <f t="shared" ref="H7:H17" si="1">G7/D7</f>
        <v>377.42204050678822</v>
      </c>
      <c r="I7" s="3">
        <f t="shared" ref="I7:I17" si="2">F7-G7</f>
        <v>36252.540687000008</v>
      </c>
      <c r="J7" s="26">
        <f t="shared" ref="J7:J17" si="3">E7-H7</f>
        <v>271.66795949321181</v>
      </c>
      <c r="K7" s="27">
        <v>45771</v>
      </c>
      <c r="L7">
        <f t="shared" ref="L7:L17" si="4">DAYS360(K7,$C$1)</f>
        <v>104</v>
      </c>
      <c r="M7" s="5">
        <f t="shared" ref="M7:M17" si="5">(I7/G7)</f>
        <v>0.71979887324128244</v>
      </c>
      <c r="N7">
        <v>3</v>
      </c>
      <c r="O7">
        <v>98</v>
      </c>
      <c r="P7" s="33">
        <v>31</v>
      </c>
      <c r="Q7" s="28">
        <v>444</v>
      </c>
      <c r="R7" s="29">
        <f t="shared" ref="R7:R17" si="6">Q7*0.93</f>
        <v>412.92</v>
      </c>
      <c r="S7" s="29">
        <v>462</v>
      </c>
      <c r="T7" s="28">
        <f t="shared" ref="T7:T17" si="7">Q7*1.25</f>
        <v>555</v>
      </c>
      <c r="U7" s="28">
        <f t="shared" ref="U7:U17" si="8">Q7*1.5</f>
        <v>666</v>
      </c>
      <c r="V7" s="28">
        <f t="shared" ref="V7:V17" si="9">Q7*2</f>
        <v>888</v>
      </c>
      <c r="W7" s="28">
        <f t="shared" ref="W7:W17" si="10">H7-(H7*0.07)</f>
        <v>351.00249767131305</v>
      </c>
      <c r="X7" s="29">
        <v>590</v>
      </c>
      <c r="Y7" s="5">
        <f t="shared" ref="Y7:Y17" si="11">(X7-H7)/H7</f>
        <v>0.56323673945424602</v>
      </c>
      <c r="Z7" s="32">
        <f t="shared" ref="Z7:Z17" si="12">F7/F$20</f>
        <v>0.15092831376776428</v>
      </c>
      <c r="AB7" s="58">
        <v>45952</v>
      </c>
      <c r="AC7" s="9">
        <v>93</v>
      </c>
    </row>
    <row r="8" spans="1:29" x14ac:dyDescent="0.25">
      <c r="A8" t="s">
        <v>118</v>
      </c>
      <c r="B8" t="s">
        <v>30</v>
      </c>
      <c r="C8" s="25" t="s">
        <v>119</v>
      </c>
      <c r="D8" s="2">
        <f>605.0016+550.0434</f>
        <v>1155.0450000000001</v>
      </c>
      <c r="E8" s="26">
        <v>39.35</v>
      </c>
      <c r="F8" s="3">
        <f t="shared" si="0"/>
        <v>45451.020750000003</v>
      </c>
      <c r="G8" s="3">
        <f>(605.0016*29.7738017)+17708.65</f>
        <v>35721.847666582718</v>
      </c>
      <c r="H8" s="4">
        <f t="shared" si="1"/>
        <v>30.926801697408081</v>
      </c>
      <c r="I8" s="3">
        <f t="shared" si="2"/>
        <v>9729.1730834172849</v>
      </c>
      <c r="J8" s="26">
        <f t="shared" si="3"/>
        <v>8.4231983025919206</v>
      </c>
      <c r="K8" s="27">
        <v>45800</v>
      </c>
      <c r="L8">
        <f t="shared" si="4"/>
        <v>75</v>
      </c>
      <c r="M8" s="5">
        <f t="shared" si="5"/>
        <v>0.27235917845646007</v>
      </c>
      <c r="N8">
        <v>3</v>
      </c>
      <c r="O8">
        <v>98</v>
      </c>
      <c r="P8" s="63">
        <v>49</v>
      </c>
      <c r="Q8" s="28">
        <v>29.66</v>
      </c>
      <c r="R8" s="29">
        <f t="shared" si="6"/>
        <v>27.5838</v>
      </c>
      <c r="S8" s="29">
        <v>29.66</v>
      </c>
      <c r="T8" s="31">
        <f t="shared" si="7"/>
        <v>37.075000000000003</v>
      </c>
      <c r="U8" s="28">
        <f t="shared" si="8"/>
        <v>44.49</v>
      </c>
      <c r="V8" s="28">
        <f t="shared" si="9"/>
        <v>59.32</v>
      </c>
      <c r="W8" s="28">
        <f t="shared" si="10"/>
        <v>28.761925578589516</v>
      </c>
      <c r="X8" s="29">
        <v>42</v>
      </c>
      <c r="Y8" s="5">
        <f t="shared" si="11"/>
        <v>0.35804537471845799</v>
      </c>
      <c r="Z8" s="6">
        <f t="shared" si="12"/>
        <v>7.9197124761280407E-2</v>
      </c>
      <c r="AB8" s="58">
        <v>45967</v>
      </c>
      <c r="AC8" s="9">
        <v>87</v>
      </c>
    </row>
    <row r="9" spans="1:29" x14ac:dyDescent="0.25">
      <c r="A9" t="s">
        <v>121</v>
      </c>
      <c r="B9" t="s">
        <v>30</v>
      </c>
      <c r="C9" s="25" t="s">
        <v>122</v>
      </c>
      <c r="D9" s="2">
        <f>1070.2094+395.2675+756.7021</f>
        <v>2222.1790000000001</v>
      </c>
      <c r="E9" s="26">
        <v>20.149999999999999</v>
      </c>
      <c r="F9" s="3">
        <f t="shared" si="0"/>
        <v>44776.906849999999</v>
      </c>
      <c r="G9" s="3">
        <f>18821.97+11334.33+20180.34</f>
        <v>50336.639999999999</v>
      </c>
      <c r="H9" s="4">
        <f t="shared" si="1"/>
        <v>22.651928580010882</v>
      </c>
      <c r="I9" s="3">
        <f t="shared" si="2"/>
        <v>-5559.73315</v>
      </c>
      <c r="J9" s="26">
        <f t="shared" si="3"/>
        <v>-2.5019285800108833</v>
      </c>
      <c r="K9" s="27">
        <v>45814</v>
      </c>
      <c r="L9">
        <f t="shared" si="4"/>
        <v>62</v>
      </c>
      <c r="M9" s="5">
        <f t="shared" si="5"/>
        <v>-0.11045101838342805</v>
      </c>
      <c r="N9">
        <v>35</v>
      </c>
      <c r="O9">
        <v>97</v>
      </c>
      <c r="P9" s="63">
        <v>44</v>
      </c>
      <c r="Q9" s="28">
        <v>16.399999999999999</v>
      </c>
      <c r="R9" s="29">
        <f t="shared" si="6"/>
        <v>15.251999999999999</v>
      </c>
      <c r="S9" s="29">
        <v>11.01</v>
      </c>
      <c r="T9" s="28">
        <f t="shared" si="7"/>
        <v>20.5</v>
      </c>
      <c r="U9" s="28">
        <f t="shared" si="8"/>
        <v>24.599999999999998</v>
      </c>
      <c r="V9" s="28">
        <f t="shared" si="9"/>
        <v>32.799999999999997</v>
      </c>
      <c r="W9" s="28">
        <f t="shared" si="10"/>
        <v>21.066293579410122</v>
      </c>
      <c r="X9" s="29">
        <v>19</v>
      </c>
      <c r="Y9" s="5">
        <f t="shared" si="11"/>
        <v>-0.16121932254516791</v>
      </c>
      <c r="Z9" s="6">
        <f t="shared" si="12"/>
        <v>7.8022500258669789E-2</v>
      </c>
      <c r="AB9" s="58">
        <v>45978</v>
      </c>
      <c r="AC9" s="9">
        <v>82</v>
      </c>
    </row>
    <row r="10" spans="1:29" x14ac:dyDescent="0.25">
      <c r="A10" t="s">
        <v>124</v>
      </c>
      <c r="B10" t="s">
        <v>30</v>
      </c>
      <c r="C10" s="25" t="s">
        <v>125</v>
      </c>
      <c r="D10" s="2">
        <f>915.359+608.2121</f>
        <v>1523.5711000000001</v>
      </c>
      <c r="E10" s="26">
        <v>44.69</v>
      </c>
      <c r="F10" s="3">
        <f t="shared" si="0"/>
        <v>68088.392458999995</v>
      </c>
      <c r="G10" s="3">
        <f>28630.6+20162.2481</f>
        <v>48792.848100000003</v>
      </c>
      <c r="H10" s="4">
        <f t="shared" si="1"/>
        <v>32.025317426932027</v>
      </c>
      <c r="I10" s="3">
        <f t="shared" si="2"/>
        <v>19295.544358999992</v>
      </c>
      <c r="J10" s="26">
        <f t="shared" si="3"/>
        <v>12.664682573067971</v>
      </c>
      <c r="K10" s="27">
        <v>45817</v>
      </c>
      <c r="L10">
        <f t="shared" si="4"/>
        <v>59</v>
      </c>
      <c r="M10" s="5">
        <f t="shared" si="5"/>
        <v>0.39545845570346999</v>
      </c>
      <c r="N10">
        <v>11</v>
      </c>
      <c r="O10">
        <v>99</v>
      </c>
      <c r="P10" s="63">
        <v>8</v>
      </c>
      <c r="Q10" s="28">
        <v>30.78</v>
      </c>
      <c r="R10" s="29">
        <f t="shared" si="6"/>
        <v>28.625400000000003</v>
      </c>
      <c r="S10" s="29">
        <v>26.45</v>
      </c>
      <c r="T10" s="28">
        <f t="shared" si="7"/>
        <v>38.475000000000001</v>
      </c>
      <c r="U10" s="28">
        <f t="shared" si="8"/>
        <v>46.17</v>
      </c>
      <c r="V10" s="28">
        <f t="shared" si="9"/>
        <v>61.56</v>
      </c>
      <c r="W10" s="28">
        <f t="shared" si="10"/>
        <v>29.783545207046785</v>
      </c>
      <c r="X10" s="29">
        <v>38</v>
      </c>
      <c r="Y10" s="5">
        <f t="shared" si="11"/>
        <v>0.18656122883714185</v>
      </c>
      <c r="Z10" s="6">
        <f t="shared" si="12"/>
        <v>0.11864210799645125</v>
      </c>
      <c r="AB10" s="58">
        <v>45979</v>
      </c>
      <c r="AC10" s="9">
        <v>86</v>
      </c>
    </row>
    <row r="11" spans="1:29" x14ac:dyDescent="0.25">
      <c r="A11" t="s">
        <v>126</v>
      </c>
      <c r="B11" t="s">
        <v>30</v>
      </c>
      <c r="C11" s="25" t="s">
        <v>127</v>
      </c>
      <c r="D11" s="2">
        <f>344.4515+240</f>
        <v>584.45150000000001</v>
      </c>
      <c r="E11" s="26">
        <v>120.41</v>
      </c>
      <c r="F11" s="3">
        <f t="shared" si="0"/>
        <v>70373.805114999996</v>
      </c>
      <c r="G11" s="3">
        <f>30563.18+23352</f>
        <v>53915.18</v>
      </c>
      <c r="H11" s="4">
        <f t="shared" si="1"/>
        <v>92.249194330068448</v>
      </c>
      <c r="I11" s="3">
        <f t="shared" si="2"/>
        <v>16458.625114999995</v>
      </c>
      <c r="J11" s="26">
        <f t="shared" si="3"/>
        <v>28.160805669931548</v>
      </c>
      <c r="K11" s="27">
        <v>45840</v>
      </c>
      <c r="L11">
        <f t="shared" si="4"/>
        <v>36</v>
      </c>
      <c r="M11" s="5">
        <f t="shared" si="5"/>
        <v>0.30526885220451822</v>
      </c>
      <c r="N11">
        <v>9</v>
      </c>
      <c r="O11">
        <v>98</v>
      </c>
      <c r="P11" s="63">
        <v>80</v>
      </c>
      <c r="Q11" s="28">
        <v>86.84</v>
      </c>
      <c r="R11" s="29">
        <f t="shared" si="6"/>
        <v>80.761200000000002</v>
      </c>
      <c r="S11" s="29">
        <v>81.72</v>
      </c>
      <c r="T11" s="31">
        <f t="shared" si="7"/>
        <v>108.55000000000001</v>
      </c>
      <c r="U11" s="28">
        <f t="shared" si="8"/>
        <v>130.26</v>
      </c>
      <c r="V11" s="28">
        <f t="shared" si="9"/>
        <v>173.68</v>
      </c>
      <c r="W11" s="28">
        <f t="shared" si="10"/>
        <v>85.791750726963656</v>
      </c>
      <c r="X11" s="29">
        <v>102</v>
      </c>
      <c r="Y11" s="5">
        <f t="shared" si="11"/>
        <v>0.1057007136023658</v>
      </c>
      <c r="Z11" s="6">
        <f t="shared" si="12"/>
        <v>0.12262437524285277</v>
      </c>
      <c r="AB11" s="58">
        <v>45903</v>
      </c>
      <c r="AC11" s="9">
        <v>99</v>
      </c>
    </row>
    <row r="12" spans="1:29" x14ac:dyDescent="0.25">
      <c r="A12" t="s">
        <v>128</v>
      </c>
      <c r="B12" t="s">
        <v>30</v>
      </c>
      <c r="C12" s="25" t="s">
        <v>129</v>
      </c>
      <c r="D12" s="2">
        <f>786.7766+525.5828</f>
        <v>1312.3594000000001</v>
      </c>
      <c r="E12" s="26">
        <v>51.01</v>
      </c>
      <c r="F12" s="3">
        <f t="shared" si="0"/>
        <v>66943.452994000007</v>
      </c>
      <c r="G12" s="3">
        <f>30514.1+21675.87</f>
        <v>52189.97</v>
      </c>
      <c r="H12" s="4">
        <f t="shared" si="1"/>
        <v>39.768046771334134</v>
      </c>
      <c r="I12" s="3">
        <f t="shared" si="2"/>
        <v>14753.482994000005</v>
      </c>
      <c r="J12" s="26">
        <f t="shared" si="3"/>
        <v>11.241953228665864</v>
      </c>
      <c r="K12" s="27">
        <v>45840</v>
      </c>
      <c r="L12">
        <f t="shared" si="4"/>
        <v>36</v>
      </c>
      <c r="M12" s="5">
        <f t="shared" si="5"/>
        <v>0.28268809110256254</v>
      </c>
      <c r="N12">
        <v>13</v>
      </c>
      <c r="O12">
        <v>97</v>
      </c>
      <c r="P12" s="64">
        <v>80</v>
      </c>
      <c r="Q12" s="28">
        <v>37.89</v>
      </c>
      <c r="R12" s="29">
        <f t="shared" si="6"/>
        <v>35.237700000000004</v>
      </c>
      <c r="S12" s="29">
        <v>34.869999999999997</v>
      </c>
      <c r="T12" s="31">
        <f t="shared" si="7"/>
        <v>47.362499999999997</v>
      </c>
      <c r="U12" s="28">
        <f t="shared" si="8"/>
        <v>56.835000000000001</v>
      </c>
      <c r="V12" s="28">
        <f t="shared" si="9"/>
        <v>75.78</v>
      </c>
      <c r="W12" s="28">
        <f t="shared" si="10"/>
        <v>36.984283497340748</v>
      </c>
      <c r="X12" s="29">
        <v>45</v>
      </c>
      <c r="Y12" s="5">
        <f t="shared" si="11"/>
        <v>0.13156173494638909</v>
      </c>
      <c r="Z12" s="6">
        <f t="shared" si="12"/>
        <v>0.11664708319486376</v>
      </c>
      <c r="AB12" s="58">
        <v>45959</v>
      </c>
      <c r="AC12" s="9">
        <v>98</v>
      </c>
    </row>
    <row r="13" spans="1:29" x14ac:dyDescent="0.25">
      <c r="A13" t="s">
        <v>69</v>
      </c>
      <c r="B13" t="s">
        <v>30</v>
      </c>
      <c r="C13" s="25" t="s">
        <v>70</v>
      </c>
      <c r="D13" s="2">
        <v>682.05550000000005</v>
      </c>
      <c r="E13" s="26">
        <v>75.319999999999993</v>
      </c>
      <c r="F13" s="3">
        <f t="shared" si="0"/>
        <v>51372.420259999999</v>
      </c>
      <c r="G13" s="3">
        <v>43555.21</v>
      </c>
      <c r="H13" s="4">
        <f t="shared" si="1"/>
        <v>63.85874756526411</v>
      </c>
      <c r="I13" s="3">
        <f t="shared" si="2"/>
        <v>7817.2102599999998</v>
      </c>
      <c r="J13" s="26">
        <f t="shared" si="3"/>
        <v>11.461252434735883</v>
      </c>
      <c r="K13" s="27">
        <v>45854</v>
      </c>
      <c r="L13">
        <f t="shared" si="4"/>
        <v>22</v>
      </c>
      <c r="M13" s="5">
        <f t="shared" si="5"/>
        <v>0.17947819009482446</v>
      </c>
      <c r="N13">
        <v>3</v>
      </c>
      <c r="O13">
        <v>99</v>
      </c>
      <c r="P13" s="63">
        <v>49</v>
      </c>
      <c r="Q13" s="28">
        <v>58.69</v>
      </c>
      <c r="R13" s="29">
        <f t="shared" si="6"/>
        <v>54.581699999999998</v>
      </c>
      <c r="S13" s="29">
        <v>50.08</v>
      </c>
      <c r="T13" s="31">
        <f t="shared" si="7"/>
        <v>73.362499999999997</v>
      </c>
      <c r="U13" s="28">
        <f t="shared" si="8"/>
        <v>88.034999999999997</v>
      </c>
      <c r="V13" s="28">
        <f t="shared" si="9"/>
        <v>117.38</v>
      </c>
      <c r="W13" s="28">
        <f t="shared" si="10"/>
        <v>59.388635235695624</v>
      </c>
      <c r="X13" s="29">
        <v>66</v>
      </c>
      <c r="Y13" s="5">
        <f t="shared" si="11"/>
        <v>3.353107469806723E-2</v>
      </c>
      <c r="Z13" s="32">
        <f t="shared" si="12"/>
        <v>8.9514996791797002E-2</v>
      </c>
      <c r="AB13" s="60">
        <v>45880</v>
      </c>
      <c r="AC13" s="9">
        <v>93</v>
      </c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45218</v>
      </c>
      <c r="M14" s="5" t="e">
        <f t="shared" si="5"/>
        <v>#DIV/0!</v>
      </c>
      <c r="P14" s="63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60"/>
      <c r="AC14" s="9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45218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45218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2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45218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433623.359115</v>
      </c>
      <c r="G18" s="3">
        <f>SUM(G6:G17)</f>
        <v>334876.51576658274</v>
      </c>
      <c r="H18" s="4"/>
      <c r="I18" s="3">
        <f>SUM(I6:I17)</f>
        <v>98746.843348417286</v>
      </c>
      <c r="M18" s="5"/>
      <c r="Z18" s="6"/>
    </row>
    <row r="19" spans="1:29" x14ac:dyDescent="0.25">
      <c r="D19" s="2" t="s">
        <v>44</v>
      </c>
      <c r="F19" s="3">
        <v>140274</v>
      </c>
      <c r="G19" s="6">
        <f>F19/F20</f>
        <v>0.24442349798632076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573897.359115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'08-01-25'!F20</f>
        <v>589417.95118600002</v>
      </c>
      <c r="K21" s="1">
        <v>45657</v>
      </c>
      <c r="L21" s="50">
        <v>170762</v>
      </c>
      <c r="M21" s="50">
        <v>198658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-2.6332065455031004E-2</v>
      </c>
      <c r="K22" s="9" t="s">
        <v>123</v>
      </c>
      <c r="L22" s="6">
        <f>(M21-L21)/L21</f>
        <v>0.16336187207926822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4">F28/D28</f>
        <v>44.698790833464948</v>
      </c>
      <c r="F28" s="3">
        <v>56489.42</v>
      </c>
      <c r="G28" s="56">
        <v>75501.87</v>
      </c>
      <c r="H28" s="57">
        <f t="shared" ref="H28:H53" si="15">G28/D28</f>
        <v>59.742909285764696</v>
      </c>
      <c r="I28" s="57">
        <f t="shared" ref="I28:I53" si="16">G28-F28</f>
        <v>19012.449999999997</v>
      </c>
      <c r="J28" s="6">
        <f t="shared" ref="J28:J53" si="17">I28/F28</f>
        <v>0.33656656414599401</v>
      </c>
      <c r="K28" s="1">
        <v>45527</v>
      </c>
      <c r="L28" s="1">
        <v>45688</v>
      </c>
      <c r="M28">
        <f t="shared" si="13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4"/>
        <v>169.90901206845703</v>
      </c>
      <c r="F29" s="3">
        <f>59492.79+21969.78</f>
        <v>81462.570000000007</v>
      </c>
      <c r="G29" s="56">
        <v>65047.58</v>
      </c>
      <c r="H29" s="57">
        <f t="shared" si="15"/>
        <v>135.67175765807443</v>
      </c>
      <c r="I29" s="57">
        <f t="shared" si="16"/>
        <v>-16414.990000000005</v>
      </c>
      <c r="J29" s="6">
        <f t="shared" si="17"/>
        <v>-0.20150346349249729</v>
      </c>
      <c r="K29" s="1">
        <v>45671</v>
      </c>
      <c r="L29" s="1">
        <v>45688</v>
      </c>
      <c r="M29">
        <f t="shared" si="13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4"/>
        <v>18.702010092477405</v>
      </c>
      <c r="F30" s="3">
        <v>56486.59</v>
      </c>
      <c r="G30" s="56">
        <v>71124.88</v>
      </c>
      <c r="H30" s="57">
        <f t="shared" si="15"/>
        <v>23.548566546258936</v>
      </c>
      <c r="I30" s="57">
        <f t="shared" si="16"/>
        <v>14638.290000000008</v>
      </c>
      <c r="J30" s="6">
        <f t="shared" si="17"/>
        <v>0.25914628587068206</v>
      </c>
      <c r="K30" s="1">
        <v>45527</v>
      </c>
      <c r="L30" s="1">
        <v>45691</v>
      </c>
      <c r="M30">
        <f t="shared" si="13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4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5"/>
        <v>38.249853000000002</v>
      </c>
      <c r="I31" s="57">
        <f t="shared" si="16"/>
        <v>-6110.386336591735</v>
      </c>
      <c r="J31" s="6">
        <f t="shared" si="17"/>
        <v>-0.10005621882176895</v>
      </c>
      <c r="K31" s="1">
        <v>45706</v>
      </c>
      <c r="L31" s="1">
        <v>45708</v>
      </c>
      <c r="M31">
        <f t="shared" si="13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4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5"/>
        <v>531.63995279999995</v>
      </c>
      <c r="I32" s="57">
        <f t="shared" si="16"/>
        <v>-22176.243614196137</v>
      </c>
      <c r="J32" s="6">
        <f t="shared" si="17"/>
        <v>-0.24194911929355969</v>
      </c>
      <c r="K32" s="1">
        <v>45706</v>
      </c>
      <c r="L32" s="1">
        <v>45708</v>
      </c>
      <c r="M32">
        <f t="shared" si="13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4"/>
        <v>368.56522253629635</v>
      </c>
      <c r="F33" s="3">
        <v>74438.86</v>
      </c>
      <c r="G33" s="56">
        <f>201.9693*360.5332483</f>
        <v>72816.647785877198</v>
      </c>
      <c r="H33" s="57">
        <f t="shared" si="15"/>
        <v>360.53324830000003</v>
      </c>
      <c r="I33" s="57">
        <f t="shared" si="16"/>
        <v>-1622.2122141228028</v>
      </c>
      <c r="J33" s="6">
        <f t="shared" si="17"/>
        <v>-2.1792545105107773E-2</v>
      </c>
      <c r="K33" s="1">
        <v>45664</v>
      </c>
      <c r="L33" s="1">
        <v>45708</v>
      </c>
      <c r="M33">
        <f t="shared" si="13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4"/>
        <v>30.17825528482809</v>
      </c>
      <c r="F34" s="3">
        <v>37884.65</v>
      </c>
      <c r="G34" s="56">
        <f>1255.3625*39.762296</f>
        <v>49916.0953123</v>
      </c>
      <c r="H34" s="57">
        <f t="shared" si="15"/>
        <v>39.762295999999999</v>
      </c>
      <c r="I34" s="57">
        <f t="shared" si="16"/>
        <v>12031.445312299998</v>
      </c>
      <c r="J34" s="6">
        <f t="shared" si="17"/>
        <v>0.31758100740801348</v>
      </c>
      <c r="K34" s="1">
        <v>45663</v>
      </c>
      <c r="L34" s="1">
        <v>45709</v>
      </c>
      <c r="M34">
        <f t="shared" si="13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4"/>
        <v>242.26930551548847</v>
      </c>
      <c r="F35" s="3">
        <v>61221.72</v>
      </c>
      <c r="G35" s="56">
        <f>252.7011*226.6146532</f>
        <v>57265.772139758519</v>
      </c>
      <c r="H35" s="57">
        <f t="shared" si="15"/>
        <v>226.61465319999999</v>
      </c>
      <c r="I35" s="57">
        <f t="shared" si="16"/>
        <v>-3955.947860241482</v>
      </c>
      <c r="J35" s="6">
        <f t="shared" si="17"/>
        <v>-6.4616738311852093E-2</v>
      </c>
      <c r="K35" s="1">
        <v>45699</v>
      </c>
      <c r="L35" s="1">
        <v>45709</v>
      </c>
      <c r="M35">
        <f t="shared" si="13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4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5"/>
        <v>283.93999450000007</v>
      </c>
      <c r="I36" s="57">
        <f t="shared" si="16"/>
        <v>19563.525282954361</v>
      </c>
      <c r="J36" s="6">
        <f t="shared" si="17"/>
        <v>0.36434300703793465</v>
      </c>
      <c r="K36" s="1">
        <v>45580</v>
      </c>
      <c r="L36" s="1">
        <v>45712</v>
      </c>
      <c r="M36">
        <f t="shared" si="13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4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5"/>
        <v>63.365330900000004</v>
      </c>
      <c r="I37" s="57">
        <f t="shared" si="16"/>
        <v>-4549.5912833559851</v>
      </c>
      <c r="J37" s="6">
        <f t="shared" si="17"/>
        <v>-5.9638082078758516E-2</v>
      </c>
      <c r="K37" s="1">
        <v>45673</v>
      </c>
      <c r="L37" s="1">
        <v>45712</v>
      </c>
      <c r="M37">
        <f t="shared" si="13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5"/>
        <v>50.021380499999999</v>
      </c>
      <c r="I38" s="57">
        <f t="shared" si="16"/>
        <v>6027.2875116823998</v>
      </c>
      <c r="J38" s="6">
        <f t="shared" si="17"/>
        <v>9.9771440635884723E-2</v>
      </c>
      <c r="K38" s="1">
        <v>45593</v>
      </c>
      <c r="L38" s="1">
        <v>45713</v>
      </c>
      <c r="M38">
        <f t="shared" si="13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5"/>
        <v>12.519992000000002</v>
      </c>
      <c r="I39" s="57">
        <f t="shared" si="16"/>
        <v>-2230.6527810991975</v>
      </c>
      <c r="J39" s="6">
        <f t="shared" si="17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5"/>
        <v>94.679995300000002</v>
      </c>
      <c r="I40" s="57">
        <f t="shared" si="16"/>
        <v>-4750.690604140058</v>
      </c>
      <c r="J40" s="6">
        <f t="shared" si="17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53" si="18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5"/>
        <v>18.9477051</v>
      </c>
      <c r="I41" s="57">
        <f t="shared" si="16"/>
        <v>-2244.5195874142191</v>
      </c>
      <c r="J41" s="6">
        <f t="shared" si="17"/>
        <v>-8.2776138273503941E-2</v>
      </c>
      <c r="K41" s="1">
        <v>45761</v>
      </c>
      <c r="L41" s="1">
        <v>45768</v>
      </c>
      <c r="M41">
        <f t="shared" ref="M41:M53" si="19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8"/>
        <v>96.336406065231671</v>
      </c>
      <c r="F42" s="3">
        <v>34004.42</v>
      </c>
      <c r="G42" s="56">
        <f>352.9758*89.7849585</f>
        <v>31691.9175545043</v>
      </c>
      <c r="H42" s="57">
        <f t="shared" si="15"/>
        <v>89.784958500000002</v>
      </c>
      <c r="I42" s="57">
        <f t="shared" si="16"/>
        <v>-2312.5024454956983</v>
      </c>
      <c r="J42" s="6">
        <f t="shared" si="17"/>
        <v>-6.8005937036882222E-2</v>
      </c>
      <c r="K42" s="1">
        <v>45762</v>
      </c>
      <c r="L42" s="1">
        <v>45768</v>
      </c>
      <c r="M42">
        <f t="shared" si="19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8"/>
        <v>16.992624876012847</v>
      </c>
      <c r="F43" s="3">
        <v>37971.83</v>
      </c>
      <c r="G43" s="56">
        <f>2234.6065*13.3067232</f>
        <v>29735.2901564208</v>
      </c>
      <c r="H43" s="57">
        <f t="shared" si="15"/>
        <v>13.3067232</v>
      </c>
      <c r="I43" s="57">
        <f t="shared" si="16"/>
        <v>-8236.5398435792013</v>
      </c>
      <c r="J43" s="6">
        <f t="shared" si="17"/>
        <v>-0.21691184869360261</v>
      </c>
      <c r="K43" s="1">
        <v>45652</v>
      </c>
      <c r="L43" s="1">
        <v>45785</v>
      </c>
      <c r="M43">
        <f t="shared" si="19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8"/>
        <v>38.101812248436303</v>
      </c>
      <c r="F44" s="3">
        <v>21940.86</v>
      </c>
      <c r="G44" s="56">
        <f>575.8482*32.7857042</f>
        <v>18879.588749302438</v>
      </c>
      <c r="H44" s="57">
        <f t="shared" si="15"/>
        <v>32.785704199999998</v>
      </c>
      <c r="I44" s="57">
        <f t="shared" si="16"/>
        <v>-3061.2712506975622</v>
      </c>
      <c r="J44" s="6">
        <f t="shared" si="17"/>
        <v>-0.13952375844417958</v>
      </c>
      <c r="K44" s="1">
        <v>45761</v>
      </c>
      <c r="L44" s="1">
        <v>45790</v>
      </c>
      <c r="M44">
        <f t="shared" si="19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8"/>
        <v>24.570291674143743</v>
      </c>
      <c r="F45" s="3">
        <v>23591.34</v>
      </c>
      <c r="G45" s="56">
        <v>19396.37</v>
      </c>
      <c r="H45" s="57">
        <f t="shared" si="15"/>
        <v>20.201246233559068</v>
      </c>
      <c r="I45" s="57">
        <f t="shared" si="16"/>
        <v>-4194.9700000000012</v>
      </c>
      <c r="J45" s="6">
        <f t="shared" si="17"/>
        <v>-0.17781821634548953</v>
      </c>
      <c r="K45" s="1">
        <v>45776</v>
      </c>
      <c r="L45" s="1">
        <v>45812</v>
      </c>
      <c r="M45">
        <f t="shared" si="19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8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5"/>
        <v>84.038907800000004</v>
      </c>
      <c r="I46" s="57">
        <f t="shared" si="16"/>
        <v>-3907.8121523372101</v>
      </c>
      <c r="J46" s="6">
        <f t="shared" si="17"/>
        <v>-0.14246372001691271</v>
      </c>
      <c r="K46" s="1">
        <v>45782</v>
      </c>
      <c r="L46" s="1">
        <v>45818</v>
      </c>
      <c r="M46">
        <f t="shared" si="19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8"/>
        <v>40.437100849618155</v>
      </c>
      <c r="F47" s="3">
        <f>22877.09+14244.67</f>
        <v>37121.760000000002</v>
      </c>
      <c r="G47" s="56">
        <v>34659.56</v>
      </c>
      <c r="H47" s="57">
        <f t="shared" si="15"/>
        <v>37.755002002151599</v>
      </c>
      <c r="I47" s="57">
        <f t="shared" si="16"/>
        <v>-2462.2000000000044</v>
      </c>
      <c r="J47" s="6">
        <f t="shared" si="17"/>
        <v>-6.6327674118899643E-2</v>
      </c>
      <c r="K47" s="1">
        <v>45782</v>
      </c>
      <c r="L47" s="1">
        <v>45828</v>
      </c>
      <c r="M47">
        <f t="shared" si="19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18"/>
        <v>123.70183817297092</v>
      </c>
      <c r="F48" s="3">
        <f>22876.67+14197.82+14808.77</f>
        <v>51883.259999999995</v>
      </c>
      <c r="G48" s="56">
        <v>55156.07</v>
      </c>
      <c r="H48" s="57">
        <f t="shared" si="15"/>
        <v>131.50498340692272</v>
      </c>
      <c r="I48" s="57">
        <f t="shared" si="16"/>
        <v>3272.8100000000049</v>
      </c>
      <c r="J48" s="6">
        <f t="shared" si="17"/>
        <v>6.3080269050171583E-2</v>
      </c>
      <c r="K48" s="1">
        <v>45782</v>
      </c>
      <c r="L48" s="1">
        <v>45839</v>
      </c>
      <c r="M48">
        <f t="shared" si="19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18"/>
        <v>63.194998844628557</v>
      </c>
      <c r="F49" s="3">
        <v>36072.47</v>
      </c>
      <c r="G49" s="56">
        <v>51786.91</v>
      </c>
      <c r="H49" s="57">
        <f t="shared" si="15"/>
        <v>90.724968864535285</v>
      </c>
      <c r="I49" s="57">
        <f t="shared" si="16"/>
        <v>15714.440000000002</v>
      </c>
      <c r="J49" s="6">
        <f t="shared" si="17"/>
        <v>0.43563526423336141</v>
      </c>
      <c r="K49" s="1">
        <v>45796</v>
      </c>
      <c r="L49" s="1">
        <v>45839</v>
      </c>
      <c r="M49">
        <f t="shared" si="19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18"/>
        <v>90.254808370121239</v>
      </c>
      <c r="F50" s="3">
        <f>35895.15+19479.74</f>
        <v>55374.89</v>
      </c>
      <c r="G50" s="56">
        <v>55236.959999999999</v>
      </c>
      <c r="H50" s="57">
        <f t="shared" si="15"/>
        <v>90.029998068584007</v>
      </c>
      <c r="I50" s="57">
        <f t="shared" si="16"/>
        <v>-137.93000000000029</v>
      </c>
      <c r="J50" s="6">
        <f t="shared" si="17"/>
        <v>-2.4908401623912986E-3</v>
      </c>
      <c r="K50" s="1">
        <v>45789</v>
      </c>
      <c r="L50" s="1">
        <v>45855</v>
      </c>
      <c r="M50">
        <f t="shared" si="19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18"/>
        <v>113.05354718581073</v>
      </c>
      <c r="F51" s="3">
        <v>45409.8</v>
      </c>
      <c r="G51" s="56">
        <v>41051.0026</v>
      </c>
      <c r="H51" s="57">
        <f t="shared" si="15"/>
        <v>102.2017595202784</v>
      </c>
      <c r="I51" s="57">
        <f t="shared" si="16"/>
        <v>-4358.7974000000031</v>
      </c>
      <c r="J51" s="6">
        <f t="shared" si="17"/>
        <v>-9.5988033420098803E-2</v>
      </c>
      <c r="K51" s="1">
        <v>45855</v>
      </c>
      <c r="L51" s="1">
        <v>45860</v>
      </c>
      <c r="M51">
        <f t="shared" si="19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18"/>
        <v>17.339829156069133</v>
      </c>
      <c r="F52" s="3">
        <v>22797.23</v>
      </c>
      <c r="G52" s="56">
        <v>18655.11</v>
      </c>
      <c r="H52" s="57">
        <f t="shared" si="15"/>
        <v>14.189286167121043</v>
      </c>
      <c r="I52" s="57">
        <f t="shared" si="16"/>
        <v>-4142.119999999999</v>
      </c>
      <c r="J52" s="6">
        <f t="shared" si="17"/>
        <v>-0.18169400405224664</v>
      </c>
      <c r="K52" s="1">
        <v>45861</v>
      </c>
      <c r="L52" s="1">
        <v>45870</v>
      </c>
      <c r="M52">
        <f t="shared" si="19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18"/>
        <v>74.757798491837917</v>
      </c>
      <c r="F53" s="3">
        <f>26856.13+12527.28</f>
        <v>39383.410000000003</v>
      </c>
      <c r="G53" s="56">
        <v>67176.488400000002</v>
      </c>
      <c r="H53" s="57">
        <f t="shared" si="15"/>
        <v>127.51476784759082</v>
      </c>
      <c r="I53" s="57">
        <f t="shared" si="16"/>
        <v>27793.078399999999</v>
      </c>
      <c r="J53" s="6">
        <f t="shared" si="17"/>
        <v>0.7057052296893539</v>
      </c>
      <c r="K53" s="1">
        <v>45789</v>
      </c>
      <c r="L53" s="1">
        <v>45870</v>
      </c>
      <c r="M53">
        <f t="shared" si="19"/>
        <v>79</v>
      </c>
    </row>
    <row r="54" spans="1:13" x14ac:dyDescent="0.25">
      <c r="C54" s="25"/>
      <c r="D54" s="2"/>
      <c r="E54" s="57"/>
      <c r="F54" s="3"/>
      <c r="G54" s="56"/>
      <c r="H54" s="57"/>
      <c r="I54" s="57"/>
      <c r="J54" s="6"/>
      <c r="K54" s="1"/>
      <c r="L54" s="1"/>
    </row>
    <row r="55" spans="1:13" x14ac:dyDescent="0.25">
      <c r="C55" s="25"/>
      <c r="D55" s="2"/>
      <c r="E55" s="57"/>
      <c r="F55" s="3"/>
      <c r="G55" s="56"/>
      <c r="H55" s="57"/>
      <c r="I55" s="57"/>
      <c r="J55" s="6"/>
      <c r="K55" s="1"/>
      <c r="L55" s="1"/>
    </row>
    <row r="56" spans="1:13" x14ac:dyDescent="0.25">
      <c r="C56" s="25"/>
      <c r="D56" s="2"/>
      <c r="E56" s="57"/>
      <c r="F56" s="3"/>
      <c r="G56" s="56"/>
      <c r="H56" s="57"/>
      <c r="I56" s="57"/>
      <c r="J56" s="6"/>
      <c r="K56" s="1"/>
      <c r="L56" s="1"/>
    </row>
    <row r="57" spans="1:13" x14ac:dyDescent="0.25">
      <c r="C57" s="25"/>
      <c r="D57" s="2"/>
      <c r="E57" s="57"/>
      <c r="F57" s="3"/>
      <c r="G57" s="56"/>
      <c r="H57" s="57"/>
      <c r="I57" s="57"/>
      <c r="J57" s="6"/>
      <c r="K57" s="1"/>
      <c r="L57" s="1"/>
    </row>
    <row r="58" spans="1:13" x14ac:dyDescent="0.25">
      <c r="C58" s="25"/>
      <c r="D58" s="2"/>
      <c r="E58" s="57"/>
      <c r="F58" s="3"/>
      <c r="G58" s="56"/>
      <c r="H58" s="57"/>
      <c r="I58" s="57"/>
      <c r="J58" s="6"/>
      <c r="K58" s="1"/>
      <c r="L58" s="1"/>
    </row>
    <row r="59" spans="1:13" x14ac:dyDescent="0.25">
      <c r="C59" s="25"/>
      <c r="D59" s="2"/>
      <c r="E59" s="57"/>
      <c r="F59" s="3"/>
      <c r="G59" s="56"/>
      <c r="H59" s="57"/>
      <c r="I59" s="57"/>
      <c r="J59" s="6"/>
      <c r="K59" s="1"/>
      <c r="L59" s="1"/>
    </row>
    <row r="60" spans="1:13" x14ac:dyDescent="0.25">
      <c r="F60" s="56"/>
      <c r="G60" s="56"/>
      <c r="H60" s="3"/>
      <c r="I60" s="3">
        <f>SUM(I26:I53)</f>
        <v>13419.929133665471</v>
      </c>
      <c r="J60" s="13" t="s">
        <v>66</v>
      </c>
    </row>
    <row r="61" spans="1:13" x14ac:dyDescent="0.25">
      <c r="F61" s="56"/>
      <c r="G61" s="56"/>
      <c r="H61" s="3" t="s">
        <v>67</v>
      </c>
      <c r="I61" s="59">
        <v>20</v>
      </c>
      <c r="J61" s="5">
        <v>-0.10780000000000001</v>
      </c>
    </row>
    <row r="62" spans="1:13" x14ac:dyDescent="0.25">
      <c r="F62" s="56"/>
      <c r="G62" s="56"/>
      <c r="H62" s="3" t="s">
        <v>68</v>
      </c>
      <c r="I62" s="59">
        <v>8</v>
      </c>
      <c r="J62" s="5">
        <v>0.32279999999999998</v>
      </c>
    </row>
    <row r="63" spans="1:13" x14ac:dyDescent="0.25">
      <c r="F63" s="56"/>
      <c r="G63" s="56"/>
      <c r="J63" s="6"/>
    </row>
    <row r="64" spans="1:13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  <c r="J77" s="6"/>
    </row>
    <row r="78" spans="6:10" x14ac:dyDescent="0.25">
      <c r="F78" s="56"/>
      <c r="G78" s="56"/>
      <c r="J78" s="6"/>
    </row>
    <row r="79" spans="6:10" x14ac:dyDescent="0.25">
      <c r="F79" s="56"/>
      <c r="G79" s="56"/>
      <c r="J79" s="6"/>
    </row>
    <row r="80" spans="6:10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</row>
    <row r="87" spans="6:10" x14ac:dyDescent="0.25">
      <c r="F87" s="56"/>
      <c r="G87" s="56"/>
    </row>
    <row r="88" spans="6:10" x14ac:dyDescent="0.25">
      <c r="F88" s="56"/>
      <c r="G88" s="56"/>
    </row>
    <row r="89" spans="6:10" x14ac:dyDescent="0.25">
      <c r="F89" s="56"/>
      <c r="G89" s="56"/>
    </row>
    <row r="90" spans="6:10" x14ac:dyDescent="0.25">
      <c r="F90" s="56"/>
      <c r="G90" s="56"/>
    </row>
    <row r="91" spans="6:10" x14ac:dyDescent="0.25">
      <c r="F91" s="56"/>
      <c r="G91" s="56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BEC6-7DEE-4C11-8A77-2D5350D4CE26}">
  <dimension ref="A1:AC91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45884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124</v>
      </c>
      <c r="B7" t="s">
        <v>30</v>
      </c>
      <c r="C7" s="25" t="s">
        <v>125</v>
      </c>
      <c r="D7" s="2">
        <f>915.359+608.2121</f>
        <v>1523.5711000000001</v>
      </c>
      <c r="E7" s="26">
        <v>44.27</v>
      </c>
      <c r="F7" s="3">
        <f>E7*D7</f>
        <v>67448.492597000004</v>
      </c>
      <c r="G7" s="3">
        <f>28630.6+20162.2481</f>
        <v>48792.848100000003</v>
      </c>
      <c r="H7" s="4">
        <f>G7/D7</f>
        <v>32.025317426932027</v>
      </c>
      <c r="I7" s="3">
        <f>F7-G7</f>
        <v>18655.644497000001</v>
      </c>
      <c r="J7" s="26">
        <f>E7-H7</f>
        <v>12.244682573067976</v>
      </c>
      <c r="K7" s="27">
        <v>45817</v>
      </c>
      <c r="L7">
        <f>DAYS360(K7,$C$1)</f>
        <v>66</v>
      </c>
      <c r="M7" s="5">
        <f>(I7/G7)</f>
        <v>0.38234383159527019</v>
      </c>
      <c r="N7">
        <v>13</v>
      </c>
      <c r="O7">
        <v>99</v>
      </c>
      <c r="P7" s="63">
        <v>8</v>
      </c>
      <c r="Q7" s="28">
        <v>32.700000000000003</v>
      </c>
      <c r="R7" s="29">
        <f>Q7*0.93</f>
        <v>30.411000000000005</v>
      </c>
      <c r="S7" s="29">
        <v>26.45</v>
      </c>
      <c r="T7" s="28">
        <f>Q7*1.25</f>
        <v>40.875</v>
      </c>
      <c r="U7" s="28">
        <f>Q7*1.5</f>
        <v>49.050000000000004</v>
      </c>
      <c r="V7" s="28">
        <f>Q7*2</f>
        <v>65.400000000000006</v>
      </c>
      <c r="W7" s="28">
        <f>H7-(H7*0.07)</f>
        <v>29.783545207046785</v>
      </c>
      <c r="X7" s="29">
        <v>38</v>
      </c>
      <c r="Y7" s="5">
        <f>(X7-H7)/H7</f>
        <v>0.18656122883714185</v>
      </c>
      <c r="Z7" s="6">
        <f>F7/F$20</f>
        <v>0.12026977207436031</v>
      </c>
      <c r="AB7" s="58">
        <v>45979</v>
      </c>
      <c r="AC7" s="9">
        <v>83</v>
      </c>
    </row>
    <row r="8" spans="1:29" x14ac:dyDescent="0.25">
      <c r="A8" t="s">
        <v>126</v>
      </c>
      <c r="B8" t="s">
        <v>30</v>
      </c>
      <c r="C8" s="25" t="s">
        <v>127</v>
      </c>
      <c r="D8" s="2">
        <f>344.4515+240</f>
        <v>584.45150000000001</v>
      </c>
      <c r="E8" s="26">
        <v>116.74</v>
      </c>
      <c r="F8" s="3">
        <f>E8*D8</f>
        <v>68228.868109999996</v>
      </c>
      <c r="G8" s="3">
        <f>30563.18+23352</f>
        <v>53915.18</v>
      </c>
      <c r="H8" s="4">
        <f>G8/D8</f>
        <v>92.249194330068448</v>
      </c>
      <c r="I8" s="3">
        <f>F8-G8</f>
        <v>14313.688109999996</v>
      </c>
      <c r="J8" s="26">
        <f>E8-H8</f>
        <v>24.490805669931547</v>
      </c>
      <c r="K8" s="27">
        <v>45840</v>
      </c>
      <c r="L8">
        <f>DAYS360(K8,$C$1)</f>
        <v>43</v>
      </c>
      <c r="M8" s="5">
        <f>(I8/G8)</f>
        <v>0.2654853069209821</v>
      </c>
      <c r="N8">
        <v>9</v>
      </c>
      <c r="O8">
        <v>98</v>
      </c>
      <c r="P8" s="63">
        <v>80</v>
      </c>
      <c r="Q8" s="28">
        <v>80.989999999999995</v>
      </c>
      <c r="R8" s="29">
        <f>Q8*0.93</f>
        <v>75.320700000000002</v>
      </c>
      <c r="S8" s="29">
        <v>81.72</v>
      </c>
      <c r="T8" s="31">
        <f>Q8*1.25</f>
        <v>101.2375</v>
      </c>
      <c r="U8" s="28">
        <f>Q8*1.5</f>
        <v>121.48499999999999</v>
      </c>
      <c r="V8" s="28">
        <f>Q8*2</f>
        <v>161.97999999999999</v>
      </c>
      <c r="W8" s="28">
        <f>H8-(H8*0.07)</f>
        <v>85.791750726963656</v>
      </c>
      <c r="X8" s="29">
        <v>102</v>
      </c>
      <c r="Y8" s="5">
        <f>(X8-H8)/H8</f>
        <v>0.1057007136023658</v>
      </c>
      <c r="Z8" s="6">
        <f>F8/F$20</f>
        <v>0.12166128701364444</v>
      </c>
      <c r="AB8" s="58">
        <v>45903</v>
      </c>
      <c r="AC8" s="9">
        <v>99</v>
      </c>
    </row>
    <row r="9" spans="1:29" x14ac:dyDescent="0.25">
      <c r="A9" t="s">
        <v>128</v>
      </c>
      <c r="B9" t="s">
        <v>30</v>
      </c>
      <c r="C9" s="25" t="s">
        <v>129</v>
      </c>
      <c r="D9" s="2">
        <f>786.7766+525.5828</f>
        <v>1312.3594000000001</v>
      </c>
      <c r="E9" s="26">
        <v>53.06</v>
      </c>
      <c r="F9" s="3">
        <f>E9*D9</f>
        <v>69633.789764000001</v>
      </c>
      <c r="G9" s="3">
        <f>30514.1+21675.87</f>
        <v>52189.97</v>
      </c>
      <c r="H9" s="4">
        <f>G9/D9</f>
        <v>39.768046771334134</v>
      </c>
      <c r="I9" s="3">
        <f>F9-G9</f>
        <v>17443.819764</v>
      </c>
      <c r="J9" s="26">
        <f>E9-H9</f>
        <v>13.291953228665868</v>
      </c>
      <c r="K9" s="27">
        <v>45840</v>
      </c>
      <c r="L9">
        <f>DAYS360(K9,$C$1)</f>
        <v>43</v>
      </c>
      <c r="M9" s="5">
        <f>(I9/G9)</f>
        <v>0.33423701458345345</v>
      </c>
      <c r="N9">
        <v>14</v>
      </c>
      <c r="O9">
        <v>98</v>
      </c>
      <c r="P9" s="64">
        <v>80</v>
      </c>
      <c r="Q9" s="28">
        <v>37.89</v>
      </c>
      <c r="R9" s="29">
        <f>Q9*0.93</f>
        <v>35.237700000000004</v>
      </c>
      <c r="S9" s="29">
        <v>34.869999999999997</v>
      </c>
      <c r="T9" s="31">
        <f>Q9*1.25</f>
        <v>47.362499999999997</v>
      </c>
      <c r="U9" s="28">
        <f>Q9*1.5</f>
        <v>56.835000000000001</v>
      </c>
      <c r="V9" s="28">
        <f>Q9*2</f>
        <v>75.78</v>
      </c>
      <c r="W9" s="28">
        <f>H9-(H9*0.07)</f>
        <v>36.984283497340748</v>
      </c>
      <c r="X9" s="29">
        <v>45</v>
      </c>
      <c r="Y9" s="5">
        <f>(X9-H9)/H9</f>
        <v>0.13156173494638909</v>
      </c>
      <c r="Z9" s="6">
        <f>F9/F$20</f>
        <v>0.12416645207520476</v>
      </c>
      <c r="AB9" s="58">
        <v>45959</v>
      </c>
      <c r="AC9" s="9">
        <v>98</v>
      </c>
    </row>
    <row r="10" spans="1:29" x14ac:dyDescent="0.25">
      <c r="A10" t="s">
        <v>69</v>
      </c>
      <c r="B10" t="s">
        <v>30</v>
      </c>
      <c r="C10" s="25" t="s">
        <v>70</v>
      </c>
      <c r="D10" s="2">
        <v>682.05550000000005</v>
      </c>
      <c r="E10" s="26">
        <v>71.06</v>
      </c>
      <c r="F10" s="3">
        <f>E10*D10</f>
        <v>48466.863830000002</v>
      </c>
      <c r="G10" s="3">
        <v>43555.21</v>
      </c>
      <c r="H10" s="4">
        <f>G10/D10</f>
        <v>63.85874756526411</v>
      </c>
      <c r="I10" s="3">
        <f>F10-G10</f>
        <v>4911.6538300000029</v>
      </c>
      <c r="J10" s="26">
        <f>E10-H10</f>
        <v>7.2012524347358919</v>
      </c>
      <c r="K10" s="27">
        <v>45854</v>
      </c>
      <c r="L10">
        <f>DAYS360(K10,$C$1)</f>
        <v>29</v>
      </c>
      <c r="M10" s="5">
        <f>(I10/G10)</f>
        <v>0.11276845709158567</v>
      </c>
      <c r="N10">
        <v>3</v>
      </c>
      <c r="O10">
        <v>99</v>
      </c>
      <c r="P10" s="63">
        <v>47</v>
      </c>
      <c r="Q10" s="28">
        <v>58.69</v>
      </c>
      <c r="R10" s="29">
        <f>Q10*0.93</f>
        <v>54.581699999999998</v>
      </c>
      <c r="S10" s="29">
        <v>50.08</v>
      </c>
      <c r="T10" s="31">
        <f>Q10*1.25</f>
        <v>73.362499999999997</v>
      </c>
      <c r="U10" s="28">
        <f>Q10*1.5</f>
        <v>88.034999999999997</v>
      </c>
      <c r="V10" s="28">
        <f>Q10*2</f>
        <v>117.38</v>
      </c>
      <c r="W10" s="28">
        <f>H10-(H10*0.07)</f>
        <v>59.388635235695624</v>
      </c>
      <c r="X10" s="29">
        <v>66</v>
      </c>
      <c r="Y10" s="5">
        <f>(X10-H10)/H10</f>
        <v>3.353107469806723E-2</v>
      </c>
      <c r="Z10" s="32">
        <f>F10/F$20</f>
        <v>8.6422964273221228E-2</v>
      </c>
      <c r="AB10" s="58">
        <v>45974</v>
      </c>
      <c r="AC10" s="9">
        <v>92</v>
      </c>
    </row>
    <row r="11" spans="1:29" x14ac:dyDescent="0.25">
      <c r="D11" s="2"/>
      <c r="E11" s="26"/>
      <c r="F11" s="3">
        <f>E11*D11</f>
        <v>0</v>
      </c>
      <c r="G11" s="3"/>
      <c r="H11" s="4" t="e">
        <f>G11/D11</f>
        <v>#DIV/0!</v>
      </c>
      <c r="I11" s="3">
        <f>F11-G11</f>
        <v>0</v>
      </c>
      <c r="J11" s="26" t="e">
        <f>E11-H11</f>
        <v>#DIV/0!</v>
      </c>
      <c r="K11" s="27"/>
      <c r="L11">
        <f>DAYS360(K11,$C$1)</f>
        <v>45225</v>
      </c>
      <c r="M11" s="5" t="e">
        <f>(I11/G11)</f>
        <v>#DIV/0!</v>
      </c>
      <c r="P11" s="33"/>
      <c r="Q11" s="28"/>
      <c r="R11" s="29">
        <f>Q11*0.93</f>
        <v>0</v>
      </c>
      <c r="S11" s="29"/>
      <c r="T11" s="28">
        <f>Q11*1.25</f>
        <v>0</v>
      </c>
      <c r="U11" s="28">
        <f>Q11*1.5</f>
        <v>0</v>
      </c>
      <c r="V11" s="28">
        <f>Q11*2</f>
        <v>0</v>
      </c>
      <c r="W11" s="28" t="e">
        <f>H11-(H11*0.07)</f>
        <v>#DIV/0!</v>
      </c>
      <c r="X11" s="29"/>
      <c r="Y11" s="5" t="e">
        <f>(X11-H11)/H11</f>
        <v>#DIV/0!</v>
      </c>
      <c r="Z11" s="32">
        <f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ref="F12" si="0">E12*D12</f>
        <v>0</v>
      </c>
      <c r="G12" s="3"/>
      <c r="H12" s="4" t="e">
        <f t="shared" ref="H12" si="1">G12/D12</f>
        <v>#DIV/0!</v>
      </c>
      <c r="I12" s="3">
        <f t="shared" ref="I12" si="2">F12-G12</f>
        <v>0</v>
      </c>
      <c r="J12" s="26" t="e">
        <f t="shared" ref="J12" si="3">E12-H12</f>
        <v>#DIV/0!</v>
      </c>
      <c r="K12" s="27"/>
      <c r="L12">
        <f t="shared" ref="L12" si="4">DAYS360(K12,$C$1)</f>
        <v>45225</v>
      </c>
      <c r="M12" s="5" t="e">
        <f t="shared" ref="M12" si="5">(I12/G12)</f>
        <v>#DIV/0!</v>
      </c>
      <c r="P12" s="63"/>
      <c r="Q12" s="28"/>
      <c r="R12" s="29">
        <f t="shared" ref="R12" si="6">Q12*0.93</f>
        <v>0</v>
      </c>
      <c r="S12" s="29"/>
      <c r="T12" s="31">
        <f t="shared" ref="T12" si="7">Q12*1.25</f>
        <v>0</v>
      </c>
      <c r="U12" s="28">
        <f t="shared" ref="U12" si="8">Q12*1.5</f>
        <v>0</v>
      </c>
      <c r="V12" s="28">
        <f t="shared" ref="V12" si="9">Q12*2</f>
        <v>0</v>
      </c>
      <c r="W12" s="28" t="e">
        <f t="shared" ref="W12" si="10">H12-(H12*0.07)</f>
        <v>#DIV/0!</v>
      </c>
      <c r="X12" s="29"/>
      <c r="Y12" s="5" t="e">
        <f t="shared" ref="Y12" si="11">(X12-H12)/H12</f>
        <v>#DIV/0!</v>
      </c>
      <c r="Z12" s="6">
        <f t="shared" ref="Z12" si="12">F12/F$20</f>
        <v>0</v>
      </c>
      <c r="AB12" s="58"/>
      <c r="AC12" s="9"/>
    </row>
    <row r="13" spans="1:29" x14ac:dyDescent="0.25">
      <c r="C13" s="25"/>
      <c r="D13" s="2"/>
      <c r="E13" s="26"/>
      <c r="F13" s="3">
        <f t="shared" ref="F13" si="13">E13*D13</f>
        <v>0</v>
      </c>
      <c r="G13" s="3"/>
      <c r="H13" s="4" t="e">
        <f t="shared" ref="H13" si="14">G13/D13</f>
        <v>#DIV/0!</v>
      </c>
      <c r="I13" s="3">
        <f t="shared" ref="I13" si="15">F13-G13</f>
        <v>0</v>
      </c>
      <c r="J13" s="26" t="e">
        <f t="shared" ref="J13" si="16">E13-H13</f>
        <v>#DIV/0!</v>
      </c>
      <c r="K13" s="27"/>
      <c r="L13">
        <f t="shared" ref="L13" si="17">DAYS360(K13,$C$1)</f>
        <v>45225</v>
      </c>
      <c r="M13" s="5" t="e">
        <f t="shared" ref="M13" si="18">(I13/G13)</f>
        <v>#DIV/0!</v>
      </c>
      <c r="P13" s="63"/>
      <c r="Q13" s="28"/>
      <c r="R13" s="29">
        <f t="shared" ref="R13" si="19">Q13*0.93</f>
        <v>0</v>
      </c>
      <c r="S13" s="29"/>
      <c r="T13" s="28">
        <f t="shared" ref="T13" si="20">Q13*1.25</f>
        <v>0</v>
      </c>
      <c r="U13" s="28">
        <f t="shared" ref="U13" si="21">Q13*1.5</f>
        <v>0</v>
      </c>
      <c r="V13" s="28">
        <f t="shared" ref="V13" si="22">Q13*2</f>
        <v>0</v>
      </c>
      <c r="W13" s="28" t="e">
        <f t="shared" ref="W13" si="23">H13-(H13*0.07)</f>
        <v>#DIV/0!</v>
      </c>
      <c r="X13" s="29"/>
      <c r="Y13" s="5" t="e">
        <f t="shared" ref="Y13" si="24">(X13-H13)/H13</f>
        <v>#DIV/0!</v>
      </c>
      <c r="Z13" s="6">
        <f t="shared" ref="Z13" si="25">F13/F$20</f>
        <v>0</v>
      </c>
      <c r="AB13" s="58"/>
      <c r="AC13" s="9"/>
    </row>
    <row r="14" spans="1:29" x14ac:dyDescent="0.25">
      <c r="C14" s="25"/>
      <c r="D14" s="2"/>
      <c r="E14" s="26"/>
      <c r="F14" s="3">
        <f t="shared" ref="F14:F17" si="26">E14*D14</f>
        <v>0</v>
      </c>
      <c r="G14" s="3"/>
      <c r="H14" s="4" t="e">
        <f t="shared" ref="H14:H17" si="27">G14/D14</f>
        <v>#DIV/0!</v>
      </c>
      <c r="I14" s="3">
        <f t="shared" ref="I14:I17" si="28">F14-G14</f>
        <v>0</v>
      </c>
      <c r="J14" s="26" t="e">
        <f t="shared" ref="J14:J17" si="29">E14-H14</f>
        <v>#DIV/0!</v>
      </c>
      <c r="K14" s="27"/>
      <c r="L14">
        <f t="shared" ref="L14:L17" si="30">DAYS360(K14,$C$1)</f>
        <v>45225</v>
      </c>
      <c r="M14" s="5" t="e">
        <f t="shared" ref="M14:M17" si="31">(I14/G14)</f>
        <v>#DIV/0!</v>
      </c>
      <c r="P14" s="63"/>
      <c r="Q14" s="28"/>
      <c r="R14" s="29">
        <f t="shared" ref="R14:R17" si="32">Q14*0.93</f>
        <v>0</v>
      </c>
      <c r="S14" s="29"/>
      <c r="T14" s="28">
        <f t="shared" ref="T14:T17" si="33">Q14*1.25</f>
        <v>0</v>
      </c>
      <c r="U14" s="28">
        <f t="shared" ref="U14:U17" si="34">Q14*1.5</f>
        <v>0</v>
      </c>
      <c r="V14" s="28">
        <f t="shared" ref="V14:V17" si="35">Q14*2</f>
        <v>0</v>
      </c>
      <c r="W14" s="28" t="e">
        <f t="shared" ref="W14:W17" si="36">H14-(H14*0.07)</f>
        <v>#DIV/0!</v>
      </c>
      <c r="X14" s="29"/>
      <c r="Y14" s="5" t="e">
        <f t="shared" ref="Y14:Y17" si="37">(X14-H14)/H14</f>
        <v>#DIV/0!</v>
      </c>
      <c r="Z14" s="6">
        <f t="shared" ref="Z14:Z17" si="38">F14/F$20</f>
        <v>0</v>
      </c>
      <c r="AB14" s="60"/>
      <c r="AC14" s="9"/>
    </row>
    <row r="15" spans="1:29" x14ac:dyDescent="0.25">
      <c r="C15" s="25"/>
      <c r="D15" s="2"/>
      <c r="E15" s="26"/>
      <c r="F15" s="3">
        <f t="shared" si="26"/>
        <v>0</v>
      </c>
      <c r="G15" s="3"/>
      <c r="H15" s="4" t="e">
        <f t="shared" si="27"/>
        <v>#DIV/0!</v>
      </c>
      <c r="I15" s="3">
        <f t="shared" si="28"/>
        <v>0</v>
      </c>
      <c r="J15" s="26" t="e">
        <f t="shared" si="29"/>
        <v>#DIV/0!</v>
      </c>
      <c r="K15" s="27"/>
      <c r="L15">
        <f t="shared" si="30"/>
        <v>45225</v>
      </c>
      <c r="M15" s="5" t="e">
        <f t="shared" si="31"/>
        <v>#DIV/0!</v>
      </c>
      <c r="P15" s="63"/>
      <c r="Q15" s="28"/>
      <c r="R15" s="29">
        <f t="shared" si="32"/>
        <v>0</v>
      </c>
      <c r="S15" s="29"/>
      <c r="T15" s="28">
        <f t="shared" si="33"/>
        <v>0</v>
      </c>
      <c r="U15" s="28">
        <f t="shared" si="34"/>
        <v>0</v>
      </c>
      <c r="V15" s="28">
        <f t="shared" si="35"/>
        <v>0</v>
      </c>
      <c r="W15" s="28" t="e">
        <f t="shared" si="36"/>
        <v>#DIV/0!</v>
      </c>
      <c r="X15" s="29"/>
      <c r="Y15" s="5" t="e">
        <f t="shared" si="37"/>
        <v>#DIV/0!</v>
      </c>
      <c r="Z15" s="32">
        <f t="shared" si="38"/>
        <v>0</v>
      </c>
      <c r="AB15" s="58"/>
      <c r="AC15" s="9"/>
    </row>
    <row r="16" spans="1:29" x14ac:dyDescent="0.25">
      <c r="C16" s="25"/>
      <c r="D16" s="2"/>
      <c r="E16" s="26"/>
      <c r="F16" s="3">
        <f t="shared" si="26"/>
        <v>0</v>
      </c>
      <c r="G16" s="3"/>
      <c r="H16" s="4" t="e">
        <f t="shared" si="27"/>
        <v>#DIV/0!</v>
      </c>
      <c r="I16" s="3">
        <f t="shared" si="28"/>
        <v>0</v>
      </c>
      <c r="J16" s="26" t="e">
        <f t="shared" si="29"/>
        <v>#DIV/0!</v>
      </c>
      <c r="K16" s="27"/>
      <c r="L16">
        <f t="shared" si="30"/>
        <v>45225</v>
      </c>
      <c r="M16" s="5" t="e">
        <f t="shared" si="31"/>
        <v>#DIV/0!</v>
      </c>
      <c r="P16" s="63"/>
      <c r="Q16" s="28"/>
      <c r="R16" s="29">
        <f t="shared" si="32"/>
        <v>0</v>
      </c>
      <c r="S16" s="29"/>
      <c r="T16" s="28">
        <f t="shared" si="33"/>
        <v>0</v>
      </c>
      <c r="U16" s="28">
        <f t="shared" si="34"/>
        <v>0</v>
      </c>
      <c r="V16" s="28">
        <f t="shared" si="35"/>
        <v>0</v>
      </c>
      <c r="W16" s="28" t="e">
        <f t="shared" si="36"/>
        <v>#DIV/0!</v>
      </c>
      <c r="X16" s="29"/>
      <c r="Y16" s="5" t="e">
        <f t="shared" si="37"/>
        <v>#DIV/0!</v>
      </c>
      <c r="Z16" s="32">
        <f t="shared" si="38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26"/>
        <v>0</v>
      </c>
      <c r="G17" s="39"/>
      <c r="H17" s="40" t="e">
        <f t="shared" si="27"/>
        <v>#DIV/0!</v>
      </c>
      <c r="I17" s="39">
        <f t="shared" si="28"/>
        <v>0</v>
      </c>
      <c r="J17" s="38" t="e">
        <f t="shared" si="29"/>
        <v>#DIV/0!</v>
      </c>
      <c r="K17" s="41"/>
      <c r="L17" s="35">
        <f t="shared" si="30"/>
        <v>45225</v>
      </c>
      <c r="M17" s="42" t="e">
        <f t="shared" si="31"/>
        <v>#DIV/0!</v>
      </c>
      <c r="N17" s="35"/>
      <c r="O17" s="35"/>
      <c r="P17" s="65"/>
      <c r="Q17" s="44"/>
      <c r="R17" s="45">
        <f t="shared" si="32"/>
        <v>0</v>
      </c>
      <c r="S17" s="45"/>
      <c r="T17" s="46">
        <f t="shared" si="33"/>
        <v>0</v>
      </c>
      <c r="U17" s="44">
        <f t="shared" si="34"/>
        <v>0</v>
      </c>
      <c r="V17" s="44">
        <f t="shared" si="35"/>
        <v>0</v>
      </c>
      <c r="W17" s="44" t="e">
        <f t="shared" si="36"/>
        <v>#DIV/0!</v>
      </c>
      <c r="X17" s="45"/>
      <c r="Y17" s="42" t="e">
        <f t="shared" si="37"/>
        <v>#DIV/0!</v>
      </c>
      <c r="Z17" s="47">
        <f t="shared" si="38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253778.01430099999</v>
      </c>
      <c r="G18" s="3">
        <f>SUM(G6:G17)</f>
        <v>198453.20809999999</v>
      </c>
      <c r="H18" s="4"/>
      <c r="I18" s="3">
        <f>SUM(I6:I17)</f>
        <v>55324.806200999999</v>
      </c>
      <c r="M18" s="5"/>
      <c r="Z18" s="6"/>
    </row>
    <row r="19" spans="1:29" x14ac:dyDescent="0.25">
      <c r="D19" s="2" t="s">
        <v>44</v>
      </c>
      <c r="F19" s="3">
        <v>307032</v>
      </c>
      <c r="G19" s="6">
        <f>F19/F20</f>
        <v>0.54747952456356941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560810.01430099993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'08-08-25'!F20</f>
        <v>573897.359115</v>
      </c>
      <c r="K21" s="1">
        <v>45657</v>
      </c>
      <c r="L21" s="50">
        <v>170762</v>
      </c>
      <c r="M21" s="50">
        <v>194052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-2.2804330088191906E-2</v>
      </c>
      <c r="K22" s="9" t="s">
        <v>123</v>
      </c>
      <c r="L22" s="6">
        <f>(M21-L21)/L21</f>
        <v>0.13638865789812721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39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39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40">F28/D28</f>
        <v>44.698790833464948</v>
      </c>
      <c r="F28" s="3">
        <v>56489.42</v>
      </c>
      <c r="G28" s="56">
        <v>75501.87</v>
      </c>
      <c r="H28" s="57">
        <f t="shared" ref="H28:H53" si="41">G28/D28</f>
        <v>59.742909285764696</v>
      </c>
      <c r="I28" s="57">
        <f t="shared" ref="I28:I53" si="42">G28-F28</f>
        <v>19012.449999999997</v>
      </c>
      <c r="J28" s="6">
        <f t="shared" ref="J28:J53" si="43">I28/F28</f>
        <v>0.33656656414599401</v>
      </c>
      <c r="K28" s="1">
        <v>45527</v>
      </c>
      <c r="L28" s="1">
        <v>45688</v>
      </c>
      <c r="M28">
        <f t="shared" si="39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40"/>
        <v>169.90901206845703</v>
      </c>
      <c r="F29" s="3">
        <f>59492.79+21969.78</f>
        <v>81462.570000000007</v>
      </c>
      <c r="G29" s="56">
        <v>65047.58</v>
      </c>
      <c r="H29" s="57">
        <f t="shared" si="41"/>
        <v>135.67175765807443</v>
      </c>
      <c r="I29" s="57">
        <f t="shared" si="42"/>
        <v>-16414.990000000005</v>
      </c>
      <c r="J29" s="6">
        <f t="shared" si="43"/>
        <v>-0.20150346349249729</v>
      </c>
      <c r="K29" s="1">
        <v>45671</v>
      </c>
      <c r="L29" s="1">
        <v>45688</v>
      </c>
      <c r="M29">
        <f t="shared" si="39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40"/>
        <v>18.702010092477405</v>
      </c>
      <c r="F30" s="3">
        <v>56486.59</v>
      </c>
      <c r="G30" s="56">
        <v>71124.88</v>
      </c>
      <c r="H30" s="57">
        <f t="shared" si="41"/>
        <v>23.548566546258936</v>
      </c>
      <c r="I30" s="57">
        <f t="shared" si="42"/>
        <v>14638.290000000008</v>
      </c>
      <c r="J30" s="6">
        <f t="shared" si="43"/>
        <v>0.25914628587068206</v>
      </c>
      <c r="K30" s="1">
        <v>45527</v>
      </c>
      <c r="L30" s="1">
        <v>45691</v>
      </c>
      <c r="M30">
        <f t="shared" si="39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40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41"/>
        <v>38.249853000000002</v>
      </c>
      <c r="I31" s="57">
        <f t="shared" si="42"/>
        <v>-6110.386336591735</v>
      </c>
      <c r="J31" s="6">
        <f t="shared" si="43"/>
        <v>-0.10005621882176895</v>
      </c>
      <c r="K31" s="1">
        <v>45706</v>
      </c>
      <c r="L31" s="1">
        <v>45708</v>
      </c>
      <c r="M31">
        <f t="shared" si="39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40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41"/>
        <v>531.63995279999995</v>
      </c>
      <c r="I32" s="57">
        <f t="shared" si="42"/>
        <v>-22176.243614196137</v>
      </c>
      <c r="J32" s="6">
        <f t="shared" si="43"/>
        <v>-0.24194911929355969</v>
      </c>
      <c r="K32" s="1">
        <v>45706</v>
      </c>
      <c r="L32" s="1">
        <v>45708</v>
      </c>
      <c r="M32">
        <f t="shared" si="39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40"/>
        <v>368.56522253629635</v>
      </c>
      <c r="F33" s="3">
        <v>74438.86</v>
      </c>
      <c r="G33" s="56">
        <f>201.9693*360.5332483</f>
        <v>72816.647785877198</v>
      </c>
      <c r="H33" s="57">
        <f t="shared" si="41"/>
        <v>360.53324830000003</v>
      </c>
      <c r="I33" s="57">
        <f t="shared" si="42"/>
        <v>-1622.2122141228028</v>
      </c>
      <c r="J33" s="6">
        <f t="shared" si="43"/>
        <v>-2.1792545105107773E-2</v>
      </c>
      <c r="K33" s="1">
        <v>45664</v>
      </c>
      <c r="L33" s="1">
        <v>45708</v>
      </c>
      <c r="M33">
        <f t="shared" si="39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40"/>
        <v>30.17825528482809</v>
      </c>
      <c r="F34" s="3">
        <v>37884.65</v>
      </c>
      <c r="G34" s="56">
        <f>1255.3625*39.762296</f>
        <v>49916.0953123</v>
      </c>
      <c r="H34" s="57">
        <f t="shared" si="41"/>
        <v>39.762295999999999</v>
      </c>
      <c r="I34" s="57">
        <f t="shared" si="42"/>
        <v>12031.445312299998</v>
      </c>
      <c r="J34" s="6">
        <f t="shared" si="43"/>
        <v>0.31758100740801348</v>
      </c>
      <c r="K34" s="1">
        <v>45663</v>
      </c>
      <c r="L34" s="1">
        <v>45709</v>
      </c>
      <c r="M34">
        <f t="shared" si="39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40"/>
        <v>242.26930551548847</v>
      </c>
      <c r="F35" s="3">
        <v>61221.72</v>
      </c>
      <c r="G35" s="56">
        <f>252.7011*226.6146532</f>
        <v>57265.772139758519</v>
      </c>
      <c r="H35" s="57">
        <f t="shared" si="41"/>
        <v>226.61465319999999</v>
      </c>
      <c r="I35" s="57">
        <f t="shared" si="42"/>
        <v>-3955.947860241482</v>
      </c>
      <c r="J35" s="6">
        <f t="shared" si="43"/>
        <v>-6.4616738311852093E-2</v>
      </c>
      <c r="K35" s="1">
        <v>45699</v>
      </c>
      <c r="L35" s="1">
        <v>45709</v>
      </c>
      <c r="M35">
        <f t="shared" si="39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40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41"/>
        <v>283.93999450000007</v>
      </c>
      <c r="I36" s="57">
        <f t="shared" si="42"/>
        <v>19563.525282954361</v>
      </c>
      <c r="J36" s="6">
        <f t="shared" si="43"/>
        <v>0.36434300703793465</v>
      </c>
      <c r="K36" s="1">
        <v>45580</v>
      </c>
      <c r="L36" s="1">
        <v>45712</v>
      </c>
      <c r="M36">
        <f t="shared" si="39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40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41"/>
        <v>63.365330900000004</v>
      </c>
      <c r="I37" s="57">
        <f t="shared" si="42"/>
        <v>-4549.5912833559851</v>
      </c>
      <c r="J37" s="6">
        <f t="shared" si="43"/>
        <v>-5.9638082078758516E-2</v>
      </c>
      <c r="K37" s="1">
        <v>45673</v>
      </c>
      <c r="L37" s="1">
        <v>45712</v>
      </c>
      <c r="M37">
        <f t="shared" si="39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41"/>
        <v>50.021380499999999</v>
      </c>
      <c r="I38" s="57">
        <f t="shared" si="42"/>
        <v>6027.2875116823998</v>
      </c>
      <c r="J38" s="6">
        <f t="shared" si="43"/>
        <v>9.9771440635884723E-2</v>
      </c>
      <c r="K38" s="1">
        <v>45593</v>
      </c>
      <c r="L38" s="1">
        <v>45713</v>
      </c>
      <c r="M38">
        <f t="shared" si="39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41"/>
        <v>12.519992000000002</v>
      </c>
      <c r="I39" s="57">
        <f t="shared" si="42"/>
        <v>-2230.6527810991975</v>
      </c>
      <c r="J39" s="6">
        <f t="shared" si="43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41"/>
        <v>94.679995300000002</v>
      </c>
      <c r="I40" s="57">
        <f t="shared" si="42"/>
        <v>-4750.690604140058</v>
      </c>
      <c r="J40" s="6">
        <f t="shared" si="43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56" si="44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41"/>
        <v>18.9477051</v>
      </c>
      <c r="I41" s="57">
        <f t="shared" si="42"/>
        <v>-2244.5195874142191</v>
      </c>
      <c r="J41" s="6">
        <f t="shared" si="43"/>
        <v>-8.2776138273503941E-2</v>
      </c>
      <c r="K41" s="1">
        <v>45761</v>
      </c>
      <c r="L41" s="1">
        <v>45768</v>
      </c>
      <c r="M41">
        <f t="shared" ref="M41:M56" si="45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44"/>
        <v>96.336406065231671</v>
      </c>
      <c r="F42" s="3">
        <v>34004.42</v>
      </c>
      <c r="G42" s="56">
        <f>352.9758*89.7849585</f>
        <v>31691.9175545043</v>
      </c>
      <c r="H42" s="57">
        <f t="shared" si="41"/>
        <v>89.784958500000002</v>
      </c>
      <c r="I42" s="57">
        <f t="shared" si="42"/>
        <v>-2312.5024454956983</v>
      </c>
      <c r="J42" s="6">
        <f t="shared" si="43"/>
        <v>-6.8005937036882222E-2</v>
      </c>
      <c r="K42" s="1">
        <v>45762</v>
      </c>
      <c r="L42" s="1">
        <v>45768</v>
      </c>
      <c r="M42">
        <f t="shared" si="45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44"/>
        <v>16.992624876012847</v>
      </c>
      <c r="F43" s="3">
        <v>37971.83</v>
      </c>
      <c r="G43" s="56">
        <f>2234.6065*13.3067232</f>
        <v>29735.2901564208</v>
      </c>
      <c r="H43" s="57">
        <f t="shared" si="41"/>
        <v>13.3067232</v>
      </c>
      <c r="I43" s="57">
        <f t="shared" si="42"/>
        <v>-8236.5398435792013</v>
      </c>
      <c r="J43" s="6">
        <f t="shared" si="43"/>
        <v>-0.21691184869360261</v>
      </c>
      <c r="K43" s="1">
        <v>45652</v>
      </c>
      <c r="L43" s="1">
        <v>45785</v>
      </c>
      <c r="M43">
        <f t="shared" si="45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44"/>
        <v>38.101812248436303</v>
      </c>
      <c r="F44" s="3">
        <v>21940.86</v>
      </c>
      <c r="G44" s="56">
        <f>575.8482*32.7857042</f>
        <v>18879.588749302438</v>
      </c>
      <c r="H44" s="57">
        <f t="shared" si="41"/>
        <v>32.785704199999998</v>
      </c>
      <c r="I44" s="57">
        <f t="shared" si="42"/>
        <v>-3061.2712506975622</v>
      </c>
      <c r="J44" s="6">
        <f t="shared" si="43"/>
        <v>-0.13952375844417958</v>
      </c>
      <c r="K44" s="1">
        <v>45761</v>
      </c>
      <c r="L44" s="1">
        <v>45790</v>
      </c>
      <c r="M44">
        <f t="shared" si="45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44"/>
        <v>24.570291674143743</v>
      </c>
      <c r="F45" s="3">
        <v>23591.34</v>
      </c>
      <c r="G45" s="56">
        <v>19396.37</v>
      </c>
      <c r="H45" s="57">
        <f t="shared" si="41"/>
        <v>20.201246233559068</v>
      </c>
      <c r="I45" s="57">
        <f t="shared" si="42"/>
        <v>-4194.9700000000012</v>
      </c>
      <c r="J45" s="6">
        <f t="shared" si="43"/>
        <v>-0.17781821634548953</v>
      </c>
      <c r="K45" s="1">
        <v>45776</v>
      </c>
      <c r="L45" s="1">
        <v>45812</v>
      </c>
      <c r="M45">
        <f t="shared" si="45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44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41"/>
        <v>84.038907800000004</v>
      </c>
      <c r="I46" s="57">
        <f t="shared" si="42"/>
        <v>-3907.8121523372101</v>
      </c>
      <c r="J46" s="6">
        <f t="shared" si="43"/>
        <v>-0.14246372001691271</v>
      </c>
      <c r="K46" s="1">
        <v>45782</v>
      </c>
      <c r="L46" s="1">
        <v>45818</v>
      </c>
      <c r="M46">
        <f t="shared" si="45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44"/>
        <v>40.437100849618155</v>
      </c>
      <c r="F47" s="3">
        <f>22877.09+14244.67</f>
        <v>37121.760000000002</v>
      </c>
      <c r="G47" s="56">
        <v>34659.56</v>
      </c>
      <c r="H47" s="57">
        <f t="shared" si="41"/>
        <v>37.755002002151599</v>
      </c>
      <c r="I47" s="57">
        <f t="shared" si="42"/>
        <v>-2462.2000000000044</v>
      </c>
      <c r="J47" s="6">
        <f t="shared" si="43"/>
        <v>-6.6327674118899643E-2</v>
      </c>
      <c r="K47" s="1">
        <v>45782</v>
      </c>
      <c r="L47" s="1">
        <v>45828</v>
      </c>
      <c r="M47">
        <f t="shared" si="45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44"/>
        <v>123.70183817297092</v>
      </c>
      <c r="F48" s="3">
        <f>22876.67+14197.82+14808.77</f>
        <v>51883.259999999995</v>
      </c>
      <c r="G48" s="56">
        <v>55156.07</v>
      </c>
      <c r="H48" s="57">
        <f t="shared" si="41"/>
        <v>131.50498340692272</v>
      </c>
      <c r="I48" s="57">
        <f t="shared" si="42"/>
        <v>3272.8100000000049</v>
      </c>
      <c r="J48" s="6">
        <f t="shared" si="43"/>
        <v>6.3080269050171583E-2</v>
      </c>
      <c r="K48" s="1">
        <v>45782</v>
      </c>
      <c r="L48" s="1">
        <v>45839</v>
      </c>
      <c r="M48">
        <f t="shared" si="45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44"/>
        <v>63.194998844628557</v>
      </c>
      <c r="F49" s="3">
        <v>36072.47</v>
      </c>
      <c r="G49" s="56">
        <v>51786.91</v>
      </c>
      <c r="H49" s="57">
        <f t="shared" si="41"/>
        <v>90.724968864535285</v>
      </c>
      <c r="I49" s="57">
        <f t="shared" si="42"/>
        <v>15714.440000000002</v>
      </c>
      <c r="J49" s="6">
        <f t="shared" si="43"/>
        <v>0.43563526423336141</v>
      </c>
      <c r="K49" s="1">
        <v>45796</v>
      </c>
      <c r="L49" s="1">
        <v>45839</v>
      </c>
      <c r="M49">
        <f t="shared" si="45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44"/>
        <v>90.254808370121239</v>
      </c>
      <c r="F50" s="3">
        <f>35895.15+19479.74</f>
        <v>55374.89</v>
      </c>
      <c r="G50" s="56">
        <v>55236.959999999999</v>
      </c>
      <c r="H50" s="57">
        <f t="shared" si="41"/>
        <v>90.029998068584007</v>
      </c>
      <c r="I50" s="57">
        <f t="shared" si="42"/>
        <v>-137.93000000000029</v>
      </c>
      <c r="J50" s="6">
        <f t="shared" si="43"/>
        <v>-2.4908401623912986E-3</v>
      </c>
      <c r="K50" s="1">
        <v>45789</v>
      </c>
      <c r="L50" s="1">
        <v>45855</v>
      </c>
      <c r="M50">
        <f t="shared" si="45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44"/>
        <v>113.05354718581073</v>
      </c>
      <c r="F51" s="3">
        <v>45409.8</v>
      </c>
      <c r="G51" s="56">
        <v>41051.0026</v>
      </c>
      <c r="H51" s="57">
        <f t="shared" si="41"/>
        <v>102.2017595202784</v>
      </c>
      <c r="I51" s="57">
        <f t="shared" si="42"/>
        <v>-4358.7974000000031</v>
      </c>
      <c r="J51" s="6">
        <f t="shared" si="43"/>
        <v>-9.5988033420098803E-2</v>
      </c>
      <c r="K51" s="1">
        <v>45855</v>
      </c>
      <c r="L51" s="1">
        <v>45860</v>
      </c>
      <c r="M51">
        <f t="shared" si="45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44"/>
        <v>17.339829156069133</v>
      </c>
      <c r="F52" s="3">
        <v>22797.23</v>
      </c>
      <c r="G52" s="56">
        <v>18655.11</v>
      </c>
      <c r="H52" s="57">
        <f t="shared" si="41"/>
        <v>14.189286167121043</v>
      </c>
      <c r="I52" s="57">
        <f t="shared" si="42"/>
        <v>-4142.119999999999</v>
      </c>
      <c r="J52" s="6">
        <f t="shared" si="43"/>
        <v>-0.18169400405224664</v>
      </c>
      <c r="K52" s="1">
        <v>45861</v>
      </c>
      <c r="L52" s="1">
        <v>45870</v>
      </c>
      <c r="M52">
        <f t="shared" si="45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44"/>
        <v>74.757798491837917</v>
      </c>
      <c r="F53" s="3">
        <f>26856.13+12527.28</f>
        <v>39383.410000000003</v>
      </c>
      <c r="G53" s="56">
        <v>67176.488400000002</v>
      </c>
      <c r="H53" s="57">
        <f t="shared" si="41"/>
        <v>127.51476784759082</v>
      </c>
      <c r="I53" s="57">
        <f t="shared" si="42"/>
        <v>27793.078399999999</v>
      </c>
      <c r="J53" s="6">
        <f t="shared" si="43"/>
        <v>0.7057052296893539</v>
      </c>
      <c r="K53" s="1">
        <v>45789</v>
      </c>
      <c r="L53" s="1">
        <v>45870</v>
      </c>
      <c r="M53">
        <f t="shared" si="45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44"/>
        <v>22.651928580010882</v>
      </c>
      <c r="F54" s="3">
        <f>18821.97+11334.33+20180.34</f>
        <v>50336.639999999999</v>
      </c>
      <c r="G54" s="56">
        <v>42713.83</v>
      </c>
      <c r="H54" s="57">
        <f t="shared" ref="H54" si="46">G54/D54</f>
        <v>19.221597360068653</v>
      </c>
      <c r="I54" s="57">
        <f t="shared" ref="I54" si="47">G54-F54</f>
        <v>-7622.8099999999977</v>
      </c>
      <c r="J54" s="6">
        <f t="shared" ref="J54" si="48">I54/F54</f>
        <v>-0.15143660760829483</v>
      </c>
      <c r="K54" s="1">
        <v>45814</v>
      </c>
      <c r="L54" s="1">
        <v>45880</v>
      </c>
      <c r="M54">
        <f t="shared" si="45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44"/>
        <v>30.926801697408081</v>
      </c>
      <c r="F55" s="3">
        <f>(605.0016*29.7738017)+17708.65</f>
        <v>35721.847666582718</v>
      </c>
      <c r="G55" s="56">
        <v>42554.27</v>
      </c>
      <c r="H55" s="57">
        <f t="shared" ref="H55" si="49">G55/D55</f>
        <v>36.842088403482109</v>
      </c>
      <c r="I55" s="57">
        <f t="shared" ref="I55" si="50">G55-F55</f>
        <v>6832.4223334172784</v>
      </c>
      <c r="J55" s="6">
        <f t="shared" ref="J55" si="51">I55/F55</f>
        <v>0.1912673274123195</v>
      </c>
      <c r="K55" s="1">
        <v>45800</v>
      </c>
      <c r="L55" s="1">
        <v>45881</v>
      </c>
      <c r="M55">
        <f t="shared" si="45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44"/>
        <v>377.42204050678822</v>
      </c>
      <c r="F56" s="3">
        <f>34962.9+15401.92</f>
        <v>50364.82</v>
      </c>
      <c r="G56" s="56">
        <v>81517.961800000005</v>
      </c>
      <c r="H56" s="57">
        <f t="shared" ref="H56" si="52">G56/D56</f>
        <v>610.87631168959638</v>
      </c>
      <c r="I56" s="57">
        <f t="shared" ref="I56" si="53">G56-F56</f>
        <v>31153.141800000005</v>
      </c>
      <c r="J56" s="6">
        <f t="shared" ref="J56" si="54">I56/F56</f>
        <v>0.61854965033132259</v>
      </c>
      <c r="K56" s="1">
        <v>45771</v>
      </c>
      <c r="L56" s="1">
        <v>45884</v>
      </c>
      <c r="M56">
        <f t="shared" si="45"/>
        <v>111</v>
      </c>
    </row>
    <row r="57" spans="1:13" x14ac:dyDescent="0.25">
      <c r="C57" s="25"/>
      <c r="D57" s="2"/>
      <c r="E57" s="57"/>
      <c r="F57" s="3"/>
      <c r="G57" s="56"/>
      <c r="H57" s="57"/>
      <c r="I57" s="57"/>
      <c r="J57" s="6"/>
      <c r="K57" s="1"/>
      <c r="L57" s="1"/>
    </row>
    <row r="58" spans="1:13" x14ac:dyDescent="0.25">
      <c r="C58" s="25"/>
      <c r="D58" s="2"/>
      <c r="E58" s="57"/>
      <c r="F58" s="3"/>
      <c r="G58" s="56"/>
      <c r="H58" s="57"/>
      <c r="I58" s="57"/>
      <c r="J58" s="6"/>
      <c r="K58" s="1"/>
      <c r="L58" s="1"/>
    </row>
    <row r="59" spans="1:13" x14ac:dyDescent="0.25">
      <c r="C59" s="25"/>
      <c r="D59" s="2"/>
      <c r="E59" s="57"/>
      <c r="F59" s="3"/>
      <c r="G59" s="56"/>
      <c r="H59" s="57"/>
      <c r="I59" s="57"/>
      <c r="J59" s="6"/>
      <c r="K59" s="1"/>
      <c r="L59" s="1"/>
    </row>
    <row r="60" spans="1:13" x14ac:dyDescent="0.25">
      <c r="F60" s="56"/>
      <c r="G60" s="56"/>
      <c r="H60" s="3"/>
      <c r="I60" s="3">
        <f>SUM(I26:I59)</f>
        <v>43782.683267082757</v>
      </c>
      <c r="J60" s="13" t="s">
        <v>66</v>
      </c>
    </row>
    <row r="61" spans="1:13" x14ac:dyDescent="0.25">
      <c r="F61" s="56"/>
      <c r="G61" s="56"/>
      <c r="H61" s="3" t="s">
        <v>67</v>
      </c>
      <c r="I61" s="59">
        <v>21</v>
      </c>
      <c r="J61" s="5">
        <v>-0.10979999999999999</v>
      </c>
    </row>
    <row r="62" spans="1:13" x14ac:dyDescent="0.25">
      <c r="F62" s="56"/>
      <c r="G62" s="56"/>
      <c r="H62" s="3" t="s">
        <v>68</v>
      </c>
      <c r="I62" s="59">
        <v>10</v>
      </c>
      <c r="J62" s="5">
        <v>0.3392</v>
      </c>
    </row>
    <row r="63" spans="1:13" x14ac:dyDescent="0.25">
      <c r="F63" s="56"/>
      <c r="G63" s="56"/>
      <c r="J63" s="6"/>
    </row>
    <row r="64" spans="1:13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  <c r="J77" s="6"/>
    </row>
    <row r="78" spans="6:10" x14ac:dyDescent="0.25">
      <c r="F78" s="56"/>
      <c r="G78" s="56"/>
      <c r="J78" s="6"/>
    </row>
    <row r="79" spans="6:10" x14ac:dyDescent="0.25">
      <c r="F79" s="56"/>
      <c r="G79" s="56"/>
      <c r="J79" s="6"/>
    </row>
    <row r="80" spans="6:10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</row>
    <row r="87" spans="6:10" x14ac:dyDescent="0.25">
      <c r="F87" s="56"/>
      <c r="G87" s="56"/>
    </row>
    <row r="88" spans="6:10" x14ac:dyDescent="0.25">
      <c r="F88" s="56"/>
      <c r="G88" s="56"/>
    </row>
    <row r="89" spans="6:10" x14ac:dyDescent="0.25">
      <c r="F89" s="56"/>
      <c r="G89" s="56"/>
    </row>
    <row r="90" spans="6:10" x14ac:dyDescent="0.25">
      <c r="F90" s="56"/>
      <c r="G90" s="56"/>
    </row>
    <row r="91" spans="6:10" x14ac:dyDescent="0.25">
      <c r="F91" s="56"/>
      <c r="G91" s="56"/>
    </row>
  </sheetData>
  <sortState xmlns:xlrd2="http://schemas.microsoft.com/office/spreadsheetml/2017/richdata2" ref="A7:AC10">
    <sortCondition descending="1" ref="L7:L10"/>
  </sortState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A533-8DAE-4F4F-AE84-A566A81A5D44}">
  <dimension ref="A1:AC91"/>
  <sheetViews>
    <sheetView workbookViewId="0">
      <selection activeCell="M21" sqref="M21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45891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124</v>
      </c>
      <c r="B7" t="s">
        <v>30</v>
      </c>
      <c r="C7" s="25" t="s">
        <v>125</v>
      </c>
      <c r="D7" s="2">
        <f>915.359+608.2121</f>
        <v>1523.5711000000001</v>
      </c>
      <c r="E7" s="26">
        <v>44.38</v>
      </c>
      <c r="F7" s="3">
        <f>E7*D7</f>
        <v>67616.085418000002</v>
      </c>
      <c r="G7" s="3">
        <f>28630.6+20162.2481</f>
        <v>48792.848100000003</v>
      </c>
      <c r="H7" s="4">
        <f>G7/D7</f>
        <v>32.025317426932027</v>
      </c>
      <c r="I7" s="3">
        <f>F7-G7</f>
        <v>18823.237318</v>
      </c>
      <c r="J7" s="26">
        <f>E7-H7</f>
        <v>12.354682573067976</v>
      </c>
      <c r="K7" s="27">
        <v>45817</v>
      </c>
      <c r="L7">
        <f>DAYS360(K7,$C$1)</f>
        <v>73</v>
      </c>
      <c r="M7" s="5">
        <f>(I7/G7)</f>
        <v>0.38577861409979874</v>
      </c>
      <c r="N7">
        <v>20</v>
      </c>
      <c r="O7">
        <v>99</v>
      </c>
      <c r="P7" s="63">
        <v>8</v>
      </c>
      <c r="Q7" s="28">
        <v>32.700000000000003</v>
      </c>
      <c r="R7" s="29">
        <f>Q7*0.93</f>
        <v>30.411000000000005</v>
      </c>
      <c r="S7" s="29">
        <v>26.45</v>
      </c>
      <c r="T7" s="28">
        <f>Q7*1.25</f>
        <v>40.875</v>
      </c>
      <c r="U7" s="28">
        <f>Q7*1.5</f>
        <v>49.050000000000004</v>
      </c>
      <c r="V7" s="28">
        <f>Q7*2</f>
        <v>65.400000000000006</v>
      </c>
      <c r="W7" s="28">
        <f>H7-(H7*0.07)</f>
        <v>29.783545207046785</v>
      </c>
      <c r="X7" s="29">
        <v>38</v>
      </c>
      <c r="Y7" s="5">
        <f>(X7-H7)/H7</f>
        <v>0.18656122883714185</v>
      </c>
      <c r="Z7" s="6">
        <f>F7/F$20</f>
        <v>0.12164527550056579</v>
      </c>
      <c r="AB7" s="58">
        <v>45979</v>
      </c>
      <c r="AC7" s="66">
        <v>78</v>
      </c>
    </row>
    <row r="8" spans="1:29" x14ac:dyDescent="0.25">
      <c r="A8" t="s">
        <v>126</v>
      </c>
      <c r="B8" t="s">
        <v>30</v>
      </c>
      <c r="C8" s="25" t="s">
        <v>127</v>
      </c>
      <c r="D8" s="2">
        <f>344.4515+240</f>
        <v>584.45150000000001</v>
      </c>
      <c r="E8" s="26">
        <v>114.04</v>
      </c>
      <c r="F8" s="3">
        <f>E8*D8</f>
        <v>66650.849060000008</v>
      </c>
      <c r="G8" s="3">
        <f>30563.18+23352</f>
        <v>53915.18</v>
      </c>
      <c r="H8" s="4">
        <f>G8/D8</f>
        <v>92.249194330068448</v>
      </c>
      <c r="I8" s="3">
        <f>F8-G8</f>
        <v>12735.669060000007</v>
      </c>
      <c r="J8" s="26">
        <f>E8-H8</f>
        <v>21.790805669931558</v>
      </c>
      <c r="K8" s="27">
        <v>45840</v>
      </c>
      <c r="L8">
        <f>DAYS360(K8,$C$1)</f>
        <v>50</v>
      </c>
      <c r="M8" s="5">
        <f>(I8/G8)</f>
        <v>0.23621675861974323</v>
      </c>
      <c r="N8">
        <v>16</v>
      </c>
      <c r="O8">
        <v>98</v>
      </c>
      <c r="P8" s="63">
        <v>80</v>
      </c>
      <c r="Q8" s="28">
        <v>80.989999999999995</v>
      </c>
      <c r="R8" s="29">
        <f>Q8*0.93</f>
        <v>75.320700000000002</v>
      </c>
      <c r="S8" s="29">
        <v>81.72</v>
      </c>
      <c r="T8" s="31">
        <f>Q8*1.25</f>
        <v>101.2375</v>
      </c>
      <c r="U8" s="28">
        <f>Q8*1.5</f>
        <v>121.48499999999999</v>
      </c>
      <c r="V8" s="28">
        <f>Q8*2</f>
        <v>161.97999999999999</v>
      </c>
      <c r="W8" s="28">
        <f>H8-(H8*0.07)</f>
        <v>85.791750726963656</v>
      </c>
      <c r="X8" s="29">
        <v>102</v>
      </c>
      <c r="Y8" s="5">
        <f>(X8-H8)/H8</f>
        <v>0.1057007136023658</v>
      </c>
      <c r="Z8" s="6">
        <f>F8/F$20</f>
        <v>0.11990875907897457</v>
      </c>
      <c r="AB8" s="58">
        <v>45903</v>
      </c>
      <c r="AC8" s="9">
        <v>99</v>
      </c>
    </row>
    <row r="9" spans="1:29" x14ac:dyDescent="0.25">
      <c r="A9" t="s">
        <v>128</v>
      </c>
      <c r="B9" t="s">
        <v>30</v>
      </c>
      <c r="C9" s="25" t="s">
        <v>129</v>
      </c>
      <c r="D9" s="2">
        <f>786.7766+525.5828</f>
        <v>1312.3594000000001</v>
      </c>
      <c r="E9" s="26">
        <v>50.68</v>
      </c>
      <c r="F9" s="3">
        <f>E9*D9</f>
        <v>66510.374391999998</v>
      </c>
      <c r="G9" s="3">
        <f>30514.1+21675.87</f>
        <v>52189.97</v>
      </c>
      <c r="H9" s="4">
        <f>G9/D9</f>
        <v>39.768046771334134</v>
      </c>
      <c r="I9" s="3">
        <f>F9-G9</f>
        <v>14320.404391999997</v>
      </c>
      <c r="J9" s="26">
        <f>E9-H9</f>
        <v>10.911953228665865</v>
      </c>
      <c r="K9" s="27">
        <v>45840</v>
      </c>
      <c r="L9">
        <f>DAYS360(K9,$C$1)</f>
        <v>50</v>
      </c>
      <c r="M9" s="5">
        <f>(I9/G9)</f>
        <v>0.27438997171295548</v>
      </c>
      <c r="N9">
        <v>13</v>
      </c>
      <c r="O9">
        <v>97</v>
      </c>
      <c r="P9" s="64">
        <v>80</v>
      </c>
      <c r="Q9" s="28">
        <v>37.89</v>
      </c>
      <c r="R9" s="29">
        <f>Q9*0.93</f>
        <v>35.237700000000004</v>
      </c>
      <c r="S9" s="29">
        <v>34.869999999999997</v>
      </c>
      <c r="T9" s="31">
        <f>Q9*1.25</f>
        <v>47.362499999999997</v>
      </c>
      <c r="U9" s="28">
        <f>Q9*1.5</f>
        <v>56.835000000000001</v>
      </c>
      <c r="V9" s="28">
        <f>Q9*2</f>
        <v>75.78</v>
      </c>
      <c r="W9" s="28">
        <f>H9-(H9*0.07)</f>
        <v>36.984283497340748</v>
      </c>
      <c r="X9" s="29">
        <v>45</v>
      </c>
      <c r="Y9" s="5">
        <f>(X9-H9)/H9</f>
        <v>0.13156173494638909</v>
      </c>
      <c r="Z9" s="6">
        <f>F9/F$20</f>
        <v>0.11965603697026221</v>
      </c>
      <c r="AB9" s="58">
        <v>45959</v>
      </c>
      <c r="AC9" s="9">
        <v>98</v>
      </c>
    </row>
    <row r="10" spans="1:29" x14ac:dyDescent="0.25">
      <c r="A10" t="s">
        <v>69</v>
      </c>
      <c r="B10" t="s">
        <v>30</v>
      </c>
      <c r="C10" s="25" t="s">
        <v>70</v>
      </c>
      <c r="D10" s="2">
        <v>682.05550000000005</v>
      </c>
      <c r="E10" s="26">
        <v>70.38</v>
      </c>
      <c r="F10" s="3">
        <f>E10*D10</f>
        <v>48003.06609</v>
      </c>
      <c r="G10" s="3">
        <v>43555.21</v>
      </c>
      <c r="H10" s="4">
        <f>G10/D10</f>
        <v>63.85874756526411</v>
      </c>
      <c r="I10" s="3">
        <f>F10-G10</f>
        <v>4447.8560900000011</v>
      </c>
      <c r="J10" s="26">
        <f>E10-H10</f>
        <v>6.5212524347358851</v>
      </c>
      <c r="K10" s="27">
        <v>45854</v>
      </c>
      <c r="L10">
        <f>DAYS360(K10,$C$1)</f>
        <v>36</v>
      </c>
      <c r="M10" s="5">
        <f>(I10/G10)</f>
        <v>0.10211995510984796</v>
      </c>
      <c r="N10">
        <v>1</v>
      </c>
      <c r="O10">
        <v>99</v>
      </c>
      <c r="P10" s="63">
        <v>47</v>
      </c>
      <c r="Q10" s="28">
        <v>58.69</v>
      </c>
      <c r="R10" s="29">
        <f>Q10*0.93</f>
        <v>54.581699999999998</v>
      </c>
      <c r="S10" s="29">
        <v>50.08</v>
      </c>
      <c r="T10" s="31">
        <f>Q10*1.25</f>
        <v>73.362499999999997</v>
      </c>
      <c r="U10" s="28">
        <f>Q10*1.5</f>
        <v>88.034999999999997</v>
      </c>
      <c r="V10" s="28">
        <f>Q10*2</f>
        <v>117.38</v>
      </c>
      <c r="W10" s="28">
        <f>H10-(H10*0.07)</f>
        <v>59.388635235695624</v>
      </c>
      <c r="X10" s="29">
        <v>66</v>
      </c>
      <c r="Y10" s="5">
        <f>(X10-H10)/H10</f>
        <v>3.353107469806723E-2</v>
      </c>
      <c r="Z10" s="32">
        <f>F10/F$20</f>
        <v>8.6360311504153298E-2</v>
      </c>
      <c r="AB10" s="58">
        <v>45974</v>
      </c>
      <c r="AC10" s="9">
        <v>90</v>
      </c>
    </row>
    <row r="11" spans="1:29" x14ac:dyDescent="0.25">
      <c r="D11" s="2"/>
      <c r="E11" s="26"/>
      <c r="F11" s="3">
        <f>E11*D11</f>
        <v>0</v>
      </c>
      <c r="G11" s="3"/>
      <c r="H11" s="4" t="e">
        <f>G11/D11</f>
        <v>#DIV/0!</v>
      </c>
      <c r="I11" s="3">
        <f>F11-G11</f>
        <v>0</v>
      </c>
      <c r="J11" s="26" t="e">
        <f>E11-H11</f>
        <v>#DIV/0!</v>
      </c>
      <c r="K11" s="27"/>
      <c r="L11">
        <f>DAYS360(K11,$C$1)</f>
        <v>45232</v>
      </c>
      <c r="M11" s="5" t="e">
        <f>(I11/G11)</f>
        <v>#DIV/0!</v>
      </c>
      <c r="P11" s="33"/>
      <c r="Q11" s="28"/>
      <c r="R11" s="29">
        <f>Q11*0.93</f>
        <v>0</v>
      </c>
      <c r="S11" s="29"/>
      <c r="T11" s="28">
        <f>Q11*1.25</f>
        <v>0</v>
      </c>
      <c r="U11" s="28">
        <f>Q11*1.5</f>
        <v>0</v>
      </c>
      <c r="V11" s="28">
        <f>Q11*2</f>
        <v>0</v>
      </c>
      <c r="W11" s="28" t="e">
        <f>H11-(H11*0.07)</f>
        <v>#DIV/0!</v>
      </c>
      <c r="X11" s="29"/>
      <c r="Y11" s="5" t="e">
        <f>(X11-H11)/H11</f>
        <v>#DIV/0!</v>
      </c>
      <c r="Z11" s="32">
        <f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ref="F12:F17" si="0">E12*D12</f>
        <v>0</v>
      </c>
      <c r="G12" s="3"/>
      <c r="H12" s="4" t="e">
        <f t="shared" ref="H12:H17" si="1">G12/D12</f>
        <v>#DIV/0!</v>
      </c>
      <c r="I12" s="3">
        <f t="shared" ref="I12:I17" si="2">F12-G12</f>
        <v>0</v>
      </c>
      <c r="J12" s="26" t="e">
        <f t="shared" ref="J12:J17" si="3">E12-H12</f>
        <v>#DIV/0!</v>
      </c>
      <c r="K12" s="27"/>
      <c r="L12">
        <f t="shared" ref="L12:L17" si="4">DAYS360(K12,$C$1)</f>
        <v>45232</v>
      </c>
      <c r="M12" s="5" t="e">
        <f t="shared" ref="M12:M17" si="5">(I12/G12)</f>
        <v>#DIV/0!</v>
      </c>
      <c r="P12" s="63"/>
      <c r="Q12" s="28"/>
      <c r="R12" s="29">
        <f t="shared" ref="R12:R17" si="6">Q12*0.93</f>
        <v>0</v>
      </c>
      <c r="S12" s="29"/>
      <c r="T12" s="31">
        <f t="shared" ref="T12:T17" si="7">Q12*1.25</f>
        <v>0</v>
      </c>
      <c r="U12" s="28">
        <f t="shared" ref="U12:U17" si="8">Q12*1.5</f>
        <v>0</v>
      </c>
      <c r="V12" s="28">
        <f t="shared" ref="V12:V17" si="9">Q12*2</f>
        <v>0</v>
      </c>
      <c r="W12" s="28" t="e">
        <f t="shared" ref="W12:W17" si="10">H12-(H12*0.07)</f>
        <v>#DIV/0!</v>
      </c>
      <c r="X12" s="29"/>
      <c r="Y12" s="5" t="e">
        <f t="shared" ref="Y12:Y17" si="11">(X12-H12)/H12</f>
        <v>#DIV/0!</v>
      </c>
      <c r="Z12" s="6">
        <f t="shared" ref="Z12:Z17" si="12">F12/F$20</f>
        <v>0</v>
      </c>
      <c r="AB12" s="58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4"/>
        <v>45232</v>
      </c>
      <c r="M13" s="5" t="e">
        <f t="shared" si="5"/>
        <v>#DIV/0!</v>
      </c>
      <c r="P13" s="63"/>
      <c r="Q13" s="28"/>
      <c r="R13" s="29">
        <f t="shared" si="6"/>
        <v>0</v>
      </c>
      <c r="S13" s="29"/>
      <c r="T13" s="28">
        <f t="shared" si="7"/>
        <v>0</v>
      </c>
      <c r="U13" s="28">
        <f t="shared" si="8"/>
        <v>0</v>
      </c>
      <c r="V13" s="28">
        <f t="shared" si="9"/>
        <v>0</v>
      </c>
      <c r="W13" s="28" t="e">
        <f t="shared" si="10"/>
        <v>#DIV/0!</v>
      </c>
      <c r="X13" s="29"/>
      <c r="Y13" s="5" t="e">
        <f t="shared" si="11"/>
        <v>#DIV/0!</v>
      </c>
      <c r="Z13" s="6">
        <f t="shared" si="12"/>
        <v>0</v>
      </c>
      <c r="AB13" s="58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45232</v>
      </c>
      <c r="M14" s="5" t="e">
        <f t="shared" si="5"/>
        <v>#DIV/0!</v>
      </c>
      <c r="P14" s="63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60"/>
      <c r="AC14" s="9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45232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45232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2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45232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248780.37496000002</v>
      </c>
      <c r="G18" s="3">
        <f>SUM(G6:G17)</f>
        <v>198453.20809999999</v>
      </c>
      <c r="H18" s="4"/>
      <c r="I18" s="3">
        <f>SUM(I6:I17)</f>
        <v>50327.166860000005</v>
      </c>
      <c r="M18" s="5"/>
      <c r="Z18" s="6"/>
    </row>
    <row r="19" spans="1:29" x14ac:dyDescent="0.25">
      <c r="D19" s="2" t="s">
        <v>44</v>
      </c>
      <c r="F19" s="3">
        <v>307066</v>
      </c>
      <c r="G19" s="6">
        <f>F19/F20</f>
        <v>0.55242961694604409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555846.37496000004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'08-15-25'!F20</f>
        <v>560810.01430099993</v>
      </c>
      <c r="K21" s="1">
        <v>45657</v>
      </c>
      <c r="L21" s="50">
        <v>170762</v>
      </c>
      <c r="M21" s="50">
        <v>192322.94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-8.850839347415403E-3</v>
      </c>
      <c r="K22" s="9" t="s">
        <v>123</v>
      </c>
      <c r="L22" s="6">
        <f>(M21-L21)/L21</f>
        <v>0.12626310303229057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4">F28/D28</f>
        <v>44.698790833464948</v>
      </c>
      <c r="F28" s="3">
        <v>56489.42</v>
      </c>
      <c r="G28" s="56">
        <v>75501.87</v>
      </c>
      <c r="H28" s="57">
        <f t="shared" ref="H28:H56" si="15">G28/D28</f>
        <v>59.742909285764696</v>
      </c>
      <c r="I28" s="57">
        <f t="shared" ref="I28:I56" si="16">G28-F28</f>
        <v>19012.449999999997</v>
      </c>
      <c r="J28" s="6">
        <f t="shared" ref="J28:J56" si="17">I28/F28</f>
        <v>0.33656656414599401</v>
      </c>
      <c r="K28" s="1">
        <v>45527</v>
      </c>
      <c r="L28" s="1">
        <v>45688</v>
      </c>
      <c r="M28">
        <f t="shared" si="13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4"/>
        <v>169.90901206845703</v>
      </c>
      <c r="F29" s="3">
        <f>59492.79+21969.78</f>
        <v>81462.570000000007</v>
      </c>
      <c r="G29" s="56">
        <v>65047.58</v>
      </c>
      <c r="H29" s="57">
        <f t="shared" si="15"/>
        <v>135.67175765807443</v>
      </c>
      <c r="I29" s="57">
        <f t="shared" si="16"/>
        <v>-16414.990000000005</v>
      </c>
      <c r="J29" s="6">
        <f t="shared" si="17"/>
        <v>-0.20150346349249729</v>
      </c>
      <c r="K29" s="1">
        <v>45671</v>
      </c>
      <c r="L29" s="1">
        <v>45688</v>
      </c>
      <c r="M29">
        <f t="shared" si="13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4"/>
        <v>18.702010092477405</v>
      </c>
      <c r="F30" s="3">
        <v>56486.59</v>
      </c>
      <c r="G30" s="56">
        <v>71124.88</v>
      </c>
      <c r="H30" s="57">
        <f t="shared" si="15"/>
        <v>23.548566546258936</v>
      </c>
      <c r="I30" s="57">
        <f t="shared" si="16"/>
        <v>14638.290000000008</v>
      </c>
      <c r="J30" s="6">
        <f t="shared" si="17"/>
        <v>0.25914628587068206</v>
      </c>
      <c r="K30" s="1">
        <v>45527</v>
      </c>
      <c r="L30" s="1">
        <v>45691</v>
      </c>
      <c r="M30">
        <f t="shared" si="13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4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5"/>
        <v>38.249853000000002</v>
      </c>
      <c r="I31" s="57">
        <f t="shared" si="16"/>
        <v>-6110.386336591735</v>
      </c>
      <c r="J31" s="6">
        <f t="shared" si="17"/>
        <v>-0.10005621882176895</v>
      </c>
      <c r="K31" s="1">
        <v>45706</v>
      </c>
      <c r="L31" s="1">
        <v>45708</v>
      </c>
      <c r="M31">
        <f t="shared" si="13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4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5"/>
        <v>531.63995279999995</v>
      </c>
      <c r="I32" s="57">
        <f t="shared" si="16"/>
        <v>-22176.243614196137</v>
      </c>
      <c r="J32" s="6">
        <f t="shared" si="17"/>
        <v>-0.24194911929355969</v>
      </c>
      <c r="K32" s="1">
        <v>45706</v>
      </c>
      <c r="L32" s="1">
        <v>45708</v>
      </c>
      <c r="M32">
        <f t="shared" si="13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4"/>
        <v>368.56522253629635</v>
      </c>
      <c r="F33" s="3">
        <v>74438.86</v>
      </c>
      <c r="G33" s="56">
        <f>201.9693*360.5332483</f>
        <v>72816.647785877198</v>
      </c>
      <c r="H33" s="57">
        <f t="shared" si="15"/>
        <v>360.53324830000003</v>
      </c>
      <c r="I33" s="57">
        <f t="shared" si="16"/>
        <v>-1622.2122141228028</v>
      </c>
      <c r="J33" s="6">
        <f t="shared" si="17"/>
        <v>-2.1792545105107773E-2</v>
      </c>
      <c r="K33" s="1">
        <v>45664</v>
      </c>
      <c r="L33" s="1">
        <v>45708</v>
      </c>
      <c r="M33">
        <f t="shared" si="13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4"/>
        <v>30.17825528482809</v>
      </c>
      <c r="F34" s="3">
        <v>37884.65</v>
      </c>
      <c r="G34" s="56">
        <f>1255.3625*39.762296</f>
        <v>49916.0953123</v>
      </c>
      <c r="H34" s="57">
        <f t="shared" si="15"/>
        <v>39.762295999999999</v>
      </c>
      <c r="I34" s="57">
        <f t="shared" si="16"/>
        <v>12031.445312299998</v>
      </c>
      <c r="J34" s="6">
        <f t="shared" si="17"/>
        <v>0.31758100740801348</v>
      </c>
      <c r="K34" s="1">
        <v>45663</v>
      </c>
      <c r="L34" s="1">
        <v>45709</v>
      </c>
      <c r="M34">
        <f t="shared" si="13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4"/>
        <v>242.26930551548847</v>
      </c>
      <c r="F35" s="3">
        <v>61221.72</v>
      </c>
      <c r="G35" s="56">
        <f>252.7011*226.6146532</f>
        <v>57265.772139758519</v>
      </c>
      <c r="H35" s="57">
        <f t="shared" si="15"/>
        <v>226.61465319999999</v>
      </c>
      <c r="I35" s="57">
        <f t="shared" si="16"/>
        <v>-3955.947860241482</v>
      </c>
      <c r="J35" s="6">
        <f t="shared" si="17"/>
        <v>-6.4616738311852093E-2</v>
      </c>
      <c r="K35" s="1">
        <v>45699</v>
      </c>
      <c r="L35" s="1">
        <v>45709</v>
      </c>
      <c r="M35">
        <f t="shared" si="13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4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5"/>
        <v>283.93999450000007</v>
      </c>
      <c r="I36" s="57">
        <f t="shared" si="16"/>
        <v>19563.525282954361</v>
      </c>
      <c r="J36" s="6">
        <f t="shared" si="17"/>
        <v>0.36434300703793465</v>
      </c>
      <c r="K36" s="1">
        <v>45580</v>
      </c>
      <c r="L36" s="1">
        <v>45712</v>
      </c>
      <c r="M36">
        <f t="shared" si="13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4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5"/>
        <v>63.365330900000004</v>
      </c>
      <c r="I37" s="57">
        <f t="shared" si="16"/>
        <v>-4549.5912833559851</v>
      </c>
      <c r="J37" s="6">
        <f t="shared" si="17"/>
        <v>-5.9638082078758516E-2</v>
      </c>
      <c r="K37" s="1">
        <v>45673</v>
      </c>
      <c r="L37" s="1">
        <v>45712</v>
      </c>
      <c r="M37">
        <f t="shared" si="13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5"/>
        <v>50.021380499999999</v>
      </c>
      <c r="I38" s="57">
        <f t="shared" si="16"/>
        <v>6027.2875116823998</v>
      </c>
      <c r="J38" s="6">
        <f t="shared" si="17"/>
        <v>9.9771440635884723E-2</v>
      </c>
      <c r="K38" s="1">
        <v>45593</v>
      </c>
      <c r="L38" s="1">
        <v>45713</v>
      </c>
      <c r="M38">
        <f t="shared" si="13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5"/>
        <v>12.519992000000002</v>
      </c>
      <c r="I39" s="57">
        <f t="shared" si="16"/>
        <v>-2230.6527810991975</v>
      </c>
      <c r="J39" s="6">
        <f t="shared" si="17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5"/>
        <v>94.679995300000002</v>
      </c>
      <c r="I40" s="57">
        <f t="shared" si="16"/>
        <v>-4750.690604140058</v>
      </c>
      <c r="J40" s="6">
        <f t="shared" si="17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56" si="18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5"/>
        <v>18.9477051</v>
      </c>
      <c r="I41" s="57">
        <f t="shared" si="16"/>
        <v>-2244.5195874142191</v>
      </c>
      <c r="J41" s="6">
        <f t="shared" si="17"/>
        <v>-8.2776138273503941E-2</v>
      </c>
      <c r="K41" s="1">
        <v>45761</v>
      </c>
      <c r="L41" s="1">
        <v>45768</v>
      </c>
      <c r="M41">
        <f t="shared" ref="M41:M56" si="19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8"/>
        <v>96.336406065231671</v>
      </c>
      <c r="F42" s="3">
        <v>34004.42</v>
      </c>
      <c r="G42" s="56">
        <f>352.9758*89.7849585</f>
        <v>31691.9175545043</v>
      </c>
      <c r="H42" s="57">
        <f t="shared" si="15"/>
        <v>89.784958500000002</v>
      </c>
      <c r="I42" s="57">
        <f t="shared" si="16"/>
        <v>-2312.5024454956983</v>
      </c>
      <c r="J42" s="6">
        <f t="shared" si="17"/>
        <v>-6.8005937036882222E-2</v>
      </c>
      <c r="K42" s="1">
        <v>45762</v>
      </c>
      <c r="L42" s="1">
        <v>45768</v>
      </c>
      <c r="M42">
        <f t="shared" si="19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8"/>
        <v>16.992624876012847</v>
      </c>
      <c r="F43" s="3">
        <v>37971.83</v>
      </c>
      <c r="G43" s="56">
        <f>2234.6065*13.3067232</f>
        <v>29735.2901564208</v>
      </c>
      <c r="H43" s="57">
        <f t="shared" si="15"/>
        <v>13.3067232</v>
      </c>
      <c r="I43" s="57">
        <f t="shared" si="16"/>
        <v>-8236.5398435792013</v>
      </c>
      <c r="J43" s="6">
        <f t="shared" si="17"/>
        <v>-0.21691184869360261</v>
      </c>
      <c r="K43" s="1">
        <v>45652</v>
      </c>
      <c r="L43" s="1">
        <v>45785</v>
      </c>
      <c r="M43">
        <f t="shared" si="19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8"/>
        <v>38.101812248436303</v>
      </c>
      <c r="F44" s="3">
        <v>21940.86</v>
      </c>
      <c r="G44" s="56">
        <f>575.8482*32.7857042</f>
        <v>18879.588749302438</v>
      </c>
      <c r="H44" s="57">
        <f t="shared" si="15"/>
        <v>32.785704199999998</v>
      </c>
      <c r="I44" s="57">
        <f t="shared" si="16"/>
        <v>-3061.2712506975622</v>
      </c>
      <c r="J44" s="6">
        <f t="shared" si="17"/>
        <v>-0.13952375844417958</v>
      </c>
      <c r="K44" s="1">
        <v>45761</v>
      </c>
      <c r="L44" s="1">
        <v>45790</v>
      </c>
      <c r="M44">
        <f t="shared" si="19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8"/>
        <v>24.570291674143743</v>
      </c>
      <c r="F45" s="3">
        <v>23591.34</v>
      </c>
      <c r="G45" s="56">
        <v>19396.37</v>
      </c>
      <c r="H45" s="57">
        <f t="shared" si="15"/>
        <v>20.201246233559068</v>
      </c>
      <c r="I45" s="57">
        <f t="shared" si="16"/>
        <v>-4194.9700000000012</v>
      </c>
      <c r="J45" s="6">
        <f t="shared" si="17"/>
        <v>-0.17781821634548953</v>
      </c>
      <c r="K45" s="1">
        <v>45776</v>
      </c>
      <c r="L45" s="1">
        <v>45812</v>
      </c>
      <c r="M45">
        <f t="shared" si="19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8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5"/>
        <v>84.038907800000004</v>
      </c>
      <c r="I46" s="57">
        <f t="shared" si="16"/>
        <v>-3907.8121523372101</v>
      </c>
      <c r="J46" s="6">
        <f t="shared" si="17"/>
        <v>-0.14246372001691271</v>
      </c>
      <c r="K46" s="1">
        <v>45782</v>
      </c>
      <c r="L46" s="1">
        <v>45818</v>
      </c>
      <c r="M46">
        <f t="shared" si="19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8"/>
        <v>40.437100849618155</v>
      </c>
      <c r="F47" s="3">
        <f>22877.09+14244.67</f>
        <v>37121.760000000002</v>
      </c>
      <c r="G47" s="56">
        <v>34659.56</v>
      </c>
      <c r="H47" s="57">
        <f t="shared" si="15"/>
        <v>37.755002002151599</v>
      </c>
      <c r="I47" s="57">
        <f t="shared" si="16"/>
        <v>-2462.2000000000044</v>
      </c>
      <c r="J47" s="6">
        <f t="shared" si="17"/>
        <v>-6.6327674118899643E-2</v>
      </c>
      <c r="K47" s="1">
        <v>45782</v>
      </c>
      <c r="L47" s="1">
        <v>45828</v>
      </c>
      <c r="M47">
        <f t="shared" si="19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18"/>
        <v>123.70183817297092</v>
      </c>
      <c r="F48" s="3">
        <f>22876.67+14197.82+14808.77</f>
        <v>51883.259999999995</v>
      </c>
      <c r="G48" s="56">
        <v>55156.07</v>
      </c>
      <c r="H48" s="57">
        <f t="shared" si="15"/>
        <v>131.50498340692272</v>
      </c>
      <c r="I48" s="57">
        <f t="shared" si="16"/>
        <v>3272.8100000000049</v>
      </c>
      <c r="J48" s="6">
        <f t="shared" si="17"/>
        <v>6.3080269050171583E-2</v>
      </c>
      <c r="K48" s="1">
        <v>45782</v>
      </c>
      <c r="L48" s="1">
        <v>45839</v>
      </c>
      <c r="M48">
        <f t="shared" si="19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18"/>
        <v>63.194998844628557</v>
      </c>
      <c r="F49" s="3">
        <v>36072.47</v>
      </c>
      <c r="G49" s="56">
        <v>51786.91</v>
      </c>
      <c r="H49" s="57">
        <f t="shared" si="15"/>
        <v>90.724968864535285</v>
      </c>
      <c r="I49" s="57">
        <f t="shared" si="16"/>
        <v>15714.440000000002</v>
      </c>
      <c r="J49" s="6">
        <f t="shared" si="17"/>
        <v>0.43563526423336141</v>
      </c>
      <c r="K49" s="1">
        <v>45796</v>
      </c>
      <c r="L49" s="1">
        <v>45839</v>
      </c>
      <c r="M49">
        <f t="shared" si="19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18"/>
        <v>90.254808370121239</v>
      </c>
      <c r="F50" s="3">
        <f>35895.15+19479.74</f>
        <v>55374.89</v>
      </c>
      <c r="G50" s="56">
        <v>55236.959999999999</v>
      </c>
      <c r="H50" s="57">
        <f t="shared" si="15"/>
        <v>90.029998068584007</v>
      </c>
      <c r="I50" s="57">
        <f t="shared" si="16"/>
        <v>-137.93000000000029</v>
      </c>
      <c r="J50" s="6">
        <f t="shared" si="17"/>
        <v>-2.4908401623912986E-3</v>
      </c>
      <c r="K50" s="1">
        <v>45789</v>
      </c>
      <c r="L50" s="1">
        <v>45855</v>
      </c>
      <c r="M50">
        <f t="shared" si="19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18"/>
        <v>113.05354718581073</v>
      </c>
      <c r="F51" s="3">
        <v>45409.8</v>
      </c>
      <c r="G51" s="56">
        <v>41051.0026</v>
      </c>
      <c r="H51" s="57">
        <f t="shared" si="15"/>
        <v>102.2017595202784</v>
      </c>
      <c r="I51" s="57">
        <f t="shared" si="16"/>
        <v>-4358.7974000000031</v>
      </c>
      <c r="J51" s="6">
        <f t="shared" si="17"/>
        <v>-9.5988033420098803E-2</v>
      </c>
      <c r="K51" s="1">
        <v>45855</v>
      </c>
      <c r="L51" s="1">
        <v>45860</v>
      </c>
      <c r="M51">
        <f t="shared" si="19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18"/>
        <v>17.339829156069133</v>
      </c>
      <c r="F52" s="3">
        <v>22797.23</v>
      </c>
      <c r="G52" s="56">
        <v>18655.11</v>
      </c>
      <c r="H52" s="57">
        <f t="shared" si="15"/>
        <v>14.189286167121043</v>
      </c>
      <c r="I52" s="57">
        <f t="shared" si="16"/>
        <v>-4142.119999999999</v>
      </c>
      <c r="J52" s="6">
        <f t="shared" si="17"/>
        <v>-0.18169400405224664</v>
      </c>
      <c r="K52" s="1">
        <v>45861</v>
      </c>
      <c r="L52" s="1">
        <v>45870</v>
      </c>
      <c r="M52">
        <f t="shared" si="19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18"/>
        <v>74.757798491837917</v>
      </c>
      <c r="F53" s="3">
        <f>26856.13+12527.28</f>
        <v>39383.410000000003</v>
      </c>
      <c r="G53" s="56">
        <v>67176.488400000002</v>
      </c>
      <c r="H53" s="57">
        <f t="shared" si="15"/>
        <v>127.51476784759082</v>
      </c>
      <c r="I53" s="57">
        <f t="shared" si="16"/>
        <v>27793.078399999999</v>
      </c>
      <c r="J53" s="6">
        <f t="shared" si="17"/>
        <v>0.7057052296893539</v>
      </c>
      <c r="K53" s="1">
        <v>45789</v>
      </c>
      <c r="L53" s="1">
        <v>45870</v>
      </c>
      <c r="M53">
        <f t="shared" si="19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18"/>
        <v>22.651928580010882</v>
      </c>
      <c r="F54" s="3">
        <f>18821.97+11334.33+20180.34</f>
        <v>50336.639999999999</v>
      </c>
      <c r="G54" s="56">
        <v>42713.83</v>
      </c>
      <c r="H54" s="57">
        <f t="shared" si="15"/>
        <v>19.221597360068653</v>
      </c>
      <c r="I54" s="57">
        <f t="shared" si="16"/>
        <v>-7622.8099999999977</v>
      </c>
      <c r="J54" s="6">
        <f t="shared" si="17"/>
        <v>-0.15143660760829483</v>
      </c>
      <c r="K54" s="1">
        <v>45814</v>
      </c>
      <c r="L54" s="1">
        <v>45880</v>
      </c>
      <c r="M54">
        <f t="shared" si="19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18"/>
        <v>30.926801697408081</v>
      </c>
      <c r="F55" s="3">
        <f>(605.0016*29.7738017)+17708.65</f>
        <v>35721.847666582718</v>
      </c>
      <c r="G55" s="56">
        <v>42554.27</v>
      </c>
      <c r="H55" s="57">
        <f t="shared" si="15"/>
        <v>36.842088403482109</v>
      </c>
      <c r="I55" s="57">
        <f t="shared" si="16"/>
        <v>6832.4223334172784</v>
      </c>
      <c r="J55" s="6">
        <f t="shared" si="17"/>
        <v>0.1912673274123195</v>
      </c>
      <c r="K55" s="1">
        <v>45800</v>
      </c>
      <c r="L55" s="1">
        <v>45881</v>
      </c>
      <c r="M55">
        <f t="shared" si="19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18"/>
        <v>377.42204050678822</v>
      </c>
      <c r="F56" s="3">
        <f>34962.9+15401.92</f>
        <v>50364.82</v>
      </c>
      <c r="G56" s="56">
        <v>81517.961800000005</v>
      </c>
      <c r="H56" s="57">
        <f t="shared" si="15"/>
        <v>610.87631168959638</v>
      </c>
      <c r="I56" s="57">
        <f t="shared" si="16"/>
        <v>31153.141800000005</v>
      </c>
      <c r="J56" s="6">
        <f t="shared" si="17"/>
        <v>0.61854965033132259</v>
      </c>
      <c r="K56" s="1">
        <v>45771</v>
      </c>
      <c r="L56" s="1">
        <v>45884</v>
      </c>
      <c r="M56">
        <f t="shared" si="19"/>
        <v>111</v>
      </c>
    </row>
    <row r="57" spans="1:13" x14ac:dyDescent="0.25">
      <c r="C57" s="25"/>
      <c r="D57" s="2"/>
      <c r="E57" s="57"/>
      <c r="F57" s="3"/>
      <c r="G57" s="56"/>
      <c r="H57" s="57"/>
      <c r="I57" s="57"/>
      <c r="J57" s="6"/>
      <c r="K57" s="1"/>
      <c r="L57" s="1"/>
    </row>
    <row r="58" spans="1:13" x14ac:dyDescent="0.25">
      <c r="C58" s="25"/>
      <c r="D58" s="2"/>
      <c r="E58" s="57"/>
      <c r="F58" s="3"/>
      <c r="G58" s="56"/>
      <c r="H58" s="57"/>
      <c r="I58" s="57"/>
      <c r="J58" s="6"/>
      <c r="K58" s="1"/>
      <c r="L58" s="1"/>
    </row>
    <row r="59" spans="1:13" x14ac:dyDescent="0.25">
      <c r="C59" s="25"/>
      <c r="D59" s="2"/>
      <c r="E59" s="57"/>
      <c r="F59" s="3"/>
      <c r="G59" s="56"/>
      <c r="H59" s="57"/>
      <c r="I59" s="57"/>
      <c r="J59" s="6"/>
      <c r="K59" s="1"/>
      <c r="L59" s="1"/>
    </row>
    <row r="60" spans="1:13" x14ac:dyDescent="0.25">
      <c r="F60" s="56"/>
      <c r="G60" s="56"/>
      <c r="H60" s="3"/>
      <c r="I60" s="3">
        <f>SUM(I26:I59)</f>
        <v>43782.683267082757</v>
      </c>
      <c r="J60" s="13" t="s">
        <v>66</v>
      </c>
    </row>
    <row r="61" spans="1:13" x14ac:dyDescent="0.25">
      <c r="F61" s="56"/>
      <c r="G61" s="56"/>
      <c r="H61" s="3" t="s">
        <v>67</v>
      </c>
      <c r="I61" s="59">
        <v>21</v>
      </c>
      <c r="J61" s="5">
        <v>-0.10979999999999999</v>
      </c>
    </row>
    <row r="62" spans="1:13" x14ac:dyDescent="0.25">
      <c r="F62" s="56"/>
      <c r="G62" s="56"/>
      <c r="H62" s="3" t="s">
        <v>68</v>
      </c>
      <c r="I62" s="59">
        <v>10</v>
      </c>
      <c r="J62" s="5">
        <v>0.3392</v>
      </c>
    </row>
    <row r="63" spans="1:13" x14ac:dyDescent="0.25">
      <c r="F63" s="56"/>
      <c r="G63" s="56"/>
      <c r="J63" s="6"/>
    </row>
    <row r="64" spans="1:13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  <c r="J77" s="6"/>
    </row>
    <row r="78" spans="6:10" x14ac:dyDescent="0.25">
      <c r="F78" s="56"/>
      <c r="G78" s="56"/>
      <c r="J78" s="6"/>
    </row>
    <row r="79" spans="6:10" x14ac:dyDescent="0.25">
      <c r="F79" s="56"/>
      <c r="G79" s="56"/>
      <c r="J79" s="6"/>
    </row>
    <row r="80" spans="6:10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</row>
    <row r="87" spans="6:10" x14ac:dyDescent="0.25">
      <c r="F87" s="56"/>
      <c r="G87" s="56"/>
    </row>
    <row r="88" spans="6:10" x14ac:dyDescent="0.25">
      <c r="F88" s="56"/>
      <c r="G88" s="56"/>
    </row>
    <row r="89" spans="6:10" x14ac:dyDescent="0.25">
      <c r="F89" s="56"/>
      <c r="G89" s="56"/>
    </row>
    <row r="90" spans="6:10" x14ac:dyDescent="0.25">
      <c r="F90" s="56"/>
      <c r="G90" s="56"/>
    </row>
    <row r="91" spans="6:10" x14ac:dyDescent="0.25">
      <c r="F91" s="56"/>
      <c r="G91" s="56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391D-2D16-4D9E-985C-82D1991B989E}">
  <dimension ref="A1:AC91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45898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124</v>
      </c>
      <c r="B7" t="s">
        <v>30</v>
      </c>
      <c r="C7" s="25" t="s">
        <v>125</v>
      </c>
      <c r="D7" s="2">
        <f>915.359+608.2121</f>
        <v>1523.5711000000001</v>
      </c>
      <c r="E7" s="26">
        <v>48.6</v>
      </c>
      <c r="F7" s="3">
        <f>E7*D7</f>
        <v>74045.555460000003</v>
      </c>
      <c r="G7" s="3">
        <f>28630.6+20162.2481</f>
        <v>48792.848100000003</v>
      </c>
      <c r="H7" s="4">
        <f>G7/D7</f>
        <v>32.025317426932027</v>
      </c>
      <c r="I7" s="3">
        <f>F7-G7</f>
        <v>25252.70736</v>
      </c>
      <c r="J7" s="26">
        <f>E7-H7</f>
        <v>16.574682573067975</v>
      </c>
      <c r="K7" s="27">
        <v>45817</v>
      </c>
      <c r="L7">
        <f>DAYS360(K7,$C$1)</f>
        <v>80</v>
      </c>
      <c r="M7" s="5">
        <f>(I7/G7)</f>
        <v>0.5175493610917129</v>
      </c>
      <c r="N7">
        <v>23</v>
      </c>
      <c r="O7">
        <v>99</v>
      </c>
      <c r="P7" s="63">
        <v>8</v>
      </c>
      <c r="Q7" s="28">
        <v>32.700000000000003</v>
      </c>
      <c r="R7" s="29">
        <f>Q7*0.93</f>
        <v>30.411000000000005</v>
      </c>
      <c r="S7" s="29">
        <v>26.45</v>
      </c>
      <c r="T7" s="28">
        <f>Q7*1.25</f>
        <v>40.875</v>
      </c>
      <c r="U7" s="28">
        <f>Q7*1.5</f>
        <v>49.050000000000004</v>
      </c>
      <c r="V7" s="28">
        <f>Q7*2</f>
        <v>65.400000000000006</v>
      </c>
      <c r="W7" s="28">
        <f>H7-(H7*0.07)</f>
        <v>29.783545207046785</v>
      </c>
      <c r="X7" s="29">
        <v>41</v>
      </c>
      <c r="Y7" s="5">
        <f>(X7-H7)/H7</f>
        <v>0.28023711532428464</v>
      </c>
      <c r="Z7" s="6">
        <f>F7/F$20</f>
        <v>0.13031840784821483</v>
      </c>
      <c r="AB7" s="58">
        <v>45979</v>
      </c>
      <c r="AC7" s="63">
        <v>82</v>
      </c>
    </row>
    <row r="8" spans="1:29" x14ac:dyDescent="0.25">
      <c r="A8" t="s">
        <v>126</v>
      </c>
      <c r="B8" t="s">
        <v>30</v>
      </c>
      <c r="C8" s="25" t="s">
        <v>127</v>
      </c>
      <c r="D8" s="2">
        <f>344.4515+240</f>
        <v>584.45150000000001</v>
      </c>
      <c r="E8" s="26">
        <v>123.06</v>
      </c>
      <c r="F8" s="3">
        <f>E8*D8</f>
        <v>71922.601590000006</v>
      </c>
      <c r="G8" s="3">
        <f>30563.18+23352</f>
        <v>53915.18</v>
      </c>
      <c r="H8" s="4">
        <f>G8/D8</f>
        <v>92.249194330068448</v>
      </c>
      <c r="I8" s="3">
        <f>F8-G8</f>
        <v>18007.421590000005</v>
      </c>
      <c r="J8" s="26">
        <f>E8-H8</f>
        <v>30.810805669931554</v>
      </c>
      <c r="K8" s="27">
        <v>45840</v>
      </c>
      <c r="L8">
        <f>DAYS360(K8,$C$1)</f>
        <v>57</v>
      </c>
      <c r="M8" s="5">
        <f>(I8/G8)</f>
        <v>0.33399539035203085</v>
      </c>
      <c r="N8">
        <v>5</v>
      </c>
      <c r="O8">
        <v>98</v>
      </c>
      <c r="P8" s="63">
        <v>80</v>
      </c>
      <c r="Q8" s="28">
        <v>80.989999999999995</v>
      </c>
      <c r="R8" s="29">
        <f>Q8*0.93</f>
        <v>75.320700000000002</v>
      </c>
      <c r="S8" s="29">
        <v>81.72</v>
      </c>
      <c r="T8" s="31">
        <f>Q8*1.25</f>
        <v>101.2375</v>
      </c>
      <c r="U8" s="28">
        <f>Q8*1.5</f>
        <v>121.48499999999999</v>
      </c>
      <c r="V8" s="28">
        <f>Q8*2</f>
        <v>161.97999999999999</v>
      </c>
      <c r="W8" s="28">
        <f>H8-(H8*0.07)</f>
        <v>85.791750726963656</v>
      </c>
      <c r="X8" s="29">
        <v>102</v>
      </c>
      <c r="Y8" s="5">
        <f>(X8-H8)/H8</f>
        <v>0.1057007136023658</v>
      </c>
      <c r="Z8" s="6">
        <f>F8/F$20</f>
        <v>0.1265820597776941</v>
      </c>
      <c r="AB8" s="60">
        <v>45903</v>
      </c>
      <c r="AC8" s="9">
        <v>99</v>
      </c>
    </row>
    <row r="9" spans="1:29" x14ac:dyDescent="0.25">
      <c r="A9" t="s">
        <v>128</v>
      </c>
      <c r="B9" t="s">
        <v>30</v>
      </c>
      <c r="C9" s="25" t="s">
        <v>129</v>
      </c>
      <c r="D9" s="2">
        <f>786.7766+525.5828</f>
        <v>1312.3594000000001</v>
      </c>
      <c r="E9" s="26">
        <v>49.9</v>
      </c>
      <c r="F9" s="3">
        <f>E9*D9</f>
        <v>65486.734060000003</v>
      </c>
      <c r="G9" s="3">
        <f>30514.1+21675.87</f>
        <v>52189.97</v>
      </c>
      <c r="H9" s="4">
        <f>G9/D9</f>
        <v>39.768046771334134</v>
      </c>
      <c r="I9" s="3">
        <f>F9-G9</f>
        <v>13296.764060000001</v>
      </c>
      <c r="J9" s="26">
        <f>E9-H9</f>
        <v>10.131953228665864</v>
      </c>
      <c r="K9" s="27">
        <v>45840</v>
      </c>
      <c r="L9">
        <f>DAYS360(K9,$C$1)</f>
        <v>57</v>
      </c>
      <c r="M9" s="5">
        <f>(I9/G9)</f>
        <v>0.25477623497388485</v>
      </c>
      <c r="N9">
        <v>16</v>
      </c>
      <c r="O9">
        <v>97</v>
      </c>
      <c r="P9" s="64">
        <v>80</v>
      </c>
      <c r="Q9" s="28">
        <v>37.89</v>
      </c>
      <c r="R9" s="29">
        <f>Q9*0.93</f>
        <v>35.237700000000004</v>
      </c>
      <c r="S9" s="29">
        <v>34.869999999999997</v>
      </c>
      <c r="T9" s="31">
        <f>Q9*1.25</f>
        <v>47.362499999999997</v>
      </c>
      <c r="U9" s="28">
        <f>Q9*1.5</f>
        <v>56.835000000000001</v>
      </c>
      <c r="V9" s="28">
        <f>Q9*2</f>
        <v>75.78</v>
      </c>
      <c r="W9" s="28">
        <f>H9-(H9*0.07)</f>
        <v>36.984283497340748</v>
      </c>
      <c r="X9" s="29">
        <v>45</v>
      </c>
      <c r="Y9" s="5">
        <f>(X9-H9)/H9</f>
        <v>0.13156173494638909</v>
      </c>
      <c r="Z9" s="6">
        <f>F9/F$20</f>
        <v>0.11525508674843912</v>
      </c>
      <c r="AB9" s="58">
        <v>45959</v>
      </c>
      <c r="AC9" s="9">
        <v>97</v>
      </c>
    </row>
    <row r="10" spans="1:29" x14ac:dyDescent="0.25">
      <c r="A10" t="s">
        <v>69</v>
      </c>
      <c r="B10" t="s">
        <v>30</v>
      </c>
      <c r="C10" s="25" t="s">
        <v>70</v>
      </c>
      <c r="D10" s="2">
        <v>682.05550000000005</v>
      </c>
      <c r="E10" s="26">
        <v>73.64</v>
      </c>
      <c r="F10" s="3">
        <f>E10*D10</f>
        <v>50226.567020000002</v>
      </c>
      <c r="G10" s="3">
        <v>43555.21</v>
      </c>
      <c r="H10" s="4">
        <f>G10/D10</f>
        <v>63.85874756526411</v>
      </c>
      <c r="I10" s="3">
        <f>F10-G10</f>
        <v>6671.3570200000031</v>
      </c>
      <c r="J10" s="26">
        <f>E10-H10</f>
        <v>9.7812524347358902</v>
      </c>
      <c r="K10" s="27">
        <v>45854</v>
      </c>
      <c r="L10">
        <f>DAYS360(K10,$C$1)</f>
        <v>43</v>
      </c>
      <c r="M10" s="5">
        <f>(I10/G10)</f>
        <v>0.15317012637523739</v>
      </c>
      <c r="N10">
        <v>1</v>
      </c>
      <c r="O10">
        <v>99</v>
      </c>
      <c r="P10" s="63">
        <v>46</v>
      </c>
      <c r="Q10" s="28">
        <v>58.69</v>
      </c>
      <c r="R10" s="29">
        <f>Q10*0.93</f>
        <v>54.581699999999998</v>
      </c>
      <c r="S10" s="29">
        <v>50.08</v>
      </c>
      <c r="T10" s="31">
        <f>Q10*1.25</f>
        <v>73.362499999999997</v>
      </c>
      <c r="U10" s="28">
        <f>Q10*1.5</f>
        <v>88.034999999999997</v>
      </c>
      <c r="V10" s="28">
        <f>Q10*2</f>
        <v>117.38</v>
      </c>
      <c r="W10" s="28">
        <f>H10-(H10*0.07)</f>
        <v>59.388635235695624</v>
      </c>
      <c r="X10" s="29">
        <v>66</v>
      </c>
      <c r="Y10" s="5">
        <f>(X10-H10)/H10</f>
        <v>3.353107469806723E-2</v>
      </c>
      <c r="Z10" s="32">
        <f>F10/F$20</f>
        <v>8.8397557490995635E-2</v>
      </c>
      <c r="AB10" s="58">
        <v>45974</v>
      </c>
      <c r="AC10" s="9">
        <v>91</v>
      </c>
    </row>
    <row r="11" spans="1:29" x14ac:dyDescent="0.25">
      <c r="A11" t="s">
        <v>134</v>
      </c>
      <c r="B11" t="s">
        <v>30</v>
      </c>
      <c r="C11" s="25" t="s">
        <v>135</v>
      </c>
      <c r="D11" s="2">
        <v>148.3219</v>
      </c>
      <c r="E11" s="26">
        <v>478.59</v>
      </c>
      <c r="F11" s="3">
        <f>E11*D11</f>
        <v>70985.378121000002</v>
      </c>
      <c r="G11" s="3">
        <v>68650.22</v>
      </c>
      <c r="H11" s="4">
        <f>G11/D11</f>
        <v>462.8461474670969</v>
      </c>
      <c r="I11" s="3">
        <f>F11-G11</f>
        <v>2335.1581210000004</v>
      </c>
      <c r="J11" s="26">
        <f>E11-H11</f>
        <v>15.743852532903077</v>
      </c>
      <c r="K11" s="27">
        <v>45895</v>
      </c>
      <c r="L11">
        <f>DAYS360(K11,$C$1)</f>
        <v>3</v>
      </c>
      <c r="M11" s="5">
        <f>(I11/G11)</f>
        <v>3.4015304262681172E-2</v>
      </c>
      <c r="N11">
        <v>61</v>
      </c>
      <c r="O11">
        <v>97</v>
      </c>
      <c r="P11" s="33">
        <v>81</v>
      </c>
      <c r="Q11" s="28">
        <v>473.7</v>
      </c>
      <c r="R11" s="29">
        <f>Q11*0.93</f>
        <v>440.541</v>
      </c>
      <c r="S11" s="29">
        <v>385.19</v>
      </c>
      <c r="T11" s="28">
        <f>Q11*1.25</f>
        <v>592.125</v>
      </c>
      <c r="U11" s="28">
        <f>Q11*1.5</f>
        <v>710.55</v>
      </c>
      <c r="V11" s="28">
        <f>Q11*2</f>
        <v>947.4</v>
      </c>
      <c r="W11" s="28">
        <f>H11-(H11*0.07)</f>
        <v>430.44691714440012</v>
      </c>
      <c r="X11" s="29">
        <v>400</v>
      </c>
      <c r="Y11" s="5">
        <f>(X11-H11)/H11</f>
        <v>-0.13578193922758003</v>
      </c>
      <c r="Z11" s="32">
        <f>F11/F$20</f>
        <v>0.12493256887281405</v>
      </c>
      <c r="AB11" s="58">
        <v>45966</v>
      </c>
      <c r="AC11" s="9">
        <v>99</v>
      </c>
    </row>
    <row r="12" spans="1:29" x14ac:dyDescent="0.25">
      <c r="A12" t="s">
        <v>136</v>
      </c>
      <c r="B12" t="s">
        <v>30</v>
      </c>
      <c r="C12" s="25" t="s">
        <v>137</v>
      </c>
      <c r="D12" s="2">
        <v>287.49</v>
      </c>
      <c r="E12" s="26">
        <v>199.25</v>
      </c>
      <c r="F12" s="3">
        <f t="shared" ref="F12:F17" si="0">E12*D12</f>
        <v>57282.3825</v>
      </c>
      <c r="G12" s="3">
        <v>57158.76</v>
      </c>
      <c r="H12" s="4">
        <f t="shared" ref="H12:H17" si="1">G12/D12</f>
        <v>198.81999373891267</v>
      </c>
      <c r="I12" s="3">
        <f t="shared" ref="I12:I17" si="2">F12-G12</f>
        <v>123.62249999999767</v>
      </c>
      <c r="J12" s="26">
        <f t="shared" ref="J12:J17" si="3">E12-H12</f>
        <v>0.43000626108732831</v>
      </c>
      <c r="K12" s="27">
        <v>45895</v>
      </c>
      <c r="L12">
        <f t="shared" ref="L12:L17" si="4">DAYS360(K12,$C$1)</f>
        <v>3</v>
      </c>
      <c r="M12" s="5">
        <f t="shared" ref="M12:M17" si="5">(I12/G12)</f>
        <v>2.1627918450294876E-3</v>
      </c>
      <c r="N12">
        <v>30</v>
      </c>
      <c r="O12">
        <v>78</v>
      </c>
      <c r="P12" s="63">
        <v>91</v>
      </c>
      <c r="Q12" s="28">
        <v>183.05</v>
      </c>
      <c r="R12" s="29">
        <f t="shared" ref="R12:R17" si="6">Q12*0.93</f>
        <v>170.23650000000001</v>
      </c>
      <c r="S12" s="29">
        <v>185.05</v>
      </c>
      <c r="T12" s="31">
        <f t="shared" ref="T12:T17" si="7">Q12*1.25</f>
        <v>228.8125</v>
      </c>
      <c r="U12" s="28">
        <f t="shared" ref="U12:U17" si="8">Q12*1.5</f>
        <v>274.57500000000005</v>
      </c>
      <c r="V12" s="28">
        <f t="shared" ref="V12:V17" si="9">Q12*2</f>
        <v>366.1</v>
      </c>
      <c r="W12" s="28">
        <f t="shared" ref="W12:W17" si="10">H12-(H12*0.07)</f>
        <v>184.90259417718877</v>
      </c>
      <c r="X12" s="29">
        <v>189</v>
      </c>
      <c r="Y12" s="5">
        <f t="shared" ref="Y12:Y17" si="11">(X12-H12)/H12</f>
        <v>-4.939137937911886E-2</v>
      </c>
      <c r="Z12" s="6">
        <f t="shared" ref="Z12:Z17" si="12">F12/F$20</f>
        <v>0.10081562409488666</v>
      </c>
      <c r="AB12" s="58">
        <v>45953</v>
      </c>
      <c r="AC12" s="9">
        <v>98</v>
      </c>
    </row>
    <row r="13" spans="1:29" x14ac:dyDescent="0.25">
      <c r="A13" t="s">
        <v>138</v>
      </c>
      <c r="B13" t="s">
        <v>30</v>
      </c>
      <c r="C13" s="25" t="s">
        <v>139</v>
      </c>
      <c r="D13" s="2">
        <v>345.54309999999998</v>
      </c>
      <c r="E13" s="26">
        <v>127.55</v>
      </c>
      <c r="F13" s="3">
        <f t="shared" si="0"/>
        <v>44074.022404999996</v>
      </c>
      <c r="G13" s="3">
        <v>46296.99</v>
      </c>
      <c r="H13" s="4">
        <f t="shared" si="1"/>
        <v>133.9832570813887</v>
      </c>
      <c r="I13" s="3">
        <f t="shared" si="2"/>
        <v>-2222.9675950000019</v>
      </c>
      <c r="J13" s="26">
        <f t="shared" si="3"/>
        <v>-6.4332570813887031</v>
      </c>
      <c r="K13" s="27">
        <v>45897</v>
      </c>
      <c r="L13">
        <f t="shared" si="4"/>
        <v>1</v>
      </c>
      <c r="M13" s="5">
        <f t="shared" si="5"/>
        <v>-4.801538058953729E-2</v>
      </c>
      <c r="N13">
        <v>16</v>
      </c>
      <c r="O13">
        <v>85</v>
      </c>
      <c r="P13" s="63">
        <v>98</v>
      </c>
      <c r="Q13" s="28">
        <v>153.5</v>
      </c>
      <c r="R13" s="29">
        <f t="shared" si="6"/>
        <v>142.755</v>
      </c>
      <c r="S13" s="29">
        <v>121.41</v>
      </c>
      <c r="T13" s="28">
        <f t="shared" si="7"/>
        <v>191.875</v>
      </c>
      <c r="U13" s="28">
        <f t="shared" si="8"/>
        <v>230.25</v>
      </c>
      <c r="V13" s="28">
        <f t="shared" si="9"/>
        <v>307</v>
      </c>
      <c r="W13" s="28">
        <f t="shared" si="10"/>
        <v>124.60442908569149</v>
      </c>
      <c r="X13" s="29">
        <v>125</v>
      </c>
      <c r="Y13" s="5">
        <f t="shared" si="11"/>
        <v>-6.7047609358621446E-2</v>
      </c>
      <c r="Z13" s="6">
        <f t="shared" si="12"/>
        <v>7.7569226020445151E-2</v>
      </c>
      <c r="AB13" s="58">
        <v>45952</v>
      </c>
      <c r="AC13" s="9">
        <v>98</v>
      </c>
    </row>
    <row r="14" spans="1:29" x14ac:dyDescent="0.25">
      <c r="A14" t="s">
        <v>140</v>
      </c>
      <c r="B14" t="s">
        <v>30</v>
      </c>
      <c r="C14" s="25" t="s">
        <v>141</v>
      </c>
      <c r="D14" s="2">
        <v>595.15819999999997</v>
      </c>
      <c r="E14" s="26">
        <v>77.39</v>
      </c>
      <c r="F14" s="3">
        <f t="shared" si="0"/>
        <v>46059.293097999995</v>
      </c>
      <c r="G14" s="3">
        <v>46827.05</v>
      </c>
      <c r="H14" s="4">
        <f t="shared" si="1"/>
        <v>78.680004744956904</v>
      </c>
      <c r="I14" s="3">
        <f t="shared" si="2"/>
        <v>-767.75690200000827</v>
      </c>
      <c r="J14" s="26">
        <f t="shared" si="3"/>
        <v>-1.290004744956903</v>
      </c>
      <c r="K14" s="27">
        <v>45897</v>
      </c>
      <c r="L14">
        <f t="shared" si="4"/>
        <v>1</v>
      </c>
      <c r="M14" s="5">
        <f t="shared" si="5"/>
        <v>-1.6395585500261243E-2</v>
      </c>
      <c r="N14">
        <v>2</v>
      </c>
      <c r="O14">
        <v>94</v>
      </c>
      <c r="P14" s="63">
        <v>99</v>
      </c>
      <c r="Q14" s="28">
        <v>78.959999999999994</v>
      </c>
      <c r="R14" s="29">
        <f t="shared" si="6"/>
        <v>73.4328</v>
      </c>
      <c r="S14" s="29">
        <v>68.959999999999994</v>
      </c>
      <c r="T14" s="28">
        <f t="shared" si="7"/>
        <v>98.699999999999989</v>
      </c>
      <c r="U14" s="28">
        <f t="shared" si="8"/>
        <v>118.44</v>
      </c>
      <c r="V14" s="28">
        <f t="shared" si="9"/>
        <v>157.91999999999999</v>
      </c>
      <c r="W14" s="28">
        <f t="shared" si="10"/>
        <v>73.172404412809925</v>
      </c>
      <c r="X14" s="29">
        <v>72</v>
      </c>
      <c r="Y14" s="5">
        <f t="shared" si="11"/>
        <v>-8.4900919447200046E-2</v>
      </c>
      <c r="Z14" s="6">
        <f t="shared" si="12"/>
        <v>8.1063254990208819E-2</v>
      </c>
      <c r="AB14" s="58">
        <v>45966</v>
      </c>
      <c r="AC14" s="9">
        <v>99</v>
      </c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45239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45239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2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45239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480082.53425400006</v>
      </c>
      <c r="G18" s="3">
        <f>SUM(G6:G17)</f>
        <v>417386.22810000001</v>
      </c>
      <c r="H18" s="4"/>
      <c r="I18" s="3">
        <f>SUM(I6:I17)</f>
        <v>62696.306153999998</v>
      </c>
      <c r="M18" s="5"/>
      <c r="Z18" s="6"/>
    </row>
    <row r="19" spans="1:29" x14ac:dyDescent="0.25">
      <c r="D19" s="2" t="s">
        <v>44</v>
      </c>
      <c r="F19" s="3">
        <v>88107</v>
      </c>
      <c r="G19" s="6">
        <f>F19/F20</f>
        <v>0.15506621415630154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568189.53425400006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'08-22-25'!F20</f>
        <v>555846.37496000004</v>
      </c>
      <c r="K21" s="1">
        <v>45657</v>
      </c>
      <c r="L21" s="50">
        <v>170762</v>
      </c>
      <c r="M21" s="50">
        <v>196592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2.2206062412277589E-2</v>
      </c>
      <c r="K22" s="9" t="s">
        <v>123</v>
      </c>
      <c r="L22" s="6">
        <f>(M21-L21)/L21</f>
        <v>0.15126316159332873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4">F28/D28</f>
        <v>44.698790833464948</v>
      </c>
      <c r="F28" s="3">
        <v>56489.42</v>
      </c>
      <c r="G28" s="56">
        <v>75501.87</v>
      </c>
      <c r="H28" s="57">
        <f t="shared" ref="H28:H56" si="15">G28/D28</f>
        <v>59.742909285764696</v>
      </c>
      <c r="I28" s="57">
        <f t="shared" ref="I28:I56" si="16">G28-F28</f>
        <v>19012.449999999997</v>
      </c>
      <c r="J28" s="6">
        <f t="shared" ref="J28:J56" si="17">I28/F28</f>
        <v>0.33656656414599401</v>
      </c>
      <c r="K28" s="1">
        <v>45527</v>
      </c>
      <c r="L28" s="1">
        <v>45688</v>
      </c>
      <c r="M28">
        <f t="shared" si="13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4"/>
        <v>169.90901206845703</v>
      </c>
      <c r="F29" s="3">
        <f>59492.79+21969.78</f>
        <v>81462.570000000007</v>
      </c>
      <c r="G29" s="56">
        <v>65047.58</v>
      </c>
      <c r="H29" s="57">
        <f t="shared" si="15"/>
        <v>135.67175765807443</v>
      </c>
      <c r="I29" s="57">
        <f t="shared" si="16"/>
        <v>-16414.990000000005</v>
      </c>
      <c r="J29" s="6">
        <f t="shared" si="17"/>
        <v>-0.20150346349249729</v>
      </c>
      <c r="K29" s="1">
        <v>45671</v>
      </c>
      <c r="L29" s="1">
        <v>45688</v>
      </c>
      <c r="M29">
        <f t="shared" si="13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4"/>
        <v>18.702010092477405</v>
      </c>
      <c r="F30" s="3">
        <v>56486.59</v>
      </c>
      <c r="G30" s="56">
        <v>71124.88</v>
      </c>
      <c r="H30" s="57">
        <f t="shared" si="15"/>
        <v>23.548566546258936</v>
      </c>
      <c r="I30" s="57">
        <f t="shared" si="16"/>
        <v>14638.290000000008</v>
      </c>
      <c r="J30" s="6">
        <f t="shared" si="17"/>
        <v>0.25914628587068206</v>
      </c>
      <c r="K30" s="1">
        <v>45527</v>
      </c>
      <c r="L30" s="1">
        <v>45691</v>
      </c>
      <c r="M30">
        <f t="shared" si="13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4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5"/>
        <v>38.249853000000002</v>
      </c>
      <c r="I31" s="57">
        <f t="shared" si="16"/>
        <v>-6110.386336591735</v>
      </c>
      <c r="J31" s="6">
        <f t="shared" si="17"/>
        <v>-0.10005621882176895</v>
      </c>
      <c r="K31" s="1">
        <v>45706</v>
      </c>
      <c r="L31" s="1">
        <v>45708</v>
      </c>
      <c r="M31">
        <f t="shared" si="13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4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5"/>
        <v>531.63995279999995</v>
      </c>
      <c r="I32" s="57">
        <f t="shared" si="16"/>
        <v>-22176.243614196137</v>
      </c>
      <c r="J32" s="6">
        <f t="shared" si="17"/>
        <v>-0.24194911929355969</v>
      </c>
      <c r="K32" s="1">
        <v>45706</v>
      </c>
      <c r="L32" s="1">
        <v>45708</v>
      </c>
      <c r="M32">
        <f t="shared" si="13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4"/>
        <v>368.56522253629635</v>
      </c>
      <c r="F33" s="3">
        <v>74438.86</v>
      </c>
      <c r="G33" s="56">
        <f>201.9693*360.5332483</f>
        <v>72816.647785877198</v>
      </c>
      <c r="H33" s="57">
        <f t="shared" si="15"/>
        <v>360.53324830000003</v>
      </c>
      <c r="I33" s="57">
        <f t="shared" si="16"/>
        <v>-1622.2122141228028</v>
      </c>
      <c r="J33" s="6">
        <f t="shared" si="17"/>
        <v>-2.1792545105107773E-2</v>
      </c>
      <c r="K33" s="1">
        <v>45664</v>
      </c>
      <c r="L33" s="1">
        <v>45708</v>
      </c>
      <c r="M33">
        <f t="shared" si="13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4"/>
        <v>30.17825528482809</v>
      </c>
      <c r="F34" s="3">
        <v>37884.65</v>
      </c>
      <c r="G34" s="56">
        <f>1255.3625*39.762296</f>
        <v>49916.0953123</v>
      </c>
      <c r="H34" s="57">
        <f t="shared" si="15"/>
        <v>39.762295999999999</v>
      </c>
      <c r="I34" s="57">
        <f t="shared" si="16"/>
        <v>12031.445312299998</v>
      </c>
      <c r="J34" s="6">
        <f t="shared" si="17"/>
        <v>0.31758100740801348</v>
      </c>
      <c r="K34" s="1">
        <v>45663</v>
      </c>
      <c r="L34" s="1">
        <v>45709</v>
      </c>
      <c r="M34">
        <f t="shared" si="13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4"/>
        <v>242.26930551548847</v>
      </c>
      <c r="F35" s="3">
        <v>61221.72</v>
      </c>
      <c r="G35" s="56">
        <f>252.7011*226.6146532</f>
        <v>57265.772139758519</v>
      </c>
      <c r="H35" s="57">
        <f t="shared" si="15"/>
        <v>226.61465319999999</v>
      </c>
      <c r="I35" s="57">
        <f t="shared" si="16"/>
        <v>-3955.947860241482</v>
      </c>
      <c r="J35" s="6">
        <f t="shared" si="17"/>
        <v>-6.4616738311852093E-2</v>
      </c>
      <c r="K35" s="1">
        <v>45699</v>
      </c>
      <c r="L35" s="1">
        <v>45709</v>
      </c>
      <c r="M35">
        <f t="shared" si="13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4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5"/>
        <v>283.93999450000007</v>
      </c>
      <c r="I36" s="57">
        <f t="shared" si="16"/>
        <v>19563.525282954361</v>
      </c>
      <c r="J36" s="6">
        <f t="shared" si="17"/>
        <v>0.36434300703793465</v>
      </c>
      <c r="K36" s="1">
        <v>45580</v>
      </c>
      <c r="L36" s="1">
        <v>45712</v>
      </c>
      <c r="M36">
        <f t="shared" si="13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4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5"/>
        <v>63.365330900000004</v>
      </c>
      <c r="I37" s="57">
        <f t="shared" si="16"/>
        <v>-4549.5912833559851</v>
      </c>
      <c r="J37" s="6">
        <f t="shared" si="17"/>
        <v>-5.9638082078758516E-2</v>
      </c>
      <c r="K37" s="1">
        <v>45673</v>
      </c>
      <c r="L37" s="1">
        <v>45712</v>
      </c>
      <c r="M37">
        <f t="shared" si="13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5"/>
        <v>50.021380499999999</v>
      </c>
      <c r="I38" s="57">
        <f t="shared" si="16"/>
        <v>6027.2875116823998</v>
      </c>
      <c r="J38" s="6">
        <f t="shared" si="17"/>
        <v>9.9771440635884723E-2</v>
      </c>
      <c r="K38" s="1">
        <v>45593</v>
      </c>
      <c r="L38" s="1">
        <v>45713</v>
      </c>
      <c r="M38">
        <f t="shared" si="13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5"/>
        <v>12.519992000000002</v>
      </c>
      <c r="I39" s="57">
        <f t="shared" si="16"/>
        <v>-2230.6527810991975</v>
      </c>
      <c r="J39" s="6">
        <f t="shared" si="17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5"/>
        <v>94.679995300000002</v>
      </c>
      <c r="I40" s="57">
        <f t="shared" si="16"/>
        <v>-4750.690604140058</v>
      </c>
      <c r="J40" s="6">
        <f t="shared" si="17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56" si="18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5"/>
        <v>18.9477051</v>
      </c>
      <c r="I41" s="57">
        <f t="shared" si="16"/>
        <v>-2244.5195874142191</v>
      </c>
      <c r="J41" s="6">
        <f t="shared" si="17"/>
        <v>-8.2776138273503941E-2</v>
      </c>
      <c r="K41" s="1">
        <v>45761</v>
      </c>
      <c r="L41" s="1">
        <v>45768</v>
      </c>
      <c r="M41">
        <f t="shared" ref="M41:M56" si="19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8"/>
        <v>96.336406065231671</v>
      </c>
      <c r="F42" s="3">
        <v>34004.42</v>
      </c>
      <c r="G42" s="56">
        <f>352.9758*89.7849585</f>
        <v>31691.9175545043</v>
      </c>
      <c r="H42" s="57">
        <f t="shared" si="15"/>
        <v>89.784958500000002</v>
      </c>
      <c r="I42" s="57">
        <f t="shared" si="16"/>
        <v>-2312.5024454956983</v>
      </c>
      <c r="J42" s="6">
        <f t="shared" si="17"/>
        <v>-6.8005937036882222E-2</v>
      </c>
      <c r="K42" s="1">
        <v>45762</v>
      </c>
      <c r="L42" s="1">
        <v>45768</v>
      </c>
      <c r="M42">
        <f t="shared" si="19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8"/>
        <v>16.992624876012847</v>
      </c>
      <c r="F43" s="3">
        <v>37971.83</v>
      </c>
      <c r="G43" s="56">
        <f>2234.6065*13.3067232</f>
        <v>29735.2901564208</v>
      </c>
      <c r="H43" s="57">
        <f t="shared" si="15"/>
        <v>13.3067232</v>
      </c>
      <c r="I43" s="57">
        <f t="shared" si="16"/>
        <v>-8236.5398435792013</v>
      </c>
      <c r="J43" s="6">
        <f t="shared" si="17"/>
        <v>-0.21691184869360261</v>
      </c>
      <c r="K43" s="1">
        <v>45652</v>
      </c>
      <c r="L43" s="1">
        <v>45785</v>
      </c>
      <c r="M43">
        <f t="shared" si="19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8"/>
        <v>38.101812248436303</v>
      </c>
      <c r="F44" s="3">
        <v>21940.86</v>
      </c>
      <c r="G44" s="56">
        <f>575.8482*32.7857042</f>
        <v>18879.588749302438</v>
      </c>
      <c r="H44" s="57">
        <f t="shared" si="15"/>
        <v>32.785704199999998</v>
      </c>
      <c r="I44" s="57">
        <f t="shared" si="16"/>
        <v>-3061.2712506975622</v>
      </c>
      <c r="J44" s="6">
        <f t="shared" si="17"/>
        <v>-0.13952375844417958</v>
      </c>
      <c r="K44" s="1">
        <v>45761</v>
      </c>
      <c r="L44" s="1">
        <v>45790</v>
      </c>
      <c r="M44">
        <f t="shared" si="19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8"/>
        <v>24.570291674143743</v>
      </c>
      <c r="F45" s="3">
        <v>23591.34</v>
      </c>
      <c r="G45" s="56">
        <v>19396.37</v>
      </c>
      <c r="H45" s="57">
        <f t="shared" si="15"/>
        <v>20.201246233559068</v>
      </c>
      <c r="I45" s="57">
        <f t="shared" si="16"/>
        <v>-4194.9700000000012</v>
      </c>
      <c r="J45" s="6">
        <f t="shared" si="17"/>
        <v>-0.17781821634548953</v>
      </c>
      <c r="K45" s="1">
        <v>45776</v>
      </c>
      <c r="L45" s="1">
        <v>45812</v>
      </c>
      <c r="M45">
        <f t="shared" si="19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8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5"/>
        <v>84.038907800000004</v>
      </c>
      <c r="I46" s="57">
        <f t="shared" si="16"/>
        <v>-3907.8121523372101</v>
      </c>
      <c r="J46" s="6">
        <f t="shared" si="17"/>
        <v>-0.14246372001691271</v>
      </c>
      <c r="K46" s="1">
        <v>45782</v>
      </c>
      <c r="L46" s="1">
        <v>45818</v>
      </c>
      <c r="M46">
        <f t="shared" si="19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8"/>
        <v>40.437100849618155</v>
      </c>
      <c r="F47" s="3">
        <f>22877.09+14244.67</f>
        <v>37121.760000000002</v>
      </c>
      <c r="G47" s="56">
        <v>34659.56</v>
      </c>
      <c r="H47" s="57">
        <f t="shared" si="15"/>
        <v>37.755002002151599</v>
      </c>
      <c r="I47" s="57">
        <f t="shared" si="16"/>
        <v>-2462.2000000000044</v>
      </c>
      <c r="J47" s="6">
        <f t="shared" si="17"/>
        <v>-6.6327674118899643E-2</v>
      </c>
      <c r="K47" s="1">
        <v>45782</v>
      </c>
      <c r="L47" s="1">
        <v>45828</v>
      </c>
      <c r="M47">
        <f t="shared" si="19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18"/>
        <v>123.70183817297092</v>
      </c>
      <c r="F48" s="3">
        <f>22876.67+14197.82+14808.77</f>
        <v>51883.259999999995</v>
      </c>
      <c r="G48" s="56">
        <v>55156.07</v>
      </c>
      <c r="H48" s="57">
        <f t="shared" si="15"/>
        <v>131.50498340692272</v>
      </c>
      <c r="I48" s="57">
        <f t="shared" si="16"/>
        <v>3272.8100000000049</v>
      </c>
      <c r="J48" s="6">
        <f t="shared" si="17"/>
        <v>6.3080269050171583E-2</v>
      </c>
      <c r="K48" s="1">
        <v>45782</v>
      </c>
      <c r="L48" s="1">
        <v>45839</v>
      </c>
      <c r="M48">
        <f t="shared" si="19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18"/>
        <v>63.194998844628557</v>
      </c>
      <c r="F49" s="3">
        <v>36072.47</v>
      </c>
      <c r="G49" s="56">
        <v>51786.91</v>
      </c>
      <c r="H49" s="57">
        <f t="shared" si="15"/>
        <v>90.724968864535285</v>
      </c>
      <c r="I49" s="57">
        <f t="shared" si="16"/>
        <v>15714.440000000002</v>
      </c>
      <c r="J49" s="6">
        <f t="shared" si="17"/>
        <v>0.43563526423336141</v>
      </c>
      <c r="K49" s="1">
        <v>45796</v>
      </c>
      <c r="L49" s="1">
        <v>45839</v>
      </c>
      <c r="M49">
        <f t="shared" si="19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18"/>
        <v>90.254808370121239</v>
      </c>
      <c r="F50" s="3">
        <f>35895.15+19479.74</f>
        <v>55374.89</v>
      </c>
      <c r="G50" s="56">
        <v>55236.959999999999</v>
      </c>
      <c r="H50" s="57">
        <f t="shared" si="15"/>
        <v>90.029998068584007</v>
      </c>
      <c r="I50" s="57">
        <f t="shared" si="16"/>
        <v>-137.93000000000029</v>
      </c>
      <c r="J50" s="6">
        <f t="shared" si="17"/>
        <v>-2.4908401623912986E-3</v>
      </c>
      <c r="K50" s="1">
        <v>45789</v>
      </c>
      <c r="L50" s="1">
        <v>45855</v>
      </c>
      <c r="M50">
        <f t="shared" si="19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18"/>
        <v>113.05354718581073</v>
      </c>
      <c r="F51" s="3">
        <v>45409.8</v>
      </c>
      <c r="G51" s="56">
        <v>41051.0026</v>
      </c>
      <c r="H51" s="57">
        <f t="shared" si="15"/>
        <v>102.2017595202784</v>
      </c>
      <c r="I51" s="57">
        <f t="shared" si="16"/>
        <v>-4358.7974000000031</v>
      </c>
      <c r="J51" s="6">
        <f t="shared" si="17"/>
        <v>-9.5988033420098803E-2</v>
      </c>
      <c r="K51" s="1">
        <v>45855</v>
      </c>
      <c r="L51" s="1">
        <v>45860</v>
      </c>
      <c r="M51">
        <f t="shared" si="19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18"/>
        <v>17.339829156069133</v>
      </c>
      <c r="F52" s="3">
        <v>22797.23</v>
      </c>
      <c r="G52" s="56">
        <v>18655.11</v>
      </c>
      <c r="H52" s="57">
        <f t="shared" si="15"/>
        <v>14.189286167121043</v>
      </c>
      <c r="I52" s="57">
        <f t="shared" si="16"/>
        <v>-4142.119999999999</v>
      </c>
      <c r="J52" s="6">
        <f t="shared" si="17"/>
        <v>-0.18169400405224664</v>
      </c>
      <c r="K52" s="1">
        <v>45861</v>
      </c>
      <c r="L52" s="1">
        <v>45870</v>
      </c>
      <c r="M52">
        <f t="shared" si="19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18"/>
        <v>74.757798491837917</v>
      </c>
      <c r="F53" s="3">
        <f>26856.13+12527.28</f>
        <v>39383.410000000003</v>
      </c>
      <c r="G53" s="56">
        <v>67176.488400000002</v>
      </c>
      <c r="H53" s="57">
        <f t="shared" si="15"/>
        <v>127.51476784759082</v>
      </c>
      <c r="I53" s="57">
        <f t="shared" si="16"/>
        <v>27793.078399999999</v>
      </c>
      <c r="J53" s="6">
        <f t="shared" si="17"/>
        <v>0.7057052296893539</v>
      </c>
      <c r="K53" s="1">
        <v>45789</v>
      </c>
      <c r="L53" s="1">
        <v>45870</v>
      </c>
      <c r="M53">
        <f t="shared" si="19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18"/>
        <v>22.651928580010882</v>
      </c>
      <c r="F54" s="3">
        <f>18821.97+11334.33+20180.34</f>
        <v>50336.639999999999</v>
      </c>
      <c r="G54" s="56">
        <v>42713.83</v>
      </c>
      <c r="H54" s="57">
        <f t="shared" si="15"/>
        <v>19.221597360068653</v>
      </c>
      <c r="I54" s="57">
        <f t="shared" si="16"/>
        <v>-7622.8099999999977</v>
      </c>
      <c r="J54" s="6">
        <f t="shared" si="17"/>
        <v>-0.15143660760829483</v>
      </c>
      <c r="K54" s="1">
        <v>45814</v>
      </c>
      <c r="L54" s="1">
        <v>45880</v>
      </c>
      <c r="M54">
        <f t="shared" si="19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18"/>
        <v>30.926801697408081</v>
      </c>
      <c r="F55" s="3">
        <f>(605.0016*29.7738017)+17708.65</f>
        <v>35721.847666582718</v>
      </c>
      <c r="G55" s="56">
        <v>42554.27</v>
      </c>
      <c r="H55" s="57">
        <f t="shared" si="15"/>
        <v>36.842088403482109</v>
      </c>
      <c r="I55" s="57">
        <f t="shared" si="16"/>
        <v>6832.4223334172784</v>
      </c>
      <c r="J55" s="6">
        <f t="shared" si="17"/>
        <v>0.1912673274123195</v>
      </c>
      <c r="K55" s="1">
        <v>45800</v>
      </c>
      <c r="L55" s="1">
        <v>45881</v>
      </c>
      <c r="M55">
        <f t="shared" si="19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18"/>
        <v>377.42204050678822</v>
      </c>
      <c r="F56" s="3">
        <f>34962.9+15401.92</f>
        <v>50364.82</v>
      </c>
      <c r="G56" s="56">
        <v>81517.961800000005</v>
      </c>
      <c r="H56" s="57">
        <f t="shared" si="15"/>
        <v>610.87631168959638</v>
      </c>
      <c r="I56" s="57">
        <f t="shared" si="16"/>
        <v>31153.141800000005</v>
      </c>
      <c r="J56" s="6">
        <f t="shared" si="17"/>
        <v>0.61854965033132259</v>
      </c>
      <c r="K56" s="1">
        <v>45771</v>
      </c>
      <c r="L56" s="1">
        <v>45884</v>
      </c>
      <c r="M56">
        <f t="shared" si="19"/>
        <v>111</v>
      </c>
    </row>
    <row r="57" spans="1:13" x14ac:dyDescent="0.25">
      <c r="C57" s="25"/>
      <c r="D57" s="2"/>
      <c r="E57" s="57"/>
      <c r="F57" s="3"/>
      <c r="G57" s="56"/>
      <c r="H57" s="57"/>
      <c r="I57" s="57"/>
      <c r="J57" s="6"/>
      <c r="K57" s="1"/>
      <c r="L57" s="1"/>
    </row>
    <row r="58" spans="1:13" x14ac:dyDescent="0.25">
      <c r="C58" s="25"/>
      <c r="D58" s="2"/>
      <c r="E58" s="57"/>
      <c r="F58" s="3"/>
      <c r="G58" s="56"/>
      <c r="H58" s="57"/>
      <c r="I58" s="57"/>
      <c r="J58" s="6"/>
      <c r="K58" s="1"/>
      <c r="L58" s="1"/>
    </row>
    <row r="59" spans="1:13" x14ac:dyDescent="0.25">
      <c r="C59" s="25"/>
      <c r="D59" s="2"/>
      <c r="E59" s="57"/>
      <c r="F59" s="3"/>
      <c r="G59" s="56"/>
      <c r="H59" s="57"/>
      <c r="I59" s="57"/>
      <c r="J59" s="6"/>
      <c r="K59" s="1"/>
      <c r="L59" s="1"/>
    </row>
    <row r="60" spans="1:13" x14ac:dyDescent="0.25">
      <c r="F60" s="56"/>
      <c r="G60" s="56"/>
      <c r="H60" s="3"/>
      <c r="I60" s="3">
        <f>SUM(I26:I59)</f>
        <v>43782.683267082757</v>
      </c>
      <c r="J60" s="13" t="s">
        <v>66</v>
      </c>
    </row>
    <row r="61" spans="1:13" x14ac:dyDescent="0.25">
      <c r="F61" s="56"/>
      <c r="G61" s="56"/>
      <c r="H61" s="3" t="s">
        <v>67</v>
      </c>
      <c r="I61" s="59">
        <v>21</v>
      </c>
      <c r="J61" s="5">
        <v>-0.10979999999999999</v>
      </c>
    </row>
    <row r="62" spans="1:13" x14ac:dyDescent="0.25">
      <c r="F62" s="56"/>
      <c r="G62" s="56"/>
      <c r="H62" s="3" t="s">
        <v>68</v>
      </c>
      <c r="I62" s="59">
        <v>10</v>
      </c>
      <c r="J62" s="5">
        <v>0.3392</v>
      </c>
    </row>
    <row r="63" spans="1:13" x14ac:dyDescent="0.25">
      <c r="F63" s="56"/>
      <c r="G63" s="56"/>
      <c r="J63" s="6"/>
    </row>
    <row r="64" spans="1:13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  <c r="J77" s="6"/>
    </row>
    <row r="78" spans="6:10" x14ac:dyDescent="0.25">
      <c r="F78" s="56"/>
      <c r="G78" s="56"/>
      <c r="J78" s="6"/>
    </row>
    <row r="79" spans="6:10" x14ac:dyDescent="0.25">
      <c r="F79" s="56"/>
      <c r="G79" s="56"/>
      <c r="J79" s="6"/>
    </row>
    <row r="80" spans="6:10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</row>
    <row r="87" spans="6:10" x14ac:dyDescent="0.25">
      <c r="F87" s="56"/>
      <c r="G87" s="56"/>
    </row>
    <row r="88" spans="6:10" x14ac:dyDescent="0.25">
      <c r="F88" s="56"/>
      <c r="G88" s="56"/>
    </row>
    <row r="89" spans="6:10" x14ac:dyDescent="0.25">
      <c r="F89" s="56"/>
      <c r="G89" s="56"/>
    </row>
    <row r="90" spans="6:10" x14ac:dyDescent="0.25">
      <c r="F90" s="56"/>
      <c r="G90" s="56"/>
    </row>
    <row r="91" spans="6:10" x14ac:dyDescent="0.25">
      <c r="F91" s="56"/>
      <c r="G91" s="56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7096-E101-427D-A805-D6FEEDCC7CDE}">
  <dimension ref="A1:AC91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45905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124</v>
      </c>
      <c r="B7" t="s">
        <v>30</v>
      </c>
      <c r="C7" s="25" t="s">
        <v>125</v>
      </c>
      <c r="D7" s="2">
        <f>915.359+608.2121</f>
        <v>1523.5711000000001</v>
      </c>
      <c r="E7" s="26">
        <v>45.84</v>
      </c>
      <c r="F7" s="3">
        <f t="shared" ref="F7:F14" si="0">E7*D7</f>
        <v>69840.499224000014</v>
      </c>
      <c r="G7" s="3">
        <f>28630.6+20162.2481</f>
        <v>48792.848100000003</v>
      </c>
      <c r="H7" s="4">
        <f t="shared" ref="H7:H14" si="1">G7/D7</f>
        <v>32.025317426932027</v>
      </c>
      <c r="I7" s="3">
        <f t="shared" ref="I7:I14" si="2">F7-G7</f>
        <v>21047.651124000011</v>
      </c>
      <c r="J7" s="26">
        <f t="shared" ref="J7:J14" si="3">E7-H7</f>
        <v>13.814682573067977</v>
      </c>
      <c r="K7" s="27">
        <v>45817</v>
      </c>
      <c r="L7">
        <f t="shared" ref="L7:L14" si="4">DAYS360(K7,$C$1)</f>
        <v>86</v>
      </c>
      <c r="M7" s="5">
        <f t="shared" ref="M7:M14" si="5">(I7/G7)</f>
        <v>0.43136754552354178</v>
      </c>
      <c r="N7">
        <v>29</v>
      </c>
      <c r="O7">
        <v>99</v>
      </c>
      <c r="P7" s="63">
        <v>8</v>
      </c>
      <c r="Q7" s="28">
        <v>32.700000000000003</v>
      </c>
      <c r="R7" s="29">
        <f t="shared" ref="R7:R14" si="6">Q7*0.93</f>
        <v>30.411000000000005</v>
      </c>
      <c r="S7" s="29">
        <v>26.45</v>
      </c>
      <c r="T7" s="28">
        <f t="shared" ref="T7:T14" si="7">Q7*1.25</f>
        <v>40.875</v>
      </c>
      <c r="U7" s="28">
        <f t="shared" ref="U7:U14" si="8">Q7*1.5</f>
        <v>49.050000000000004</v>
      </c>
      <c r="V7" s="28">
        <f t="shared" ref="V7:V14" si="9">Q7*2</f>
        <v>65.400000000000006</v>
      </c>
      <c r="W7" s="28">
        <f t="shared" ref="W7:W14" si="10">H7-(H7*0.07)</f>
        <v>29.783545207046785</v>
      </c>
      <c r="X7" s="29">
        <v>42</v>
      </c>
      <c r="Y7" s="5">
        <f t="shared" ref="Y7:Y14" si="11">(X7-H7)/H7</f>
        <v>0.31146241081999892</v>
      </c>
      <c r="Z7" s="6">
        <f t="shared" ref="Z7:Z14" si="12">F7/F$20</f>
        <v>0.12261813941026253</v>
      </c>
      <c r="AB7" s="58">
        <v>45979</v>
      </c>
      <c r="AC7" s="63">
        <v>73</v>
      </c>
    </row>
    <row r="8" spans="1:29" x14ac:dyDescent="0.25">
      <c r="A8" t="s">
        <v>126</v>
      </c>
      <c r="B8" t="s">
        <v>30</v>
      </c>
      <c r="C8" s="25" t="s">
        <v>127</v>
      </c>
      <c r="D8" s="2">
        <f>344.4515+240</f>
        <v>584.45150000000001</v>
      </c>
      <c r="E8" s="26">
        <v>140.82</v>
      </c>
      <c r="F8" s="3">
        <f t="shared" si="0"/>
        <v>82302.460229999997</v>
      </c>
      <c r="G8" s="3">
        <f>30563.18+23352</f>
        <v>53915.18</v>
      </c>
      <c r="H8" s="4">
        <f t="shared" si="1"/>
        <v>92.249194330068448</v>
      </c>
      <c r="I8" s="3">
        <f t="shared" si="2"/>
        <v>28387.280229999997</v>
      </c>
      <c r="J8" s="26">
        <f t="shared" si="3"/>
        <v>48.570805669931545</v>
      </c>
      <c r="K8" s="27">
        <v>45840</v>
      </c>
      <c r="L8">
        <f t="shared" si="4"/>
        <v>63</v>
      </c>
      <c r="M8" s="5">
        <f t="shared" si="5"/>
        <v>0.52651739695573674</v>
      </c>
      <c r="N8">
        <v>12</v>
      </c>
      <c r="O8">
        <v>99</v>
      </c>
      <c r="P8" s="63">
        <v>80</v>
      </c>
      <c r="Q8" s="28">
        <v>80.989999999999995</v>
      </c>
      <c r="R8" s="29">
        <f t="shared" si="6"/>
        <v>75.320700000000002</v>
      </c>
      <c r="S8" s="29">
        <v>81.72</v>
      </c>
      <c r="T8" s="31">
        <f t="shared" si="7"/>
        <v>101.2375</v>
      </c>
      <c r="U8" s="28">
        <f t="shared" si="8"/>
        <v>121.48499999999999</v>
      </c>
      <c r="V8" s="28">
        <f t="shared" si="9"/>
        <v>161.97999999999999</v>
      </c>
      <c r="W8" s="28">
        <f t="shared" si="10"/>
        <v>85.791750726963656</v>
      </c>
      <c r="X8" s="29">
        <v>112</v>
      </c>
      <c r="Y8" s="5">
        <f t="shared" si="11"/>
        <v>0.21410274434769577</v>
      </c>
      <c r="Z8" s="6">
        <f t="shared" si="12"/>
        <v>0.14449745712616252</v>
      </c>
      <c r="AB8" s="58">
        <v>45987</v>
      </c>
      <c r="AC8" s="9">
        <v>99</v>
      </c>
    </row>
    <row r="9" spans="1:29" x14ac:dyDescent="0.25">
      <c r="A9" t="s">
        <v>128</v>
      </c>
      <c r="B9" t="s">
        <v>30</v>
      </c>
      <c r="C9" s="25" t="s">
        <v>129</v>
      </c>
      <c r="D9" s="2">
        <f>786.7766+525.5828</f>
        <v>1312.3594000000001</v>
      </c>
      <c r="E9" s="26">
        <v>48.88</v>
      </c>
      <c r="F9" s="3">
        <f t="shared" si="0"/>
        <v>64148.127472000007</v>
      </c>
      <c r="G9" s="3">
        <f>30514.1+21675.87</f>
        <v>52189.97</v>
      </c>
      <c r="H9" s="4">
        <f t="shared" si="1"/>
        <v>39.768046771334134</v>
      </c>
      <c r="I9" s="3">
        <f t="shared" si="2"/>
        <v>11958.157472000006</v>
      </c>
      <c r="J9" s="26">
        <f t="shared" si="3"/>
        <v>9.1119532286658682</v>
      </c>
      <c r="K9" s="27">
        <v>45840</v>
      </c>
      <c r="L9">
        <f t="shared" si="4"/>
        <v>63</v>
      </c>
      <c r="M9" s="5">
        <f t="shared" si="5"/>
        <v>0.22912750231510012</v>
      </c>
      <c r="N9">
        <v>22</v>
      </c>
      <c r="O9">
        <v>97</v>
      </c>
      <c r="P9" s="64">
        <v>80</v>
      </c>
      <c r="Q9" s="28">
        <v>37.89</v>
      </c>
      <c r="R9" s="29">
        <f t="shared" si="6"/>
        <v>35.237700000000004</v>
      </c>
      <c r="S9" s="29">
        <v>34.869999999999997</v>
      </c>
      <c r="T9" s="31">
        <f t="shared" si="7"/>
        <v>47.362499999999997</v>
      </c>
      <c r="U9" s="28">
        <f t="shared" si="8"/>
        <v>56.835000000000001</v>
      </c>
      <c r="V9" s="28">
        <f t="shared" si="9"/>
        <v>75.78</v>
      </c>
      <c r="W9" s="28">
        <f t="shared" si="10"/>
        <v>36.984283497340748</v>
      </c>
      <c r="X9" s="29">
        <v>45</v>
      </c>
      <c r="Y9" s="5">
        <f t="shared" si="11"/>
        <v>0.13156173494638909</v>
      </c>
      <c r="Z9" s="6">
        <f t="shared" si="12"/>
        <v>0.1126241095734609</v>
      </c>
      <c r="AB9" s="58">
        <v>45959</v>
      </c>
      <c r="AC9" s="9">
        <v>97</v>
      </c>
    </row>
    <row r="10" spans="1:29" x14ac:dyDescent="0.25">
      <c r="A10" t="s">
        <v>69</v>
      </c>
      <c r="B10" t="s">
        <v>30</v>
      </c>
      <c r="C10" s="25" t="s">
        <v>70</v>
      </c>
      <c r="D10" s="2">
        <v>682.05550000000005</v>
      </c>
      <c r="E10" s="26">
        <v>69.790000000000006</v>
      </c>
      <c r="F10" s="3">
        <f t="shared" si="0"/>
        <v>47600.653345000006</v>
      </c>
      <c r="G10" s="3">
        <v>43555.21</v>
      </c>
      <c r="H10" s="4">
        <f t="shared" si="1"/>
        <v>63.85874756526411</v>
      </c>
      <c r="I10" s="3">
        <f t="shared" si="2"/>
        <v>4045.443345000007</v>
      </c>
      <c r="J10" s="26">
        <f t="shared" si="3"/>
        <v>5.9312524347358959</v>
      </c>
      <c r="K10" s="27">
        <v>45854</v>
      </c>
      <c r="L10">
        <f t="shared" si="4"/>
        <v>49</v>
      </c>
      <c r="M10" s="5">
        <f t="shared" si="5"/>
        <v>9.2880813684516894E-2</v>
      </c>
      <c r="N10">
        <v>2</v>
      </c>
      <c r="O10">
        <v>99</v>
      </c>
      <c r="P10" s="63">
        <v>46</v>
      </c>
      <c r="Q10" s="28">
        <v>58.69</v>
      </c>
      <c r="R10" s="29">
        <f t="shared" si="6"/>
        <v>54.581699999999998</v>
      </c>
      <c r="S10" s="29">
        <v>50.08</v>
      </c>
      <c r="T10" s="31">
        <f t="shared" si="7"/>
        <v>73.362499999999997</v>
      </c>
      <c r="U10" s="28">
        <f t="shared" si="8"/>
        <v>88.034999999999997</v>
      </c>
      <c r="V10" s="28">
        <f t="shared" si="9"/>
        <v>117.38</v>
      </c>
      <c r="W10" s="28">
        <f t="shared" si="10"/>
        <v>59.388635235695624</v>
      </c>
      <c r="X10" s="29">
        <v>66</v>
      </c>
      <c r="Y10" s="5">
        <f t="shared" si="11"/>
        <v>3.353107469806723E-2</v>
      </c>
      <c r="Z10" s="32">
        <f t="shared" si="12"/>
        <v>8.3571904736200159E-2</v>
      </c>
      <c r="AB10" s="58">
        <v>45974</v>
      </c>
      <c r="AC10" s="9">
        <v>90</v>
      </c>
    </row>
    <row r="11" spans="1:29" x14ac:dyDescent="0.25">
      <c r="A11" t="s">
        <v>134</v>
      </c>
      <c r="B11" t="s">
        <v>30</v>
      </c>
      <c r="C11" s="25" t="s">
        <v>135</v>
      </c>
      <c r="D11" s="2">
        <v>148.3219</v>
      </c>
      <c r="E11" s="26">
        <v>490.24</v>
      </c>
      <c r="F11" s="3">
        <f t="shared" si="0"/>
        <v>72713.328256000008</v>
      </c>
      <c r="G11" s="3">
        <v>68650.22</v>
      </c>
      <c r="H11" s="4">
        <f t="shared" si="1"/>
        <v>462.8461474670969</v>
      </c>
      <c r="I11" s="3">
        <f t="shared" si="2"/>
        <v>4063.1082560000068</v>
      </c>
      <c r="J11" s="26">
        <f t="shared" si="3"/>
        <v>27.393852532903111</v>
      </c>
      <c r="K11" s="27">
        <v>45895</v>
      </c>
      <c r="L11">
        <f t="shared" si="4"/>
        <v>9</v>
      </c>
      <c r="M11" s="5">
        <f t="shared" si="5"/>
        <v>5.9185655282677996E-2</v>
      </c>
      <c r="N11">
        <v>44</v>
      </c>
      <c r="O11">
        <v>98</v>
      </c>
      <c r="P11" s="33">
        <v>81</v>
      </c>
      <c r="Q11" s="28">
        <v>473.7</v>
      </c>
      <c r="R11" s="29">
        <f t="shared" si="6"/>
        <v>440.541</v>
      </c>
      <c r="S11" s="29">
        <v>385.19</v>
      </c>
      <c r="T11" s="28">
        <f t="shared" si="7"/>
        <v>592.125</v>
      </c>
      <c r="U11" s="28">
        <f t="shared" si="8"/>
        <v>710.55</v>
      </c>
      <c r="V11" s="28">
        <f t="shared" si="9"/>
        <v>947.4</v>
      </c>
      <c r="W11" s="28">
        <f t="shared" si="10"/>
        <v>430.44691714440012</v>
      </c>
      <c r="X11" s="29">
        <v>400</v>
      </c>
      <c r="Y11" s="5">
        <f t="shared" si="11"/>
        <v>-0.13578193922758003</v>
      </c>
      <c r="Z11" s="32">
        <f t="shared" si="12"/>
        <v>0.12766193140289728</v>
      </c>
      <c r="AB11" s="58">
        <v>45966</v>
      </c>
      <c r="AC11" s="9">
        <v>99</v>
      </c>
    </row>
    <row r="12" spans="1:29" x14ac:dyDescent="0.25">
      <c r="A12" t="s">
        <v>136</v>
      </c>
      <c r="B12" t="s">
        <v>30</v>
      </c>
      <c r="C12" s="25" t="s">
        <v>137</v>
      </c>
      <c r="D12" s="2">
        <v>287.49</v>
      </c>
      <c r="E12" s="26">
        <v>197.09</v>
      </c>
      <c r="F12" s="3">
        <f t="shared" si="0"/>
        <v>56661.4041</v>
      </c>
      <c r="G12" s="3">
        <v>57158.76</v>
      </c>
      <c r="H12" s="4">
        <f t="shared" si="1"/>
        <v>198.81999373891267</v>
      </c>
      <c r="I12" s="3">
        <f t="shared" si="2"/>
        <v>-497.35590000000229</v>
      </c>
      <c r="J12" s="26">
        <f t="shared" si="3"/>
        <v>-1.7299937389126683</v>
      </c>
      <c r="K12" s="27">
        <v>45895</v>
      </c>
      <c r="L12">
        <f t="shared" si="4"/>
        <v>9</v>
      </c>
      <c r="M12" s="5">
        <f t="shared" si="5"/>
        <v>-8.7013066763520115E-3</v>
      </c>
      <c r="N12">
        <v>27</v>
      </c>
      <c r="O12">
        <v>79</v>
      </c>
      <c r="P12" s="63">
        <v>91</v>
      </c>
      <c r="Q12" s="28">
        <v>183.05</v>
      </c>
      <c r="R12" s="29">
        <f t="shared" si="6"/>
        <v>170.23650000000001</v>
      </c>
      <c r="S12" s="29">
        <v>185.05</v>
      </c>
      <c r="T12" s="31">
        <f t="shared" si="7"/>
        <v>228.8125</v>
      </c>
      <c r="U12" s="28">
        <f t="shared" si="8"/>
        <v>274.57500000000005</v>
      </c>
      <c r="V12" s="28">
        <f t="shared" si="9"/>
        <v>366.1</v>
      </c>
      <c r="W12" s="28">
        <f t="shared" si="10"/>
        <v>184.90259417718877</v>
      </c>
      <c r="X12" s="29">
        <v>189</v>
      </c>
      <c r="Y12" s="5">
        <f t="shared" si="11"/>
        <v>-4.939137937911886E-2</v>
      </c>
      <c r="Z12" s="6">
        <f t="shared" si="12"/>
        <v>9.9479757795424034E-2</v>
      </c>
      <c r="AB12" s="58">
        <v>45953</v>
      </c>
      <c r="AC12" s="9">
        <v>98</v>
      </c>
    </row>
    <row r="13" spans="1:29" x14ac:dyDescent="0.25">
      <c r="A13" t="s">
        <v>140</v>
      </c>
      <c r="B13" t="s">
        <v>30</v>
      </c>
      <c r="C13" s="25" t="s">
        <v>141</v>
      </c>
      <c r="D13" s="2">
        <v>595.15819999999997</v>
      </c>
      <c r="E13" s="26">
        <v>75.849999999999994</v>
      </c>
      <c r="F13" s="3">
        <f t="shared" si="0"/>
        <v>45142.749469999995</v>
      </c>
      <c r="G13" s="3">
        <v>46827.05</v>
      </c>
      <c r="H13" s="4">
        <f t="shared" si="1"/>
        <v>78.680004744956904</v>
      </c>
      <c r="I13" s="3">
        <f t="shared" si="2"/>
        <v>-1684.3005300000077</v>
      </c>
      <c r="J13" s="26">
        <f t="shared" si="3"/>
        <v>-2.8300047449569092</v>
      </c>
      <c r="K13" s="27">
        <v>45897</v>
      </c>
      <c r="L13">
        <f t="shared" si="4"/>
        <v>7</v>
      </c>
      <c r="M13" s="5">
        <f t="shared" si="5"/>
        <v>-3.5968538056529456E-2</v>
      </c>
      <c r="N13">
        <v>4</v>
      </c>
      <c r="O13">
        <v>93</v>
      </c>
      <c r="P13" s="63">
        <v>99</v>
      </c>
      <c r="Q13" s="28">
        <v>78.959999999999994</v>
      </c>
      <c r="R13" s="29">
        <f t="shared" si="6"/>
        <v>73.4328</v>
      </c>
      <c r="S13" s="29">
        <v>68.959999999999994</v>
      </c>
      <c r="T13" s="28">
        <f t="shared" si="7"/>
        <v>98.699999999999989</v>
      </c>
      <c r="U13" s="28">
        <f t="shared" si="8"/>
        <v>118.44</v>
      </c>
      <c r="V13" s="28">
        <f t="shared" si="9"/>
        <v>157.91999999999999</v>
      </c>
      <c r="W13" s="28">
        <f t="shared" si="10"/>
        <v>73.172404412809925</v>
      </c>
      <c r="X13" s="29">
        <v>72</v>
      </c>
      <c r="Y13" s="5">
        <f t="shared" si="11"/>
        <v>-8.4900919447200046E-2</v>
      </c>
      <c r="Z13" s="6">
        <f t="shared" si="12"/>
        <v>7.9256591939893456E-2</v>
      </c>
      <c r="AB13" s="58">
        <v>45966</v>
      </c>
      <c r="AC13" s="9">
        <v>99</v>
      </c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45245</v>
      </c>
      <c r="M14" s="5" t="e">
        <f t="shared" si="5"/>
        <v>#DIV/0!</v>
      </c>
      <c r="P14" s="63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8"/>
      <c r="AC14" s="9"/>
    </row>
    <row r="15" spans="1:29" x14ac:dyDescent="0.25">
      <c r="C15" s="25"/>
      <c r="D15" s="2"/>
      <c r="E15" s="26"/>
      <c r="F15" s="3">
        <f t="shared" ref="F15:F17" si="13">E15*D15</f>
        <v>0</v>
      </c>
      <c r="G15" s="3"/>
      <c r="H15" s="4" t="e">
        <f t="shared" ref="H15:H17" si="14">G15/D15</f>
        <v>#DIV/0!</v>
      </c>
      <c r="I15" s="3">
        <f t="shared" ref="I15:I17" si="15">F15-G15</f>
        <v>0</v>
      </c>
      <c r="J15" s="26" t="e">
        <f t="shared" ref="J15:J17" si="16">E15-H15</f>
        <v>#DIV/0!</v>
      </c>
      <c r="K15" s="27"/>
      <c r="L15">
        <f t="shared" ref="L15:L17" si="17">DAYS360(K15,$C$1)</f>
        <v>45245</v>
      </c>
      <c r="M15" s="5" t="e">
        <f t="shared" ref="M15:M17" si="18">(I15/G15)</f>
        <v>#DIV/0!</v>
      </c>
      <c r="P15" s="63"/>
      <c r="Q15" s="28"/>
      <c r="R15" s="29">
        <f t="shared" ref="R15:R17" si="19">Q15*0.93</f>
        <v>0</v>
      </c>
      <c r="S15" s="29"/>
      <c r="T15" s="28">
        <f t="shared" ref="T15:T17" si="20">Q15*1.25</f>
        <v>0</v>
      </c>
      <c r="U15" s="28">
        <f t="shared" ref="U15:U17" si="21">Q15*1.5</f>
        <v>0</v>
      </c>
      <c r="V15" s="28">
        <f t="shared" ref="V15:V17" si="22">Q15*2</f>
        <v>0</v>
      </c>
      <c r="W15" s="28" t="e">
        <f t="shared" ref="W15:W17" si="23">H15-(H15*0.07)</f>
        <v>#DIV/0!</v>
      </c>
      <c r="X15" s="29"/>
      <c r="Y15" s="5" t="e">
        <f t="shared" ref="Y15:Y17" si="24">(X15-H15)/H15</f>
        <v>#DIV/0!</v>
      </c>
      <c r="Z15" s="32">
        <f t="shared" ref="Z15:Z17" si="25">F15/F$20</f>
        <v>0</v>
      </c>
      <c r="AB15" s="58"/>
      <c r="AC15" s="9"/>
    </row>
    <row r="16" spans="1:29" x14ac:dyDescent="0.25">
      <c r="C16" s="25"/>
      <c r="D16" s="2"/>
      <c r="E16" s="26"/>
      <c r="F16" s="3">
        <f t="shared" si="13"/>
        <v>0</v>
      </c>
      <c r="G16" s="3"/>
      <c r="H16" s="4" t="e">
        <f t="shared" si="14"/>
        <v>#DIV/0!</v>
      </c>
      <c r="I16" s="3">
        <f t="shared" si="15"/>
        <v>0</v>
      </c>
      <c r="J16" s="26" t="e">
        <f t="shared" si="16"/>
        <v>#DIV/0!</v>
      </c>
      <c r="K16" s="27"/>
      <c r="L16">
        <f t="shared" si="17"/>
        <v>45245</v>
      </c>
      <c r="M16" s="5" t="e">
        <f t="shared" si="18"/>
        <v>#DIV/0!</v>
      </c>
      <c r="P16" s="63"/>
      <c r="Q16" s="28"/>
      <c r="R16" s="29">
        <f t="shared" si="19"/>
        <v>0</v>
      </c>
      <c r="S16" s="29"/>
      <c r="T16" s="28">
        <f t="shared" si="20"/>
        <v>0</v>
      </c>
      <c r="U16" s="28">
        <f t="shared" si="21"/>
        <v>0</v>
      </c>
      <c r="V16" s="28">
        <f t="shared" si="22"/>
        <v>0</v>
      </c>
      <c r="W16" s="28" t="e">
        <f t="shared" si="23"/>
        <v>#DIV/0!</v>
      </c>
      <c r="X16" s="29"/>
      <c r="Y16" s="5" t="e">
        <f t="shared" si="24"/>
        <v>#DIV/0!</v>
      </c>
      <c r="Z16" s="32">
        <f t="shared" si="25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3"/>
        <v>0</v>
      </c>
      <c r="G17" s="39"/>
      <c r="H17" s="40" t="e">
        <f t="shared" si="14"/>
        <v>#DIV/0!</v>
      </c>
      <c r="I17" s="39">
        <f t="shared" si="15"/>
        <v>0</v>
      </c>
      <c r="J17" s="38" t="e">
        <f t="shared" si="16"/>
        <v>#DIV/0!</v>
      </c>
      <c r="K17" s="41"/>
      <c r="L17" s="35">
        <f t="shared" si="17"/>
        <v>45245</v>
      </c>
      <c r="M17" s="42" t="e">
        <f t="shared" si="18"/>
        <v>#DIV/0!</v>
      </c>
      <c r="N17" s="35"/>
      <c r="O17" s="35"/>
      <c r="P17" s="65"/>
      <c r="Q17" s="44"/>
      <c r="R17" s="45">
        <f t="shared" si="19"/>
        <v>0</v>
      </c>
      <c r="S17" s="45"/>
      <c r="T17" s="46">
        <f t="shared" si="20"/>
        <v>0</v>
      </c>
      <c r="U17" s="44">
        <f t="shared" si="21"/>
        <v>0</v>
      </c>
      <c r="V17" s="44">
        <f t="shared" si="22"/>
        <v>0</v>
      </c>
      <c r="W17" s="44" t="e">
        <f t="shared" si="23"/>
        <v>#DIV/0!</v>
      </c>
      <c r="X17" s="45"/>
      <c r="Y17" s="42" t="e">
        <f t="shared" si="24"/>
        <v>#DIV/0!</v>
      </c>
      <c r="Z17" s="47">
        <f t="shared" si="25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438409.22209699999</v>
      </c>
      <c r="G18" s="3">
        <f>SUM(G6:G17)</f>
        <v>371089.23810000002</v>
      </c>
      <c r="H18" s="4"/>
      <c r="I18" s="3">
        <f>SUM(I6:I17)</f>
        <v>67319.983997000032</v>
      </c>
      <c r="M18" s="5"/>
      <c r="Z18" s="6"/>
    </row>
    <row r="19" spans="1:29" x14ac:dyDescent="0.25">
      <c r="D19" s="2" t="s">
        <v>44</v>
      </c>
      <c r="F19" s="3">
        <v>131168</v>
      </c>
      <c r="G19" s="6">
        <f>F19/F20</f>
        <v>0.23029010801569916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569577.22209699999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'08-29-25'!F20</f>
        <v>568189.53425400006</v>
      </c>
      <c r="K21" s="1">
        <v>45657</v>
      </c>
      <c r="L21" s="50">
        <v>170762</v>
      </c>
      <c r="M21" s="50">
        <v>197064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2.4422974365796582E-3</v>
      </c>
      <c r="K22" s="9" t="s">
        <v>123</v>
      </c>
      <c r="L22" s="6">
        <f>(M21-L21)/L21</f>
        <v>0.15402724259495673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26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26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27">F28/D28</f>
        <v>44.698790833464948</v>
      </c>
      <c r="F28" s="3">
        <v>56489.42</v>
      </c>
      <c r="G28" s="56">
        <v>75501.87</v>
      </c>
      <c r="H28" s="57">
        <f t="shared" ref="H28:H56" si="28">G28/D28</f>
        <v>59.742909285764696</v>
      </c>
      <c r="I28" s="57">
        <f t="shared" ref="I28:I56" si="29">G28-F28</f>
        <v>19012.449999999997</v>
      </c>
      <c r="J28" s="6">
        <f t="shared" ref="J28:J56" si="30">I28/F28</f>
        <v>0.33656656414599401</v>
      </c>
      <c r="K28" s="1">
        <v>45527</v>
      </c>
      <c r="L28" s="1">
        <v>45688</v>
      </c>
      <c r="M28">
        <f t="shared" si="26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27"/>
        <v>169.90901206845703</v>
      </c>
      <c r="F29" s="3">
        <f>59492.79+21969.78</f>
        <v>81462.570000000007</v>
      </c>
      <c r="G29" s="56">
        <v>65047.58</v>
      </c>
      <c r="H29" s="57">
        <f t="shared" si="28"/>
        <v>135.67175765807443</v>
      </c>
      <c r="I29" s="57">
        <f t="shared" si="29"/>
        <v>-16414.990000000005</v>
      </c>
      <c r="J29" s="6">
        <f t="shared" si="30"/>
        <v>-0.20150346349249729</v>
      </c>
      <c r="K29" s="1">
        <v>45671</v>
      </c>
      <c r="L29" s="1">
        <v>45688</v>
      </c>
      <c r="M29">
        <f t="shared" si="26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27"/>
        <v>18.702010092477405</v>
      </c>
      <c r="F30" s="3">
        <v>56486.59</v>
      </c>
      <c r="G30" s="56">
        <v>71124.88</v>
      </c>
      <c r="H30" s="57">
        <f t="shared" si="28"/>
        <v>23.548566546258936</v>
      </c>
      <c r="I30" s="57">
        <f t="shared" si="29"/>
        <v>14638.290000000008</v>
      </c>
      <c r="J30" s="6">
        <f t="shared" si="30"/>
        <v>0.25914628587068206</v>
      </c>
      <c r="K30" s="1">
        <v>45527</v>
      </c>
      <c r="L30" s="1">
        <v>45691</v>
      </c>
      <c r="M30">
        <f t="shared" si="26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27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28"/>
        <v>38.249853000000002</v>
      </c>
      <c r="I31" s="57">
        <f t="shared" si="29"/>
        <v>-6110.386336591735</v>
      </c>
      <c r="J31" s="6">
        <f t="shared" si="30"/>
        <v>-0.10005621882176895</v>
      </c>
      <c r="K31" s="1">
        <v>45706</v>
      </c>
      <c r="L31" s="1">
        <v>45708</v>
      </c>
      <c r="M31">
        <f t="shared" si="26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27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28"/>
        <v>531.63995279999995</v>
      </c>
      <c r="I32" s="57">
        <f t="shared" si="29"/>
        <v>-22176.243614196137</v>
      </c>
      <c r="J32" s="6">
        <f t="shared" si="30"/>
        <v>-0.24194911929355969</v>
      </c>
      <c r="K32" s="1">
        <v>45706</v>
      </c>
      <c r="L32" s="1">
        <v>45708</v>
      </c>
      <c r="M32">
        <f t="shared" si="26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27"/>
        <v>368.56522253629635</v>
      </c>
      <c r="F33" s="3">
        <v>74438.86</v>
      </c>
      <c r="G33" s="56">
        <f>201.9693*360.5332483</f>
        <v>72816.647785877198</v>
      </c>
      <c r="H33" s="57">
        <f t="shared" si="28"/>
        <v>360.53324830000003</v>
      </c>
      <c r="I33" s="57">
        <f t="shared" si="29"/>
        <v>-1622.2122141228028</v>
      </c>
      <c r="J33" s="6">
        <f t="shared" si="30"/>
        <v>-2.1792545105107773E-2</v>
      </c>
      <c r="K33" s="1">
        <v>45664</v>
      </c>
      <c r="L33" s="1">
        <v>45708</v>
      </c>
      <c r="M33">
        <f t="shared" si="26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27"/>
        <v>30.17825528482809</v>
      </c>
      <c r="F34" s="3">
        <v>37884.65</v>
      </c>
      <c r="G34" s="56">
        <f>1255.3625*39.762296</f>
        <v>49916.0953123</v>
      </c>
      <c r="H34" s="57">
        <f t="shared" si="28"/>
        <v>39.762295999999999</v>
      </c>
      <c r="I34" s="57">
        <f t="shared" si="29"/>
        <v>12031.445312299998</v>
      </c>
      <c r="J34" s="6">
        <f t="shared" si="30"/>
        <v>0.31758100740801348</v>
      </c>
      <c r="K34" s="1">
        <v>45663</v>
      </c>
      <c r="L34" s="1">
        <v>45709</v>
      </c>
      <c r="M34">
        <f t="shared" si="26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27"/>
        <v>242.26930551548847</v>
      </c>
      <c r="F35" s="3">
        <v>61221.72</v>
      </c>
      <c r="G35" s="56">
        <f>252.7011*226.6146532</f>
        <v>57265.772139758519</v>
      </c>
      <c r="H35" s="57">
        <f t="shared" si="28"/>
        <v>226.61465319999999</v>
      </c>
      <c r="I35" s="57">
        <f t="shared" si="29"/>
        <v>-3955.947860241482</v>
      </c>
      <c r="J35" s="6">
        <f t="shared" si="30"/>
        <v>-6.4616738311852093E-2</v>
      </c>
      <c r="K35" s="1">
        <v>45699</v>
      </c>
      <c r="L35" s="1">
        <v>45709</v>
      </c>
      <c r="M35">
        <f t="shared" si="26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27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28"/>
        <v>283.93999450000007</v>
      </c>
      <c r="I36" s="57">
        <f t="shared" si="29"/>
        <v>19563.525282954361</v>
      </c>
      <c r="J36" s="6">
        <f t="shared" si="30"/>
        <v>0.36434300703793465</v>
      </c>
      <c r="K36" s="1">
        <v>45580</v>
      </c>
      <c r="L36" s="1">
        <v>45712</v>
      </c>
      <c r="M36">
        <f t="shared" si="26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27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28"/>
        <v>63.365330900000004</v>
      </c>
      <c r="I37" s="57">
        <f t="shared" si="29"/>
        <v>-4549.5912833559851</v>
      </c>
      <c r="J37" s="6">
        <f t="shared" si="30"/>
        <v>-5.9638082078758516E-2</v>
      </c>
      <c r="K37" s="1">
        <v>45673</v>
      </c>
      <c r="L37" s="1">
        <v>45712</v>
      </c>
      <c r="M37">
        <f t="shared" si="26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28"/>
        <v>50.021380499999999</v>
      </c>
      <c r="I38" s="57">
        <f t="shared" si="29"/>
        <v>6027.2875116823998</v>
      </c>
      <c r="J38" s="6">
        <f t="shared" si="30"/>
        <v>9.9771440635884723E-2</v>
      </c>
      <c r="K38" s="1">
        <v>45593</v>
      </c>
      <c r="L38" s="1">
        <v>45713</v>
      </c>
      <c r="M38">
        <f t="shared" si="26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28"/>
        <v>12.519992000000002</v>
      </c>
      <c r="I39" s="57">
        <f t="shared" si="29"/>
        <v>-2230.6527810991975</v>
      </c>
      <c r="J39" s="6">
        <f t="shared" si="30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28"/>
        <v>94.679995300000002</v>
      </c>
      <c r="I40" s="57">
        <f t="shared" si="29"/>
        <v>-4750.690604140058</v>
      </c>
      <c r="J40" s="6">
        <f t="shared" si="30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57" si="31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28"/>
        <v>18.9477051</v>
      </c>
      <c r="I41" s="57">
        <f t="shared" si="29"/>
        <v>-2244.5195874142191</v>
      </c>
      <c r="J41" s="6">
        <f t="shared" si="30"/>
        <v>-8.2776138273503941E-2</v>
      </c>
      <c r="K41" s="1">
        <v>45761</v>
      </c>
      <c r="L41" s="1">
        <v>45768</v>
      </c>
      <c r="M41">
        <f t="shared" ref="M41:M57" si="32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31"/>
        <v>96.336406065231671</v>
      </c>
      <c r="F42" s="3">
        <v>34004.42</v>
      </c>
      <c r="G42" s="56">
        <f>352.9758*89.7849585</f>
        <v>31691.9175545043</v>
      </c>
      <c r="H42" s="57">
        <f t="shared" si="28"/>
        <v>89.784958500000002</v>
      </c>
      <c r="I42" s="57">
        <f t="shared" si="29"/>
        <v>-2312.5024454956983</v>
      </c>
      <c r="J42" s="6">
        <f t="shared" si="30"/>
        <v>-6.8005937036882222E-2</v>
      </c>
      <c r="K42" s="1">
        <v>45762</v>
      </c>
      <c r="L42" s="1">
        <v>45768</v>
      </c>
      <c r="M42">
        <f t="shared" si="32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31"/>
        <v>16.992624876012847</v>
      </c>
      <c r="F43" s="3">
        <v>37971.83</v>
      </c>
      <c r="G43" s="56">
        <f>2234.6065*13.3067232</f>
        <v>29735.2901564208</v>
      </c>
      <c r="H43" s="57">
        <f t="shared" si="28"/>
        <v>13.3067232</v>
      </c>
      <c r="I43" s="57">
        <f t="shared" si="29"/>
        <v>-8236.5398435792013</v>
      </c>
      <c r="J43" s="6">
        <f t="shared" si="30"/>
        <v>-0.21691184869360261</v>
      </c>
      <c r="K43" s="1">
        <v>45652</v>
      </c>
      <c r="L43" s="1">
        <v>45785</v>
      </c>
      <c r="M43">
        <f t="shared" si="32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31"/>
        <v>38.101812248436303</v>
      </c>
      <c r="F44" s="3">
        <v>21940.86</v>
      </c>
      <c r="G44" s="56">
        <f>575.8482*32.7857042</f>
        <v>18879.588749302438</v>
      </c>
      <c r="H44" s="57">
        <f t="shared" si="28"/>
        <v>32.785704199999998</v>
      </c>
      <c r="I44" s="57">
        <f t="shared" si="29"/>
        <v>-3061.2712506975622</v>
      </c>
      <c r="J44" s="6">
        <f t="shared" si="30"/>
        <v>-0.13952375844417958</v>
      </c>
      <c r="K44" s="1">
        <v>45761</v>
      </c>
      <c r="L44" s="1">
        <v>45790</v>
      </c>
      <c r="M44">
        <f t="shared" si="32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31"/>
        <v>24.570291674143743</v>
      </c>
      <c r="F45" s="3">
        <v>23591.34</v>
      </c>
      <c r="G45" s="56">
        <v>19396.37</v>
      </c>
      <c r="H45" s="57">
        <f t="shared" si="28"/>
        <v>20.201246233559068</v>
      </c>
      <c r="I45" s="57">
        <f t="shared" si="29"/>
        <v>-4194.9700000000012</v>
      </c>
      <c r="J45" s="6">
        <f t="shared" si="30"/>
        <v>-0.17781821634548953</v>
      </c>
      <c r="K45" s="1">
        <v>45776</v>
      </c>
      <c r="L45" s="1">
        <v>45812</v>
      </c>
      <c r="M45">
        <f t="shared" si="32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31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28"/>
        <v>84.038907800000004</v>
      </c>
      <c r="I46" s="57">
        <f t="shared" si="29"/>
        <v>-3907.8121523372101</v>
      </c>
      <c r="J46" s="6">
        <f t="shared" si="30"/>
        <v>-0.14246372001691271</v>
      </c>
      <c r="K46" s="1">
        <v>45782</v>
      </c>
      <c r="L46" s="1">
        <v>45818</v>
      </c>
      <c r="M46">
        <f t="shared" si="32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31"/>
        <v>40.437100849618155</v>
      </c>
      <c r="F47" s="3">
        <f>22877.09+14244.67</f>
        <v>37121.760000000002</v>
      </c>
      <c r="G47" s="56">
        <v>34659.56</v>
      </c>
      <c r="H47" s="57">
        <f t="shared" si="28"/>
        <v>37.755002002151599</v>
      </c>
      <c r="I47" s="57">
        <f t="shared" si="29"/>
        <v>-2462.2000000000044</v>
      </c>
      <c r="J47" s="6">
        <f t="shared" si="30"/>
        <v>-6.6327674118899643E-2</v>
      </c>
      <c r="K47" s="1">
        <v>45782</v>
      </c>
      <c r="L47" s="1">
        <v>45828</v>
      </c>
      <c r="M47">
        <f t="shared" si="32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31"/>
        <v>123.70183817297092</v>
      </c>
      <c r="F48" s="3">
        <f>22876.67+14197.82+14808.77</f>
        <v>51883.259999999995</v>
      </c>
      <c r="G48" s="56">
        <v>55156.07</v>
      </c>
      <c r="H48" s="57">
        <f t="shared" si="28"/>
        <v>131.50498340692272</v>
      </c>
      <c r="I48" s="57">
        <f t="shared" si="29"/>
        <v>3272.8100000000049</v>
      </c>
      <c r="J48" s="6">
        <f t="shared" si="30"/>
        <v>6.3080269050171583E-2</v>
      </c>
      <c r="K48" s="1">
        <v>45782</v>
      </c>
      <c r="L48" s="1">
        <v>45839</v>
      </c>
      <c r="M48">
        <f t="shared" si="32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31"/>
        <v>63.194998844628557</v>
      </c>
      <c r="F49" s="3">
        <v>36072.47</v>
      </c>
      <c r="G49" s="56">
        <v>51786.91</v>
      </c>
      <c r="H49" s="57">
        <f t="shared" si="28"/>
        <v>90.724968864535285</v>
      </c>
      <c r="I49" s="57">
        <f t="shared" si="29"/>
        <v>15714.440000000002</v>
      </c>
      <c r="J49" s="6">
        <f t="shared" si="30"/>
        <v>0.43563526423336141</v>
      </c>
      <c r="K49" s="1">
        <v>45796</v>
      </c>
      <c r="L49" s="1">
        <v>45839</v>
      </c>
      <c r="M49">
        <f t="shared" si="32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31"/>
        <v>90.254808370121239</v>
      </c>
      <c r="F50" s="3">
        <f>35895.15+19479.74</f>
        <v>55374.89</v>
      </c>
      <c r="G50" s="56">
        <v>55236.959999999999</v>
      </c>
      <c r="H50" s="57">
        <f t="shared" si="28"/>
        <v>90.029998068584007</v>
      </c>
      <c r="I50" s="57">
        <f t="shared" si="29"/>
        <v>-137.93000000000029</v>
      </c>
      <c r="J50" s="6">
        <f t="shared" si="30"/>
        <v>-2.4908401623912986E-3</v>
      </c>
      <c r="K50" s="1">
        <v>45789</v>
      </c>
      <c r="L50" s="1">
        <v>45855</v>
      </c>
      <c r="M50">
        <f t="shared" si="32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31"/>
        <v>113.05354718581073</v>
      </c>
      <c r="F51" s="3">
        <v>45409.8</v>
      </c>
      <c r="G51" s="56">
        <v>41051.0026</v>
      </c>
      <c r="H51" s="57">
        <f t="shared" si="28"/>
        <v>102.2017595202784</v>
      </c>
      <c r="I51" s="57">
        <f t="shared" si="29"/>
        <v>-4358.7974000000031</v>
      </c>
      <c r="J51" s="6">
        <f t="shared" si="30"/>
        <v>-9.5988033420098803E-2</v>
      </c>
      <c r="K51" s="1">
        <v>45855</v>
      </c>
      <c r="L51" s="1">
        <v>45860</v>
      </c>
      <c r="M51">
        <f t="shared" si="32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31"/>
        <v>17.339829156069133</v>
      </c>
      <c r="F52" s="3">
        <v>22797.23</v>
      </c>
      <c r="G52" s="56">
        <v>18655.11</v>
      </c>
      <c r="H52" s="57">
        <f t="shared" si="28"/>
        <v>14.189286167121043</v>
      </c>
      <c r="I52" s="57">
        <f t="shared" si="29"/>
        <v>-4142.119999999999</v>
      </c>
      <c r="J52" s="6">
        <f t="shared" si="30"/>
        <v>-0.18169400405224664</v>
      </c>
      <c r="K52" s="1">
        <v>45861</v>
      </c>
      <c r="L52" s="1">
        <v>45870</v>
      </c>
      <c r="M52">
        <f t="shared" si="32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31"/>
        <v>74.757798491837917</v>
      </c>
      <c r="F53" s="3">
        <f>26856.13+12527.28</f>
        <v>39383.410000000003</v>
      </c>
      <c r="G53" s="56">
        <v>67176.488400000002</v>
      </c>
      <c r="H53" s="57">
        <f t="shared" si="28"/>
        <v>127.51476784759082</v>
      </c>
      <c r="I53" s="57">
        <f t="shared" si="29"/>
        <v>27793.078399999999</v>
      </c>
      <c r="J53" s="6">
        <f t="shared" si="30"/>
        <v>0.7057052296893539</v>
      </c>
      <c r="K53" s="1">
        <v>45789</v>
      </c>
      <c r="L53" s="1">
        <v>45870</v>
      </c>
      <c r="M53">
        <f t="shared" si="32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31"/>
        <v>22.651928580010882</v>
      </c>
      <c r="F54" s="3">
        <f>18821.97+11334.33+20180.34</f>
        <v>50336.639999999999</v>
      </c>
      <c r="G54" s="56">
        <v>42713.83</v>
      </c>
      <c r="H54" s="57">
        <f t="shared" si="28"/>
        <v>19.221597360068653</v>
      </c>
      <c r="I54" s="57">
        <f t="shared" si="29"/>
        <v>-7622.8099999999977</v>
      </c>
      <c r="J54" s="6">
        <f t="shared" si="30"/>
        <v>-0.15143660760829483</v>
      </c>
      <c r="K54" s="1">
        <v>45814</v>
      </c>
      <c r="L54" s="1">
        <v>45880</v>
      </c>
      <c r="M54">
        <f t="shared" si="32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31"/>
        <v>30.926801697408081</v>
      </c>
      <c r="F55" s="3">
        <f>(605.0016*29.7738017)+17708.65</f>
        <v>35721.847666582718</v>
      </c>
      <c r="G55" s="56">
        <v>42554.27</v>
      </c>
      <c r="H55" s="57">
        <f t="shared" si="28"/>
        <v>36.842088403482109</v>
      </c>
      <c r="I55" s="57">
        <f t="shared" si="29"/>
        <v>6832.4223334172784</v>
      </c>
      <c r="J55" s="6">
        <f t="shared" si="30"/>
        <v>0.1912673274123195</v>
      </c>
      <c r="K55" s="1">
        <v>45800</v>
      </c>
      <c r="L55" s="1">
        <v>45881</v>
      </c>
      <c r="M55">
        <f t="shared" si="32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31"/>
        <v>377.42204050678822</v>
      </c>
      <c r="F56" s="3">
        <f>34962.9+15401.92</f>
        <v>50364.82</v>
      </c>
      <c r="G56" s="56">
        <v>81517.961800000005</v>
      </c>
      <c r="H56" s="57">
        <f t="shared" si="28"/>
        <v>610.87631168959638</v>
      </c>
      <c r="I56" s="57">
        <f t="shared" si="29"/>
        <v>31153.141800000005</v>
      </c>
      <c r="J56" s="6">
        <f t="shared" si="30"/>
        <v>0.61854965033132259</v>
      </c>
      <c r="K56" s="1">
        <v>45771</v>
      </c>
      <c r="L56" s="1">
        <v>45884</v>
      </c>
      <c r="M56">
        <f t="shared" si="32"/>
        <v>111</v>
      </c>
    </row>
    <row r="57" spans="1:13" x14ac:dyDescent="0.25">
      <c r="A57" t="s">
        <v>138</v>
      </c>
      <c r="B57" t="s">
        <v>30</v>
      </c>
      <c r="C57" s="25" t="s">
        <v>139</v>
      </c>
      <c r="D57" s="2">
        <v>345.54309999999998</v>
      </c>
      <c r="E57" s="57">
        <f t="shared" si="31"/>
        <v>133.9832570813887</v>
      </c>
      <c r="F57" s="3">
        <v>46296.99</v>
      </c>
      <c r="G57" s="56">
        <v>42812.79</v>
      </c>
      <c r="H57" s="57">
        <f t="shared" ref="H57" si="33">G57/D57</f>
        <v>123.89999973954046</v>
      </c>
      <c r="I57" s="57">
        <f t="shared" ref="I57" si="34">G57-F57</f>
        <v>-3484.1999999999971</v>
      </c>
      <c r="J57" s="6">
        <f t="shared" ref="J57" si="35">I57/F57</f>
        <v>-7.525759234023631E-2</v>
      </c>
      <c r="K57" s="1">
        <v>45897</v>
      </c>
      <c r="L57" s="1">
        <v>45904</v>
      </c>
      <c r="M57">
        <f t="shared" si="32"/>
        <v>6</v>
      </c>
    </row>
    <row r="58" spans="1:13" x14ac:dyDescent="0.25">
      <c r="C58" s="25"/>
      <c r="D58" s="2"/>
      <c r="E58" s="57"/>
      <c r="F58" s="3"/>
      <c r="G58" s="56"/>
      <c r="H58" s="57"/>
      <c r="I58" s="57"/>
      <c r="J58" s="6"/>
      <c r="K58" s="1"/>
      <c r="L58" s="1"/>
    </row>
    <row r="59" spans="1:13" x14ac:dyDescent="0.25">
      <c r="C59" s="25"/>
      <c r="D59" s="2"/>
      <c r="E59" s="57"/>
      <c r="F59" s="3"/>
      <c r="G59" s="56"/>
      <c r="H59" s="57"/>
      <c r="I59" s="57"/>
      <c r="J59" s="6"/>
      <c r="K59" s="1"/>
      <c r="L59" s="1"/>
    </row>
    <row r="60" spans="1:13" x14ac:dyDescent="0.25">
      <c r="F60" s="56"/>
      <c r="G60" s="56"/>
      <c r="H60" s="3"/>
      <c r="I60" s="3">
        <f>SUM(I26:I59)</f>
        <v>40298.48326708276</v>
      </c>
      <c r="J60" s="13" t="s">
        <v>66</v>
      </c>
    </row>
    <row r="61" spans="1:13" x14ac:dyDescent="0.25">
      <c r="F61" s="56"/>
      <c r="G61" s="56"/>
      <c r="H61" s="3" t="s">
        <v>67</v>
      </c>
      <c r="I61" s="59">
        <v>22</v>
      </c>
      <c r="J61" s="5">
        <v>-0.1082</v>
      </c>
    </row>
    <row r="62" spans="1:13" x14ac:dyDescent="0.25">
      <c r="F62" s="56"/>
      <c r="G62" s="56"/>
      <c r="H62" s="3" t="s">
        <v>68</v>
      </c>
      <c r="I62" s="59">
        <v>10</v>
      </c>
      <c r="J62" s="5">
        <v>0.3392</v>
      </c>
    </row>
    <row r="63" spans="1:13" x14ac:dyDescent="0.25">
      <c r="F63" s="56"/>
      <c r="G63" s="56"/>
      <c r="J63" s="6"/>
    </row>
    <row r="64" spans="1:13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  <c r="J77" s="6"/>
    </row>
    <row r="78" spans="6:10" x14ac:dyDescent="0.25">
      <c r="F78" s="56"/>
      <c r="G78" s="56"/>
      <c r="J78" s="6"/>
    </row>
    <row r="79" spans="6:10" x14ac:dyDescent="0.25">
      <c r="F79" s="56"/>
      <c r="G79" s="56"/>
      <c r="J79" s="6"/>
    </row>
    <row r="80" spans="6:10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</row>
    <row r="87" spans="6:10" x14ac:dyDescent="0.25">
      <c r="F87" s="56"/>
      <c r="G87" s="56"/>
    </row>
    <row r="88" spans="6:10" x14ac:dyDescent="0.25">
      <c r="F88" s="56"/>
      <c r="G88" s="56"/>
    </row>
    <row r="89" spans="6:10" x14ac:dyDescent="0.25">
      <c r="F89" s="56"/>
      <c r="G89" s="56"/>
    </row>
    <row r="90" spans="6:10" x14ac:dyDescent="0.25">
      <c r="F90" s="56"/>
      <c r="G90" s="56"/>
    </row>
    <row r="91" spans="6:10" x14ac:dyDescent="0.25">
      <c r="F91" s="56"/>
      <c r="G91" s="56"/>
    </row>
  </sheetData>
  <sortState xmlns:xlrd2="http://schemas.microsoft.com/office/spreadsheetml/2017/richdata2" ref="A7:AC13">
    <sortCondition descending="1" ref="L7:L13"/>
  </sortState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569D-A4A2-45DB-A007-7B38FA977B28}">
  <dimension ref="A1:AC91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45912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124</v>
      </c>
      <c r="B7" t="s">
        <v>30</v>
      </c>
      <c r="C7" s="25" t="s">
        <v>125</v>
      </c>
      <c r="D7" s="2">
        <f>915.359+608.2121</f>
        <v>1523.5711000000001</v>
      </c>
      <c r="E7" s="26">
        <v>53.36</v>
      </c>
      <c r="F7" s="3">
        <f t="shared" ref="F7:F17" si="0">E7*D7</f>
        <v>81297.753896000009</v>
      </c>
      <c r="G7" s="3">
        <f>28630.6+20162.2481</f>
        <v>48792.848100000003</v>
      </c>
      <c r="H7" s="4">
        <f t="shared" ref="H7:H17" si="1">G7/D7</f>
        <v>32.025317426932027</v>
      </c>
      <c r="I7" s="3">
        <f t="shared" ref="I7:I17" si="2">F7-G7</f>
        <v>32504.905796000006</v>
      </c>
      <c r="J7" s="26">
        <f t="shared" ref="J7:J17" si="3">E7-H7</f>
        <v>21.334682573067973</v>
      </c>
      <c r="K7" s="27">
        <v>45817</v>
      </c>
      <c r="L7">
        <f t="shared" ref="L7:L17" si="4">DAYS360(K7,$C$1)</f>
        <v>93</v>
      </c>
      <c r="M7" s="5">
        <f t="shared" ref="M7:M17" si="5">(I7/G7)</f>
        <v>0.66618176765131287</v>
      </c>
      <c r="N7">
        <v>28</v>
      </c>
      <c r="O7">
        <v>99</v>
      </c>
      <c r="P7" s="63">
        <v>8</v>
      </c>
      <c r="Q7" s="28">
        <v>32.700000000000003</v>
      </c>
      <c r="R7" s="29">
        <f t="shared" ref="R7:R17" si="6">Q7*0.93</f>
        <v>30.411000000000005</v>
      </c>
      <c r="S7" s="29">
        <v>26.45</v>
      </c>
      <c r="T7" s="28">
        <f t="shared" ref="T7:T17" si="7">Q7*1.25</f>
        <v>40.875</v>
      </c>
      <c r="U7" s="28">
        <f t="shared" ref="U7:U17" si="8">Q7*1.5</f>
        <v>49.050000000000004</v>
      </c>
      <c r="V7" s="28">
        <f t="shared" ref="V7:V17" si="9">Q7*2</f>
        <v>65.400000000000006</v>
      </c>
      <c r="W7" s="28">
        <f t="shared" ref="W7:W17" si="10">H7-(H7*0.07)</f>
        <v>29.783545207046785</v>
      </c>
      <c r="X7" s="29">
        <v>42</v>
      </c>
      <c r="Y7" s="5">
        <f t="shared" ref="Y7:Y17" si="11">(X7-H7)/H7</f>
        <v>0.31146241081999892</v>
      </c>
      <c r="Z7" s="6">
        <f t="shared" ref="Z7:Z17" si="12">F7/F$20</f>
        <v>0.12951568482119774</v>
      </c>
      <c r="AB7" s="58">
        <v>45979</v>
      </c>
      <c r="AC7" s="63">
        <v>77</v>
      </c>
    </row>
    <row r="8" spans="1:29" x14ac:dyDescent="0.25">
      <c r="A8" t="s">
        <v>126</v>
      </c>
      <c r="B8" t="s">
        <v>30</v>
      </c>
      <c r="C8" s="25" t="s">
        <v>127</v>
      </c>
      <c r="D8" s="2">
        <f>344.4515+240</f>
        <v>584.45150000000001</v>
      </c>
      <c r="E8" s="26">
        <v>161.99</v>
      </c>
      <c r="F8" s="3">
        <f t="shared" si="0"/>
        <v>94675.298485000007</v>
      </c>
      <c r="G8" s="3">
        <f>30563.18+23352</f>
        <v>53915.18</v>
      </c>
      <c r="H8" s="4">
        <f t="shared" si="1"/>
        <v>92.249194330068448</v>
      </c>
      <c r="I8" s="3">
        <f t="shared" si="2"/>
        <v>40760.118485000006</v>
      </c>
      <c r="J8" s="26">
        <f t="shared" si="3"/>
        <v>69.740805669931561</v>
      </c>
      <c r="K8" s="27">
        <v>45840</v>
      </c>
      <c r="L8">
        <f t="shared" si="4"/>
        <v>70</v>
      </c>
      <c r="M8" s="5">
        <f t="shared" si="5"/>
        <v>0.75600449604360043</v>
      </c>
      <c r="N8">
        <v>13</v>
      </c>
      <c r="O8">
        <v>99</v>
      </c>
      <c r="P8" s="63">
        <v>80</v>
      </c>
      <c r="Q8" s="28">
        <v>80.989999999999995</v>
      </c>
      <c r="R8" s="29">
        <f t="shared" si="6"/>
        <v>75.320700000000002</v>
      </c>
      <c r="S8" s="29">
        <v>81.72</v>
      </c>
      <c r="T8" s="31">
        <f t="shared" si="7"/>
        <v>101.2375</v>
      </c>
      <c r="U8" s="28">
        <f t="shared" si="8"/>
        <v>121.48499999999999</v>
      </c>
      <c r="V8" s="28">
        <f t="shared" si="9"/>
        <v>161.97999999999999</v>
      </c>
      <c r="W8" s="28">
        <f t="shared" si="10"/>
        <v>85.791750726963656</v>
      </c>
      <c r="X8" s="29">
        <v>112</v>
      </c>
      <c r="Y8" s="5">
        <f t="shared" si="11"/>
        <v>0.21410274434769577</v>
      </c>
      <c r="Z8" s="6">
        <f t="shared" si="12"/>
        <v>0.15082748946080524</v>
      </c>
      <c r="AB8" s="58">
        <v>45987</v>
      </c>
      <c r="AC8" s="9">
        <v>99</v>
      </c>
    </row>
    <row r="9" spans="1:29" x14ac:dyDescent="0.25">
      <c r="A9" t="s">
        <v>128</v>
      </c>
      <c r="B9" t="s">
        <v>30</v>
      </c>
      <c r="C9" s="25" t="s">
        <v>129</v>
      </c>
      <c r="D9" s="2">
        <f>786.7766+525.5828</f>
        <v>1312.3594000000001</v>
      </c>
      <c r="E9" s="26">
        <v>56.32</v>
      </c>
      <c r="F9" s="3">
        <f t="shared" si="0"/>
        <v>73912.081407999998</v>
      </c>
      <c r="G9" s="3">
        <f>30514.1+21675.87</f>
        <v>52189.97</v>
      </c>
      <c r="H9" s="4">
        <f t="shared" si="1"/>
        <v>39.768046771334134</v>
      </c>
      <c r="I9" s="3">
        <f t="shared" si="2"/>
        <v>21722.111407999997</v>
      </c>
      <c r="J9" s="26">
        <f t="shared" si="3"/>
        <v>16.551953228665866</v>
      </c>
      <c r="K9" s="27">
        <v>45840</v>
      </c>
      <c r="L9">
        <f t="shared" si="4"/>
        <v>70</v>
      </c>
      <c r="M9" s="5">
        <f t="shared" si="5"/>
        <v>0.41621237582623627</v>
      </c>
      <c r="N9">
        <v>15</v>
      </c>
      <c r="O9">
        <v>98</v>
      </c>
      <c r="P9" s="64">
        <v>80</v>
      </c>
      <c r="Q9" s="28">
        <v>37.89</v>
      </c>
      <c r="R9" s="29">
        <f t="shared" si="6"/>
        <v>35.237700000000004</v>
      </c>
      <c r="S9" s="29">
        <v>34.869999999999997</v>
      </c>
      <c r="T9" s="31">
        <f t="shared" si="7"/>
        <v>47.362499999999997</v>
      </c>
      <c r="U9" s="28">
        <f t="shared" si="8"/>
        <v>56.835000000000001</v>
      </c>
      <c r="V9" s="28">
        <f t="shared" si="9"/>
        <v>75.78</v>
      </c>
      <c r="W9" s="28">
        <f t="shared" si="10"/>
        <v>36.984283497340748</v>
      </c>
      <c r="X9" s="29">
        <v>45</v>
      </c>
      <c r="Y9" s="5">
        <f t="shared" si="11"/>
        <v>0.13156173494638909</v>
      </c>
      <c r="Z9" s="6">
        <f t="shared" si="12"/>
        <v>0.11774954880504064</v>
      </c>
      <c r="AB9" s="58">
        <v>45959</v>
      </c>
      <c r="AC9" s="9">
        <v>98</v>
      </c>
    </row>
    <row r="10" spans="1:29" x14ac:dyDescent="0.25">
      <c r="A10" t="s">
        <v>69</v>
      </c>
      <c r="B10" t="s">
        <v>30</v>
      </c>
      <c r="C10" s="25" t="s">
        <v>70</v>
      </c>
      <c r="D10" s="2">
        <v>682.05550000000005</v>
      </c>
      <c r="E10" s="26">
        <v>82.71</v>
      </c>
      <c r="F10" s="3">
        <f t="shared" si="0"/>
        <v>56412.810404999997</v>
      </c>
      <c r="G10" s="3">
        <v>43555.21</v>
      </c>
      <c r="H10" s="4">
        <f t="shared" si="1"/>
        <v>63.85874756526411</v>
      </c>
      <c r="I10" s="3">
        <f t="shared" si="2"/>
        <v>12857.600404999997</v>
      </c>
      <c r="J10" s="26">
        <f t="shared" si="3"/>
        <v>18.851252434735883</v>
      </c>
      <c r="K10" s="27">
        <v>45854</v>
      </c>
      <c r="L10">
        <f t="shared" si="4"/>
        <v>56</v>
      </c>
      <c r="M10" s="5">
        <f t="shared" si="5"/>
        <v>0.29520235133753225</v>
      </c>
      <c r="N10">
        <v>2</v>
      </c>
      <c r="O10">
        <v>99</v>
      </c>
      <c r="P10" s="63">
        <v>46</v>
      </c>
      <c r="Q10" s="28">
        <v>58.69</v>
      </c>
      <c r="R10" s="29">
        <f t="shared" si="6"/>
        <v>54.581699999999998</v>
      </c>
      <c r="S10" s="29">
        <v>50.08</v>
      </c>
      <c r="T10" s="31">
        <f t="shared" si="7"/>
        <v>73.362499999999997</v>
      </c>
      <c r="U10" s="28">
        <f t="shared" si="8"/>
        <v>88.034999999999997</v>
      </c>
      <c r="V10" s="28">
        <f t="shared" si="9"/>
        <v>117.38</v>
      </c>
      <c r="W10" s="28">
        <f t="shared" si="10"/>
        <v>59.388635235695624</v>
      </c>
      <c r="X10" s="29">
        <v>66</v>
      </c>
      <c r="Y10" s="5">
        <f t="shared" si="11"/>
        <v>3.353107469806723E-2</v>
      </c>
      <c r="Z10" s="32">
        <f t="shared" si="12"/>
        <v>8.9871409997852952E-2</v>
      </c>
      <c r="AB10" s="58">
        <v>45974</v>
      </c>
      <c r="AC10" s="9">
        <v>93</v>
      </c>
    </row>
    <row r="11" spans="1:29" x14ac:dyDescent="0.25">
      <c r="A11" t="s">
        <v>134</v>
      </c>
      <c r="B11" t="s">
        <v>30</v>
      </c>
      <c r="C11" s="25" t="s">
        <v>135</v>
      </c>
      <c r="D11" s="2">
        <v>148.3219</v>
      </c>
      <c r="E11" s="26">
        <v>582</v>
      </c>
      <c r="F11" s="3">
        <f t="shared" si="0"/>
        <v>86323.345799999996</v>
      </c>
      <c r="G11" s="3">
        <v>68650.22</v>
      </c>
      <c r="H11" s="4">
        <f t="shared" si="1"/>
        <v>462.8461474670969</v>
      </c>
      <c r="I11" s="3">
        <f t="shared" si="2"/>
        <v>17673.125799999994</v>
      </c>
      <c r="J11" s="26">
        <f t="shared" si="3"/>
        <v>119.1538525329031</v>
      </c>
      <c r="K11" s="27">
        <v>45895</v>
      </c>
      <c r="L11">
        <f t="shared" si="4"/>
        <v>16</v>
      </c>
      <c r="M11" s="5">
        <f t="shared" si="5"/>
        <v>0.25743727842387093</v>
      </c>
      <c r="N11">
        <v>43</v>
      </c>
      <c r="O11">
        <v>98</v>
      </c>
      <c r="P11" s="33">
        <v>81</v>
      </c>
      <c r="Q11" s="28">
        <v>473.7</v>
      </c>
      <c r="R11" s="29">
        <f t="shared" si="6"/>
        <v>440.541</v>
      </c>
      <c r="S11" s="29">
        <v>385.19</v>
      </c>
      <c r="T11" s="28">
        <f t="shared" si="7"/>
        <v>592.125</v>
      </c>
      <c r="U11" s="28">
        <f t="shared" si="8"/>
        <v>710.55</v>
      </c>
      <c r="V11" s="28">
        <f t="shared" si="9"/>
        <v>947.4</v>
      </c>
      <c r="W11" s="28">
        <f t="shared" si="10"/>
        <v>430.44691714440012</v>
      </c>
      <c r="X11" s="29">
        <v>400</v>
      </c>
      <c r="Y11" s="5">
        <f t="shared" si="11"/>
        <v>-0.13578193922758003</v>
      </c>
      <c r="Z11" s="32">
        <f t="shared" si="12"/>
        <v>0.13752196969237732</v>
      </c>
      <c r="AB11" s="58">
        <v>45966</v>
      </c>
      <c r="AC11" s="9">
        <v>99</v>
      </c>
    </row>
    <row r="12" spans="1:29" x14ac:dyDescent="0.25">
      <c r="A12" t="s">
        <v>136</v>
      </c>
      <c r="B12" t="s">
        <v>30</v>
      </c>
      <c r="C12" s="25" t="s">
        <v>137</v>
      </c>
      <c r="D12" s="2">
        <v>287.49</v>
      </c>
      <c r="E12" s="26">
        <v>205.19</v>
      </c>
      <c r="F12" s="3">
        <f t="shared" si="0"/>
        <v>58990.073100000001</v>
      </c>
      <c r="G12" s="3">
        <v>57158.76</v>
      </c>
      <c r="H12" s="4">
        <f t="shared" si="1"/>
        <v>198.81999373891267</v>
      </c>
      <c r="I12" s="3">
        <f t="shared" si="2"/>
        <v>1831.3130999999994</v>
      </c>
      <c r="J12" s="26">
        <f t="shared" si="3"/>
        <v>6.370006261087326</v>
      </c>
      <c r="K12" s="27">
        <v>45895</v>
      </c>
      <c r="L12">
        <f t="shared" si="4"/>
        <v>16</v>
      </c>
      <c r="M12" s="5">
        <f t="shared" si="5"/>
        <v>3.2039062778828641E-2</v>
      </c>
      <c r="N12">
        <v>25</v>
      </c>
      <c r="O12">
        <v>82</v>
      </c>
      <c r="P12" s="63">
        <v>91</v>
      </c>
      <c r="Q12" s="28">
        <v>183.05</v>
      </c>
      <c r="R12" s="29">
        <f t="shared" si="6"/>
        <v>170.23650000000001</v>
      </c>
      <c r="S12" s="29">
        <v>185.05</v>
      </c>
      <c r="T12" s="31">
        <f t="shared" si="7"/>
        <v>228.8125</v>
      </c>
      <c r="U12" s="28">
        <f t="shared" si="8"/>
        <v>274.57500000000005</v>
      </c>
      <c r="V12" s="28">
        <f t="shared" si="9"/>
        <v>366.1</v>
      </c>
      <c r="W12" s="28">
        <f t="shared" si="10"/>
        <v>184.90259417718877</v>
      </c>
      <c r="X12" s="29">
        <v>189</v>
      </c>
      <c r="Y12" s="5">
        <f t="shared" si="11"/>
        <v>-4.939137937911886E-2</v>
      </c>
      <c r="Z12" s="6">
        <f t="shared" si="12"/>
        <v>9.3977254586549194E-2</v>
      </c>
      <c r="AB12" s="58">
        <v>45953</v>
      </c>
      <c r="AC12" s="9">
        <v>98</v>
      </c>
    </row>
    <row r="13" spans="1:29" x14ac:dyDescent="0.25">
      <c r="A13" t="s">
        <v>140</v>
      </c>
      <c r="B13" t="s">
        <v>30</v>
      </c>
      <c r="C13" s="25" t="s">
        <v>141</v>
      </c>
      <c r="D13" s="2">
        <f>595.1582+306.9859</f>
        <v>902.14409999999998</v>
      </c>
      <c r="E13" s="26">
        <v>78.11</v>
      </c>
      <c r="F13" s="3">
        <f t="shared" si="0"/>
        <v>70466.475651000001</v>
      </c>
      <c r="G13" s="3">
        <f>46827.05+24871.38</f>
        <v>71698.430000000008</v>
      </c>
      <c r="H13" s="4">
        <f t="shared" si="1"/>
        <v>79.475584887159386</v>
      </c>
      <c r="I13" s="3">
        <f t="shared" si="2"/>
        <v>-1231.9543490000069</v>
      </c>
      <c r="J13" s="26">
        <f t="shared" si="3"/>
        <v>-1.3655848871593861</v>
      </c>
      <c r="K13" s="27">
        <v>45897</v>
      </c>
      <c r="L13">
        <f t="shared" si="4"/>
        <v>14</v>
      </c>
      <c r="M13" s="5">
        <f t="shared" si="5"/>
        <v>-1.7182445264143257E-2</v>
      </c>
      <c r="N13">
        <v>10</v>
      </c>
      <c r="O13">
        <v>92</v>
      </c>
      <c r="P13" s="63">
        <v>99</v>
      </c>
      <c r="Q13" s="28">
        <v>78.959999999999994</v>
      </c>
      <c r="R13" s="29">
        <f t="shared" si="6"/>
        <v>73.4328</v>
      </c>
      <c r="S13" s="29">
        <v>68.959999999999994</v>
      </c>
      <c r="T13" s="28">
        <f t="shared" si="7"/>
        <v>98.699999999999989</v>
      </c>
      <c r="U13" s="28">
        <f t="shared" si="8"/>
        <v>118.44</v>
      </c>
      <c r="V13" s="28">
        <f t="shared" si="9"/>
        <v>157.91999999999999</v>
      </c>
      <c r="W13" s="28">
        <f t="shared" si="10"/>
        <v>73.912293945058224</v>
      </c>
      <c r="X13" s="29">
        <v>72</v>
      </c>
      <c r="Y13" s="5">
        <f t="shared" si="11"/>
        <v>-9.4061401344492548E-2</v>
      </c>
      <c r="Z13" s="6">
        <f t="shared" si="12"/>
        <v>0.11226034439463844</v>
      </c>
      <c r="AB13" s="58">
        <v>45966</v>
      </c>
      <c r="AC13" s="9">
        <v>99</v>
      </c>
    </row>
    <row r="14" spans="1:29" x14ac:dyDescent="0.25">
      <c r="A14" t="s">
        <v>142</v>
      </c>
      <c r="B14" t="s">
        <v>30</v>
      </c>
      <c r="C14" s="25" t="s">
        <v>143</v>
      </c>
      <c r="D14" s="2">
        <v>502.0591</v>
      </c>
      <c r="E14" s="26">
        <v>139.38999999999999</v>
      </c>
      <c r="F14" s="3">
        <f t="shared" si="0"/>
        <v>69982.017948999986</v>
      </c>
      <c r="G14" s="3">
        <v>71038.880000000005</v>
      </c>
      <c r="H14" s="4">
        <f t="shared" si="1"/>
        <v>141.49505506423449</v>
      </c>
      <c r="I14" s="3">
        <f t="shared" si="2"/>
        <v>-1056.8620510000183</v>
      </c>
      <c r="J14" s="26">
        <f t="shared" si="3"/>
        <v>-2.1050550642345058</v>
      </c>
      <c r="K14" s="27">
        <v>45909</v>
      </c>
      <c r="L14">
        <f t="shared" si="4"/>
        <v>3</v>
      </c>
      <c r="M14" s="5">
        <f t="shared" si="5"/>
        <v>-1.4877234142768272E-2</v>
      </c>
      <c r="N14">
        <v>19</v>
      </c>
      <c r="O14">
        <v>92</v>
      </c>
      <c r="P14" s="63">
        <v>99</v>
      </c>
      <c r="Q14" s="28">
        <v>125.81</v>
      </c>
      <c r="R14" s="29">
        <f t="shared" si="6"/>
        <v>117.00330000000001</v>
      </c>
      <c r="S14" s="29">
        <v>127.58</v>
      </c>
      <c r="T14" s="28">
        <f t="shared" si="7"/>
        <v>157.26249999999999</v>
      </c>
      <c r="U14" s="28">
        <f t="shared" si="8"/>
        <v>188.715</v>
      </c>
      <c r="V14" s="28">
        <f t="shared" si="9"/>
        <v>251.62</v>
      </c>
      <c r="W14" s="28">
        <f t="shared" si="10"/>
        <v>131.59040120973808</v>
      </c>
      <c r="X14" s="29">
        <v>134</v>
      </c>
      <c r="Y14" s="5">
        <f t="shared" si="11"/>
        <v>-5.297043816006123E-2</v>
      </c>
      <c r="Z14" s="6">
        <f t="shared" si="12"/>
        <v>0.11148855344058943</v>
      </c>
      <c r="AB14" s="58">
        <v>45964</v>
      </c>
      <c r="AC14" s="9">
        <v>99</v>
      </c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45252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45252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2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45252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592059.85669399996</v>
      </c>
      <c r="G18" s="3">
        <f>SUM(G6:G17)</f>
        <v>466999.49810000003</v>
      </c>
      <c r="H18" s="4"/>
      <c r="I18" s="3">
        <f>SUM(I6:I17)</f>
        <v>125060.35859399999</v>
      </c>
      <c r="M18" s="5"/>
      <c r="Z18" s="6"/>
    </row>
    <row r="19" spans="1:29" x14ac:dyDescent="0.25">
      <c r="D19" s="2" t="s">
        <v>44</v>
      </c>
      <c r="F19" s="3">
        <v>35646</v>
      </c>
      <c r="G19" s="6">
        <f>F19/F20</f>
        <v>5.6787744800949107E-2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627705.85669399996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'09-05-25'!F20</f>
        <v>569577.22209699999</v>
      </c>
      <c r="K21" s="1">
        <v>45657</v>
      </c>
      <c r="L21" s="50">
        <v>170762</v>
      </c>
      <c r="M21" s="50">
        <v>217182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0.10205575704553115</v>
      </c>
      <c r="K22" s="9" t="s">
        <v>123</v>
      </c>
      <c r="L22" s="6">
        <f>(M21-L21)/L21</f>
        <v>0.27184033918553308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4">F28/D28</f>
        <v>44.698790833464948</v>
      </c>
      <c r="F28" s="3">
        <v>56489.42</v>
      </c>
      <c r="G28" s="56">
        <v>75501.87</v>
      </c>
      <c r="H28" s="57">
        <f t="shared" ref="H28:H57" si="15">G28/D28</f>
        <v>59.742909285764696</v>
      </c>
      <c r="I28" s="57">
        <f t="shared" ref="I28:I57" si="16">G28-F28</f>
        <v>19012.449999999997</v>
      </c>
      <c r="J28" s="6">
        <f t="shared" ref="J28:J57" si="17">I28/F28</f>
        <v>0.33656656414599401</v>
      </c>
      <c r="K28" s="1">
        <v>45527</v>
      </c>
      <c r="L28" s="1">
        <v>45688</v>
      </c>
      <c r="M28">
        <f t="shared" si="13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4"/>
        <v>169.90901206845703</v>
      </c>
      <c r="F29" s="3">
        <f>59492.79+21969.78</f>
        <v>81462.570000000007</v>
      </c>
      <c r="G29" s="56">
        <v>65047.58</v>
      </c>
      <c r="H29" s="57">
        <f t="shared" si="15"/>
        <v>135.67175765807443</v>
      </c>
      <c r="I29" s="57">
        <f t="shared" si="16"/>
        <v>-16414.990000000005</v>
      </c>
      <c r="J29" s="6">
        <f t="shared" si="17"/>
        <v>-0.20150346349249729</v>
      </c>
      <c r="K29" s="1">
        <v>45671</v>
      </c>
      <c r="L29" s="1">
        <v>45688</v>
      </c>
      <c r="M29">
        <f t="shared" si="13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4"/>
        <v>18.702010092477405</v>
      </c>
      <c r="F30" s="3">
        <v>56486.59</v>
      </c>
      <c r="G30" s="56">
        <v>71124.88</v>
      </c>
      <c r="H30" s="57">
        <f t="shared" si="15"/>
        <v>23.548566546258936</v>
      </c>
      <c r="I30" s="57">
        <f t="shared" si="16"/>
        <v>14638.290000000008</v>
      </c>
      <c r="J30" s="6">
        <f t="shared" si="17"/>
        <v>0.25914628587068206</v>
      </c>
      <c r="K30" s="1">
        <v>45527</v>
      </c>
      <c r="L30" s="1">
        <v>45691</v>
      </c>
      <c r="M30">
        <f t="shared" si="13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4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5"/>
        <v>38.249853000000002</v>
      </c>
      <c r="I31" s="57">
        <f t="shared" si="16"/>
        <v>-6110.386336591735</v>
      </c>
      <c r="J31" s="6">
        <f t="shared" si="17"/>
        <v>-0.10005621882176895</v>
      </c>
      <c r="K31" s="1">
        <v>45706</v>
      </c>
      <c r="L31" s="1">
        <v>45708</v>
      </c>
      <c r="M31">
        <f t="shared" si="13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4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5"/>
        <v>531.63995279999995</v>
      </c>
      <c r="I32" s="57">
        <f t="shared" si="16"/>
        <v>-22176.243614196137</v>
      </c>
      <c r="J32" s="6">
        <f t="shared" si="17"/>
        <v>-0.24194911929355969</v>
      </c>
      <c r="K32" s="1">
        <v>45706</v>
      </c>
      <c r="L32" s="1">
        <v>45708</v>
      </c>
      <c r="M32">
        <f t="shared" si="13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4"/>
        <v>368.56522253629635</v>
      </c>
      <c r="F33" s="3">
        <v>74438.86</v>
      </c>
      <c r="G33" s="56">
        <f>201.9693*360.5332483</f>
        <v>72816.647785877198</v>
      </c>
      <c r="H33" s="57">
        <f t="shared" si="15"/>
        <v>360.53324830000003</v>
      </c>
      <c r="I33" s="57">
        <f t="shared" si="16"/>
        <v>-1622.2122141228028</v>
      </c>
      <c r="J33" s="6">
        <f t="shared" si="17"/>
        <v>-2.1792545105107773E-2</v>
      </c>
      <c r="K33" s="1">
        <v>45664</v>
      </c>
      <c r="L33" s="1">
        <v>45708</v>
      </c>
      <c r="M33">
        <f t="shared" si="13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4"/>
        <v>30.17825528482809</v>
      </c>
      <c r="F34" s="3">
        <v>37884.65</v>
      </c>
      <c r="G34" s="56">
        <f>1255.3625*39.762296</f>
        <v>49916.0953123</v>
      </c>
      <c r="H34" s="57">
        <f t="shared" si="15"/>
        <v>39.762295999999999</v>
      </c>
      <c r="I34" s="57">
        <f t="shared" si="16"/>
        <v>12031.445312299998</v>
      </c>
      <c r="J34" s="6">
        <f t="shared" si="17"/>
        <v>0.31758100740801348</v>
      </c>
      <c r="K34" s="1">
        <v>45663</v>
      </c>
      <c r="L34" s="1">
        <v>45709</v>
      </c>
      <c r="M34">
        <f t="shared" si="13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4"/>
        <v>242.26930551548847</v>
      </c>
      <c r="F35" s="3">
        <v>61221.72</v>
      </c>
      <c r="G35" s="56">
        <f>252.7011*226.6146532</f>
        <v>57265.772139758519</v>
      </c>
      <c r="H35" s="57">
        <f t="shared" si="15"/>
        <v>226.61465319999999</v>
      </c>
      <c r="I35" s="57">
        <f t="shared" si="16"/>
        <v>-3955.947860241482</v>
      </c>
      <c r="J35" s="6">
        <f t="shared" si="17"/>
        <v>-6.4616738311852093E-2</v>
      </c>
      <c r="K35" s="1">
        <v>45699</v>
      </c>
      <c r="L35" s="1">
        <v>45709</v>
      </c>
      <c r="M35">
        <f t="shared" si="13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4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5"/>
        <v>283.93999450000007</v>
      </c>
      <c r="I36" s="57">
        <f t="shared" si="16"/>
        <v>19563.525282954361</v>
      </c>
      <c r="J36" s="6">
        <f t="shared" si="17"/>
        <v>0.36434300703793465</v>
      </c>
      <c r="K36" s="1">
        <v>45580</v>
      </c>
      <c r="L36" s="1">
        <v>45712</v>
      </c>
      <c r="M36">
        <f t="shared" si="13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4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5"/>
        <v>63.365330900000004</v>
      </c>
      <c r="I37" s="57">
        <f t="shared" si="16"/>
        <v>-4549.5912833559851</v>
      </c>
      <c r="J37" s="6">
        <f t="shared" si="17"/>
        <v>-5.9638082078758516E-2</v>
      </c>
      <c r="K37" s="1">
        <v>45673</v>
      </c>
      <c r="L37" s="1">
        <v>45712</v>
      </c>
      <c r="M37">
        <f t="shared" si="13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5"/>
        <v>50.021380499999999</v>
      </c>
      <c r="I38" s="57">
        <f t="shared" si="16"/>
        <v>6027.2875116823998</v>
      </c>
      <c r="J38" s="6">
        <f t="shared" si="17"/>
        <v>9.9771440635884723E-2</v>
      </c>
      <c r="K38" s="1">
        <v>45593</v>
      </c>
      <c r="L38" s="1">
        <v>45713</v>
      </c>
      <c r="M38">
        <f t="shared" si="13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5"/>
        <v>12.519992000000002</v>
      </c>
      <c r="I39" s="57">
        <f t="shared" si="16"/>
        <v>-2230.6527810991975</v>
      </c>
      <c r="J39" s="6">
        <f t="shared" si="17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5"/>
        <v>94.679995300000002</v>
      </c>
      <c r="I40" s="57">
        <f t="shared" si="16"/>
        <v>-4750.690604140058</v>
      </c>
      <c r="J40" s="6">
        <f t="shared" si="17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57" si="18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5"/>
        <v>18.9477051</v>
      </c>
      <c r="I41" s="57">
        <f t="shared" si="16"/>
        <v>-2244.5195874142191</v>
      </c>
      <c r="J41" s="6">
        <f t="shared" si="17"/>
        <v>-8.2776138273503941E-2</v>
      </c>
      <c r="K41" s="1">
        <v>45761</v>
      </c>
      <c r="L41" s="1">
        <v>45768</v>
      </c>
      <c r="M41">
        <f t="shared" ref="M41:M57" si="19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8"/>
        <v>96.336406065231671</v>
      </c>
      <c r="F42" s="3">
        <v>34004.42</v>
      </c>
      <c r="G42" s="56">
        <f>352.9758*89.7849585</f>
        <v>31691.9175545043</v>
      </c>
      <c r="H42" s="57">
        <f t="shared" si="15"/>
        <v>89.784958500000002</v>
      </c>
      <c r="I42" s="57">
        <f t="shared" si="16"/>
        <v>-2312.5024454956983</v>
      </c>
      <c r="J42" s="6">
        <f t="shared" si="17"/>
        <v>-6.8005937036882222E-2</v>
      </c>
      <c r="K42" s="1">
        <v>45762</v>
      </c>
      <c r="L42" s="1">
        <v>45768</v>
      </c>
      <c r="M42">
        <f t="shared" si="19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8"/>
        <v>16.992624876012847</v>
      </c>
      <c r="F43" s="3">
        <v>37971.83</v>
      </c>
      <c r="G43" s="56">
        <f>2234.6065*13.3067232</f>
        <v>29735.2901564208</v>
      </c>
      <c r="H43" s="57">
        <f t="shared" si="15"/>
        <v>13.3067232</v>
      </c>
      <c r="I43" s="57">
        <f t="shared" si="16"/>
        <v>-8236.5398435792013</v>
      </c>
      <c r="J43" s="6">
        <f t="shared" si="17"/>
        <v>-0.21691184869360261</v>
      </c>
      <c r="K43" s="1">
        <v>45652</v>
      </c>
      <c r="L43" s="1">
        <v>45785</v>
      </c>
      <c r="M43">
        <f t="shared" si="19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8"/>
        <v>38.101812248436303</v>
      </c>
      <c r="F44" s="3">
        <v>21940.86</v>
      </c>
      <c r="G44" s="56">
        <f>575.8482*32.7857042</f>
        <v>18879.588749302438</v>
      </c>
      <c r="H44" s="57">
        <f t="shared" si="15"/>
        <v>32.785704199999998</v>
      </c>
      <c r="I44" s="57">
        <f t="shared" si="16"/>
        <v>-3061.2712506975622</v>
      </c>
      <c r="J44" s="6">
        <f t="shared" si="17"/>
        <v>-0.13952375844417958</v>
      </c>
      <c r="K44" s="1">
        <v>45761</v>
      </c>
      <c r="L44" s="1">
        <v>45790</v>
      </c>
      <c r="M44">
        <f t="shared" si="19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8"/>
        <v>24.570291674143743</v>
      </c>
      <c r="F45" s="3">
        <v>23591.34</v>
      </c>
      <c r="G45" s="56">
        <v>19396.37</v>
      </c>
      <c r="H45" s="57">
        <f t="shared" si="15"/>
        <v>20.201246233559068</v>
      </c>
      <c r="I45" s="57">
        <f t="shared" si="16"/>
        <v>-4194.9700000000012</v>
      </c>
      <c r="J45" s="6">
        <f t="shared" si="17"/>
        <v>-0.17781821634548953</v>
      </c>
      <c r="K45" s="1">
        <v>45776</v>
      </c>
      <c r="L45" s="1">
        <v>45812</v>
      </c>
      <c r="M45">
        <f t="shared" si="19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8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5"/>
        <v>84.038907800000004</v>
      </c>
      <c r="I46" s="57">
        <f t="shared" si="16"/>
        <v>-3907.8121523372101</v>
      </c>
      <c r="J46" s="6">
        <f t="shared" si="17"/>
        <v>-0.14246372001691271</v>
      </c>
      <c r="K46" s="1">
        <v>45782</v>
      </c>
      <c r="L46" s="1">
        <v>45818</v>
      </c>
      <c r="M46">
        <f t="shared" si="19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8"/>
        <v>40.437100849618155</v>
      </c>
      <c r="F47" s="3">
        <f>22877.09+14244.67</f>
        <v>37121.760000000002</v>
      </c>
      <c r="G47" s="56">
        <v>34659.56</v>
      </c>
      <c r="H47" s="57">
        <f t="shared" si="15"/>
        <v>37.755002002151599</v>
      </c>
      <c r="I47" s="57">
        <f t="shared" si="16"/>
        <v>-2462.2000000000044</v>
      </c>
      <c r="J47" s="6">
        <f t="shared" si="17"/>
        <v>-6.6327674118899643E-2</v>
      </c>
      <c r="K47" s="1">
        <v>45782</v>
      </c>
      <c r="L47" s="1">
        <v>45828</v>
      </c>
      <c r="M47">
        <f t="shared" si="19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18"/>
        <v>123.70183817297092</v>
      </c>
      <c r="F48" s="3">
        <f>22876.67+14197.82+14808.77</f>
        <v>51883.259999999995</v>
      </c>
      <c r="G48" s="56">
        <v>55156.07</v>
      </c>
      <c r="H48" s="57">
        <f t="shared" si="15"/>
        <v>131.50498340692272</v>
      </c>
      <c r="I48" s="57">
        <f t="shared" si="16"/>
        <v>3272.8100000000049</v>
      </c>
      <c r="J48" s="6">
        <f t="shared" si="17"/>
        <v>6.3080269050171583E-2</v>
      </c>
      <c r="K48" s="1">
        <v>45782</v>
      </c>
      <c r="L48" s="1">
        <v>45839</v>
      </c>
      <c r="M48">
        <f t="shared" si="19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18"/>
        <v>63.194998844628557</v>
      </c>
      <c r="F49" s="3">
        <v>36072.47</v>
      </c>
      <c r="G49" s="56">
        <v>51786.91</v>
      </c>
      <c r="H49" s="57">
        <f t="shared" si="15"/>
        <v>90.724968864535285</v>
      </c>
      <c r="I49" s="57">
        <f t="shared" si="16"/>
        <v>15714.440000000002</v>
      </c>
      <c r="J49" s="6">
        <f t="shared" si="17"/>
        <v>0.43563526423336141</v>
      </c>
      <c r="K49" s="1">
        <v>45796</v>
      </c>
      <c r="L49" s="1">
        <v>45839</v>
      </c>
      <c r="M49">
        <f t="shared" si="19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18"/>
        <v>90.254808370121239</v>
      </c>
      <c r="F50" s="3">
        <f>35895.15+19479.74</f>
        <v>55374.89</v>
      </c>
      <c r="G50" s="56">
        <v>55236.959999999999</v>
      </c>
      <c r="H50" s="57">
        <f t="shared" si="15"/>
        <v>90.029998068584007</v>
      </c>
      <c r="I50" s="57">
        <f t="shared" si="16"/>
        <v>-137.93000000000029</v>
      </c>
      <c r="J50" s="6">
        <f t="shared" si="17"/>
        <v>-2.4908401623912986E-3</v>
      </c>
      <c r="K50" s="1">
        <v>45789</v>
      </c>
      <c r="L50" s="1">
        <v>45855</v>
      </c>
      <c r="M50">
        <f t="shared" si="19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18"/>
        <v>113.05354718581073</v>
      </c>
      <c r="F51" s="3">
        <v>45409.8</v>
      </c>
      <c r="G51" s="56">
        <v>41051.0026</v>
      </c>
      <c r="H51" s="57">
        <f t="shared" si="15"/>
        <v>102.2017595202784</v>
      </c>
      <c r="I51" s="57">
        <f t="shared" si="16"/>
        <v>-4358.7974000000031</v>
      </c>
      <c r="J51" s="6">
        <f t="shared" si="17"/>
        <v>-9.5988033420098803E-2</v>
      </c>
      <c r="K51" s="1">
        <v>45855</v>
      </c>
      <c r="L51" s="1">
        <v>45860</v>
      </c>
      <c r="M51">
        <f t="shared" si="19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18"/>
        <v>17.339829156069133</v>
      </c>
      <c r="F52" s="3">
        <v>22797.23</v>
      </c>
      <c r="G52" s="56">
        <v>18655.11</v>
      </c>
      <c r="H52" s="57">
        <f t="shared" si="15"/>
        <v>14.189286167121043</v>
      </c>
      <c r="I52" s="57">
        <f t="shared" si="16"/>
        <v>-4142.119999999999</v>
      </c>
      <c r="J52" s="6">
        <f t="shared" si="17"/>
        <v>-0.18169400405224664</v>
      </c>
      <c r="K52" s="1">
        <v>45861</v>
      </c>
      <c r="L52" s="1">
        <v>45870</v>
      </c>
      <c r="M52">
        <f t="shared" si="19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18"/>
        <v>74.757798491837917</v>
      </c>
      <c r="F53" s="3">
        <f>26856.13+12527.28</f>
        <v>39383.410000000003</v>
      </c>
      <c r="G53" s="56">
        <v>67176.488400000002</v>
      </c>
      <c r="H53" s="57">
        <f t="shared" si="15"/>
        <v>127.51476784759082</v>
      </c>
      <c r="I53" s="57">
        <f t="shared" si="16"/>
        <v>27793.078399999999</v>
      </c>
      <c r="J53" s="6">
        <f t="shared" si="17"/>
        <v>0.7057052296893539</v>
      </c>
      <c r="K53" s="1">
        <v>45789</v>
      </c>
      <c r="L53" s="1">
        <v>45870</v>
      </c>
      <c r="M53">
        <f t="shared" si="19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18"/>
        <v>22.651928580010882</v>
      </c>
      <c r="F54" s="3">
        <f>18821.97+11334.33+20180.34</f>
        <v>50336.639999999999</v>
      </c>
      <c r="G54" s="56">
        <v>42713.83</v>
      </c>
      <c r="H54" s="57">
        <f t="shared" si="15"/>
        <v>19.221597360068653</v>
      </c>
      <c r="I54" s="57">
        <f t="shared" si="16"/>
        <v>-7622.8099999999977</v>
      </c>
      <c r="J54" s="6">
        <f t="shared" si="17"/>
        <v>-0.15143660760829483</v>
      </c>
      <c r="K54" s="1">
        <v>45814</v>
      </c>
      <c r="L54" s="1">
        <v>45880</v>
      </c>
      <c r="M54">
        <f t="shared" si="19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18"/>
        <v>30.926801697408081</v>
      </c>
      <c r="F55" s="3">
        <f>(605.0016*29.7738017)+17708.65</f>
        <v>35721.847666582718</v>
      </c>
      <c r="G55" s="56">
        <v>42554.27</v>
      </c>
      <c r="H55" s="57">
        <f t="shared" si="15"/>
        <v>36.842088403482109</v>
      </c>
      <c r="I55" s="57">
        <f t="shared" si="16"/>
        <v>6832.4223334172784</v>
      </c>
      <c r="J55" s="6">
        <f t="shared" si="17"/>
        <v>0.1912673274123195</v>
      </c>
      <c r="K55" s="1">
        <v>45800</v>
      </c>
      <c r="L55" s="1">
        <v>45881</v>
      </c>
      <c r="M55">
        <f t="shared" si="19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18"/>
        <v>377.42204050678822</v>
      </c>
      <c r="F56" s="3">
        <f>34962.9+15401.92</f>
        <v>50364.82</v>
      </c>
      <c r="G56" s="56">
        <v>81517.961800000005</v>
      </c>
      <c r="H56" s="57">
        <f t="shared" si="15"/>
        <v>610.87631168959638</v>
      </c>
      <c r="I56" s="57">
        <f t="shared" si="16"/>
        <v>31153.141800000005</v>
      </c>
      <c r="J56" s="6">
        <f t="shared" si="17"/>
        <v>0.61854965033132259</v>
      </c>
      <c r="K56" s="1">
        <v>45771</v>
      </c>
      <c r="L56" s="1">
        <v>45884</v>
      </c>
      <c r="M56">
        <f t="shared" si="19"/>
        <v>111</v>
      </c>
    </row>
    <row r="57" spans="1:13" x14ac:dyDescent="0.25">
      <c r="A57" t="s">
        <v>138</v>
      </c>
      <c r="B57" t="s">
        <v>30</v>
      </c>
      <c r="C57" s="25" t="s">
        <v>139</v>
      </c>
      <c r="D57" s="2">
        <v>345.54309999999998</v>
      </c>
      <c r="E57" s="57">
        <f t="shared" si="18"/>
        <v>133.9832570813887</v>
      </c>
      <c r="F57" s="3">
        <v>46296.99</v>
      </c>
      <c r="G57" s="56">
        <v>42812.79</v>
      </c>
      <c r="H57" s="57">
        <f t="shared" si="15"/>
        <v>123.89999973954046</v>
      </c>
      <c r="I57" s="57">
        <f t="shared" si="16"/>
        <v>-3484.1999999999971</v>
      </c>
      <c r="J57" s="6">
        <f t="shared" si="17"/>
        <v>-7.525759234023631E-2</v>
      </c>
      <c r="K57" s="1">
        <v>45897</v>
      </c>
      <c r="L57" s="1">
        <v>45904</v>
      </c>
      <c r="M57">
        <f t="shared" si="19"/>
        <v>6</v>
      </c>
    </row>
    <row r="58" spans="1:13" x14ac:dyDescent="0.25">
      <c r="C58" s="25"/>
      <c r="D58" s="2"/>
      <c r="E58" s="57"/>
      <c r="F58" s="3"/>
      <c r="G58" s="56"/>
      <c r="H58" s="57"/>
      <c r="I58" s="57"/>
      <c r="J58" s="6"/>
      <c r="K58" s="1"/>
      <c r="L58" s="1"/>
    </row>
    <row r="59" spans="1:13" x14ac:dyDescent="0.25">
      <c r="C59" s="25"/>
      <c r="D59" s="2"/>
      <c r="E59" s="57"/>
      <c r="F59" s="3"/>
      <c r="G59" s="56"/>
      <c r="H59" s="57"/>
      <c r="I59" s="57"/>
      <c r="J59" s="6"/>
      <c r="K59" s="1"/>
      <c r="L59" s="1"/>
    </row>
    <row r="60" spans="1:13" x14ac:dyDescent="0.25">
      <c r="F60" s="56"/>
      <c r="G60" s="56"/>
      <c r="H60" s="3"/>
      <c r="I60" s="3">
        <f>SUM(I26:I59)</f>
        <v>40298.48326708276</v>
      </c>
      <c r="J60" s="13" t="s">
        <v>66</v>
      </c>
    </row>
    <row r="61" spans="1:13" x14ac:dyDescent="0.25">
      <c r="F61" s="56"/>
      <c r="G61" s="56"/>
      <c r="H61" s="3" t="s">
        <v>67</v>
      </c>
      <c r="I61" s="59">
        <v>22</v>
      </c>
      <c r="J61" s="5">
        <v>-0.1082</v>
      </c>
    </row>
    <row r="62" spans="1:13" x14ac:dyDescent="0.25">
      <c r="F62" s="56"/>
      <c r="G62" s="56"/>
      <c r="H62" s="3" t="s">
        <v>68</v>
      </c>
      <c r="I62" s="59">
        <v>10</v>
      </c>
      <c r="J62" s="5">
        <v>0.3392</v>
      </c>
    </row>
    <row r="63" spans="1:13" x14ac:dyDescent="0.25">
      <c r="F63" s="56"/>
      <c r="G63" s="56"/>
      <c r="J63" s="6"/>
    </row>
    <row r="64" spans="1:13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  <c r="J77" s="6"/>
    </row>
    <row r="78" spans="6:10" x14ac:dyDescent="0.25">
      <c r="F78" s="56"/>
      <c r="G78" s="56"/>
      <c r="J78" s="6"/>
    </row>
    <row r="79" spans="6:10" x14ac:dyDescent="0.25">
      <c r="F79" s="56"/>
      <c r="G79" s="56"/>
      <c r="J79" s="6"/>
    </row>
    <row r="80" spans="6:10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</row>
    <row r="87" spans="6:10" x14ac:dyDescent="0.25">
      <c r="F87" s="56"/>
      <c r="G87" s="56"/>
    </row>
    <row r="88" spans="6:10" x14ac:dyDescent="0.25">
      <c r="F88" s="56"/>
      <c r="G88" s="56"/>
    </row>
    <row r="89" spans="6:10" x14ac:dyDescent="0.25">
      <c r="F89" s="56"/>
      <c r="G89" s="56"/>
    </row>
    <row r="90" spans="6:10" x14ac:dyDescent="0.25">
      <c r="F90" s="56"/>
      <c r="G90" s="56"/>
    </row>
    <row r="91" spans="6:10" x14ac:dyDescent="0.25">
      <c r="F91" s="56"/>
      <c r="G91" s="56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21DD-51B8-44BE-90E0-14EF17F54CBC}">
  <dimension ref="A1:AC91"/>
  <sheetViews>
    <sheetView workbookViewId="0"/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45919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124</v>
      </c>
      <c r="B7" t="s">
        <v>30</v>
      </c>
      <c r="C7" s="25" t="s">
        <v>125</v>
      </c>
      <c r="D7" s="2">
        <f>915.359+608.2121</f>
        <v>1523.5711000000001</v>
      </c>
      <c r="E7" s="26">
        <v>47.84</v>
      </c>
      <c r="F7" s="3">
        <f t="shared" ref="F7:F17" si="0">E7*D7</f>
        <v>72887.641424000016</v>
      </c>
      <c r="G7" s="3">
        <f>28630.6+20162.2481</f>
        <v>48792.848100000003</v>
      </c>
      <c r="H7" s="4">
        <f t="shared" ref="H7:H17" si="1">G7/D7</f>
        <v>32.025317426932027</v>
      </c>
      <c r="I7" s="3">
        <f t="shared" ref="I7:I17" si="2">F7-G7</f>
        <v>24094.793324000013</v>
      </c>
      <c r="J7" s="26">
        <f t="shared" ref="J7:J17" si="3">E7-H7</f>
        <v>15.814682573067977</v>
      </c>
      <c r="K7" s="27">
        <v>45817</v>
      </c>
      <c r="L7">
        <f t="shared" ref="L7:L17" si="4">DAYS360(K7,$C$1)</f>
        <v>100</v>
      </c>
      <c r="M7" s="5">
        <f t="shared" ref="M7:M17" si="5">(I7/G7)</f>
        <v>0.49381813651497036</v>
      </c>
      <c r="N7">
        <v>29</v>
      </c>
      <c r="O7">
        <v>98</v>
      </c>
      <c r="P7" s="63">
        <v>8</v>
      </c>
      <c r="Q7" s="28">
        <v>50.92</v>
      </c>
      <c r="R7" s="29">
        <f t="shared" ref="R7:R17" si="6">Q7*0.93</f>
        <v>47.355600000000003</v>
      </c>
      <c r="S7" s="29">
        <v>26.45</v>
      </c>
      <c r="T7" s="28">
        <f t="shared" ref="T7:T17" si="7">Q7*1.25</f>
        <v>63.650000000000006</v>
      </c>
      <c r="U7" s="28">
        <f t="shared" ref="U7:U17" si="8">Q7*1.5</f>
        <v>76.38</v>
      </c>
      <c r="V7" s="28">
        <f t="shared" ref="V7:V17" si="9">Q7*2</f>
        <v>101.84</v>
      </c>
      <c r="W7" s="28">
        <f t="shared" ref="W7:W17" si="10">H7-(H7*0.07)</f>
        <v>29.783545207046785</v>
      </c>
      <c r="X7" s="29">
        <v>42</v>
      </c>
      <c r="Y7" s="5">
        <f t="shared" ref="Y7:Y17" si="11">(X7-H7)/H7</f>
        <v>0.31146241081999892</v>
      </c>
      <c r="Z7" s="6">
        <f t="shared" ref="Z7:Z17" si="12">F7/F$20</f>
        <v>0.10562930672834091</v>
      </c>
      <c r="AB7" s="58">
        <v>45979</v>
      </c>
      <c r="AC7" s="63">
        <v>71</v>
      </c>
    </row>
    <row r="8" spans="1:29" x14ac:dyDescent="0.25">
      <c r="A8" t="s">
        <v>126</v>
      </c>
      <c r="B8" t="s">
        <v>30</v>
      </c>
      <c r="C8" s="25" t="s">
        <v>127</v>
      </c>
      <c r="D8" s="2">
        <f>344.4515+240</f>
        <v>584.45150000000001</v>
      </c>
      <c r="E8" s="26">
        <v>169.56</v>
      </c>
      <c r="F8" s="3">
        <f t="shared" si="0"/>
        <v>99099.596340000004</v>
      </c>
      <c r="G8" s="3">
        <f>30563.18+23352</f>
        <v>53915.18</v>
      </c>
      <c r="H8" s="4">
        <f t="shared" si="1"/>
        <v>92.249194330068448</v>
      </c>
      <c r="I8" s="3">
        <f t="shared" si="2"/>
        <v>45184.416340000003</v>
      </c>
      <c r="J8" s="26">
        <f t="shared" si="3"/>
        <v>77.310805669931554</v>
      </c>
      <c r="K8" s="27">
        <v>45840</v>
      </c>
      <c r="L8">
        <f t="shared" si="4"/>
        <v>77</v>
      </c>
      <c r="M8" s="5">
        <f t="shared" si="5"/>
        <v>0.83806483331781523</v>
      </c>
      <c r="N8">
        <v>7</v>
      </c>
      <c r="O8">
        <v>99</v>
      </c>
      <c r="P8" s="63">
        <v>80</v>
      </c>
      <c r="Q8" s="28">
        <v>80.989999999999995</v>
      </c>
      <c r="R8" s="29">
        <f t="shared" si="6"/>
        <v>75.320700000000002</v>
      </c>
      <c r="S8" s="29">
        <v>81.72</v>
      </c>
      <c r="T8" s="31">
        <f t="shared" si="7"/>
        <v>101.2375</v>
      </c>
      <c r="U8" s="28">
        <f t="shared" si="8"/>
        <v>121.48499999999999</v>
      </c>
      <c r="V8" s="28">
        <f t="shared" si="9"/>
        <v>161.97999999999999</v>
      </c>
      <c r="W8" s="28">
        <f t="shared" si="10"/>
        <v>85.791750726963656</v>
      </c>
      <c r="X8" s="29">
        <v>130</v>
      </c>
      <c r="Y8" s="5">
        <f t="shared" si="11"/>
        <v>0.40922639968928975</v>
      </c>
      <c r="Z8" s="6">
        <f t="shared" si="12"/>
        <v>0.14361586482898386</v>
      </c>
      <c r="AB8" s="58">
        <v>45987</v>
      </c>
      <c r="AC8" s="9">
        <v>99</v>
      </c>
    </row>
    <row r="9" spans="1:29" x14ac:dyDescent="0.25">
      <c r="A9" t="s">
        <v>128</v>
      </c>
      <c r="B9" t="s">
        <v>30</v>
      </c>
      <c r="C9" s="25" t="s">
        <v>129</v>
      </c>
      <c r="D9" s="2">
        <f>786.7766+525.5828</f>
        <v>1312.3594000000001</v>
      </c>
      <c r="E9" s="26">
        <v>61.55</v>
      </c>
      <c r="F9" s="3">
        <f t="shared" si="0"/>
        <v>80775.72107</v>
      </c>
      <c r="G9" s="3">
        <f>30514.1+21675.87</f>
        <v>52189.97</v>
      </c>
      <c r="H9" s="4">
        <f t="shared" si="1"/>
        <v>39.768046771334134</v>
      </c>
      <c r="I9" s="3">
        <f t="shared" si="2"/>
        <v>28585.751069999998</v>
      </c>
      <c r="J9" s="26">
        <f t="shared" si="3"/>
        <v>21.781953228665863</v>
      </c>
      <c r="K9" s="27">
        <v>45840</v>
      </c>
      <c r="L9">
        <f t="shared" si="4"/>
        <v>77</v>
      </c>
      <c r="M9" s="5">
        <f t="shared" si="5"/>
        <v>0.54772499524333884</v>
      </c>
      <c r="N9">
        <v>16</v>
      </c>
      <c r="O9">
        <v>98</v>
      </c>
      <c r="P9" s="64">
        <v>80</v>
      </c>
      <c r="Q9" s="28">
        <v>58.42</v>
      </c>
      <c r="R9" s="29">
        <f t="shared" si="6"/>
        <v>54.330600000000004</v>
      </c>
      <c r="S9" s="29">
        <v>34.869999999999997</v>
      </c>
      <c r="T9" s="31">
        <f t="shared" si="7"/>
        <v>73.025000000000006</v>
      </c>
      <c r="U9" s="28">
        <f t="shared" si="8"/>
        <v>87.63</v>
      </c>
      <c r="V9" s="28">
        <f t="shared" si="9"/>
        <v>116.84</v>
      </c>
      <c r="W9" s="28">
        <f t="shared" si="10"/>
        <v>36.984283497340748</v>
      </c>
      <c r="X9" s="29">
        <v>45</v>
      </c>
      <c r="Y9" s="5">
        <f t="shared" si="11"/>
        <v>0.13156173494638909</v>
      </c>
      <c r="Z9" s="6">
        <f t="shared" si="12"/>
        <v>0.11706076984261531</v>
      </c>
      <c r="AB9" s="58">
        <v>45959</v>
      </c>
      <c r="AC9" s="9">
        <v>98</v>
      </c>
    </row>
    <row r="10" spans="1:29" x14ac:dyDescent="0.25">
      <c r="A10" t="s">
        <v>69</v>
      </c>
      <c r="B10" t="s">
        <v>30</v>
      </c>
      <c r="C10" s="25" t="s">
        <v>70</v>
      </c>
      <c r="D10" s="2">
        <v>682.05550000000005</v>
      </c>
      <c r="E10" s="26">
        <v>135.22999999999999</v>
      </c>
      <c r="F10" s="3">
        <f t="shared" si="0"/>
        <v>92234.365265</v>
      </c>
      <c r="G10" s="3">
        <v>43555.21</v>
      </c>
      <c r="H10" s="4">
        <f t="shared" si="1"/>
        <v>63.85874756526411</v>
      </c>
      <c r="I10" s="3">
        <f t="shared" si="2"/>
        <v>48679.155265000001</v>
      </c>
      <c r="J10" s="26">
        <f t="shared" si="3"/>
        <v>71.371252434735879</v>
      </c>
      <c r="K10" s="27">
        <v>45854</v>
      </c>
      <c r="L10">
        <f t="shared" si="4"/>
        <v>63</v>
      </c>
      <c r="M10" s="5">
        <f t="shared" si="5"/>
        <v>1.1176425338093883</v>
      </c>
      <c r="N10">
        <v>4</v>
      </c>
      <c r="O10">
        <v>99</v>
      </c>
      <c r="P10" s="63">
        <v>46</v>
      </c>
      <c r="Q10" s="28">
        <v>58.69</v>
      </c>
      <c r="R10" s="29">
        <f t="shared" si="6"/>
        <v>54.581699999999998</v>
      </c>
      <c r="S10" s="29">
        <v>50.08</v>
      </c>
      <c r="T10" s="31">
        <f t="shared" si="7"/>
        <v>73.362499999999997</v>
      </c>
      <c r="U10" s="28">
        <f t="shared" si="8"/>
        <v>88.034999999999997</v>
      </c>
      <c r="V10" s="28">
        <f t="shared" si="9"/>
        <v>117.38</v>
      </c>
      <c r="W10" s="28">
        <f t="shared" si="10"/>
        <v>59.388635235695624</v>
      </c>
      <c r="X10" s="29">
        <v>90</v>
      </c>
      <c r="Y10" s="5">
        <f t="shared" si="11"/>
        <v>0.4093605564064553</v>
      </c>
      <c r="Z10" s="32">
        <f t="shared" si="12"/>
        <v>0.13366672139650981</v>
      </c>
      <c r="AB10" s="58">
        <v>45974</v>
      </c>
      <c r="AC10" s="9">
        <v>92</v>
      </c>
    </row>
    <row r="11" spans="1:29" x14ac:dyDescent="0.25">
      <c r="A11" t="s">
        <v>134</v>
      </c>
      <c r="B11" t="s">
        <v>30</v>
      </c>
      <c r="C11" s="25" t="s">
        <v>135</v>
      </c>
      <c r="D11" s="2">
        <v>148.3219</v>
      </c>
      <c r="E11" s="26">
        <v>649.59</v>
      </c>
      <c r="F11" s="3">
        <f t="shared" si="0"/>
        <v>96348.42302100001</v>
      </c>
      <c r="G11" s="3">
        <v>68650.22</v>
      </c>
      <c r="H11" s="4">
        <f t="shared" si="1"/>
        <v>462.8461474670969</v>
      </c>
      <c r="I11" s="3">
        <f t="shared" si="2"/>
        <v>27698.203021000008</v>
      </c>
      <c r="J11" s="26">
        <f t="shared" si="3"/>
        <v>186.74385253290313</v>
      </c>
      <c r="K11" s="27">
        <v>45895</v>
      </c>
      <c r="L11">
        <f t="shared" si="4"/>
        <v>23</v>
      </c>
      <c r="M11" s="5">
        <f t="shared" si="5"/>
        <v>0.40346852524289084</v>
      </c>
      <c r="N11">
        <v>43</v>
      </c>
      <c r="O11">
        <v>98</v>
      </c>
      <c r="P11" s="33">
        <v>81</v>
      </c>
      <c r="Q11" s="28">
        <v>473.7</v>
      </c>
      <c r="R11" s="29">
        <f t="shared" si="6"/>
        <v>440.541</v>
      </c>
      <c r="S11" s="29">
        <v>385.19</v>
      </c>
      <c r="T11" s="28">
        <f t="shared" si="7"/>
        <v>592.125</v>
      </c>
      <c r="U11" s="28">
        <f t="shared" si="8"/>
        <v>710.55</v>
      </c>
      <c r="V11" s="28">
        <f t="shared" si="9"/>
        <v>947.4</v>
      </c>
      <c r="W11" s="28">
        <f t="shared" si="10"/>
        <v>430.44691714440012</v>
      </c>
      <c r="X11" s="29">
        <v>530</v>
      </c>
      <c r="Y11" s="5">
        <f t="shared" si="11"/>
        <v>0.14508893052345645</v>
      </c>
      <c r="Z11" s="32">
        <f t="shared" si="12"/>
        <v>0.13962884419423754</v>
      </c>
      <c r="AB11" s="58">
        <v>45966</v>
      </c>
      <c r="AC11" s="9">
        <v>99</v>
      </c>
    </row>
    <row r="12" spans="1:29" x14ac:dyDescent="0.25">
      <c r="A12" t="s">
        <v>136</v>
      </c>
      <c r="B12" t="s">
        <v>30</v>
      </c>
      <c r="C12" s="25" t="s">
        <v>137</v>
      </c>
      <c r="D12" s="2">
        <v>287.49</v>
      </c>
      <c r="E12" s="26">
        <v>208.73</v>
      </c>
      <c r="F12" s="3">
        <f t="shared" si="0"/>
        <v>60007.787700000001</v>
      </c>
      <c r="G12" s="3">
        <v>57158.76</v>
      </c>
      <c r="H12" s="4">
        <f t="shared" si="1"/>
        <v>198.81999373891267</v>
      </c>
      <c r="I12" s="3">
        <f t="shared" si="2"/>
        <v>2849.0276999999987</v>
      </c>
      <c r="J12" s="26">
        <f t="shared" si="3"/>
        <v>9.9100062610873181</v>
      </c>
      <c r="K12" s="27">
        <v>45895</v>
      </c>
      <c r="L12">
        <f t="shared" si="4"/>
        <v>23</v>
      </c>
      <c r="M12" s="5">
        <f t="shared" si="5"/>
        <v>4.9844113133314973E-2</v>
      </c>
      <c r="N12">
        <v>27</v>
      </c>
      <c r="O12">
        <v>81</v>
      </c>
      <c r="P12" s="63">
        <v>91</v>
      </c>
      <c r="Q12" s="28">
        <v>183.05</v>
      </c>
      <c r="R12" s="29">
        <f t="shared" si="6"/>
        <v>170.23650000000001</v>
      </c>
      <c r="S12" s="29">
        <v>185.05</v>
      </c>
      <c r="T12" s="31">
        <f t="shared" si="7"/>
        <v>228.8125</v>
      </c>
      <c r="U12" s="28">
        <f t="shared" si="8"/>
        <v>274.57500000000005</v>
      </c>
      <c r="V12" s="28">
        <f t="shared" si="9"/>
        <v>366.1</v>
      </c>
      <c r="W12" s="28">
        <f t="shared" si="10"/>
        <v>184.90259417718877</v>
      </c>
      <c r="X12" s="29">
        <v>195</v>
      </c>
      <c r="Y12" s="5">
        <f t="shared" si="11"/>
        <v>-1.9213327930836917E-2</v>
      </c>
      <c r="Z12" s="6">
        <f t="shared" si="12"/>
        <v>8.696372785860694E-2</v>
      </c>
      <c r="AB12" s="58">
        <v>45953</v>
      </c>
      <c r="AC12" s="9">
        <v>98</v>
      </c>
    </row>
    <row r="13" spans="1:29" x14ac:dyDescent="0.25">
      <c r="A13" t="s">
        <v>140</v>
      </c>
      <c r="B13" t="s">
        <v>30</v>
      </c>
      <c r="C13" s="25" t="s">
        <v>141</v>
      </c>
      <c r="D13" s="2">
        <f>595.1582+306.9859</f>
        <v>902.14409999999998</v>
      </c>
      <c r="E13" s="26">
        <v>86.18</v>
      </c>
      <c r="F13" s="3">
        <f t="shared" si="0"/>
        <v>77746.778537999999</v>
      </c>
      <c r="G13" s="3">
        <f>46827.05+24871.38</f>
        <v>71698.430000000008</v>
      </c>
      <c r="H13" s="4">
        <f t="shared" si="1"/>
        <v>79.475584887159386</v>
      </c>
      <c r="I13" s="3">
        <f t="shared" si="2"/>
        <v>6048.3485379999911</v>
      </c>
      <c r="J13" s="26">
        <f t="shared" si="3"/>
        <v>6.7044151128406213</v>
      </c>
      <c r="K13" s="27">
        <v>45897</v>
      </c>
      <c r="L13">
        <f t="shared" si="4"/>
        <v>21</v>
      </c>
      <c r="M13" s="5">
        <f t="shared" si="5"/>
        <v>8.4358172668494838E-2</v>
      </c>
      <c r="N13">
        <v>6</v>
      </c>
      <c r="O13">
        <v>92</v>
      </c>
      <c r="P13" s="63">
        <v>99</v>
      </c>
      <c r="Q13" s="28">
        <v>78.959999999999994</v>
      </c>
      <c r="R13" s="29">
        <f t="shared" si="6"/>
        <v>73.4328</v>
      </c>
      <c r="S13" s="29">
        <v>68.959999999999994</v>
      </c>
      <c r="T13" s="28">
        <f t="shared" si="7"/>
        <v>98.699999999999989</v>
      </c>
      <c r="U13" s="28">
        <f t="shared" si="8"/>
        <v>118.44</v>
      </c>
      <c r="V13" s="28">
        <f t="shared" si="9"/>
        <v>157.91999999999999</v>
      </c>
      <c r="W13" s="28">
        <f t="shared" si="10"/>
        <v>73.912293945058224</v>
      </c>
      <c r="X13" s="29">
        <v>75</v>
      </c>
      <c r="Y13" s="5">
        <f t="shared" si="11"/>
        <v>-5.6313959733846404E-2</v>
      </c>
      <c r="Z13" s="6">
        <f t="shared" si="12"/>
        <v>0.11267120401877462</v>
      </c>
      <c r="AB13" s="58">
        <v>45966</v>
      </c>
      <c r="AC13" s="9">
        <v>99</v>
      </c>
    </row>
    <row r="14" spans="1:29" x14ac:dyDescent="0.25">
      <c r="A14" t="s">
        <v>142</v>
      </c>
      <c r="B14" t="s">
        <v>30</v>
      </c>
      <c r="C14" s="25" t="s">
        <v>143</v>
      </c>
      <c r="D14" s="2">
        <v>502.0591</v>
      </c>
      <c r="E14" s="26">
        <v>149.61000000000001</v>
      </c>
      <c r="F14" s="3">
        <f t="shared" si="0"/>
        <v>75113.061951000011</v>
      </c>
      <c r="G14" s="3">
        <v>71038.880000000005</v>
      </c>
      <c r="H14" s="4">
        <f t="shared" si="1"/>
        <v>141.49505506423449</v>
      </c>
      <c r="I14" s="3">
        <f t="shared" si="2"/>
        <v>4074.1819510000059</v>
      </c>
      <c r="J14" s="26">
        <f t="shared" si="3"/>
        <v>8.1149449357655214</v>
      </c>
      <c r="K14" s="27">
        <v>45909</v>
      </c>
      <c r="L14">
        <f t="shared" si="4"/>
        <v>10</v>
      </c>
      <c r="M14" s="5">
        <f t="shared" si="5"/>
        <v>5.7351438409502034E-2</v>
      </c>
      <c r="N14">
        <v>17</v>
      </c>
      <c r="O14">
        <v>93</v>
      </c>
      <c r="P14" s="63">
        <v>99</v>
      </c>
      <c r="Q14" s="28">
        <v>125.81</v>
      </c>
      <c r="R14" s="29">
        <f t="shared" si="6"/>
        <v>117.00330000000001</v>
      </c>
      <c r="S14" s="29">
        <v>127.58</v>
      </c>
      <c r="T14" s="28">
        <f t="shared" si="7"/>
        <v>157.26249999999999</v>
      </c>
      <c r="U14" s="28">
        <f t="shared" si="8"/>
        <v>188.715</v>
      </c>
      <c r="V14" s="28">
        <f t="shared" si="9"/>
        <v>251.62</v>
      </c>
      <c r="W14" s="28">
        <f t="shared" si="10"/>
        <v>131.59040120973808</v>
      </c>
      <c r="X14" s="29">
        <v>134</v>
      </c>
      <c r="Y14" s="5">
        <f t="shared" si="11"/>
        <v>-5.297043816006123E-2</v>
      </c>
      <c r="Z14" s="6">
        <f t="shared" si="12"/>
        <v>0.1088544025450458</v>
      </c>
      <c r="AB14" s="58">
        <v>45964</v>
      </c>
      <c r="AC14" s="9">
        <v>99</v>
      </c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45259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45259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2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45259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654213.37530900002</v>
      </c>
      <c r="G18" s="3">
        <f>SUM(G6:G17)</f>
        <v>466999.49810000003</v>
      </c>
      <c r="H18" s="4"/>
      <c r="I18" s="3">
        <f>SUM(I6:I17)</f>
        <v>187213.87720900006</v>
      </c>
      <c r="M18" s="5"/>
      <c r="Z18" s="6"/>
    </row>
    <row r="19" spans="1:29" x14ac:dyDescent="0.25">
      <c r="D19" s="2" t="s">
        <v>44</v>
      </c>
      <c r="F19" s="3">
        <v>35819</v>
      </c>
      <c r="G19" s="6">
        <f>F19/F20</f>
        <v>5.1909158586885246E-2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690032.37530900002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'09-12-25'!F20</f>
        <v>627705.85669399996</v>
      </c>
      <c r="K21" s="1">
        <v>45657</v>
      </c>
      <c r="L21" s="50">
        <v>170762</v>
      </c>
      <c r="M21" s="50">
        <v>238748.17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9.9292555502447047E-2</v>
      </c>
      <c r="K22" s="9" t="s">
        <v>123</v>
      </c>
      <c r="L22" s="6">
        <f>(M21-L21)/L21</f>
        <v>0.39813406964078668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4">F28/D28</f>
        <v>44.698790833464948</v>
      </c>
      <c r="F28" s="3">
        <v>56489.42</v>
      </c>
      <c r="G28" s="56">
        <v>75501.87</v>
      </c>
      <c r="H28" s="57">
        <f t="shared" ref="H28:H57" si="15">G28/D28</f>
        <v>59.742909285764696</v>
      </c>
      <c r="I28" s="57">
        <f t="shared" ref="I28:I57" si="16">G28-F28</f>
        <v>19012.449999999997</v>
      </c>
      <c r="J28" s="6">
        <f t="shared" ref="J28:J57" si="17">I28/F28</f>
        <v>0.33656656414599401</v>
      </c>
      <c r="K28" s="1">
        <v>45527</v>
      </c>
      <c r="L28" s="1">
        <v>45688</v>
      </c>
      <c r="M28">
        <f t="shared" si="13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4"/>
        <v>169.90901206845703</v>
      </c>
      <c r="F29" s="3">
        <f>59492.79+21969.78</f>
        <v>81462.570000000007</v>
      </c>
      <c r="G29" s="56">
        <v>65047.58</v>
      </c>
      <c r="H29" s="57">
        <f t="shared" si="15"/>
        <v>135.67175765807443</v>
      </c>
      <c r="I29" s="57">
        <f t="shared" si="16"/>
        <v>-16414.990000000005</v>
      </c>
      <c r="J29" s="6">
        <f t="shared" si="17"/>
        <v>-0.20150346349249729</v>
      </c>
      <c r="K29" s="1">
        <v>45671</v>
      </c>
      <c r="L29" s="1">
        <v>45688</v>
      </c>
      <c r="M29">
        <f t="shared" si="13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4"/>
        <v>18.702010092477405</v>
      </c>
      <c r="F30" s="3">
        <v>56486.59</v>
      </c>
      <c r="G30" s="56">
        <v>71124.88</v>
      </c>
      <c r="H30" s="57">
        <f t="shared" si="15"/>
        <v>23.548566546258936</v>
      </c>
      <c r="I30" s="57">
        <f t="shared" si="16"/>
        <v>14638.290000000008</v>
      </c>
      <c r="J30" s="6">
        <f t="shared" si="17"/>
        <v>0.25914628587068206</v>
      </c>
      <c r="K30" s="1">
        <v>45527</v>
      </c>
      <c r="L30" s="1">
        <v>45691</v>
      </c>
      <c r="M30">
        <f t="shared" si="13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4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5"/>
        <v>38.249853000000002</v>
      </c>
      <c r="I31" s="57">
        <f t="shared" si="16"/>
        <v>-6110.386336591735</v>
      </c>
      <c r="J31" s="6">
        <f t="shared" si="17"/>
        <v>-0.10005621882176895</v>
      </c>
      <c r="K31" s="1">
        <v>45706</v>
      </c>
      <c r="L31" s="1">
        <v>45708</v>
      </c>
      <c r="M31">
        <f t="shared" si="13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4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5"/>
        <v>531.63995279999995</v>
      </c>
      <c r="I32" s="57">
        <f t="shared" si="16"/>
        <v>-22176.243614196137</v>
      </c>
      <c r="J32" s="6">
        <f t="shared" si="17"/>
        <v>-0.24194911929355969</v>
      </c>
      <c r="K32" s="1">
        <v>45706</v>
      </c>
      <c r="L32" s="1">
        <v>45708</v>
      </c>
      <c r="M32">
        <f t="shared" si="13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4"/>
        <v>368.56522253629635</v>
      </c>
      <c r="F33" s="3">
        <v>74438.86</v>
      </c>
      <c r="G33" s="56">
        <f>201.9693*360.5332483</f>
        <v>72816.647785877198</v>
      </c>
      <c r="H33" s="57">
        <f t="shared" si="15"/>
        <v>360.53324830000003</v>
      </c>
      <c r="I33" s="57">
        <f t="shared" si="16"/>
        <v>-1622.2122141228028</v>
      </c>
      <c r="J33" s="6">
        <f t="shared" si="17"/>
        <v>-2.1792545105107773E-2</v>
      </c>
      <c r="K33" s="1">
        <v>45664</v>
      </c>
      <c r="L33" s="1">
        <v>45708</v>
      </c>
      <c r="M33">
        <f t="shared" si="13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4"/>
        <v>30.17825528482809</v>
      </c>
      <c r="F34" s="3">
        <v>37884.65</v>
      </c>
      <c r="G34" s="56">
        <f>1255.3625*39.762296</f>
        <v>49916.0953123</v>
      </c>
      <c r="H34" s="57">
        <f t="shared" si="15"/>
        <v>39.762295999999999</v>
      </c>
      <c r="I34" s="57">
        <f t="shared" si="16"/>
        <v>12031.445312299998</v>
      </c>
      <c r="J34" s="6">
        <f t="shared" si="17"/>
        <v>0.31758100740801348</v>
      </c>
      <c r="K34" s="1">
        <v>45663</v>
      </c>
      <c r="L34" s="1">
        <v>45709</v>
      </c>
      <c r="M34">
        <f t="shared" si="13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4"/>
        <v>242.26930551548847</v>
      </c>
      <c r="F35" s="3">
        <v>61221.72</v>
      </c>
      <c r="G35" s="56">
        <f>252.7011*226.6146532</f>
        <v>57265.772139758519</v>
      </c>
      <c r="H35" s="57">
        <f t="shared" si="15"/>
        <v>226.61465319999999</v>
      </c>
      <c r="I35" s="57">
        <f t="shared" si="16"/>
        <v>-3955.947860241482</v>
      </c>
      <c r="J35" s="6">
        <f t="shared" si="17"/>
        <v>-6.4616738311852093E-2</v>
      </c>
      <c r="K35" s="1">
        <v>45699</v>
      </c>
      <c r="L35" s="1">
        <v>45709</v>
      </c>
      <c r="M35">
        <f t="shared" si="13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4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5"/>
        <v>283.93999450000007</v>
      </c>
      <c r="I36" s="57">
        <f t="shared" si="16"/>
        <v>19563.525282954361</v>
      </c>
      <c r="J36" s="6">
        <f t="shared" si="17"/>
        <v>0.36434300703793465</v>
      </c>
      <c r="K36" s="1">
        <v>45580</v>
      </c>
      <c r="L36" s="1">
        <v>45712</v>
      </c>
      <c r="M36">
        <f t="shared" si="13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4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5"/>
        <v>63.365330900000004</v>
      </c>
      <c r="I37" s="57">
        <f t="shared" si="16"/>
        <v>-4549.5912833559851</v>
      </c>
      <c r="J37" s="6">
        <f t="shared" si="17"/>
        <v>-5.9638082078758516E-2</v>
      </c>
      <c r="K37" s="1">
        <v>45673</v>
      </c>
      <c r="L37" s="1">
        <v>45712</v>
      </c>
      <c r="M37">
        <f t="shared" si="13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5"/>
        <v>50.021380499999999</v>
      </c>
      <c r="I38" s="57">
        <f t="shared" si="16"/>
        <v>6027.2875116823998</v>
      </c>
      <c r="J38" s="6">
        <f t="shared" si="17"/>
        <v>9.9771440635884723E-2</v>
      </c>
      <c r="K38" s="1">
        <v>45593</v>
      </c>
      <c r="L38" s="1">
        <v>45713</v>
      </c>
      <c r="M38">
        <f t="shared" si="13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5"/>
        <v>12.519992000000002</v>
      </c>
      <c r="I39" s="57">
        <f t="shared" si="16"/>
        <v>-2230.6527810991975</v>
      </c>
      <c r="J39" s="6">
        <f t="shared" si="17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5"/>
        <v>94.679995300000002</v>
      </c>
      <c r="I40" s="57">
        <f t="shared" si="16"/>
        <v>-4750.690604140058</v>
      </c>
      <c r="J40" s="6">
        <f t="shared" si="17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57" si="18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5"/>
        <v>18.9477051</v>
      </c>
      <c r="I41" s="57">
        <f t="shared" si="16"/>
        <v>-2244.5195874142191</v>
      </c>
      <c r="J41" s="6">
        <f t="shared" si="17"/>
        <v>-8.2776138273503941E-2</v>
      </c>
      <c r="K41" s="1">
        <v>45761</v>
      </c>
      <c r="L41" s="1">
        <v>45768</v>
      </c>
      <c r="M41">
        <f t="shared" ref="M41:M57" si="19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8"/>
        <v>96.336406065231671</v>
      </c>
      <c r="F42" s="3">
        <v>34004.42</v>
      </c>
      <c r="G42" s="56">
        <f>352.9758*89.7849585</f>
        <v>31691.9175545043</v>
      </c>
      <c r="H42" s="57">
        <f t="shared" si="15"/>
        <v>89.784958500000002</v>
      </c>
      <c r="I42" s="57">
        <f t="shared" si="16"/>
        <v>-2312.5024454956983</v>
      </c>
      <c r="J42" s="6">
        <f t="shared" si="17"/>
        <v>-6.8005937036882222E-2</v>
      </c>
      <c r="K42" s="1">
        <v>45762</v>
      </c>
      <c r="L42" s="1">
        <v>45768</v>
      </c>
      <c r="M42">
        <f t="shared" si="19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8"/>
        <v>16.992624876012847</v>
      </c>
      <c r="F43" s="3">
        <v>37971.83</v>
      </c>
      <c r="G43" s="56">
        <f>2234.6065*13.3067232</f>
        <v>29735.2901564208</v>
      </c>
      <c r="H43" s="57">
        <f t="shared" si="15"/>
        <v>13.3067232</v>
      </c>
      <c r="I43" s="57">
        <f t="shared" si="16"/>
        <v>-8236.5398435792013</v>
      </c>
      <c r="J43" s="6">
        <f t="shared" si="17"/>
        <v>-0.21691184869360261</v>
      </c>
      <c r="K43" s="1">
        <v>45652</v>
      </c>
      <c r="L43" s="1">
        <v>45785</v>
      </c>
      <c r="M43">
        <f t="shared" si="19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8"/>
        <v>38.101812248436303</v>
      </c>
      <c r="F44" s="3">
        <v>21940.86</v>
      </c>
      <c r="G44" s="56">
        <f>575.8482*32.7857042</f>
        <v>18879.588749302438</v>
      </c>
      <c r="H44" s="57">
        <f t="shared" si="15"/>
        <v>32.785704199999998</v>
      </c>
      <c r="I44" s="57">
        <f t="shared" si="16"/>
        <v>-3061.2712506975622</v>
      </c>
      <c r="J44" s="6">
        <f t="shared" si="17"/>
        <v>-0.13952375844417958</v>
      </c>
      <c r="K44" s="1">
        <v>45761</v>
      </c>
      <c r="L44" s="1">
        <v>45790</v>
      </c>
      <c r="M44">
        <f t="shared" si="19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8"/>
        <v>24.570291674143743</v>
      </c>
      <c r="F45" s="3">
        <v>23591.34</v>
      </c>
      <c r="G45" s="56">
        <v>19396.37</v>
      </c>
      <c r="H45" s="57">
        <f t="shared" si="15"/>
        <v>20.201246233559068</v>
      </c>
      <c r="I45" s="57">
        <f t="shared" si="16"/>
        <v>-4194.9700000000012</v>
      </c>
      <c r="J45" s="6">
        <f t="shared" si="17"/>
        <v>-0.17781821634548953</v>
      </c>
      <c r="K45" s="1">
        <v>45776</v>
      </c>
      <c r="L45" s="1">
        <v>45812</v>
      </c>
      <c r="M45">
        <f t="shared" si="19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8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5"/>
        <v>84.038907800000004</v>
      </c>
      <c r="I46" s="57">
        <f t="shared" si="16"/>
        <v>-3907.8121523372101</v>
      </c>
      <c r="J46" s="6">
        <f t="shared" si="17"/>
        <v>-0.14246372001691271</v>
      </c>
      <c r="K46" s="1">
        <v>45782</v>
      </c>
      <c r="L46" s="1">
        <v>45818</v>
      </c>
      <c r="M46">
        <f t="shared" si="19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8"/>
        <v>40.437100849618155</v>
      </c>
      <c r="F47" s="3">
        <f>22877.09+14244.67</f>
        <v>37121.760000000002</v>
      </c>
      <c r="G47" s="56">
        <v>34659.56</v>
      </c>
      <c r="H47" s="57">
        <f t="shared" si="15"/>
        <v>37.755002002151599</v>
      </c>
      <c r="I47" s="57">
        <f t="shared" si="16"/>
        <v>-2462.2000000000044</v>
      </c>
      <c r="J47" s="6">
        <f t="shared" si="17"/>
        <v>-6.6327674118899643E-2</v>
      </c>
      <c r="K47" s="1">
        <v>45782</v>
      </c>
      <c r="L47" s="1">
        <v>45828</v>
      </c>
      <c r="M47">
        <f t="shared" si="19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18"/>
        <v>123.70183817297092</v>
      </c>
      <c r="F48" s="3">
        <f>22876.67+14197.82+14808.77</f>
        <v>51883.259999999995</v>
      </c>
      <c r="G48" s="56">
        <v>55156.07</v>
      </c>
      <c r="H48" s="57">
        <f t="shared" si="15"/>
        <v>131.50498340692272</v>
      </c>
      <c r="I48" s="57">
        <f t="shared" si="16"/>
        <v>3272.8100000000049</v>
      </c>
      <c r="J48" s="6">
        <f t="shared" si="17"/>
        <v>6.3080269050171583E-2</v>
      </c>
      <c r="K48" s="1">
        <v>45782</v>
      </c>
      <c r="L48" s="1">
        <v>45839</v>
      </c>
      <c r="M48">
        <f t="shared" si="19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18"/>
        <v>63.194998844628557</v>
      </c>
      <c r="F49" s="3">
        <v>36072.47</v>
      </c>
      <c r="G49" s="56">
        <v>51786.91</v>
      </c>
      <c r="H49" s="57">
        <f t="shared" si="15"/>
        <v>90.724968864535285</v>
      </c>
      <c r="I49" s="57">
        <f t="shared" si="16"/>
        <v>15714.440000000002</v>
      </c>
      <c r="J49" s="6">
        <f t="shared" si="17"/>
        <v>0.43563526423336141</v>
      </c>
      <c r="K49" s="1">
        <v>45796</v>
      </c>
      <c r="L49" s="1">
        <v>45839</v>
      </c>
      <c r="M49">
        <f t="shared" si="19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18"/>
        <v>90.254808370121239</v>
      </c>
      <c r="F50" s="3">
        <f>35895.15+19479.74</f>
        <v>55374.89</v>
      </c>
      <c r="G50" s="56">
        <v>55236.959999999999</v>
      </c>
      <c r="H50" s="57">
        <f t="shared" si="15"/>
        <v>90.029998068584007</v>
      </c>
      <c r="I50" s="57">
        <f t="shared" si="16"/>
        <v>-137.93000000000029</v>
      </c>
      <c r="J50" s="6">
        <f t="shared" si="17"/>
        <v>-2.4908401623912986E-3</v>
      </c>
      <c r="K50" s="1">
        <v>45789</v>
      </c>
      <c r="L50" s="1">
        <v>45855</v>
      </c>
      <c r="M50">
        <f t="shared" si="19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18"/>
        <v>113.05354718581073</v>
      </c>
      <c r="F51" s="3">
        <v>45409.8</v>
      </c>
      <c r="G51" s="56">
        <v>41051.0026</v>
      </c>
      <c r="H51" s="57">
        <f t="shared" si="15"/>
        <v>102.2017595202784</v>
      </c>
      <c r="I51" s="57">
        <f t="shared" si="16"/>
        <v>-4358.7974000000031</v>
      </c>
      <c r="J51" s="6">
        <f t="shared" si="17"/>
        <v>-9.5988033420098803E-2</v>
      </c>
      <c r="K51" s="1">
        <v>45855</v>
      </c>
      <c r="L51" s="1">
        <v>45860</v>
      </c>
      <c r="M51">
        <f t="shared" si="19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18"/>
        <v>17.339829156069133</v>
      </c>
      <c r="F52" s="3">
        <v>22797.23</v>
      </c>
      <c r="G52" s="56">
        <v>18655.11</v>
      </c>
      <c r="H52" s="57">
        <f t="shared" si="15"/>
        <v>14.189286167121043</v>
      </c>
      <c r="I52" s="57">
        <f t="shared" si="16"/>
        <v>-4142.119999999999</v>
      </c>
      <c r="J52" s="6">
        <f t="shared" si="17"/>
        <v>-0.18169400405224664</v>
      </c>
      <c r="K52" s="1">
        <v>45861</v>
      </c>
      <c r="L52" s="1">
        <v>45870</v>
      </c>
      <c r="M52">
        <f t="shared" si="19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18"/>
        <v>74.757798491837917</v>
      </c>
      <c r="F53" s="3">
        <f>26856.13+12527.28</f>
        <v>39383.410000000003</v>
      </c>
      <c r="G53" s="56">
        <v>67176.488400000002</v>
      </c>
      <c r="H53" s="57">
        <f t="shared" si="15"/>
        <v>127.51476784759082</v>
      </c>
      <c r="I53" s="57">
        <f t="shared" si="16"/>
        <v>27793.078399999999</v>
      </c>
      <c r="J53" s="6">
        <f t="shared" si="17"/>
        <v>0.7057052296893539</v>
      </c>
      <c r="K53" s="1">
        <v>45789</v>
      </c>
      <c r="L53" s="1">
        <v>45870</v>
      </c>
      <c r="M53">
        <f t="shared" si="19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18"/>
        <v>22.651928580010882</v>
      </c>
      <c r="F54" s="3">
        <f>18821.97+11334.33+20180.34</f>
        <v>50336.639999999999</v>
      </c>
      <c r="G54" s="56">
        <v>42713.83</v>
      </c>
      <c r="H54" s="57">
        <f t="shared" si="15"/>
        <v>19.221597360068653</v>
      </c>
      <c r="I54" s="57">
        <f t="shared" si="16"/>
        <v>-7622.8099999999977</v>
      </c>
      <c r="J54" s="6">
        <f t="shared" si="17"/>
        <v>-0.15143660760829483</v>
      </c>
      <c r="K54" s="1">
        <v>45814</v>
      </c>
      <c r="L54" s="1">
        <v>45880</v>
      </c>
      <c r="M54">
        <f t="shared" si="19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18"/>
        <v>30.926801697408081</v>
      </c>
      <c r="F55" s="3">
        <f>(605.0016*29.7738017)+17708.65</f>
        <v>35721.847666582718</v>
      </c>
      <c r="G55" s="56">
        <v>42554.27</v>
      </c>
      <c r="H55" s="57">
        <f t="shared" si="15"/>
        <v>36.842088403482109</v>
      </c>
      <c r="I55" s="57">
        <f t="shared" si="16"/>
        <v>6832.4223334172784</v>
      </c>
      <c r="J55" s="6">
        <f t="shared" si="17"/>
        <v>0.1912673274123195</v>
      </c>
      <c r="K55" s="1">
        <v>45800</v>
      </c>
      <c r="L55" s="1">
        <v>45881</v>
      </c>
      <c r="M55">
        <f t="shared" si="19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18"/>
        <v>377.42204050678822</v>
      </c>
      <c r="F56" s="3">
        <f>34962.9+15401.92</f>
        <v>50364.82</v>
      </c>
      <c r="G56" s="56">
        <v>81517.961800000005</v>
      </c>
      <c r="H56" s="57">
        <f t="shared" si="15"/>
        <v>610.87631168959638</v>
      </c>
      <c r="I56" s="57">
        <f t="shared" si="16"/>
        <v>31153.141800000005</v>
      </c>
      <c r="J56" s="6">
        <f t="shared" si="17"/>
        <v>0.61854965033132259</v>
      </c>
      <c r="K56" s="1">
        <v>45771</v>
      </c>
      <c r="L56" s="1">
        <v>45884</v>
      </c>
      <c r="M56">
        <f t="shared" si="19"/>
        <v>111</v>
      </c>
    </row>
    <row r="57" spans="1:13" x14ac:dyDescent="0.25">
      <c r="A57" t="s">
        <v>138</v>
      </c>
      <c r="B57" t="s">
        <v>30</v>
      </c>
      <c r="C57" s="25" t="s">
        <v>139</v>
      </c>
      <c r="D57" s="2">
        <v>345.54309999999998</v>
      </c>
      <c r="E57" s="57">
        <f t="shared" si="18"/>
        <v>133.9832570813887</v>
      </c>
      <c r="F57" s="3">
        <v>46296.99</v>
      </c>
      <c r="G57" s="56">
        <v>42812.79</v>
      </c>
      <c r="H57" s="57">
        <f t="shared" si="15"/>
        <v>123.89999973954046</v>
      </c>
      <c r="I57" s="57">
        <f t="shared" si="16"/>
        <v>-3484.1999999999971</v>
      </c>
      <c r="J57" s="6">
        <f t="shared" si="17"/>
        <v>-7.525759234023631E-2</v>
      </c>
      <c r="K57" s="1">
        <v>45897</v>
      </c>
      <c r="L57" s="1">
        <v>45904</v>
      </c>
      <c r="M57">
        <f t="shared" si="19"/>
        <v>6</v>
      </c>
    </row>
    <row r="58" spans="1:13" x14ac:dyDescent="0.25">
      <c r="C58" s="25"/>
      <c r="D58" s="2"/>
      <c r="E58" s="57"/>
      <c r="F58" s="3"/>
      <c r="G58" s="56"/>
      <c r="H58" s="57"/>
      <c r="I58" s="57"/>
      <c r="J58" s="6"/>
      <c r="K58" s="1"/>
      <c r="L58" s="1"/>
    </row>
    <row r="59" spans="1:13" x14ac:dyDescent="0.25">
      <c r="C59" s="25"/>
      <c r="D59" s="2"/>
      <c r="E59" s="57"/>
      <c r="F59" s="3"/>
      <c r="G59" s="56"/>
      <c r="H59" s="57"/>
      <c r="I59" s="57"/>
      <c r="J59" s="6"/>
      <c r="K59" s="1"/>
      <c r="L59" s="1"/>
    </row>
    <row r="60" spans="1:13" x14ac:dyDescent="0.25">
      <c r="F60" s="56"/>
      <c r="G60" s="56"/>
      <c r="H60" s="3"/>
      <c r="I60" s="3">
        <f>SUM(I26:I59)</f>
        <v>40298.48326708276</v>
      </c>
      <c r="J60" s="13" t="s">
        <v>66</v>
      </c>
    </row>
    <row r="61" spans="1:13" x14ac:dyDescent="0.25">
      <c r="F61" s="56"/>
      <c r="G61" s="56"/>
      <c r="H61" s="3" t="s">
        <v>67</v>
      </c>
      <c r="I61" s="59">
        <v>22</v>
      </c>
      <c r="J61" s="5">
        <v>-0.1082</v>
      </c>
    </row>
    <row r="62" spans="1:13" x14ac:dyDescent="0.25">
      <c r="F62" s="56"/>
      <c r="G62" s="56"/>
      <c r="H62" s="3" t="s">
        <v>68</v>
      </c>
      <c r="I62" s="59">
        <v>10</v>
      </c>
      <c r="J62" s="5">
        <v>0.3392</v>
      </c>
    </row>
    <row r="63" spans="1:13" x14ac:dyDescent="0.25">
      <c r="F63" s="56"/>
      <c r="G63" s="56"/>
      <c r="J63" s="6"/>
    </row>
    <row r="64" spans="1:13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  <c r="J77" s="6"/>
    </row>
    <row r="78" spans="6:10" x14ac:dyDescent="0.25">
      <c r="F78" s="56"/>
      <c r="G78" s="56"/>
      <c r="J78" s="6"/>
    </row>
    <row r="79" spans="6:10" x14ac:dyDescent="0.25">
      <c r="F79" s="56"/>
      <c r="G79" s="56"/>
      <c r="J79" s="6"/>
    </row>
    <row r="80" spans="6:10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</row>
    <row r="87" spans="6:10" x14ac:dyDescent="0.25">
      <c r="F87" s="56"/>
      <c r="G87" s="56"/>
    </row>
    <row r="88" spans="6:10" x14ac:dyDescent="0.25">
      <c r="F88" s="56"/>
      <c r="G88" s="56"/>
    </row>
    <row r="89" spans="6:10" x14ac:dyDescent="0.25">
      <c r="F89" s="56"/>
      <c r="G89" s="56"/>
    </row>
    <row r="90" spans="6:10" x14ac:dyDescent="0.25">
      <c r="F90" s="56"/>
      <c r="G90" s="56"/>
    </row>
    <row r="91" spans="6:10" x14ac:dyDescent="0.25">
      <c r="F91" s="56"/>
      <c r="G91" s="56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6C7A-6C33-4828-8A9E-51B566A27744}">
  <dimension ref="A1:AC91"/>
  <sheetViews>
    <sheetView workbookViewId="0">
      <selection activeCell="F22" sqref="F22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45926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124</v>
      </c>
      <c r="B7" t="s">
        <v>30</v>
      </c>
      <c r="C7" s="25" t="s">
        <v>125</v>
      </c>
      <c r="D7" s="2">
        <f>915.359+608.2121</f>
        <v>1523.5711000000001</v>
      </c>
      <c r="E7" s="26">
        <v>46.26</v>
      </c>
      <c r="F7" s="3">
        <f t="shared" ref="F7:F17" si="0">E7*D7</f>
        <v>70480.399086000005</v>
      </c>
      <c r="G7" s="3">
        <f>28630.6+20162.2481</f>
        <v>48792.848100000003</v>
      </c>
      <c r="H7" s="4">
        <f t="shared" ref="H7:H17" si="1">G7/D7</f>
        <v>32.025317426932027</v>
      </c>
      <c r="I7" s="3">
        <f t="shared" ref="I7:I17" si="2">F7-G7</f>
        <v>21687.550986000002</v>
      </c>
      <c r="J7" s="26">
        <f t="shared" ref="J7:J17" si="3">E7-H7</f>
        <v>14.234682573067971</v>
      </c>
      <c r="K7" s="27">
        <v>45817</v>
      </c>
      <c r="L7">
        <f t="shared" ref="L7:L17" si="4">DAYS360(K7,$C$1)</f>
        <v>107</v>
      </c>
      <c r="M7" s="5">
        <f t="shared" ref="M7:M17" si="5">(I7/G7)</f>
        <v>0.44448216963174159</v>
      </c>
      <c r="N7">
        <v>29</v>
      </c>
      <c r="O7">
        <v>98</v>
      </c>
      <c r="P7" s="63">
        <v>8</v>
      </c>
      <c r="Q7" s="28">
        <v>50.92</v>
      </c>
      <c r="R7" s="29">
        <f t="shared" ref="R7:R17" si="6">Q7*0.93</f>
        <v>47.355600000000003</v>
      </c>
      <c r="S7" s="29">
        <v>26.45</v>
      </c>
      <c r="T7" s="28">
        <f t="shared" ref="T7:T17" si="7">Q7*1.25</f>
        <v>63.650000000000006</v>
      </c>
      <c r="U7" s="28">
        <f t="shared" ref="U7:U17" si="8">Q7*1.5</f>
        <v>76.38</v>
      </c>
      <c r="V7" s="28">
        <f t="shared" ref="V7:V17" si="9">Q7*2</f>
        <v>101.84</v>
      </c>
      <c r="W7" s="28">
        <f t="shared" ref="W7:W17" si="10">H7-(H7*0.07)</f>
        <v>29.783545207046785</v>
      </c>
      <c r="X7" s="29">
        <v>42</v>
      </c>
      <c r="Y7" s="5">
        <f t="shared" ref="Y7:Y17" si="11">(X7-H7)/H7</f>
        <v>0.31146241081999892</v>
      </c>
      <c r="Z7" s="6">
        <f t="shared" ref="Z7:Z17" si="12">F7/F$20</f>
        <v>0.10853061801016667</v>
      </c>
      <c r="AB7" s="58">
        <v>45979</v>
      </c>
      <c r="AC7" s="63">
        <v>71</v>
      </c>
    </row>
    <row r="8" spans="1:29" x14ac:dyDescent="0.25">
      <c r="A8" t="s">
        <v>126</v>
      </c>
      <c r="B8" t="s">
        <v>30</v>
      </c>
      <c r="C8" s="25" t="s">
        <v>127</v>
      </c>
      <c r="D8" s="2">
        <f>344.4515+240</f>
        <v>584.45150000000001</v>
      </c>
      <c r="E8" s="26">
        <v>142.93</v>
      </c>
      <c r="F8" s="3">
        <f t="shared" si="0"/>
        <v>83535.652895000007</v>
      </c>
      <c r="G8" s="3">
        <f>30563.18+23352</f>
        <v>53915.18</v>
      </c>
      <c r="H8" s="4">
        <f t="shared" si="1"/>
        <v>92.249194330068448</v>
      </c>
      <c r="I8" s="3">
        <f t="shared" si="2"/>
        <v>29620.472895000006</v>
      </c>
      <c r="J8" s="26">
        <f t="shared" si="3"/>
        <v>50.680805669931559</v>
      </c>
      <c r="K8" s="27">
        <v>45840</v>
      </c>
      <c r="L8">
        <f t="shared" si="4"/>
        <v>84</v>
      </c>
      <c r="M8" s="5">
        <f t="shared" si="5"/>
        <v>0.54939022544300153</v>
      </c>
      <c r="N8">
        <v>7</v>
      </c>
      <c r="O8">
        <v>99</v>
      </c>
      <c r="P8" s="63">
        <v>80</v>
      </c>
      <c r="Q8" s="28">
        <v>80.989999999999995</v>
      </c>
      <c r="R8" s="29">
        <f t="shared" si="6"/>
        <v>75.320700000000002</v>
      </c>
      <c r="S8" s="29">
        <v>81.72</v>
      </c>
      <c r="T8" s="31">
        <f t="shared" si="7"/>
        <v>101.2375</v>
      </c>
      <c r="U8" s="28">
        <f t="shared" si="8"/>
        <v>121.48499999999999</v>
      </c>
      <c r="V8" s="28">
        <f t="shared" si="9"/>
        <v>161.97999999999999</v>
      </c>
      <c r="W8" s="28">
        <f t="shared" si="10"/>
        <v>85.791750726963656</v>
      </c>
      <c r="X8" s="29">
        <v>130</v>
      </c>
      <c r="Y8" s="5">
        <f t="shared" si="11"/>
        <v>0.40922639968928975</v>
      </c>
      <c r="Z8" s="6">
        <f t="shared" si="12"/>
        <v>0.12863400537097688</v>
      </c>
      <c r="AB8" s="58">
        <v>45987</v>
      </c>
      <c r="AC8" s="9">
        <v>99</v>
      </c>
    </row>
    <row r="9" spans="1:29" x14ac:dyDescent="0.25">
      <c r="A9" t="s">
        <v>128</v>
      </c>
      <c r="B9" t="s">
        <v>30</v>
      </c>
      <c r="C9" s="25" t="s">
        <v>129</v>
      </c>
      <c r="D9" s="2">
        <f>786.7766+525.5828</f>
        <v>1312.3594000000001</v>
      </c>
      <c r="E9" s="26">
        <v>58.57</v>
      </c>
      <c r="F9" s="3">
        <f t="shared" si="0"/>
        <v>76864.890058000005</v>
      </c>
      <c r="G9" s="3">
        <f>30514.1+21675.87</f>
        <v>52189.97</v>
      </c>
      <c r="H9" s="4">
        <f t="shared" si="1"/>
        <v>39.768046771334134</v>
      </c>
      <c r="I9" s="3">
        <f t="shared" si="2"/>
        <v>24674.920058000003</v>
      </c>
      <c r="J9" s="26">
        <f t="shared" si="3"/>
        <v>18.801953228665866</v>
      </c>
      <c r="K9" s="27">
        <v>45840</v>
      </c>
      <c r="L9">
        <f t="shared" si="4"/>
        <v>84</v>
      </c>
      <c r="M9" s="5">
        <f t="shared" si="5"/>
        <v>0.47279046257355584</v>
      </c>
      <c r="N9">
        <v>16</v>
      </c>
      <c r="O9">
        <v>98</v>
      </c>
      <c r="P9" s="64">
        <v>80</v>
      </c>
      <c r="Q9" s="28">
        <v>58.42</v>
      </c>
      <c r="R9" s="29">
        <f t="shared" si="6"/>
        <v>54.330600000000004</v>
      </c>
      <c r="S9" s="29">
        <v>34.869999999999997</v>
      </c>
      <c r="T9" s="31">
        <f t="shared" si="7"/>
        <v>73.025000000000006</v>
      </c>
      <c r="U9" s="28">
        <f t="shared" si="8"/>
        <v>87.63</v>
      </c>
      <c r="V9" s="28">
        <f t="shared" si="9"/>
        <v>116.84</v>
      </c>
      <c r="W9" s="28">
        <f t="shared" si="10"/>
        <v>36.984283497340748</v>
      </c>
      <c r="X9" s="29">
        <v>45</v>
      </c>
      <c r="Y9" s="5">
        <f t="shared" si="11"/>
        <v>0.13156173494638909</v>
      </c>
      <c r="Z9" s="6">
        <f t="shared" si="12"/>
        <v>0.11836190103150709</v>
      </c>
      <c r="AB9" s="58">
        <v>45959</v>
      </c>
      <c r="AC9" s="9">
        <v>98</v>
      </c>
    </row>
    <row r="10" spans="1:29" x14ac:dyDescent="0.25">
      <c r="A10" t="s">
        <v>69</v>
      </c>
      <c r="B10" t="s">
        <v>30</v>
      </c>
      <c r="C10" s="25" t="s">
        <v>70</v>
      </c>
      <c r="D10" s="2">
        <v>682.05550000000005</v>
      </c>
      <c r="E10" s="26">
        <v>110.53</v>
      </c>
      <c r="F10" s="3">
        <f t="shared" si="0"/>
        <v>75387.594415</v>
      </c>
      <c r="G10" s="3">
        <v>43555.21</v>
      </c>
      <c r="H10" s="4">
        <f t="shared" si="1"/>
        <v>63.85874756526411</v>
      </c>
      <c r="I10" s="3">
        <f t="shared" si="2"/>
        <v>31832.384415</v>
      </c>
      <c r="J10" s="26">
        <f t="shared" si="3"/>
        <v>46.671252434735891</v>
      </c>
      <c r="K10" s="27">
        <v>45854</v>
      </c>
      <c r="L10">
        <f t="shared" si="4"/>
        <v>70</v>
      </c>
      <c r="M10" s="5">
        <f t="shared" si="5"/>
        <v>0.73085135888450548</v>
      </c>
      <c r="N10">
        <v>4</v>
      </c>
      <c r="O10">
        <v>99</v>
      </c>
      <c r="P10" s="63">
        <v>46</v>
      </c>
      <c r="Q10" s="28">
        <v>58.69</v>
      </c>
      <c r="R10" s="29">
        <f t="shared" si="6"/>
        <v>54.581699999999998</v>
      </c>
      <c r="S10" s="29">
        <v>50.08</v>
      </c>
      <c r="T10" s="31">
        <f t="shared" si="7"/>
        <v>73.362499999999997</v>
      </c>
      <c r="U10" s="28">
        <f t="shared" si="8"/>
        <v>88.034999999999997</v>
      </c>
      <c r="V10" s="28">
        <f t="shared" si="9"/>
        <v>117.38</v>
      </c>
      <c r="W10" s="28">
        <f t="shared" si="10"/>
        <v>59.388635235695624</v>
      </c>
      <c r="X10" s="29">
        <v>90</v>
      </c>
      <c r="Y10" s="5">
        <f t="shared" si="11"/>
        <v>0.4093605564064553</v>
      </c>
      <c r="Z10" s="32">
        <f t="shared" si="12"/>
        <v>0.11608705850510652</v>
      </c>
      <c r="AB10" s="58">
        <v>45974</v>
      </c>
      <c r="AC10" s="9">
        <v>92</v>
      </c>
    </row>
    <row r="11" spans="1:29" x14ac:dyDescent="0.25">
      <c r="A11" t="s">
        <v>134</v>
      </c>
      <c r="B11" t="s">
        <v>30</v>
      </c>
      <c r="C11" s="25" t="s">
        <v>135</v>
      </c>
      <c r="D11" s="2">
        <v>148.3219</v>
      </c>
      <c r="E11" s="26">
        <v>669.86</v>
      </c>
      <c r="F11" s="3">
        <f t="shared" si="0"/>
        <v>99354.907934000003</v>
      </c>
      <c r="G11" s="3">
        <v>68650.22</v>
      </c>
      <c r="H11" s="4">
        <f t="shared" si="1"/>
        <v>462.8461474670969</v>
      </c>
      <c r="I11" s="3">
        <f t="shared" si="2"/>
        <v>30704.687934000001</v>
      </c>
      <c r="J11" s="26">
        <f t="shared" si="3"/>
        <v>207.01385253290312</v>
      </c>
      <c r="K11" s="27">
        <v>45895</v>
      </c>
      <c r="L11">
        <f t="shared" si="4"/>
        <v>30</v>
      </c>
      <c r="M11" s="5">
        <f t="shared" si="5"/>
        <v>0.44726277547253307</v>
      </c>
      <c r="N11">
        <v>43</v>
      </c>
      <c r="O11">
        <v>98</v>
      </c>
      <c r="P11" s="33">
        <v>81</v>
      </c>
      <c r="Q11" s="28">
        <v>473.7</v>
      </c>
      <c r="R11" s="29">
        <f t="shared" si="6"/>
        <v>440.541</v>
      </c>
      <c r="S11" s="29">
        <v>385.19</v>
      </c>
      <c r="T11" s="28">
        <f t="shared" si="7"/>
        <v>592.125</v>
      </c>
      <c r="U11" s="28">
        <f t="shared" si="8"/>
        <v>710.55</v>
      </c>
      <c r="V11" s="28">
        <f t="shared" si="9"/>
        <v>947.4</v>
      </c>
      <c r="W11" s="28">
        <f t="shared" si="10"/>
        <v>430.44691714440012</v>
      </c>
      <c r="X11" s="29">
        <v>530</v>
      </c>
      <c r="Y11" s="5">
        <f t="shared" si="11"/>
        <v>0.14508893052345645</v>
      </c>
      <c r="Z11" s="32">
        <f t="shared" si="12"/>
        <v>0.15299359396734943</v>
      </c>
      <c r="AB11" s="58">
        <v>45966</v>
      </c>
      <c r="AC11" s="9">
        <v>99</v>
      </c>
    </row>
    <row r="12" spans="1:29" x14ac:dyDescent="0.25">
      <c r="A12" t="s">
        <v>136</v>
      </c>
      <c r="B12" t="s">
        <v>30</v>
      </c>
      <c r="C12" s="25" t="s">
        <v>137</v>
      </c>
      <c r="D12" s="2">
        <v>287.49</v>
      </c>
      <c r="E12" s="26">
        <v>205.97</v>
      </c>
      <c r="F12" s="3">
        <f t="shared" si="0"/>
        <v>59214.315300000002</v>
      </c>
      <c r="G12" s="3">
        <v>57158.76</v>
      </c>
      <c r="H12" s="4">
        <f t="shared" si="1"/>
        <v>198.81999373891267</v>
      </c>
      <c r="I12" s="3">
        <f t="shared" si="2"/>
        <v>2055.5553</v>
      </c>
      <c r="J12" s="26">
        <f t="shared" si="3"/>
        <v>7.1500062610873272</v>
      </c>
      <c r="K12" s="27">
        <v>45895</v>
      </c>
      <c r="L12">
        <f t="shared" si="4"/>
        <v>30</v>
      </c>
      <c r="M12" s="5">
        <f t="shared" si="5"/>
        <v>3.5962209467105301E-2</v>
      </c>
      <c r="N12">
        <v>27</v>
      </c>
      <c r="O12">
        <v>81</v>
      </c>
      <c r="P12" s="63">
        <v>91</v>
      </c>
      <c r="Q12" s="28">
        <v>183.05</v>
      </c>
      <c r="R12" s="29">
        <f t="shared" si="6"/>
        <v>170.23650000000001</v>
      </c>
      <c r="S12" s="29">
        <v>185.05</v>
      </c>
      <c r="T12" s="31">
        <f t="shared" si="7"/>
        <v>228.8125</v>
      </c>
      <c r="U12" s="28">
        <f t="shared" si="8"/>
        <v>274.57500000000005</v>
      </c>
      <c r="V12" s="28">
        <f t="shared" si="9"/>
        <v>366.1</v>
      </c>
      <c r="W12" s="28">
        <f t="shared" si="10"/>
        <v>184.90259417718877</v>
      </c>
      <c r="X12" s="29">
        <v>195</v>
      </c>
      <c r="Y12" s="5">
        <f t="shared" si="11"/>
        <v>-1.9213327930836917E-2</v>
      </c>
      <c r="Z12" s="6">
        <f t="shared" si="12"/>
        <v>9.1182319026261296E-2</v>
      </c>
      <c r="AB12" s="58">
        <v>45953</v>
      </c>
      <c r="AC12" s="9">
        <v>98</v>
      </c>
    </row>
    <row r="13" spans="1:29" x14ac:dyDescent="0.25">
      <c r="A13" t="s">
        <v>140</v>
      </c>
      <c r="B13" t="s">
        <v>30</v>
      </c>
      <c r="C13" s="25" t="s">
        <v>141</v>
      </c>
      <c r="D13" s="2">
        <f>595.1582+306.9859</f>
        <v>902.14409999999998</v>
      </c>
      <c r="E13" s="26">
        <v>85.58</v>
      </c>
      <c r="F13" s="3">
        <f t="shared" si="0"/>
        <v>77205.492077999996</v>
      </c>
      <c r="G13" s="3">
        <f>46827.05+24871.38</f>
        <v>71698.430000000008</v>
      </c>
      <c r="H13" s="4">
        <f t="shared" si="1"/>
        <v>79.475584887159386</v>
      </c>
      <c r="I13" s="3">
        <f t="shared" si="2"/>
        <v>5507.0620779999881</v>
      </c>
      <c r="J13" s="26">
        <f t="shared" si="3"/>
        <v>6.1044151128406128</v>
      </c>
      <c r="K13" s="27">
        <v>45897</v>
      </c>
      <c r="L13">
        <f t="shared" si="4"/>
        <v>28</v>
      </c>
      <c r="M13" s="5">
        <f t="shared" si="5"/>
        <v>7.6808684346365563E-2</v>
      </c>
      <c r="N13">
        <v>6</v>
      </c>
      <c r="O13">
        <v>92</v>
      </c>
      <c r="P13" s="63">
        <v>99</v>
      </c>
      <c r="Q13" s="28">
        <v>78.959999999999994</v>
      </c>
      <c r="R13" s="29">
        <f t="shared" si="6"/>
        <v>73.4328</v>
      </c>
      <c r="S13" s="29">
        <v>68.959999999999994</v>
      </c>
      <c r="T13" s="28">
        <f t="shared" si="7"/>
        <v>98.699999999999989</v>
      </c>
      <c r="U13" s="28">
        <f t="shared" si="8"/>
        <v>118.44</v>
      </c>
      <c r="V13" s="28">
        <f t="shared" si="9"/>
        <v>157.91999999999999</v>
      </c>
      <c r="W13" s="28">
        <f t="shared" si="10"/>
        <v>73.912293945058224</v>
      </c>
      <c r="X13" s="29">
        <v>75</v>
      </c>
      <c r="Y13" s="5">
        <f t="shared" si="11"/>
        <v>-5.6313959733846404E-2</v>
      </c>
      <c r="Z13" s="6">
        <f t="shared" si="12"/>
        <v>0.1188863836991067</v>
      </c>
      <c r="AB13" s="58">
        <v>45966</v>
      </c>
      <c r="AC13" s="9">
        <v>99</v>
      </c>
    </row>
    <row r="14" spans="1:29" x14ac:dyDescent="0.25">
      <c r="A14" t="s">
        <v>142</v>
      </c>
      <c r="B14" t="s">
        <v>30</v>
      </c>
      <c r="C14" s="25" t="s">
        <v>143</v>
      </c>
      <c r="D14" s="2">
        <v>502.0591</v>
      </c>
      <c r="E14" s="26">
        <v>142.5</v>
      </c>
      <c r="F14" s="3">
        <f t="shared" si="0"/>
        <v>71543.421749999994</v>
      </c>
      <c r="G14" s="3">
        <v>71038.880000000005</v>
      </c>
      <c r="H14" s="4">
        <f t="shared" si="1"/>
        <v>141.49505506423449</v>
      </c>
      <c r="I14" s="3">
        <f t="shared" si="2"/>
        <v>504.54174999998941</v>
      </c>
      <c r="J14" s="26">
        <f t="shared" si="3"/>
        <v>1.0049449357655078</v>
      </c>
      <c r="K14" s="27">
        <v>45909</v>
      </c>
      <c r="L14">
        <f t="shared" si="4"/>
        <v>17</v>
      </c>
      <c r="M14" s="5">
        <f t="shared" si="5"/>
        <v>7.1023325536662373E-3</v>
      </c>
      <c r="N14">
        <v>17</v>
      </c>
      <c r="O14">
        <v>93</v>
      </c>
      <c r="P14" s="63">
        <v>99</v>
      </c>
      <c r="Q14" s="28">
        <v>125.81</v>
      </c>
      <c r="R14" s="29">
        <f t="shared" si="6"/>
        <v>117.00330000000001</v>
      </c>
      <c r="S14" s="29">
        <v>127.58</v>
      </c>
      <c r="T14" s="28">
        <f t="shared" si="7"/>
        <v>157.26249999999999</v>
      </c>
      <c r="U14" s="28">
        <f t="shared" si="8"/>
        <v>188.715</v>
      </c>
      <c r="V14" s="28">
        <f t="shared" si="9"/>
        <v>251.62</v>
      </c>
      <c r="W14" s="28">
        <f t="shared" si="10"/>
        <v>131.59040120973808</v>
      </c>
      <c r="X14" s="29">
        <v>134</v>
      </c>
      <c r="Y14" s="5">
        <f t="shared" si="11"/>
        <v>-5.297043816006123E-2</v>
      </c>
      <c r="Z14" s="6">
        <f t="shared" si="12"/>
        <v>0.11016753420500769</v>
      </c>
      <c r="AB14" s="58">
        <v>45964</v>
      </c>
      <c r="AC14" s="9">
        <v>99</v>
      </c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45266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45266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2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45266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613586.67351600004</v>
      </c>
      <c r="G18" s="3">
        <f>SUM(G6:G17)</f>
        <v>466999.49810000003</v>
      </c>
      <c r="H18" s="4"/>
      <c r="I18" s="3">
        <f>SUM(I6:I17)</f>
        <v>146587.17541600001</v>
      </c>
      <c r="M18" s="5"/>
      <c r="Z18" s="6"/>
    </row>
    <row r="19" spans="1:29" x14ac:dyDescent="0.25">
      <c r="D19" s="2" t="s">
        <v>44</v>
      </c>
      <c r="F19" s="3">
        <v>35819</v>
      </c>
      <c r="G19" s="6">
        <f>F19/F20</f>
        <v>5.5156586184517672E-2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649405.67351600004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'09-19-25'!F20</f>
        <v>690032.37530900002</v>
      </c>
      <c r="K21" s="1">
        <v>45657</v>
      </c>
      <c r="L21" s="50">
        <v>170762</v>
      </c>
      <c r="M21" s="50">
        <v>224686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-5.8876515431333411E-2</v>
      </c>
      <c r="K22" s="9" t="s">
        <v>123</v>
      </c>
      <c r="L22" s="6">
        <f>(M21-L21)/L21</f>
        <v>0.31578454222836461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4">F28/D28</f>
        <v>44.698790833464948</v>
      </c>
      <c r="F28" s="3">
        <v>56489.42</v>
      </c>
      <c r="G28" s="56">
        <v>75501.87</v>
      </c>
      <c r="H28" s="57">
        <f t="shared" ref="H28:H57" si="15">G28/D28</f>
        <v>59.742909285764696</v>
      </c>
      <c r="I28" s="57">
        <f t="shared" ref="I28:I57" si="16">G28-F28</f>
        <v>19012.449999999997</v>
      </c>
      <c r="J28" s="6">
        <f t="shared" ref="J28:J57" si="17">I28/F28</f>
        <v>0.33656656414599401</v>
      </c>
      <c r="K28" s="1">
        <v>45527</v>
      </c>
      <c r="L28" s="1">
        <v>45688</v>
      </c>
      <c r="M28">
        <f t="shared" si="13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4"/>
        <v>169.90901206845703</v>
      </c>
      <c r="F29" s="3">
        <f>59492.79+21969.78</f>
        <v>81462.570000000007</v>
      </c>
      <c r="G29" s="56">
        <v>65047.58</v>
      </c>
      <c r="H29" s="57">
        <f t="shared" si="15"/>
        <v>135.67175765807443</v>
      </c>
      <c r="I29" s="57">
        <f t="shared" si="16"/>
        <v>-16414.990000000005</v>
      </c>
      <c r="J29" s="6">
        <f t="shared" si="17"/>
        <v>-0.20150346349249729</v>
      </c>
      <c r="K29" s="1">
        <v>45671</v>
      </c>
      <c r="L29" s="1">
        <v>45688</v>
      </c>
      <c r="M29">
        <f t="shared" si="13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4"/>
        <v>18.702010092477405</v>
      </c>
      <c r="F30" s="3">
        <v>56486.59</v>
      </c>
      <c r="G30" s="56">
        <v>71124.88</v>
      </c>
      <c r="H30" s="57">
        <f t="shared" si="15"/>
        <v>23.548566546258936</v>
      </c>
      <c r="I30" s="57">
        <f t="shared" si="16"/>
        <v>14638.290000000008</v>
      </c>
      <c r="J30" s="6">
        <f t="shared" si="17"/>
        <v>0.25914628587068206</v>
      </c>
      <c r="K30" s="1">
        <v>45527</v>
      </c>
      <c r="L30" s="1">
        <v>45691</v>
      </c>
      <c r="M30">
        <f t="shared" si="13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4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5"/>
        <v>38.249853000000002</v>
      </c>
      <c r="I31" s="57">
        <f t="shared" si="16"/>
        <v>-6110.386336591735</v>
      </c>
      <c r="J31" s="6">
        <f t="shared" si="17"/>
        <v>-0.10005621882176895</v>
      </c>
      <c r="K31" s="1">
        <v>45706</v>
      </c>
      <c r="L31" s="1">
        <v>45708</v>
      </c>
      <c r="M31">
        <f t="shared" si="13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4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5"/>
        <v>531.63995279999995</v>
      </c>
      <c r="I32" s="57">
        <f t="shared" si="16"/>
        <v>-22176.243614196137</v>
      </c>
      <c r="J32" s="6">
        <f t="shared" si="17"/>
        <v>-0.24194911929355969</v>
      </c>
      <c r="K32" s="1">
        <v>45706</v>
      </c>
      <c r="L32" s="1">
        <v>45708</v>
      </c>
      <c r="M32">
        <f t="shared" si="13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4"/>
        <v>368.56522253629635</v>
      </c>
      <c r="F33" s="3">
        <v>74438.86</v>
      </c>
      <c r="G33" s="56">
        <f>201.9693*360.5332483</f>
        <v>72816.647785877198</v>
      </c>
      <c r="H33" s="57">
        <f t="shared" si="15"/>
        <v>360.53324830000003</v>
      </c>
      <c r="I33" s="57">
        <f t="shared" si="16"/>
        <v>-1622.2122141228028</v>
      </c>
      <c r="J33" s="6">
        <f t="shared" si="17"/>
        <v>-2.1792545105107773E-2</v>
      </c>
      <c r="K33" s="1">
        <v>45664</v>
      </c>
      <c r="L33" s="1">
        <v>45708</v>
      </c>
      <c r="M33">
        <f t="shared" si="13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4"/>
        <v>30.17825528482809</v>
      </c>
      <c r="F34" s="3">
        <v>37884.65</v>
      </c>
      <c r="G34" s="56">
        <f>1255.3625*39.762296</f>
        <v>49916.0953123</v>
      </c>
      <c r="H34" s="57">
        <f t="shared" si="15"/>
        <v>39.762295999999999</v>
      </c>
      <c r="I34" s="57">
        <f t="shared" si="16"/>
        <v>12031.445312299998</v>
      </c>
      <c r="J34" s="6">
        <f t="shared" si="17"/>
        <v>0.31758100740801348</v>
      </c>
      <c r="K34" s="1">
        <v>45663</v>
      </c>
      <c r="L34" s="1">
        <v>45709</v>
      </c>
      <c r="M34">
        <f t="shared" si="13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4"/>
        <v>242.26930551548847</v>
      </c>
      <c r="F35" s="3">
        <v>61221.72</v>
      </c>
      <c r="G35" s="56">
        <f>252.7011*226.6146532</f>
        <v>57265.772139758519</v>
      </c>
      <c r="H35" s="57">
        <f t="shared" si="15"/>
        <v>226.61465319999999</v>
      </c>
      <c r="I35" s="57">
        <f t="shared" si="16"/>
        <v>-3955.947860241482</v>
      </c>
      <c r="J35" s="6">
        <f t="shared" si="17"/>
        <v>-6.4616738311852093E-2</v>
      </c>
      <c r="K35" s="1">
        <v>45699</v>
      </c>
      <c r="L35" s="1">
        <v>45709</v>
      </c>
      <c r="M35">
        <f t="shared" si="13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4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5"/>
        <v>283.93999450000007</v>
      </c>
      <c r="I36" s="57">
        <f t="shared" si="16"/>
        <v>19563.525282954361</v>
      </c>
      <c r="J36" s="6">
        <f t="shared" si="17"/>
        <v>0.36434300703793465</v>
      </c>
      <c r="K36" s="1">
        <v>45580</v>
      </c>
      <c r="L36" s="1">
        <v>45712</v>
      </c>
      <c r="M36">
        <f t="shared" si="13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4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5"/>
        <v>63.365330900000004</v>
      </c>
      <c r="I37" s="57">
        <f t="shared" si="16"/>
        <v>-4549.5912833559851</v>
      </c>
      <c r="J37" s="6">
        <f t="shared" si="17"/>
        <v>-5.9638082078758516E-2</v>
      </c>
      <c r="K37" s="1">
        <v>45673</v>
      </c>
      <c r="L37" s="1">
        <v>45712</v>
      </c>
      <c r="M37">
        <f t="shared" si="13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5"/>
        <v>50.021380499999999</v>
      </c>
      <c r="I38" s="57">
        <f t="shared" si="16"/>
        <v>6027.2875116823998</v>
      </c>
      <c r="J38" s="6">
        <f t="shared" si="17"/>
        <v>9.9771440635884723E-2</v>
      </c>
      <c r="K38" s="1">
        <v>45593</v>
      </c>
      <c r="L38" s="1">
        <v>45713</v>
      </c>
      <c r="M38">
        <f t="shared" si="13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5"/>
        <v>12.519992000000002</v>
      </c>
      <c r="I39" s="57">
        <f t="shared" si="16"/>
        <v>-2230.6527810991975</v>
      </c>
      <c r="J39" s="6">
        <f t="shared" si="17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5"/>
        <v>94.679995300000002</v>
      </c>
      <c r="I40" s="57">
        <f t="shared" si="16"/>
        <v>-4750.690604140058</v>
      </c>
      <c r="J40" s="6">
        <f t="shared" si="17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57" si="18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5"/>
        <v>18.9477051</v>
      </c>
      <c r="I41" s="57">
        <f t="shared" si="16"/>
        <v>-2244.5195874142191</v>
      </c>
      <c r="J41" s="6">
        <f t="shared" si="17"/>
        <v>-8.2776138273503941E-2</v>
      </c>
      <c r="K41" s="1">
        <v>45761</v>
      </c>
      <c r="L41" s="1">
        <v>45768</v>
      </c>
      <c r="M41">
        <f t="shared" ref="M41:M57" si="19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8"/>
        <v>96.336406065231671</v>
      </c>
      <c r="F42" s="3">
        <v>34004.42</v>
      </c>
      <c r="G42" s="56">
        <f>352.9758*89.7849585</f>
        <v>31691.9175545043</v>
      </c>
      <c r="H42" s="57">
        <f t="shared" si="15"/>
        <v>89.784958500000002</v>
      </c>
      <c r="I42" s="57">
        <f t="shared" si="16"/>
        <v>-2312.5024454956983</v>
      </c>
      <c r="J42" s="6">
        <f t="shared" si="17"/>
        <v>-6.8005937036882222E-2</v>
      </c>
      <c r="K42" s="1">
        <v>45762</v>
      </c>
      <c r="L42" s="1">
        <v>45768</v>
      </c>
      <c r="M42">
        <f t="shared" si="19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8"/>
        <v>16.992624876012847</v>
      </c>
      <c r="F43" s="3">
        <v>37971.83</v>
      </c>
      <c r="G43" s="56">
        <f>2234.6065*13.3067232</f>
        <v>29735.2901564208</v>
      </c>
      <c r="H43" s="57">
        <f t="shared" si="15"/>
        <v>13.3067232</v>
      </c>
      <c r="I43" s="57">
        <f t="shared" si="16"/>
        <v>-8236.5398435792013</v>
      </c>
      <c r="J43" s="6">
        <f t="shared" si="17"/>
        <v>-0.21691184869360261</v>
      </c>
      <c r="K43" s="1">
        <v>45652</v>
      </c>
      <c r="L43" s="1">
        <v>45785</v>
      </c>
      <c r="M43">
        <f t="shared" si="19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8"/>
        <v>38.101812248436303</v>
      </c>
      <c r="F44" s="3">
        <v>21940.86</v>
      </c>
      <c r="G44" s="56">
        <f>575.8482*32.7857042</f>
        <v>18879.588749302438</v>
      </c>
      <c r="H44" s="57">
        <f t="shared" si="15"/>
        <v>32.785704199999998</v>
      </c>
      <c r="I44" s="57">
        <f t="shared" si="16"/>
        <v>-3061.2712506975622</v>
      </c>
      <c r="J44" s="6">
        <f t="shared" si="17"/>
        <v>-0.13952375844417958</v>
      </c>
      <c r="K44" s="1">
        <v>45761</v>
      </c>
      <c r="L44" s="1">
        <v>45790</v>
      </c>
      <c r="M44">
        <f t="shared" si="19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8"/>
        <v>24.570291674143743</v>
      </c>
      <c r="F45" s="3">
        <v>23591.34</v>
      </c>
      <c r="G45" s="56">
        <v>19396.37</v>
      </c>
      <c r="H45" s="57">
        <f t="shared" si="15"/>
        <v>20.201246233559068</v>
      </c>
      <c r="I45" s="57">
        <f t="shared" si="16"/>
        <v>-4194.9700000000012</v>
      </c>
      <c r="J45" s="6">
        <f t="shared" si="17"/>
        <v>-0.17781821634548953</v>
      </c>
      <c r="K45" s="1">
        <v>45776</v>
      </c>
      <c r="L45" s="1">
        <v>45812</v>
      </c>
      <c r="M45">
        <f t="shared" si="19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8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5"/>
        <v>84.038907800000004</v>
      </c>
      <c r="I46" s="57">
        <f t="shared" si="16"/>
        <v>-3907.8121523372101</v>
      </c>
      <c r="J46" s="6">
        <f t="shared" si="17"/>
        <v>-0.14246372001691271</v>
      </c>
      <c r="K46" s="1">
        <v>45782</v>
      </c>
      <c r="L46" s="1">
        <v>45818</v>
      </c>
      <c r="M46">
        <f t="shared" si="19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8"/>
        <v>40.437100849618155</v>
      </c>
      <c r="F47" s="3">
        <f>22877.09+14244.67</f>
        <v>37121.760000000002</v>
      </c>
      <c r="G47" s="56">
        <v>34659.56</v>
      </c>
      <c r="H47" s="57">
        <f t="shared" si="15"/>
        <v>37.755002002151599</v>
      </c>
      <c r="I47" s="57">
        <f t="shared" si="16"/>
        <v>-2462.2000000000044</v>
      </c>
      <c r="J47" s="6">
        <f t="shared" si="17"/>
        <v>-6.6327674118899643E-2</v>
      </c>
      <c r="K47" s="1">
        <v>45782</v>
      </c>
      <c r="L47" s="1">
        <v>45828</v>
      </c>
      <c r="M47">
        <f t="shared" si="19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18"/>
        <v>123.70183817297092</v>
      </c>
      <c r="F48" s="3">
        <f>22876.67+14197.82+14808.77</f>
        <v>51883.259999999995</v>
      </c>
      <c r="G48" s="56">
        <v>55156.07</v>
      </c>
      <c r="H48" s="57">
        <f t="shared" si="15"/>
        <v>131.50498340692272</v>
      </c>
      <c r="I48" s="57">
        <f t="shared" si="16"/>
        <v>3272.8100000000049</v>
      </c>
      <c r="J48" s="6">
        <f t="shared" si="17"/>
        <v>6.3080269050171583E-2</v>
      </c>
      <c r="K48" s="1">
        <v>45782</v>
      </c>
      <c r="L48" s="1">
        <v>45839</v>
      </c>
      <c r="M48">
        <f t="shared" si="19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18"/>
        <v>63.194998844628557</v>
      </c>
      <c r="F49" s="3">
        <v>36072.47</v>
      </c>
      <c r="G49" s="56">
        <v>51786.91</v>
      </c>
      <c r="H49" s="57">
        <f t="shared" si="15"/>
        <v>90.724968864535285</v>
      </c>
      <c r="I49" s="57">
        <f t="shared" si="16"/>
        <v>15714.440000000002</v>
      </c>
      <c r="J49" s="6">
        <f t="shared" si="17"/>
        <v>0.43563526423336141</v>
      </c>
      <c r="K49" s="1">
        <v>45796</v>
      </c>
      <c r="L49" s="1">
        <v>45839</v>
      </c>
      <c r="M49">
        <f t="shared" si="19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18"/>
        <v>90.254808370121239</v>
      </c>
      <c r="F50" s="3">
        <f>35895.15+19479.74</f>
        <v>55374.89</v>
      </c>
      <c r="G50" s="56">
        <v>55236.959999999999</v>
      </c>
      <c r="H50" s="57">
        <f t="shared" si="15"/>
        <v>90.029998068584007</v>
      </c>
      <c r="I50" s="57">
        <f t="shared" si="16"/>
        <v>-137.93000000000029</v>
      </c>
      <c r="J50" s="6">
        <f t="shared" si="17"/>
        <v>-2.4908401623912986E-3</v>
      </c>
      <c r="K50" s="1">
        <v>45789</v>
      </c>
      <c r="L50" s="1">
        <v>45855</v>
      </c>
      <c r="M50">
        <f t="shared" si="19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18"/>
        <v>113.05354718581073</v>
      </c>
      <c r="F51" s="3">
        <v>45409.8</v>
      </c>
      <c r="G51" s="56">
        <v>41051.0026</v>
      </c>
      <c r="H51" s="57">
        <f t="shared" si="15"/>
        <v>102.2017595202784</v>
      </c>
      <c r="I51" s="57">
        <f t="shared" si="16"/>
        <v>-4358.7974000000031</v>
      </c>
      <c r="J51" s="6">
        <f t="shared" si="17"/>
        <v>-9.5988033420098803E-2</v>
      </c>
      <c r="K51" s="1">
        <v>45855</v>
      </c>
      <c r="L51" s="1">
        <v>45860</v>
      </c>
      <c r="M51">
        <f t="shared" si="19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18"/>
        <v>17.339829156069133</v>
      </c>
      <c r="F52" s="3">
        <v>22797.23</v>
      </c>
      <c r="G52" s="56">
        <v>18655.11</v>
      </c>
      <c r="H52" s="57">
        <f t="shared" si="15"/>
        <v>14.189286167121043</v>
      </c>
      <c r="I52" s="57">
        <f t="shared" si="16"/>
        <v>-4142.119999999999</v>
      </c>
      <c r="J52" s="6">
        <f t="shared" si="17"/>
        <v>-0.18169400405224664</v>
      </c>
      <c r="K52" s="1">
        <v>45861</v>
      </c>
      <c r="L52" s="1">
        <v>45870</v>
      </c>
      <c r="M52">
        <f t="shared" si="19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18"/>
        <v>74.757798491837917</v>
      </c>
      <c r="F53" s="3">
        <f>26856.13+12527.28</f>
        <v>39383.410000000003</v>
      </c>
      <c r="G53" s="56">
        <v>67176.488400000002</v>
      </c>
      <c r="H53" s="57">
        <f t="shared" si="15"/>
        <v>127.51476784759082</v>
      </c>
      <c r="I53" s="57">
        <f t="shared" si="16"/>
        <v>27793.078399999999</v>
      </c>
      <c r="J53" s="6">
        <f t="shared" si="17"/>
        <v>0.7057052296893539</v>
      </c>
      <c r="K53" s="1">
        <v>45789</v>
      </c>
      <c r="L53" s="1">
        <v>45870</v>
      </c>
      <c r="M53">
        <f t="shared" si="19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18"/>
        <v>22.651928580010882</v>
      </c>
      <c r="F54" s="3">
        <f>18821.97+11334.33+20180.34</f>
        <v>50336.639999999999</v>
      </c>
      <c r="G54" s="56">
        <v>42713.83</v>
      </c>
      <c r="H54" s="57">
        <f t="shared" si="15"/>
        <v>19.221597360068653</v>
      </c>
      <c r="I54" s="57">
        <f t="shared" si="16"/>
        <v>-7622.8099999999977</v>
      </c>
      <c r="J54" s="6">
        <f t="shared" si="17"/>
        <v>-0.15143660760829483</v>
      </c>
      <c r="K54" s="1">
        <v>45814</v>
      </c>
      <c r="L54" s="1">
        <v>45880</v>
      </c>
      <c r="M54">
        <f t="shared" si="19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18"/>
        <v>30.926801697408081</v>
      </c>
      <c r="F55" s="3">
        <f>(605.0016*29.7738017)+17708.65</f>
        <v>35721.847666582718</v>
      </c>
      <c r="G55" s="56">
        <v>42554.27</v>
      </c>
      <c r="H55" s="57">
        <f t="shared" si="15"/>
        <v>36.842088403482109</v>
      </c>
      <c r="I55" s="57">
        <f t="shared" si="16"/>
        <v>6832.4223334172784</v>
      </c>
      <c r="J55" s="6">
        <f t="shared" si="17"/>
        <v>0.1912673274123195</v>
      </c>
      <c r="K55" s="1">
        <v>45800</v>
      </c>
      <c r="L55" s="1">
        <v>45881</v>
      </c>
      <c r="M55">
        <f t="shared" si="19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18"/>
        <v>377.42204050678822</v>
      </c>
      <c r="F56" s="3">
        <f>34962.9+15401.92</f>
        <v>50364.82</v>
      </c>
      <c r="G56" s="56">
        <v>81517.961800000005</v>
      </c>
      <c r="H56" s="57">
        <f t="shared" si="15"/>
        <v>610.87631168959638</v>
      </c>
      <c r="I56" s="57">
        <f t="shared" si="16"/>
        <v>31153.141800000005</v>
      </c>
      <c r="J56" s="6">
        <f t="shared" si="17"/>
        <v>0.61854965033132259</v>
      </c>
      <c r="K56" s="1">
        <v>45771</v>
      </c>
      <c r="L56" s="1">
        <v>45884</v>
      </c>
      <c r="M56">
        <f t="shared" si="19"/>
        <v>111</v>
      </c>
    </row>
    <row r="57" spans="1:13" x14ac:dyDescent="0.25">
      <c r="A57" t="s">
        <v>138</v>
      </c>
      <c r="B57" t="s">
        <v>30</v>
      </c>
      <c r="C57" s="25" t="s">
        <v>139</v>
      </c>
      <c r="D57" s="2">
        <v>345.54309999999998</v>
      </c>
      <c r="E57" s="57">
        <f t="shared" si="18"/>
        <v>133.9832570813887</v>
      </c>
      <c r="F57" s="3">
        <v>46296.99</v>
      </c>
      <c r="G57" s="56">
        <v>42812.79</v>
      </c>
      <c r="H57" s="57">
        <f t="shared" si="15"/>
        <v>123.89999973954046</v>
      </c>
      <c r="I57" s="57">
        <f t="shared" si="16"/>
        <v>-3484.1999999999971</v>
      </c>
      <c r="J57" s="6">
        <f t="shared" si="17"/>
        <v>-7.525759234023631E-2</v>
      </c>
      <c r="K57" s="1">
        <v>45897</v>
      </c>
      <c r="L57" s="1">
        <v>45904</v>
      </c>
      <c r="M57">
        <f t="shared" si="19"/>
        <v>6</v>
      </c>
    </row>
    <row r="58" spans="1:13" x14ac:dyDescent="0.25">
      <c r="C58" s="25"/>
      <c r="D58" s="2"/>
      <c r="E58" s="57"/>
      <c r="F58" s="3"/>
      <c r="G58" s="56"/>
      <c r="H58" s="57"/>
      <c r="I58" s="57"/>
      <c r="J58" s="6"/>
      <c r="K58" s="1"/>
      <c r="L58" s="1"/>
    </row>
    <row r="59" spans="1:13" x14ac:dyDescent="0.25">
      <c r="C59" s="25"/>
      <c r="D59" s="2"/>
      <c r="E59" s="57"/>
      <c r="F59" s="3"/>
      <c r="G59" s="56"/>
      <c r="H59" s="57"/>
      <c r="I59" s="57"/>
      <c r="J59" s="6"/>
      <c r="K59" s="1"/>
      <c r="L59" s="1"/>
    </row>
    <row r="60" spans="1:13" x14ac:dyDescent="0.25">
      <c r="F60" s="56"/>
      <c r="G60" s="56"/>
      <c r="H60" s="3"/>
      <c r="I60" s="3">
        <f>SUM(I26:I59)</f>
        <v>40298.48326708276</v>
      </c>
      <c r="J60" s="13" t="s">
        <v>66</v>
      </c>
    </row>
    <row r="61" spans="1:13" x14ac:dyDescent="0.25">
      <c r="F61" s="56"/>
      <c r="G61" s="56"/>
      <c r="H61" s="3" t="s">
        <v>67</v>
      </c>
      <c r="I61" s="59">
        <v>22</v>
      </c>
      <c r="J61" s="5">
        <v>-0.1082</v>
      </c>
    </row>
    <row r="62" spans="1:13" x14ac:dyDescent="0.25">
      <c r="F62" s="56"/>
      <c r="G62" s="56"/>
      <c r="H62" s="3" t="s">
        <v>68</v>
      </c>
      <c r="I62" s="59">
        <v>10</v>
      </c>
      <c r="J62" s="5">
        <v>0.3392</v>
      </c>
    </row>
    <row r="63" spans="1:13" x14ac:dyDescent="0.25">
      <c r="F63" s="56"/>
      <c r="G63" s="56"/>
      <c r="J63" s="6"/>
    </row>
    <row r="64" spans="1:13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  <c r="J77" s="6"/>
    </row>
    <row r="78" spans="6:10" x14ac:dyDescent="0.25">
      <c r="F78" s="56"/>
      <c r="G78" s="56"/>
      <c r="J78" s="6"/>
    </row>
    <row r="79" spans="6:10" x14ac:dyDescent="0.25">
      <c r="F79" s="56"/>
      <c r="G79" s="56"/>
      <c r="J79" s="6"/>
    </row>
    <row r="80" spans="6:10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</row>
    <row r="87" spans="6:10" x14ac:dyDescent="0.25">
      <c r="F87" s="56"/>
      <c r="G87" s="56"/>
    </row>
    <row r="88" spans="6:10" x14ac:dyDescent="0.25">
      <c r="F88" s="56"/>
      <c r="G88" s="56"/>
    </row>
    <row r="89" spans="6:10" x14ac:dyDescent="0.25">
      <c r="F89" s="56"/>
      <c r="G89" s="56"/>
    </row>
    <row r="90" spans="6:10" x14ac:dyDescent="0.25">
      <c r="F90" s="56"/>
      <c r="G90" s="56"/>
    </row>
    <row r="91" spans="6:10" x14ac:dyDescent="0.25">
      <c r="F91" s="56"/>
      <c r="G91" s="56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CF07-3D1A-4F97-AD92-4BF99F2C9023}">
  <dimension ref="A1:AC91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45933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124</v>
      </c>
      <c r="B7" t="s">
        <v>30</v>
      </c>
      <c r="C7" s="25" t="s">
        <v>125</v>
      </c>
      <c r="D7" s="2">
        <f>915.359+608.2121</f>
        <v>1523.5711000000001</v>
      </c>
      <c r="E7" s="26">
        <v>56.16</v>
      </c>
      <c r="F7" s="3">
        <f t="shared" ref="F7:F17" si="0">E7*D7</f>
        <v>85563.752976000003</v>
      </c>
      <c r="G7" s="3">
        <f>28630.6+20162.2481</f>
        <v>48792.848100000003</v>
      </c>
      <c r="H7" s="4">
        <f t="shared" ref="H7:H17" si="1">G7/D7</f>
        <v>32.025317426932027</v>
      </c>
      <c r="I7" s="3">
        <f t="shared" ref="I7:I17" si="2">F7-G7</f>
        <v>36770.904876000001</v>
      </c>
      <c r="J7" s="26">
        <f t="shared" ref="J7:J17" si="3">E7-H7</f>
        <v>24.13468257306797</v>
      </c>
      <c r="K7" s="27">
        <v>45817</v>
      </c>
      <c r="L7">
        <f t="shared" ref="L7:L17" si="4">DAYS360(K7,$C$1)</f>
        <v>114</v>
      </c>
      <c r="M7" s="5">
        <f t="shared" ref="M7:M17" si="5">(I7/G7)</f>
        <v>0.75361259503931266</v>
      </c>
      <c r="N7">
        <v>29</v>
      </c>
      <c r="O7">
        <v>98</v>
      </c>
      <c r="P7" s="63">
        <v>8</v>
      </c>
      <c r="Q7" s="28">
        <v>50.92</v>
      </c>
      <c r="R7" s="29">
        <f t="shared" ref="R7:R17" si="6">Q7*0.93</f>
        <v>47.355600000000003</v>
      </c>
      <c r="S7" s="29">
        <v>26.45</v>
      </c>
      <c r="T7" s="28">
        <f t="shared" ref="T7:T17" si="7">Q7*1.25</f>
        <v>63.650000000000006</v>
      </c>
      <c r="U7" s="28">
        <f t="shared" ref="U7:U17" si="8">Q7*1.5</f>
        <v>76.38</v>
      </c>
      <c r="V7" s="28">
        <f t="shared" ref="V7:V17" si="9">Q7*2</f>
        <v>101.84</v>
      </c>
      <c r="W7" s="28">
        <f t="shared" ref="W7:W17" si="10">H7-(H7*0.07)</f>
        <v>29.783545207046785</v>
      </c>
      <c r="X7" s="29">
        <v>42</v>
      </c>
      <c r="Y7" s="5">
        <f t="shared" ref="Y7:Y17" si="11">(X7-H7)/H7</f>
        <v>0.31146241081999892</v>
      </c>
      <c r="Z7" s="6">
        <f t="shared" ref="Z7:Z17" si="12">F7/F$20</f>
        <v>0.1261678499025409</v>
      </c>
      <c r="AB7" s="58">
        <v>45979</v>
      </c>
      <c r="AC7" s="63">
        <v>74</v>
      </c>
    </row>
    <row r="8" spans="1:29" x14ac:dyDescent="0.25">
      <c r="A8" t="s">
        <v>126</v>
      </c>
      <c r="B8" t="s">
        <v>30</v>
      </c>
      <c r="C8" s="25" t="s">
        <v>127</v>
      </c>
      <c r="D8" s="2">
        <f>344.4515+240</f>
        <v>584.45150000000001</v>
      </c>
      <c r="E8" s="26">
        <v>143.87</v>
      </c>
      <c r="F8" s="3">
        <f t="shared" si="0"/>
        <v>84085.037305000005</v>
      </c>
      <c r="G8" s="3">
        <f>30563.18+23352</f>
        <v>53915.18</v>
      </c>
      <c r="H8" s="4">
        <f t="shared" si="1"/>
        <v>92.249194330068448</v>
      </c>
      <c r="I8" s="3">
        <f t="shared" si="2"/>
        <v>30169.857305000005</v>
      </c>
      <c r="J8" s="26">
        <f t="shared" si="3"/>
        <v>51.620805669931556</v>
      </c>
      <c r="K8" s="27">
        <v>45840</v>
      </c>
      <c r="L8">
        <f t="shared" si="4"/>
        <v>91</v>
      </c>
      <c r="M8" s="5">
        <f t="shared" si="5"/>
        <v>0.55958001633306254</v>
      </c>
      <c r="N8">
        <v>7</v>
      </c>
      <c r="O8">
        <v>98</v>
      </c>
      <c r="P8" s="63">
        <v>80</v>
      </c>
      <c r="Q8" s="28">
        <v>80.989999999999995</v>
      </c>
      <c r="R8" s="29">
        <f t="shared" si="6"/>
        <v>75.320700000000002</v>
      </c>
      <c r="S8" s="29">
        <v>81.72</v>
      </c>
      <c r="T8" s="31">
        <f t="shared" si="7"/>
        <v>101.2375</v>
      </c>
      <c r="U8" s="28">
        <f t="shared" si="8"/>
        <v>121.48499999999999</v>
      </c>
      <c r="V8" s="28">
        <f t="shared" si="9"/>
        <v>161.97999999999999</v>
      </c>
      <c r="W8" s="28">
        <f t="shared" si="10"/>
        <v>85.791750726963656</v>
      </c>
      <c r="X8" s="29">
        <v>130</v>
      </c>
      <c r="Y8" s="5">
        <f t="shared" si="11"/>
        <v>0.40922639968928975</v>
      </c>
      <c r="Z8" s="6">
        <f t="shared" si="12"/>
        <v>0.12398741285603135</v>
      </c>
      <c r="AB8" s="58">
        <v>45987</v>
      </c>
      <c r="AC8" s="9">
        <v>99</v>
      </c>
    </row>
    <row r="9" spans="1:29" x14ac:dyDescent="0.25">
      <c r="A9" t="s">
        <v>128</v>
      </c>
      <c r="B9" t="s">
        <v>30</v>
      </c>
      <c r="C9" s="25" t="s">
        <v>129</v>
      </c>
      <c r="D9" s="2">
        <f>786.7766+525.5828</f>
        <v>1312.3594000000001</v>
      </c>
      <c r="E9" s="26">
        <v>59.3</v>
      </c>
      <c r="F9" s="3">
        <f t="shared" si="0"/>
        <v>77822.912419999993</v>
      </c>
      <c r="G9" s="3">
        <f>30514.1+21675.87</f>
        <v>52189.97</v>
      </c>
      <c r="H9" s="4">
        <f t="shared" si="1"/>
        <v>39.768046771334134</v>
      </c>
      <c r="I9" s="3">
        <f t="shared" si="2"/>
        <v>25632.942419999992</v>
      </c>
      <c r="J9" s="26">
        <f t="shared" si="3"/>
        <v>19.531953228665863</v>
      </c>
      <c r="K9" s="27">
        <v>45840</v>
      </c>
      <c r="L9">
        <f t="shared" si="4"/>
        <v>91</v>
      </c>
      <c r="M9" s="5">
        <f t="shared" si="5"/>
        <v>0.49114690849601927</v>
      </c>
      <c r="N9">
        <v>16</v>
      </c>
      <c r="O9">
        <v>97</v>
      </c>
      <c r="P9" s="64">
        <v>80</v>
      </c>
      <c r="Q9" s="28">
        <v>58.42</v>
      </c>
      <c r="R9" s="29">
        <f t="shared" si="6"/>
        <v>54.330600000000004</v>
      </c>
      <c r="S9" s="29">
        <v>34.869999999999997</v>
      </c>
      <c r="T9" s="31">
        <f t="shared" si="7"/>
        <v>73.025000000000006</v>
      </c>
      <c r="U9" s="28">
        <f t="shared" si="8"/>
        <v>87.63</v>
      </c>
      <c r="V9" s="28">
        <f t="shared" si="9"/>
        <v>116.84</v>
      </c>
      <c r="W9" s="28">
        <f t="shared" si="10"/>
        <v>36.984283497340748</v>
      </c>
      <c r="X9" s="29">
        <v>45</v>
      </c>
      <c r="Y9" s="5">
        <f t="shared" si="11"/>
        <v>0.13156173494638909</v>
      </c>
      <c r="Z9" s="6">
        <f t="shared" si="12"/>
        <v>0.11475360993035488</v>
      </c>
      <c r="AB9" s="58">
        <v>45959</v>
      </c>
      <c r="AC9" s="9">
        <v>98</v>
      </c>
    </row>
    <row r="10" spans="1:29" x14ac:dyDescent="0.25">
      <c r="A10" t="s">
        <v>69</v>
      </c>
      <c r="B10" t="s">
        <v>30</v>
      </c>
      <c r="C10" s="25" t="s">
        <v>70</v>
      </c>
      <c r="D10" s="2">
        <v>682.05550000000005</v>
      </c>
      <c r="E10" s="26">
        <v>127.36</v>
      </c>
      <c r="F10" s="3">
        <f t="shared" si="0"/>
        <v>86866.588480000006</v>
      </c>
      <c r="G10" s="3">
        <v>43555.21</v>
      </c>
      <c r="H10" s="4">
        <f t="shared" si="1"/>
        <v>63.85874756526411</v>
      </c>
      <c r="I10" s="3">
        <f t="shared" si="2"/>
        <v>43311.378480000007</v>
      </c>
      <c r="J10" s="26">
        <f t="shared" si="3"/>
        <v>63.501252434735889</v>
      </c>
      <c r="K10" s="27">
        <v>45854</v>
      </c>
      <c r="L10">
        <f t="shared" si="4"/>
        <v>77</v>
      </c>
      <c r="M10" s="5">
        <f t="shared" si="5"/>
        <v>0.99440178293251269</v>
      </c>
      <c r="N10">
        <v>3</v>
      </c>
      <c r="O10">
        <v>99</v>
      </c>
      <c r="P10" s="63">
        <v>46</v>
      </c>
      <c r="Q10" s="28">
        <v>58.69</v>
      </c>
      <c r="R10" s="29">
        <f t="shared" si="6"/>
        <v>54.581699999999998</v>
      </c>
      <c r="S10" s="29">
        <v>50.08</v>
      </c>
      <c r="T10" s="31">
        <f t="shared" si="7"/>
        <v>73.362499999999997</v>
      </c>
      <c r="U10" s="28">
        <f t="shared" si="8"/>
        <v>88.034999999999997</v>
      </c>
      <c r="V10" s="28">
        <f t="shared" si="9"/>
        <v>117.38</v>
      </c>
      <c r="W10" s="28">
        <f t="shared" si="10"/>
        <v>59.388635235695624</v>
      </c>
      <c r="X10" s="29">
        <v>90</v>
      </c>
      <c r="Y10" s="5">
        <f t="shared" si="11"/>
        <v>0.4093605564064553</v>
      </c>
      <c r="Z10" s="32">
        <f t="shared" si="12"/>
        <v>0.12808894322300898</v>
      </c>
      <c r="AB10" s="58">
        <v>45974</v>
      </c>
      <c r="AC10" s="9">
        <v>92</v>
      </c>
    </row>
    <row r="11" spans="1:29" x14ac:dyDescent="0.25">
      <c r="A11" t="s">
        <v>134</v>
      </c>
      <c r="B11" t="s">
        <v>30</v>
      </c>
      <c r="C11" s="25" t="s">
        <v>135</v>
      </c>
      <c r="D11" s="2">
        <v>148.3219</v>
      </c>
      <c r="E11" s="26">
        <v>682.76</v>
      </c>
      <c r="F11" s="3">
        <f t="shared" si="0"/>
        <v>101268.260444</v>
      </c>
      <c r="G11" s="3">
        <v>68650.22</v>
      </c>
      <c r="H11" s="4">
        <f t="shared" si="1"/>
        <v>462.8461474670969</v>
      </c>
      <c r="I11" s="3">
        <f t="shared" si="2"/>
        <v>32618.040443999998</v>
      </c>
      <c r="J11" s="26">
        <f t="shared" si="3"/>
        <v>219.91385253290309</v>
      </c>
      <c r="K11" s="27">
        <v>45895</v>
      </c>
      <c r="L11">
        <f t="shared" si="4"/>
        <v>37</v>
      </c>
      <c r="M11" s="5">
        <f t="shared" si="5"/>
        <v>0.47513380793244359</v>
      </c>
      <c r="N11">
        <v>31</v>
      </c>
      <c r="O11">
        <v>98</v>
      </c>
      <c r="P11" s="33">
        <v>81</v>
      </c>
      <c r="Q11" s="28">
        <v>473.7</v>
      </c>
      <c r="R11" s="29">
        <f t="shared" si="6"/>
        <v>440.541</v>
      </c>
      <c r="S11" s="29">
        <v>385.19</v>
      </c>
      <c r="T11" s="28">
        <f t="shared" si="7"/>
        <v>592.125</v>
      </c>
      <c r="U11" s="28">
        <f t="shared" si="8"/>
        <v>710.55</v>
      </c>
      <c r="V11" s="28">
        <f t="shared" si="9"/>
        <v>947.4</v>
      </c>
      <c r="W11" s="28">
        <f t="shared" si="10"/>
        <v>430.44691714440012</v>
      </c>
      <c r="X11" s="29">
        <v>530</v>
      </c>
      <c r="Y11" s="5">
        <f t="shared" si="11"/>
        <v>0.14508893052345645</v>
      </c>
      <c r="Z11" s="32">
        <f t="shared" si="12"/>
        <v>0.14932489797606013</v>
      </c>
      <c r="AB11" s="58">
        <v>45966</v>
      </c>
      <c r="AC11" s="9">
        <v>99</v>
      </c>
    </row>
    <row r="12" spans="1:29" x14ac:dyDescent="0.25">
      <c r="A12" t="s">
        <v>136</v>
      </c>
      <c r="B12" t="s">
        <v>30</v>
      </c>
      <c r="C12" s="25" t="s">
        <v>137</v>
      </c>
      <c r="D12" s="2">
        <v>287.49</v>
      </c>
      <c r="E12" s="26">
        <v>201.41</v>
      </c>
      <c r="F12" s="3">
        <f t="shared" si="0"/>
        <v>57903.3609</v>
      </c>
      <c r="G12" s="3">
        <v>57158.76</v>
      </c>
      <c r="H12" s="4">
        <f t="shared" si="1"/>
        <v>198.81999373891267</v>
      </c>
      <c r="I12" s="3">
        <f t="shared" si="2"/>
        <v>744.60089999999764</v>
      </c>
      <c r="J12" s="26">
        <f t="shared" si="3"/>
        <v>2.5900062610873249</v>
      </c>
      <c r="K12" s="27">
        <v>45895</v>
      </c>
      <c r="L12">
        <f t="shared" si="4"/>
        <v>37</v>
      </c>
      <c r="M12" s="5">
        <f t="shared" si="5"/>
        <v>1.3026890366410986E-2</v>
      </c>
      <c r="N12">
        <v>37</v>
      </c>
      <c r="O12">
        <v>75</v>
      </c>
      <c r="P12" s="63">
        <v>91</v>
      </c>
      <c r="Q12" s="28">
        <v>183.05</v>
      </c>
      <c r="R12" s="29">
        <f t="shared" si="6"/>
        <v>170.23650000000001</v>
      </c>
      <c r="S12" s="29">
        <v>185.05</v>
      </c>
      <c r="T12" s="31">
        <f t="shared" si="7"/>
        <v>228.8125</v>
      </c>
      <c r="U12" s="28">
        <f t="shared" si="8"/>
        <v>274.57500000000005</v>
      </c>
      <c r="V12" s="28">
        <f t="shared" si="9"/>
        <v>366.1</v>
      </c>
      <c r="W12" s="28">
        <f t="shared" si="10"/>
        <v>184.90259417718877</v>
      </c>
      <c r="X12" s="29">
        <v>195</v>
      </c>
      <c r="Y12" s="5">
        <f t="shared" si="11"/>
        <v>-1.9213327930836917E-2</v>
      </c>
      <c r="Z12" s="6">
        <f t="shared" si="12"/>
        <v>8.5381277618023679E-2</v>
      </c>
      <c r="AB12" s="58">
        <v>45953</v>
      </c>
      <c r="AC12" s="9">
        <v>97</v>
      </c>
    </row>
    <row r="13" spans="1:29" x14ac:dyDescent="0.25">
      <c r="A13" t="s">
        <v>140</v>
      </c>
      <c r="B13" t="s">
        <v>30</v>
      </c>
      <c r="C13" s="25" t="s">
        <v>141</v>
      </c>
      <c r="D13" s="2">
        <f>595.1582+306.9859</f>
        <v>902.14409999999998</v>
      </c>
      <c r="E13" s="26">
        <v>84.17</v>
      </c>
      <c r="F13" s="3">
        <f t="shared" si="0"/>
        <v>75933.468896999999</v>
      </c>
      <c r="G13" s="3">
        <f>46827.05+24871.38</f>
        <v>71698.430000000008</v>
      </c>
      <c r="H13" s="4">
        <f t="shared" si="1"/>
        <v>79.475584887159386</v>
      </c>
      <c r="I13" s="3">
        <f t="shared" si="2"/>
        <v>4235.0388969999913</v>
      </c>
      <c r="J13" s="26">
        <f t="shared" si="3"/>
        <v>4.6944151128406162</v>
      </c>
      <c r="K13" s="27">
        <v>45897</v>
      </c>
      <c r="L13">
        <f t="shared" si="4"/>
        <v>35</v>
      </c>
      <c r="M13" s="5">
        <f t="shared" si="5"/>
        <v>5.9067386789361929E-2</v>
      </c>
      <c r="N13">
        <v>6</v>
      </c>
      <c r="O13">
        <v>91</v>
      </c>
      <c r="P13" s="63">
        <v>99</v>
      </c>
      <c r="Q13" s="28">
        <v>78.959999999999994</v>
      </c>
      <c r="R13" s="29">
        <f t="shared" si="6"/>
        <v>73.4328</v>
      </c>
      <c r="S13" s="29">
        <v>68.959999999999994</v>
      </c>
      <c r="T13" s="28">
        <f t="shared" si="7"/>
        <v>98.699999999999989</v>
      </c>
      <c r="U13" s="28">
        <f t="shared" si="8"/>
        <v>118.44</v>
      </c>
      <c r="V13" s="28">
        <f t="shared" si="9"/>
        <v>157.91999999999999</v>
      </c>
      <c r="W13" s="28">
        <f t="shared" si="10"/>
        <v>73.912293945058224</v>
      </c>
      <c r="X13" s="29">
        <v>75</v>
      </c>
      <c r="Y13" s="5">
        <f t="shared" si="11"/>
        <v>-5.6313959733846404E-2</v>
      </c>
      <c r="Z13" s="6">
        <f t="shared" si="12"/>
        <v>0.11196753500355665</v>
      </c>
      <c r="AB13" s="58">
        <v>45966</v>
      </c>
      <c r="AC13" s="9">
        <v>99</v>
      </c>
    </row>
    <row r="14" spans="1:29" x14ac:dyDescent="0.25">
      <c r="B14" t="s">
        <v>30</v>
      </c>
      <c r="C14" s="25" t="s">
        <v>143</v>
      </c>
      <c r="D14" s="2">
        <v>502.0591</v>
      </c>
      <c r="E14" s="26">
        <v>145.5</v>
      </c>
      <c r="F14" s="3">
        <f t="shared" si="0"/>
        <v>73049.599050000004</v>
      </c>
      <c r="G14" s="3">
        <v>71038.880000000005</v>
      </c>
      <c r="H14" s="4">
        <f t="shared" si="1"/>
        <v>141.49505506423449</v>
      </c>
      <c r="I14" s="3">
        <f t="shared" si="2"/>
        <v>2010.7190499999997</v>
      </c>
      <c r="J14" s="26">
        <f t="shared" si="3"/>
        <v>4.0049449357655078</v>
      </c>
      <c r="K14" s="27">
        <v>45909</v>
      </c>
      <c r="L14">
        <f t="shared" si="4"/>
        <v>24</v>
      </c>
      <c r="M14" s="5">
        <f t="shared" si="5"/>
        <v>2.8304486923217253E-2</v>
      </c>
      <c r="N14">
        <v>17</v>
      </c>
      <c r="O14">
        <v>90</v>
      </c>
      <c r="P14" s="63">
        <v>99</v>
      </c>
      <c r="Q14" s="28">
        <v>125.81</v>
      </c>
      <c r="R14" s="29">
        <f t="shared" si="6"/>
        <v>117.00330000000001</v>
      </c>
      <c r="S14" s="29">
        <v>127.58</v>
      </c>
      <c r="T14" s="28">
        <f t="shared" si="7"/>
        <v>157.26249999999999</v>
      </c>
      <c r="U14" s="28">
        <f t="shared" si="8"/>
        <v>188.715</v>
      </c>
      <c r="V14" s="28">
        <f t="shared" si="9"/>
        <v>251.62</v>
      </c>
      <c r="W14" s="28">
        <f t="shared" si="10"/>
        <v>131.59040120973808</v>
      </c>
      <c r="X14" s="29">
        <v>134</v>
      </c>
      <c r="Y14" s="5">
        <f t="shared" si="11"/>
        <v>-5.297043816006123E-2</v>
      </c>
      <c r="Z14" s="6">
        <f t="shared" si="12"/>
        <v>0.10771513085647796</v>
      </c>
      <c r="AB14" s="58">
        <v>45964</v>
      </c>
      <c r="AC14" s="9">
        <v>99</v>
      </c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45273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45273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2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45273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642492.98047199997</v>
      </c>
      <c r="G18" s="3">
        <f>SUM(G6:G17)</f>
        <v>466999.49810000003</v>
      </c>
      <c r="H18" s="4"/>
      <c r="I18" s="3">
        <f>SUM(I6:I17)</f>
        <v>175493.482372</v>
      </c>
      <c r="M18" s="5"/>
      <c r="Z18" s="6"/>
    </row>
    <row r="19" spans="1:29" x14ac:dyDescent="0.25">
      <c r="D19" s="2" t="s">
        <v>44</v>
      </c>
      <c r="F19" s="3">
        <v>35681</v>
      </c>
      <c r="G19" s="6">
        <f>F19/F20</f>
        <v>5.2613342633945501E-2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678173.98047199997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'09-26-25'!F20</f>
        <v>649405.67351600004</v>
      </c>
      <c r="K21" s="1">
        <v>45657</v>
      </c>
      <c r="L21" s="50">
        <v>170762</v>
      </c>
      <c r="M21" s="50">
        <v>234639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4.4299438901177282E-2</v>
      </c>
      <c r="K22" s="9" t="s">
        <v>123</v>
      </c>
      <c r="L22" s="6">
        <f>(M21-L21)/L21</f>
        <v>0.37407034351904989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4">F28/D28</f>
        <v>44.698790833464948</v>
      </c>
      <c r="F28" s="3">
        <v>56489.42</v>
      </c>
      <c r="G28" s="56">
        <v>75501.87</v>
      </c>
      <c r="H28" s="57">
        <f t="shared" ref="H28:H57" si="15">G28/D28</f>
        <v>59.742909285764696</v>
      </c>
      <c r="I28" s="57">
        <f t="shared" ref="I28:I57" si="16">G28-F28</f>
        <v>19012.449999999997</v>
      </c>
      <c r="J28" s="6">
        <f t="shared" ref="J28:J57" si="17">I28/F28</f>
        <v>0.33656656414599401</v>
      </c>
      <c r="K28" s="1">
        <v>45527</v>
      </c>
      <c r="L28" s="1">
        <v>45688</v>
      </c>
      <c r="M28">
        <f t="shared" si="13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4"/>
        <v>169.90901206845703</v>
      </c>
      <c r="F29" s="3">
        <f>59492.79+21969.78</f>
        <v>81462.570000000007</v>
      </c>
      <c r="G29" s="56">
        <v>65047.58</v>
      </c>
      <c r="H29" s="57">
        <f t="shared" si="15"/>
        <v>135.67175765807443</v>
      </c>
      <c r="I29" s="57">
        <f t="shared" si="16"/>
        <v>-16414.990000000005</v>
      </c>
      <c r="J29" s="6">
        <f t="shared" si="17"/>
        <v>-0.20150346349249729</v>
      </c>
      <c r="K29" s="1">
        <v>45671</v>
      </c>
      <c r="L29" s="1">
        <v>45688</v>
      </c>
      <c r="M29">
        <f t="shared" si="13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4"/>
        <v>18.702010092477405</v>
      </c>
      <c r="F30" s="3">
        <v>56486.59</v>
      </c>
      <c r="G30" s="56">
        <v>71124.88</v>
      </c>
      <c r="H30" s="57">
        <f t="shared" si="15"/>
        <v>23.548566546258936</v>
      </c>
      <c r="I30" s="57">
        <f t="shared" si="16"/>
        <v>14638.290000000008</v>
      </c>
      <c r="J30" s="6">
        <f t="shared" si="17"/>
        <v>0.25914628587068206</v>
      </c>
      <c r="K30" s="1">
        <v>45527</v>
      </c>
      <c r="L30" s="1">
        <v>45691</v>
      </c>
      <c r="M30">
        <f t="shared" si="13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4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5"/>
        <v>38.249853000000002</v>
      </c>
      <c r="I31" s="57">
        <f t="shared" si="16"/>
        <v>-6110.386336591735</v>
      </c>
      <c r="J31" s="6">
        <f t="shared" si="17"/>
        <v>-0.10005621882176895</v>
      </c>
      <c r="K31" s="1">
        <v>45706</v>
      </c>
      <c r="L31" s="1">
        <v>45708</v>
      </c>
      <c r="M31">
        <f t="shared" si="13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4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5"/>
        <v>531.63995279999995</v>
      </c>
      <c r="I32" s="57">
        <f t="shared" si="16"/>
        <v>-22176.243614196137</v>
      </c>
      <c r="J32" s="6">
        <f t="shared" si="17"/>
        <v>-0.24194911929355969</v>
      </c>
      <c r="K32" s="1">
        <v>45706</v>
      </c>
      <c r="L32" s="1">
        <v>45708</v>
      </c>
      <c r="M32">
        <f t="shared" si="13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4"/>
        <v>368.56522253629635</v>
      </c>
      <c r="F33" s="3">
        <v>74438.86</v>
      </c>
      <c r="G33" s="56">
        <f>201.9693*360.5332483</f>
        <v>72816.647785877198</v>
      </c>
      <c r="H33" s="57">
        <f t="shared" si="15"/>
        <v>360.53324830000003</v>
      </c>
      <c r="I33" s="57">
        <f t="shared" si="16"/>
        <v>-1622.2122141228028</v>
      </c>
      <c r="J33" s="6">
        <f t="shared" si="17"/>
        <v>-2.1792545105107773E-2</v>
      </c>
      <c r="K33" s="1">
        <v>45664</v>
      </c>
      <c r="L33" s="1">
        <v>45708</v>
      </c>
      <c r="M33">
        <f t="shared" si="13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4"/>
        <v>30.17825528482809</v>
      </c>
      <c r="F34" s="3">
        <v>37884.65</v>
      </c>
      <c r="G34" s="56">
        <f>1255.3625*39.762296</f>
        <v>49916.0953123</v>
      </c>
      <c r="H34" s="57">
        <f t="shared" si="15"/>
        <v>39.762295999999999</v>
      </c>
      <c r="I34" s="57">
        <f t="shared" si="16"/>
        <v>12031.445312299998</v>
      </c>
      <c r="J34" s="6">
        <f t="shared" si="17"/>
        <v>0.31758100740801348</v>
      </c>
      <c r="K34" s="1">
        <v>45663</v>
      </c>
      <c r="L34" s="1">
        <v>45709</v>
      </c>
      <c r="M34">
        <f t="shared" si="13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4"/>
        <v>242.26930551548847</v>
      </c>
      <c r="F35" s="3">
        <v>61221.72</v>
      </c>
      <c r="G35" s="56">
        <f>252.7011*226.6146532</f>
        <v>57265.772139758519</v>
      </c>
      <c r="H35" s="57">
        <f t="shared" si="15"/>
        <v>226.61465319999999</v>
      </c>
      <c r="I35" s="57">
        <f t="shared" si="16"/>
        <v>-3955.947860241482</v>
      </c>
      <c r="J35" s="6">
        <f t="shared" si="17"/>
        <v>-6.4616738311852093E-2</v>
      </c>
      <c r="K35" s="1">
        <v>45699</v>
      </c>
      <c r="L35" s="1">
        <v>45709</v>
      </c>
      <c r="M35">
        <f t="shared" si="13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4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5"/>
        <v>283.93999450000007</v>
      </c>
      <c r="I36" s="57">
        <f t="shared" si="16"/>
        <v>19563.525282954361</v>
      </c>
      <c r="J36" s="6">
        <f t="shared" si="17"/>
        <v>0.36434300703793465</v>
      </c>
      <c r="K36" s="1">
        <v>45580</v>
      </c>
      <c r="L36" s="1">
        <v>45712</v>
      </c>
      <c r="M36">
        <f t="shared" si="13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4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5"/>
        <v>63.365330900000004</v>
      </c>
      <c r="I37" s="57">
        <f t="shared" si="16"/>
        <v>-4549.5912833559851</v>
      </c>
      <c r="J37" s="6">
        <f t="shared" si="17"/>
        <v>-5.9638082078758516E-2</v>
      </c>
      <c r="K37" s="1">
        <v>45673</v>
      </c>
      <c r="L37" s="1">
        <v>45712</v>
      </c>
      <c r="M37">
        <f t="shared" si="13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5"/>
        <v>50.021380499999999</v>
      </c>
      <c r="I38" s="57">
        <f t="shared" si="16"/>
        <v>6027.2875116823998</v>
      </c>
      <c r="J38" s="6">
        <f t="shared" si="17"/>
        <v>9.9771440635884723E-2</v>
      </c>
      <c r="K38" s="1">
        <v>45593</v>
      </c>
      <c r="L38" s="1">
        <v>45713</v>
      </c>
      <c r="M38">
        <f t="shared" si="13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5"/>
        <v>12.519992000000002</v>
      </c>
      <c r="I39" s="57">
        <f t="shared" si="16"/>
        <v>-2230.6527810991975</v>
      </c>
      <c r="J39" s="6">
        <f t="shared" si="17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5"/>
        <v>94.679995300000002</v>
      </c>
      <c r="I40" s="57">
        <f t="shared" si="16"/>
        <v>-4750.690604140058</v>
      </c>
      <c r="J40" s="6">
        <f t="shared" si="17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57" si="18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5"/>
        <v>18.9477051</v>
      </c>
      <c r="I41" s="57">
        <f t="shared" si="16"/>
        <v>-2244.5195874142191</v>
      </c>
      <c r="J41" s="6">
        <f t="shared" si="17"/>
        <v>-8.2776138273503941E-2</v>
      </c>
      <c r="K41" s="1">
        <v>45761</v>
      </c>
      <c r="L41" s="1">
        <v>45768</v>
      </c>
      <c r="M41">
        <f t="shared" ref="M41:M57" si="19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8"/>
        <v>96.336406065231671</v>
      </c>
      <c r="F42" s="3">
        <v>34004.42</v>
      </c>
      <c r="G42" s="56">
        <f>352.9758*89.7849585</f>
        <v>31691.9175545043</v>
      </c>
      <c r="H42" s="57">
        <f t="shared" si="15"/>
        <v>89.784958500000002</v>
      </c>
      <c r="I42" s="57">
        <f t="shared" si="16"/>
        <v>-2312.5024454956983</v>
      </c>
      <c r="J42" s="6">
        <f t="shared" si="17"/>
        <v>-6.8005937036882222E-2</v>
      </c>
      <c r="K42" s="1">
        <v>45762</v>
      </c>
      <c r="L42" s="1">
        <v>45768</v>
      </c>
      <c r="M42">
        <f t="shared" si="19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8"/>
        <v>16.992624876012847</v>
      </c>
      <c r="F43" s="3">
        <v>37971.83</v>
      </c>
      <c r="G43" s="56">
        <f>2234.6065*13.3067232</f>
        <v>29735.2901564208</v>
      </c>
      <c r="H43" s="57">
        <f t="shared" si="15"/>
        <v>13.3067232</v>
      </c>
      <c r="I43" s="57">
        <f t="shared" si="16"/>
        <v>-8236.5398435792013</v>
      </c>
      <c r="J43" s="6">
        <f t="shared" si="17"/>
        <v>-0.21691184869360261</v>
      </c>
      <c r="K43" s="1">
        <v>45652</v>
      </c>
      <c r="L43" s="1">
        <v>45785</v>
      </c>
      <c r="M43">
        <f t="shared" si="19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8"/>
        <v>38.101812248436303</v>
      </c>
      <c r="F44" s="3">
        <v>21940.86</v>
      </c>
      <c r="G44" s="56">
        <f>575.8482*32.7857042</f>
        <v>18879.588749302438</v>
      </c>
      <c r="H44" s="57">
        <f t="shared" si="15"/>
        <v>32.785704199999998</v>
      </c>
      <c r="I44" s="57">
        <f t="shared" si="16"/>
        <v>-3061.2712506975622</v>
      </c>
      <c r="J44" s="6">
        <f t="shared" si="17"/>
        <v>-0.13952375844417958</v>
      </c>
      <c r="K44" s="1">
        <v>45761</v>
      </c>
      <c r="L44" s="1">
        <v>45790</v>
      </c>
      <c r="M44">
        <f t="shared" si="19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8"/>
        <v>24.570291674143743</v>
      </c>
      <c r="F45" s="3">
        <v>23591.34</v>
      </c>
      <c r="G45" s="56">
        <v>19396.37</v>
      </c>
      <c r="H45" s="57">
        <f t="shared" si="15"/>
        <v>20.201246233559068</v>
      </c>
      <c r="I45" s="57">
        <f t="shared" si="16"/>
        <v>-4194.9700000000012</v>
      </c>
      <c r="J45" s="6">
        <f t="shared" si="17"/>
        <v>-0.17781821634548953</v>
      </c>
      <c r="K45" s="1">
        <v>45776</v>
      </c>
      <c r="L45" s="1">
        <v>45812</v>
      </c>
      <c r="M45">
        <f t="shared" si="19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8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5"/>
        <v>84.038907800000004</v>
      </c>
      <c r="I46" s="57">
        <f t="shared" si="16"/>
        <v>-3907.8121523372101</v>
      </c>
      <c r="J46" s="6">
        <f t="shared" si="17"/>
        <v>-0.14246372001691271</v>
      </c>
      <c r="K46" s="1">
        <v>45782</v>
      </c>
      <c r="L46" s="1">
        <v>45818</v>
      </c>
      <c r="M46">
        <f t="shared" si="19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8"/>
        <v>40.437100849618155</v>
      </c>
      <c r="F47" s="3">
        <f>22877.09+14244.67</f>
        <v>37121.760000000002</v>
      </c>
      <c r="G47" s="56">
        <v>34659.56</v>
      </c>
      <c r="H47" s="57">
        <f t="shared" si="15"/>
        <v>37.755002002151599</v>
      </c>
      <c r="I47" s="57">
        <f t="shared" si="16"/>
        <v>-2462.2000000000044</v>
      </c>
      <c r="J47" s="6">
        <f t="shared" si="17"/>
        <v>-6.6327674118899643E-2</v>
      </c>
      <c r="K47" s="1">
        <v>45782</v>
      </c>
      <c r="L47" s="1">
        <v>45828</v>
      </c>
      <c r="M47">
        <f t="shared" si="19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18"/>
        <v>123.70183817297092</v>
      </c>
      <c r="F48" s="3">
        <f>22876.67+14197.82+14808.77</f>
        <v>51883.259999999995</v>
      </c>
      <c r="G48" s="56">
        <v>55156.07</v>
      </c>
      <c r="H48" s="57">
        <f t="shared" si="15"/>
        <v>131.50498340692272</v>
      </c>
      <c r="I48" s="57">
        <f t="shared" si="16"/>
        <v>3272.8100000000049</v>
      </c>
      <c r="J48" s="6">
        <f t="shared" si="17"/>
        <v>6.3080269050171583E-2</v>
      </c>
      <c r="K48" s="1">
        <v>45782</v>
      </c>
      <c r="L48" s="1">
        <v>45839</v>
      </c>
      <c r="M48">
        <f t="shared" si="19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18"/>
        <v>63.194998844628557</v>
      </c>
      <c r="F49" s="3">
        <v>36072.47</v>
      </c>
      <c r="G49" s="56">
        <v>51786.91</v>
      </c>
      <c r="H49" s="57">
        <f t="shared" si="15"/>
        <v>90.724968864535285</v>
      </c>
      <c r="I49" s="57">
        <f t="shared" si="16"/>
        <v>15714.440000000002</v>
      </c>
      <c r="J49" s="6">
        <f t="shared" si="17"/>
        <v>0.43563526423336141</v>
      </c>
      <c r="K49" s="1">
        <v>45796</v>
      </c>
      <c r="L49" s="1">
        <v>45839</v>
      </c>
      <c r="M49">
        <f t="shared" si="19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18"/>
        <v>90.254808370121239</v>
      </c>
      <c r="F50" s="3">
        <f>35895.15+19479.74</f>
        <v>55374.89</v>
      </c>
      <c r="G50" s="56">
        <v>55236.959999999999</v>
      </c>
      <c r="H50" s="57">
        <f t="shared" si="15"/>
        <v>90.029998068584007</v>
      </c>
      <c r="I50" s="57">
        <f t="shared" si="16"/>
        <v>-137.93000000000029</v>
      </c>
      <c r="J50" s="6">
        <f t="shared" si="17"/>
        <v>-2.4908401623912986E-3</v>
      </c>
      <c r="K50" s="1">
        <v>45789</v>
      </c>
      <c r="L50" s="1">
        <v>45855</v>
      </c>
      <c r="M50">
        <f t="shared" si="19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18"/>
        <v>113.05354718581073</v>
      </c>
      <c r="F51" s="3">
        <v>45409.8</v>
      </c>
      <c r="G51" s="56">
        <v>41051.0026</v>
      </c>
      <c r="H51" s="57">
        <f t="shared" si="15"/>
        <v>102.2017595202784</v>
      </c>
      <c r="I51" s="57">
        <f t="shared" si="16"/>
        <v>-4358.7974000000031</v>
      </c>
      <c r="J51" s="6">
        <f t="shared" si="17"/>
        <v>-9.5988033420098803E-2</v>
      </c>
      <c r="K51" s="1">
        <v>45855</v>
      </c>
      <c r="L51" s="1">
        <v>45860</v>
      </c>
      <c r="M51">
        <f t="shared" si="19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18"/>
        <v>17.339829156069133</v>
      </c>
      <c r="F52" s="3">
        <v>22797.23</v>
      </c>
      <c r="G52" s="56">
        <v>18655.11</v>
      </c>
      <c r="H52" s="57">
        <f t="shared" si="15"/>
        <v>14.189286167121043</v>
      </c>
      <c r="I52" s="57">
        <f t="shared" si="16"/>
        <v>-4142.119999999999</v>
      </c>
      <c r="J52" s="6">
        <f t="shared" si="17"/>
        <v>-0.18169400405224664</v>
      </c>
      <c r="K52" s="1">
        <v>45861</v>
      </c>
      <c r="L52" s="1">
        <v>45870</v>
      </c>
      <c r="M52">
        <f t="shared" si="19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18"/>
        <v>74.757798491837917</v>
      </c>
      <c r="F53" s="3">
        <f>26856.13+12527.28</f>
        <v>39383.410000000003</v>
      </c>
      <c r="G53" s="56">
        <v>67176.488400000002</v>
      </c>
      <c r="H53" s="57">
        <f t="shared" si="15"/>
        <v>127.51476784759082</v>
      </c>
      <c r="I53" s="57">
        <f t="shared" si="16"/>
        <v>27793.078399999999</v>
      </c>
      <c r="J53" s="6">
        <f t="shared" si="17"/>
        <v>0.7057052296893539</v>
      </c>
      <c r="K53" s="1">
        <v>45789</v>
      </c>
      <c r="L53" s="1">
        <v>45870</v>
      </c>
      <c r="M53">
        <f t="shared" si="19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18"/>
        <v>22.651928580010882</v>
      </c>
      <c r="F54" s="3">
        <f>18821.97+11334.33+20180.34</f>
        <v>50336.639999999999</v>
      </c>
      <c r="G54" s="56">
        <v>42713.83</v>
      </c>
      <c r="H54" s="57">
        <f t="shared" si="15"/>
        <v>19.221597360068653</v>
      </c>
      <c r="I54" s="57">
        <f t="shared" si="16"/>
        <v>-7622.8099999999977</v>
      </c>
      <c r="J54" s="6">
        <f t="shared" si="17"/>
        <v>-0.15143660760829483</v>
      </c>
      <c r="K54" s="1">
        <v>45814</v>
      </c>
      <c r="L54" s="1">
        <v>45880</v>
      </c>
      <c r="M54">
        <f t="shared" si="19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18"/>
        <v>30.926801697408081</v>
      </c>
      <c r="F55" s="3">
        <f>(605.0016*29.7738017)+17708.65</f>
        <v>35721.847666582718</v>
      </c>
      <c r="G55" s="56">
        <v>42554.27</v>
      </c>
      <c r="H55" s="57">
        <f t="shared" si="15"/>
        <v>36.842088403482109</v>
      </c>
      <c r="I55" s="57">
        <f t="shared" si="16"/>
        <v>6832.4223334172784</v>
      </c>
      <c r="J55" s="6">
        <f t="shared" si="17"/>
        <v>0.1912673274123195</v>
      </c>
      <c r="K55" s="1">
        <v>45800</v>
      </c>
      <c r="L55" s="1">
        <v>45881</v>
      </c>
      <c r="M55">
        <f t="shared" si="19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18"/>
        <v>377.42204050678822</v>
      </c>
      <c r="F56" s="3">
        <f>34962.9+15401.92</f>
        <v>50364.82</v>
      </c>
      <c r="G56" s="56">
        <v>81517.961800000005</v>
      </c>
      <c r="H56" s="57">
        <f t="shared" si="15"/>
        <v>610.87631168959638</v>
      </c>
      <c r="I56" s="57">
        <f t="shared" si="16"/>
        <v>31153.141800000005</v>
      </c>
      <c r="J56" s="6">
        <f t="shared" si="17"/>
        <v>0.61854965033132259</v>
      </c>
      <c r="K56" s="1">
        <v>45771</v>
      </c>
      <c r="L56" s="1">
        <v>45884</v>
      </c>
      <c r="M56">
        <f t="shared" si="19"/>
        <v>111</v>
      </c>
    </row>
    <row r="57" spans="1:13" x14ac:dyDescent="0.25">
      <c r="A57" t="s">
        <v>138</v>
      </c>
      <c r="B57" t="s">
        <v>30</v>
      </c>
      <c r="C57" s="25" t="s">
        <v>139</v>
      </c>
      <c r="D57" s="2">
        <v>345.54309999999998</v>
      </c>
      <c r="E57" s="57">
        <f t="shared" si="18"/>
        <v>133.9832570813887</v>
      </c>
      <c r="F57" s="3">
        <v>46296.99</v>
      </c>
      <c r="G57" s="56">
        <v>42812.79</v>
      </c>
      <c r="H57" s="57">
        <f t="shared" si="15"/>
        <v>123.89999973954046</v>
      </c>
      <c r="I57" s="57">
        <f t="shared" si="16"/>
        <v>-3484.1999999999971</v>
      </c>
      <c r="J57" s="6">
        <f t="shared" si="17"/>
        <v>-7.525759234023631E-2</v>
      </c>
      <c r="K57" s="1">
        <v>45897</v>
      </c>
      <c r="L57" s="1">
        <v>45904</v>
      </c>
      <c r="M57">
        <f t="shared" si="19"/>
        <v>6</v>
      </c>
    </row>
    <row r="58" spans="1:13" x14ac:dyDescent="0.25">
      <c r="C58" s="25"/>
      <c r="D58" s="2"/>
      <c r="E58" s="57"/>
      <c r="F58" s="3"/>
      <c r="G58" s="56"/>
      <c r="H58" s="57"/>
      <c r="I58" s="57"/>
      <c r="J58" s="6"/>
      <c r="K58" s="1"/>
      <c r="L58" s="1"/>
    </row>
    <row r="59" spans="1:13" x14ac:dyDescent="0.25">
      <c r="C59" s="25"/>
      <c r="D59" s="2"/>
      <c r="E59" s="57"/>
      <c r="F59" s="3"/>
      <c r="G59" s="56"/>
      <c r="H59" s="57"/>
      <c r="I59" s="57"/>
      <c r="J59" s="6"/>
      <c r="K59" s="1"/>
      <c r="L59" s="1"/>
    </row>
    <row r="60" spans="1:13" x14ac:dyDescent="0.25">
      <c r="F60" s="56"/>
      <c r="G60" s="56"/>
      <c r="H60" s="3"/>
      <c r="I60" s="3">
        <f>SUM(I26:I59)</f>
        <v>40298.48326708276</v>
      </c>
      <c r="J60" s="13" t="s">
        <v>66</v>
      </c>
    </row>
    <row r="61" spans="1:13" x14ac:dyDescent="0.25">
      <c r="F61" s="56"/>
      <c r="G61" s="56"/>
      <c r="H61" s="3" t="s">
        <v>67</v>
      </c>
      <c r="I61" s="59">
        <v>22</v>
      </c>
      <c r="J61" s="5">
        <v>-0.1082</v>
      </c>
    </row>
    <row r="62" spans="1:13" x14ac:dyDescent="0.25">
      <c r="F62" s="56"/>
      <c r="G62" s="56"/>
      <c r="H62" s="3" t="s">
        <v>68</v>
      </c>
      <c r="I62" s="59">
        <v>10</v>
      </c>
      <c r="J62" s="5">
        <v>0.3392</v>
      </c>
    </row>
    <row r="63" spans="1:13" x14ac:dyDescent="0.25">
      <c r="F63" s="56"/>
      <c r="G63" s="56"/>
      <c r="J63" s="6"/>
    </row>
    <row r="64" spans="1:13" x14ac:dyDescent="0.25">
      <c r="F64" s="56"/>
      <c r="G64" s="56"/>
      <c r="J64" s="6"/>
    </row>
    <row r="65" spans="6:10" x14ac:dyDescent="0.25">
      <c r="F65" s="56"/>
      <c r="G65" s="56"/>
      <c r="J65" s="6"/>
    </row>
    <row r="66" spans="6:10" x14ac:dyDescent="0.25">
      <c r="F66" s="56"/>
      <c r="G66" s="56"/>
      <c r="J66" s="6"/>
    </row>
    <row r="67" spans="6:10" x14ac:dyDescent="0.25">
      <c r="F67" s="56"/>
      <c r="G67" s="56"/>
      <c r="J67" s="6"/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  <c r="J77" s="6"/>
    </row>
    <row r="78" spans="6:10" x14ac:dyDescent="0.25">
      <c r="F78" s="56"/>
      <c r="G78" s="56"/>
      <c r="J78" s="6"/>
    </row>
    <row r="79" spans="6:10" x14ac:dyDescent="0.25">
      <c r="F79" s="56"/>
      <c r="G79" s="56"/>
      <c r="J79" s="6"/>
    </row>
    <row r="80" spans="6:10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</row>
    <row r="87" spans="6:10" x14ac:dyDescent="0.25">
      <c r="F87" s="56"/>
      <c r="G87" s="56"/>
    </row>
    <row r="88" spans="6:10" x14ac:dyDescent="0.25">
      <c r="F88" s="56"/>
      <c r="G88" s="56"/>
    </row>
    <row r="89" spans="6:10" x14ac:dyDescent="0.25">
      <c r="F89" s="56"/>
      <c r="G89" s="56"/>
    </row>
    <row r="90" spans="6:10" x14ac:dyDescent="0.25">
      <c r="F90" s="56"/>
      <c r="G90" s="56"/>
    </row>
    <row r="91" spans="6:10" x14ac:dyDescent="0.25">
      <c r="F91" s="56"/>
      <c r="G91" s="56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6FE9-F223-4EC6-997F-4506F3BD3DD1}">
  <dimension ref="A1:AC96"/>
  <sheetViews>
    <sheetView workbookViewId="0">
      <selection activeCell="M21" sqref="M21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9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45940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124</v>
      </c>
      <c r="B7" t="s">
        <v>30</v>
      </c>
      <c r="C7" s="25" t="s">
        <v>125</v>
      </c>
      <c r="D7" s="2">
        <f>915.359+608.2121</f>
        <v>1523.5711000000001</v>
      </c>
      <c r="E7" s="26">
        <v>64.2</v>
      </c>
      <c r="F7" s="3">
        <f t="shared" ref="F7:F14" si="0">E7*D7</f>
        <v>97813.264620000016</v>
      </c>
      <c r="G7" s="3">
        <f>28630.6+20162.2481</f>
        <v>48792.848100000003</v>
      </c>
      <c r="H7" s="4">
        <f t="shared" ref="H7:H14" si="1">G7/D7</f>
        <v>32.025317426932027</v>
      </c>
      <c r="I7" s="3">
        <f t="shared" ref="I7:I14" si="2">F7-G7</f>
        <v>49020.416520000013</v>
      </c>
      <c r="J7" s="26">
        <f t="shared" ref="J7:J14" si="3">E7-H7</f>
        <v>32.174682573067976</v>
      </c>
      <c r="K7" s="27">
        <v>45817</v>
      </c>
      <c r="L7">
        <f t="shared" ref="L7:L14" si="4">DAYS360(K7,$C$1)</f>
        <v>121</v>
      </c>
      <c r="M7" s="5">
        <f t="shared" ref="M7:M14" si="5">(I7/G7)</f>
        <v>1.0046639708248555</v>
      </c>
      <c r="N7">
        <v>30</v>
      </c>
      <c r="O7">
        <v>98</v>
      </c>
      <c r="P7" s="63">
        <v>8</v>
      </c>
      <c r="Q7" s="28">
        <v>50.92</v>
      </c>
      <c r="R7" s="29">
        <f t="shared" ref="R7:R14" si="6">Q7*0.93</f>
        <v>47.355600000000003</v>
      </c>
      <c r="S7" s="29">
        <v>26.45</v>
      </c>
      <c r="T7" s="28">
        <f t="shared" ref="T7:T14" si="7">Q7*1.25</f>
        <v>63.650000000000006</v>
      </c>
      <c r="U7" s="28">
        <f t="shared" ref="U7:U14" si="8">Q7*1.5</f>
        <v>76.38</v>
      </c>
      <c r="V7" s="28">
        <f t="shared" ref="V7:V14" si="9">Q7*2</f>
        <v>101.84</v>
      </c>
      <c r="W7" s="28">
        <f t="shared" ref="W7:W14" si="10">H7-(H7*0.07)</f>
        <v>29.783545207046785</v>
      </c>
      <c r="X7" s="29">
        <v>52</v>
      </c>
      <c r="Y7" s="5">
        <f t="shared" ref="Y7:Y14" si="11">(X7-H7)/H7</f>
        <v>0.62371536577714148</v>
      </c>
      <c r="Z7" s="6">
        <f t="shared" ref="Z7:Z14" si="12">F7/F$20</f>
        <v>0.1422522236584656</v>
      </c>
      <c r="AB7" s="58">
        <v>45979</v>
      </c>
      <c r="AC7" s="63">
        <v>81</v>
      </c>
    </row>
    <row r="8" spans="1:29" x14ac:dyDescent="0.25">
      <c r="A8" t="s">
        <v>126</v>
      </c>
      <c r="B8" t="s">
        <v>30</v>
      </c>
      <c r="C8" s="25" t="s">
        <v>127</v>
      </c>
      <c r="D8" s="2">
        <f>344.4515+240</f>
        <v>584.45150000000001</v>
      </c>
      <c r="E8" s="26">
        <v>138.83000000000001</v>
      </c>
      <c r="F8" s="3">
        <f t="shared" si="0"/>
        <v>81139.40174500001</v>
      </c>
      <c r="G8" s="3">
        <f>30563.18+23352</f>
        <v>53915.18</v>
      </c>
      <c r="H8" s="4">
        <f t="shared" si="1"/>
        <v>92.249194330068448</v>
      </c>
      <c r="I8" s="3">
        <f t="shared" si="2"/>
        <v>27224.22174500001</v>
      </c>
      <c r="J8" s="26">
        <f t="shared" si="3"/>
        <v>46.580805669931564</v>
      </c>
      <c r="K8" s="27">
        <v>45840</v>
      </c>
      <c r="L8">
        <f t="shared" si="4"/>
        <v>98</v>
      </c>
      <c r="M8" s="5">
        <f t="shared" si="5"/>
        <v>0.50494539283741624</v>
      </c>
      <c r="N8">
        <v>10</v>
      </c>
      <c r="O8">
        <v>97</v>
      </c>
      <c r="P8" s="63">
        <v>80</v>
      </c>
      <c r="Q8" s="28">
        <v>80.989999999999995</v>
      </c>
      <c r="R8" s="29">
        <f t="shared" si="6"/>
        <v>75.320700000000002</v>
      </c>
      <c r="S8" s="29">
        <v>81.72</v>
      </c>
      <c r="T8" s="31">
        <f t="shared" si="7"/>
        <v>101.2375</v>
      </c>
      <c r="U8" s="28">
        <f t="shared" si="8"/>
        <v>121.48499999999999</v>
      </c>
      <c r="V8" s="28">
        <f t="shared" si="9"/>
        <v>161.97999999999999</v>
      </c>
      <c r="W8" s="28">
        <f t="shared" si="10"/>
        <v>85.791750726963656</v>
      </c>
      <c r="X8" s="29">
        <v>130</v>
      </c>
      <c r="Y8" s="5">
        <f t="shared" si="11"/>
        <v>0.40922639968928975</v>
      </c>
      <c r="Z8" s="6">
        <f t="shared" si="12"/>
        <v>0.11800301696692141</v>
      </c>
      <c r="AB8" s="58">
        <v>45987</v>
      </c>
      <c r="AC8" s="9">
        <v>99</v>
      </c>
    </row>
    <row r="9" spans="1:29" x14ac:dyDescent="0.25">
      <c r="A9" t="s">
        <v>128</v>
      </c>
      <c r="B9" t="s">
        <v>30</v>
      </c>
      <c r="C9" s="25" t="s">
        <v>129</v>
      </c>
      <c r="D9" s="2">
        <f>786.7766+525.5828</f>
        <v>1312.3594000000001</v>
      </c>
      <c r="E9" s="26">
        <v>56.24</v>
      </c>
      <c r="F9" s="3">
        <f t="shared" si="0"/>
        <v>73807.092656000008</v>
      </c>
      <c r="G9" s="3">
        <f>30514.1+21675.87</f>
        <v>52189.97</v>
      </c>
      <c r="H9" s="4">
        <f t="shared" si="1"/>
        <v>39.768046771334134</v>
      </c>
      <c r="I9" s="3">
        <f t="shared" si="2"/>
        <v>21617.122656000007</v>
      </c>
      <c r="J9" s="26">
        <f t="shared" si="3"/>
        <v>16.471953228665868</v>
      </c>
      <c r="K9" s="27">
        <v>45840</v>
      </c>
      <c r="L9">
        <f t="shared" si="4"/>
        <v>98</v>
      </c>
      <c r="M9" s="5">
        <f t="shared" si="5"/>
        <v>0.41420071051966512</v>
      </c>
      <c r="N9">
        <v>20</v>
      </c>
      <c r="O9">
        <v>96</v>
      </c>
      <c r="P9" s="64">
        <v>80</v>
      </c>
      <c r="Q9" s="28">
        <v>58.42</v>
      </c>
      <c r="R9" s="29">
        <f t="shared" si="6"/>
        <v>54.330600000000004</v>
      </c>
      <c r="S9" s="29">
        <v>34.869999999999997</v>
      </c>
      <c r="T9" s="31">
        <f t="shared" si="7"/>
        <v>73.025000000000006</v>
      </c>
      <c r="U9" s="28">
        <f t="shared" si="8"/>
        <v>87.63</v>
      </c>
      <c r="V9" s="28">
        <f t="shared" si="9"/>
        <v>116.84</v>
      </c>
      <c r="W9" s="28">
        <f t="shared" si="10"/>
        <v>36.984283497340748</v>
      </c>
      <c r="X9" s="29">
        <v>50</v>
      </c>
      <c r="Y9" s="5">
        <f t="shared" si="11"/>
        <v>0.25729081660709896</v>
      </c>
      <c r="Z9" s="6">
        <f t="shared" si="12"/>
        <v>0.10733946047983778</v>
      </c>
      <c r="AB9" s="58">
        <v>45959</v>
      </c>
      <c r="AC9" s="9">
        <v>98</v>
      </c>
    </row>
    <row r="10" spans="1:29" x14ac:dyDescent="0.25">
      <c r="A10" t="s">
        <v>69</v>
      </c>
      <c r="B10" t="s">
        <v>30</v>
      </c>
      <c r="C10" s="25" t="s">
        <v>70</v>
      </c>
      <c r="D10" s="2">
        <v>682.05550000000005</v>
      </c>
      <c r="E10" s="26">
        <v>147.16</v>
      </c>
      <c r="F10" s="3">
        <f t="shared" si="0"/>
        <v>100371.28738000001</v>
      </c>
      <c r="G10" s="3">
        <v>43555.21</v>
      </c>
      <c r="H10" s="4">
        <f t="shared" si="1"/>
        <v>63.85874756526411</v>
      </c>
      <c r="I10" s="3">
        <f t="shared" si="2"/>
        <v>56816.07738000001</v>
      </c>
      <c r="J10" s="26">
        <f t="shared" si="3"/>
        <v>83.301252434735886</v>
      </c>
      <c r="K10" s="27">
        <v>45854</v>
      </c>
      <c r="L10">
        <f t="shared" si="4"/>
        <v>84</v>
      </c>
      <c r="M10" s="5">
        <f t="shared" si="5"/>
        <v>1.304461105341933</v>
      </c>
      <c r="N10">
        <v>4</v>
      </c>
      <c r="O10">
        <v>99</v>
      </c>
      <c r="P10" s="63">
        <v>46</v>
      </c>
      <c r="Q10" s="28">
        <v>58.69</v>
      </c>
      <c r="R10" s="29">
        <f t="shared" si="6"/>
        <v>54.581699999999998</v>
      </c>
      <c r="S10" s="29">
        <v>50.08</v>
      </c>
      <c r="T10" s="31">
        <f t="shared" si="7"/>
        <v>73.362499999999997</v>
      </c>
      <c r="U10" s="28">
        <f t="shared" si="8"/>
        <v>88.034999999999997</v>
      </c>
      <c r="V10" s="28">
        <f t="shared" si="9"/>
        <v>117.38</v>
      </c>
      <c r="W10" s="28">
        <f t="shared" si="10"/>
        <v>59.388635235695624</v>
      </c>
      <c r="X10" s="29">
        <v>105</v>
      </c>
      <c r="Y10" s="5">
        <f t="shared" si="11"/>
        <v>0.64425398247419785</v>
      </c>
      <c r="Z10" s="32">
        <f t="shared" si="12"/>
        <v>0.14597241873827035</v>
      </c>
      <c r="AB10" s="58">
        <v>45974</v>
      </c>
      <c r="AC10" s="9">
        <v>94</v>
      </c>
    </row>
    <row r="11" spans="1:29" x14ac:dyDescent="0.25">
      <c r="A11" t="s">
        <v>134</v>
      </c>
      <c r="B11" t="s">
        <v>30</v>
      </c>
      <c r="C11" s="25" t="s">
        <v>135</v>
      </c>
      <c r="D11" s="2">
        <v>148.3219</v>
      </c>
      <c r="E11" s="26">
        <v>569.89</v>
      </c>
      <c r="F11" s="3">
        <f t="shared" si="0"/>
        <v>84527.167591000005</v>
      </c>
      <c r="G11" s="3">
        <v>68650.22</v>
      </c>
      <c r="H11" s="4">
        <f t="shared" si="1"/>
        <v>462.8461474670969</v>
      </c>
      <c r="I11" s="3">
        <f t="shared" si="2"/>
        <v>15876.947591000004</v>
      </c>
      <c r="J11" s="26">
        <f t="shared" si="3"/>
        <v>107.04385253290309</v>
      </c>
      <c r="K11" s="27">
        <v>45895</v>
      </c>
      <c r="L11">
        <f t="shared" si="4"/>
        <v>44</v>
      </c>
      <c r="M11" s="5">
        <f t="shared" si="5"/>
        <v>0.23127307663398608</v>
      </c>
      <c r="N11">
        <v>47</v>
      </c>
      <c r="O11">
        <v>97</v>
      </c>
      <c r="P11" s="33">
        <v>81</v>
      </c>
      <c r="Q11" s="28">
        <v>473.7</v>
      </c>
      <c r="R11" s="29">
        <f t="shared" si="6"/>
        <v>440.541</v>
      </c>
      <c r="S11" s="29">
        <v>385.19</v>
      </c>
      <c r="T11" s="28">
        <f t="shared" si="7"/>
        <v>592.125</v>
      </c>
      <c r="U11" s="28">
        <f t="shared" si="8"/>
        <v>710.55</v>
      </c>
      <c r="V11" s="28">
        <f t="shared" si="9"/>
        <v>947.4</v>
      </c>
      <c r="W11" s="28">
        <f t="shared" si="10"/>
        <v>430.44691714440012</v>
      </c>
      <c r="X11" s="29">
        <v>530</v>
      </c>
      <c r="Y11" s="5">
        <f t="shared" si="11"/>
        <v>0.14508893052345645</v>
      </c>
      <c r="Z11" s="32">
        <f t="shared" si="12"/>
        <v>0.1229299277156826</v>
      </c>
      <c r="AB11" s="58">
        <v>45966</v>
      </c>
      <c r="AC11" s="9">
        <v>99</v>
      </c>
    </row>
    <row r="12" spans="1:29" x14ac:dyDescent="0.25">
      <c r="A12" t="s">
        <v>140</v>
      </c>
      <c r="B12" t="s">
        <v>30</v>
      </c>
      <c r="C12" s="25" t="s">
        <v>141</v>
      </c>
      <c r="D12" s="2">
        <f>595.1582+306.9859</f>
        <v>902.14409999999998</v>
      </c>
      <c r="E12" s="26">
        <v>86.65</v>
      </c>
      <c r="F12" s="3">
        <f t="shared" si="0"/>
        <v>78170.786265000002</v>
      </c>
      <c r="G12" s="3">
        <f>46827.05+24871.38</f>
        <v>71698.430000000008</v>
      </c>
      <c r="H12" s="4">
        <f t="shared" si="1"/>
        <v>79.475584887159386</v>
      </c>
      <c r="I12" s="3">
        <f t="shared" si="2"/>
        <v>6472.3562649999949</v>
      </c>
      <c r="J12" s="26">
        <f t="shared" si="3"/>
        <v>7.1744151128406202</v>
      </c>
      <c r="K12" s="27">
        <v>45897</v>
      </c>
      <c r="L12">
        <f t="shared" si="4"/>
        <v>42</v>
      </c>
      <c r="M12" s="5">
        <f t="shared" si="5"/>
        <v>9.0271938520829459E-2</v>
      </c>
      <c r="N12">
        <v>3</v>
      </c>
      <c r="O12">
        <v>92</v>
      </c>
      <c r="P12" s="63">
        <v>99</v>
      </c>
      <c r="Q12" s="28">
        <v>78.959999999999994</v>
      </c>
      <c r="R12" s="29">
        <f t="shared" si="6"/>
        <v>73.4328</v>
      </c>
      <c r="S12" s="29">
        <v>68.959999999999994</v>
      </c>
      <c r="T12" s="28">
        <f t="shared" si="7"/>
        <v>98.699999999999989</v>
      </c>
      <c r="U12" s="28">
        <f t="shared" si="8"/>
        <v>118.44</v>
      </c>
      <c r="V12" s="28">
        <f t="shared" si="9"/>
        <v>157.91999999999999</v>
      </c>
      <c r="W12" s="28">
        <f t="shared" si="10"/>
        <v>73.912293945058224</v>
      </c>
      <c r="X12" s="29">
        <v>79</v>
      </c>
      <c r="Y12" s="5">
        <f t="shared" si="11"/>
        <v>-5.9840375863182129E-3</v>
      </c>
      <c r="Z12" s="6">
        <f t="shared" si="12"/>
        <v>0.11368568684960521</v>
      </c>
      <c r="AB12" s="58">
        <v>45966</v>
      </c>
      <c r="AC12" s="9">
        <v>99</v>
      </c>
    </row>
    <row r="13" spans="1:29" x14ac:dyDescent="0.25">
      <c r="A13" t="s">
        <v>142</v>
      </c>
      <c r="B13" t="s">
        <v>30</v>
      </c>
      <c r="C13" s="25" t="s">
        <v>143</v>
      </c>
      <c r="D13" s="2">
        <v>502.0591</v>
      </c>
      <c r="E13" s="26">
        <v>154.1</v>
      </c>
      <c r="F13" s="3">
        <f t="shared" si="0"/>
        <v>77367.307310000004</v>
      </c>
      <c r="G13" s="3">
        <v>71038.880000000005</v>
      </c>
      <c r="H13" s="4">
        <f t="shared" si="1"/>
        <v>141.49505506423449</v>
      </c>
      <c r="I13" s="3">
        <f t="shared" si="2"/>
        <v>6328.4273099999991</v>
      </c>
      <c r="J13" s="26">
        <f t="shared" si="3"/>
        <v>12.604944935765502</v>
      </c>
      <c r="K13" s="27">
        <v>45909</v>
      </c>
      <c r="L13">
        <f t="shared" si="4"/>
        <v>31</v>
      </c>
      <c r="M13" s="5">
        <f t="shared" si="5"/>
        <v>8.9083996115929737E-2</v>
      </c>
      <c r="N13">
        <v>17</v>
      </c>
      <c r="O13">
        <v>92</v>
      </c>
      <c r="P13" s="63">
        <v>99</v>
      </c>
      <c r="Q13" s="28">
        <v>125.81</v>
      </c>
      <c r="R13" s="29">
        <f t="shared" si="6"/>
        <v>117.00330000000001</v>
      </c>
      <c r="S13" s="29">
        <v>127.58</v>
      </c>
      <c r="T13" s="28">
        <f t="shared" si="7"/>
        <v>157.26249999999999</v>
      </c>
      <c r="U13" s="28">
        <f t="shared" si="8"/>
        <v>188.715</v>
      </c>
      <c r="V13" s="28">
        <f t="shared" si="9"/>
        <v>251.62</v>
      </c>
      <c r="W13" s="28">
        <f t="shared" si="10"/>
        <v>131.59040120973808</v>
      </c>
      <c r="X13" s="29">
        <v>134</v>
      </c>
      <c r="Y13" s="5">
        <f t="shared" si="11"/>
        <v>-5.297043816006123E-2</v>
      </c>
      <c r="Z13" s="6">
        <f t="shared" si="12"/>
        <v>0.11251716774889257</v>
      </c>
      <c r="AB13" s="58">
        <v>45965</v>
      </c>
      <c r="AC13" s="9">
        <v>99</v>
      </c>
    </row>
    <row r="14" spans="1:29" x14ac:dyDescent="0.25">
      <c r="A14" t="s">
        <v>138</v>
      </c>
      <c r="B14" t="s">
        <v>30</v>
      </c>
      <c r="C14" s="25" t="s">
        <v>139</v>
      </c>
      <c r="D14" s="2">
        <v>337.18810000000002</v>
      </c>
      <c r="E14" s="26">
        <v>169.01</v>
      </c>
      <c r="F14" s="3">
        <f t="shared" si="0"/>
        <v>56988.160780999999</v>
      </c>
      <c r="G14" s="3">
        <v>55542.55</v>
      </c>
      <c r="H14" s="4">
        <f t="shared" si="1"/>
        <v>164.72274673987604</v>
      </c>
      <c r="I14" s="3">
        <f t="shared" si="2"/>
        <v>1445.6107809999958</v>
      </c>
      <c r="J14" s="26">
        <f t="shared" si="3"/>
        <v>4.287253260123947</v>
      </c>
      <c r="K14" s="27">
        <v>45938</v>
      </c>
      <c r="L14">
        <f t="shared" si="4"/>
        <v>2</v>
      </c>
      <c r="M14" s="5">
        <f t="shared" si="5"/>
        <v>2.6027086999066404E-2</v>
      </c>
      <c r="N14">
        <v>20</v>
      </c>
      <c r="O14">
        <v>92</v>
      </c>
      <c r="P14" s="63">
        <v>98</v>
      </c>
      <c r="Q14" s="28">
        <v>153.5</v>
      </c>
      <c r="R14" s="29">
        <f t="shared" si="6"/>
        <v>142.755</v>
      </c>
      <c r="S14" s="29">
        <v>118.7</v>
      </c>
      <c r="T14" s="31">
        <f t="shared" si="7"/>
        <v>191.875</v>
      </c>
      <c r="U14" s="28">
        <f t="shared" si="8"/>
        <v>230.25</v>
      </c>
      <c r="V14" s="28">
        <f t="shared" si="9"/>
        <v>307</v>
      </c>
      <c r="W14" s="28">
        <f t="shared" si="10"/>
        <v>153.19215446808471</v>
      </c>
      <c r="X14" s="29">
        <v>153</v>
      </c>
      <c r="Y14" s="5">
        <f t="shared" si="11"/>
        <v>-7.1166532685301584E-2</v>
      </c>
      <c r="Z14" s="6">
        <f t="shared" si="12"/>
        <v>8.2879276392599024E-2</v>
      </c>
      <c r="AB14" s="58">
        <v>45952</v>
      </c>
      <c r="AC14" s="9">
        <v>98</v>
      </c>
    </row>
    <row r="15" spans="1:29" x14ac:dyDescent="0.25">
      <c r="C15" s="25"/>
      <c r="D15" s="2"/>
      <c r="E15" s="26"/>
      <c r="F15" s="3">
        <f t="shared" ref="F15:F17" si="13">E15*D15</f>
        <v>0</v>
      </c>
      <c r="G15" s="3"/>
      <c r="H15" s="4" t="e">
        <f t="shared" ref="H15:H17" si="14">G15/D15</f>
        <v>#DIV/0!</v>
      </c>
      <c r="I15" s="3">
        <f t="shared" ref="I15:I17" si="15">F15-G15</f>
        <v>0</v>
      </c>
      <c r="J15" s="26" t="e">
        <f t="shared" ref="J15:J17" si="16">E15-H15</f>
        <v>#DIV/0!</v>
      </c>
      <c r="K15" s="27"/>
      <c r="L15">
        <f t="shared" ref="L15:L17" si="17">DAYS360(K15,$C$1)</f>
        <v>45280</v>
      </c>
      <c r="M15" s="5" t="e">
        <f t="shared" ref="M15:M17" si="18">(I15/G15)</f>
        <v>#DIV/0!</v>
      </c>
      <c r="P15" s="63"/>
      <c r="Q15" s="28"/>
      <c r="R15" s="29">
        <f t="shared" ref="R15:R17" si="19">Q15*0.93</f>
        <v>0</v>
      </c>
      <c r="S15" s="29"/>
      <c r="T15" s="28">
        <f t="shared" ref="T15:T17" si="20">Q15*1.25</f>
        <v>0</v>
      </c>
      <c r="U15" s="28">
        <f t="shared" ref="U15:U17" si="21">Q15*1.5</f>
        <v>0</v>
      </c>
      <c r="V15" s="28">
        <f t="shared" ref="V15:V17" si="22">Q15*2</f>
        <v>0</v>
      </c>
      <c r="W15" s="28" t="e">
        <f t="shared" ref="W15:W17" si="23">H15-(H15*0.07)</f>
        <v>#DIV/0!</v>
      </c>
      <c r="X15" s="29"/>
      <c r="Y15" s="5" t="e">
        <f t="shared" ref="Y15:Y17" si="24">(X15-H15)/H15</f>
        <v>#DIV/0!</v>
      </c>
      <c r="Z15" s="32">
        <f t="shared" ref="Z15:Z17" si="25">F15/F$20</f>
        <v>0</v>
      </c>
      <c r="AB15" s="58"/>
      <c r="AC15" s="9"/>
    </row>
    <row r="16" spans="1:29" x14ac:dyDescent="0.25">
      <c r="C16" s="25"/>
      <c r="D16" s="2"/>
      <c r="E16" s="26"/>
      <c r="F16" s="3">
        <f t="shared" si="13"/>
        <v>0</v>
      </c>
      <c r="G16" s="3"/>
      <c r="H16" s="4" t="e">
        <f t="shared" si="14"/>
        <v>#DIV/0!</v>
      </c>
      <c r="I16" s="3">
        <f t="shared" si="15"/>
        <v>0</v>
      </c>
      <c r="J16" s="26" t="e">
        <f t="shared" si="16"/>
        <v>#DIV/0!</v>
      </c>
      <c r="K16" s="27"/>
      <c r="L16">
        <f t="shared" si="17"/>
        <v>45280</v>
      </c>
      <c r="M16" s="5" t="e">
        <f t="shared" si="18"/>
        <v>#DIV/0!</v>
      </c>
      <c r="P16" s="63"/>
      <c r="Q16" s="28"/>
      <c r="R16" s="29">
        <f t="shared" si="19"/>
        <v>0</v>
      </c>
      <c r="S16" s="29"/>
      <c r="T16" s="28">
        <f t="shared" si="20"/>
        <v>0</v>
      </c>
      <c r="U16" s="28">
        <f t="shared" si="21"/>
        <v>0</v>
      </c>
      <c r="V16" s="28">
        <f t="shared" si="22"/>
        <v>0</v>
      </c>
      <c r="W16" s="28" t="e">
        <f t="shared" si="23"/>
        <v>#DIV/0!</v>
      </c>
      <c r="X16" s="29"/>
      <c r="Y16" s="5" t="e">
        <f t="shared" si="24"/>
        <v>#DIV/0!</v>
      </c>
      <c r="Z16" s="32">
        <f t="shared" si="25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3"/>
        <v>0</v>
      </c>
      <c r="G17" s="39"/>
      <c r="H17" s="40" t="e">
        <f t="shared" si="14"/>
        <v>#DIV/0!</v>
      </c>
      <c r="I17" s="39">
        <f t="shared" si="15"/>
        <v>0</v>
      </c>
      <c r="J17" s="38" t="e">
        <f t="shared" si="16"/>
        <v>#DIV/0!</v>
      </c>
      <c r="K17" s="41"/>
      <c r="L17" s="35">
        <f t="shared" si="17"/>
        <v>45280</v>
      </c>
      <c r="M17" s="42" t="e">
        <f t="shared" si="18"/>
        <v>#DIV/0!</v>
      </c>
      <c r="N17" s="35"/>
      <c r="O17" s="35"/>
      <c r="P17" s="65"/>
      <c r="Q17" s="44"/>
      <c r="R17" s="45">
        <f t="shared" si="19"/>
        <v>0</v>
      </c>
      <c r="S17" s="45"/>
      <c r="T17" s="46">
        <f t="shared" si="20"/>
        <v>0</v>
      </c>
      <c r="U17" s="44">
        <f t="shared" si="21"/>
        <v>0</v>
      </c>
      <c r="V17" s="44">
        <f t="shared" si="22"/>
        <v>0</v>
      </c>
      <c r="W17" s="44" t="e">
        <f t="shared" si="23"/>
        <v>#DIV/0!</v>
      </c>
      <c r="X17" s="45"/>
      <c r="Y17" s="42" t="e">
        <f t="shared" si="24"/>
        <v>#DIV/0!</v>
      </c>
      <c r="Z17" s="47">
        <f t="shared" si="25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650184.46834799997</v>
      </c>
      <c r="G18" s="3">
        <f>SUM(G6:G17)</f>
        <v>465383.28810000001</v>
      </c>
      <c r="H18" s="4"/>
      <c r="I18" s="3">
        <f>SUM(I6:I17)</f>
        <v>184801.18024800002</v>
      </c>
      <c r="M18" s="5"/>
      <c r="Z18" s="6"/>
    </row>
    <row r="19" spans="1:29" x14ac:dyDescent="0.25">
      <c r="D19" s="2" t="s">
        <v>44</v>
      </c>
      <c r="F19" s="3">
        <v>37420</v>
      </c>
      <c r="G19" s="6">
        <f>F19/F20</f>
        <v>5.4420821449725591E-2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687604.46834799997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'10-03-25'!F20</f>
        <v>678173.98047199997</v>
      </c>
      <c r="K21" s="1">
        <v>45657</v>
      </c>
      <c r="L21" s="50">
        <v>170762</v>
      </c>
      <c r="M21" s="50">
        <v>237900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1.3905705832943496E-2</v>
      </c>
      <c r="K22" s="9" t="s">
        <v>123</v>
      </c>
      <c r="L22" s="6">
        <f>(M21-L21)/L21</f>
        <v>0.3931670980663145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26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26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27">F28/D28</f>
        <v>44.698790833464948</v>
      </c>
      <c r="F28" s="3">
        <v>56489.42</v>
      </c>
      <c r="G28" s="56">
        <v>75501.87</v>
      </c>
      <c r="H28" s="57">
        <f t="shared" ref="H28:H58" si="28">G28/D28</f>
        <v>59.742909285764696</v>
      </c>
      <c r="I28" s="57">
        <f t="shared" ref="I28:I58" si="29">G28-F28</f>
        <v>19012.449999999997</v>
      </c>
      <c r="J28" s="6">
        <f t="shared" ref="J28:J58" si="30">I28/F28</f>
        <v>0.33656656414599401</v>
      </c>
      <c r="K28" s="1">
        <v>45527</v>
      </c>
      <c r="L28" s="1">
        <v>45688</v>
      </c>
      <c r="M28">
        <f t="shared" si="26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27"/>
        <v>169.90901206845703</v>
      </c>
      <c r="F29" s="3">
        <f>59492.79+21969.78</f>
        <v>81462.570000000007</v>
      </c>
      <c r="G29" s="56">
        <v>65047.58</v>
      </c>
      <c r="H29" s="57">
        <f t="shared" si="28"/>
        <v>135.67175765807443</v>
      </c>
      <c r="I29" s="57">
        <f t="shared" si="29"/>
        <v>-16414.990000000005</v>
      </c>
      <c r="J29" s="6">
        <f t="shared" si="30"/>
        <v>-0.20150346349249729</v>
      </c>
      <c r="K29" s="1">
        <v>45671</v>
      </c>
      <c r="L29" s="1">
        <v>45688</v>
      </c>
      <c r="M29">
        <f t="shared" si="26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27"/>
        <v>18.702010092477405</v>
      </c>
      <c r="F30" s="3">
        <v>56486.59</v>
      </c>
      <c r="G30" s="56">
        <v>71124.88</v>
      </c>
      <c r="H30" s="57">
        <f t="shared" si="28"/>
        <v>23.548566546258936</v>
      </c>
      <c r="I30" s="57">
        <f t="shared" si="29"/>
        <v>14638.290000000008</v>
      </c>
      <c r="J30" s="6">
        <f t="shared" si="30"/>
        <v>0.25914628587068206</v>
      </c>
      <c r="K30" s="1">
        <v>45527</v>
      </c>
      <c r="L30" s="1">
        <v>45691</v>
      </c>
      <c r="M30">
        <f t="shared" si="26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27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28"/>
        <v>38.249853000000002</v>
      </c>
      <c r="I31" s="57">
        <f t="shared" si="29"/>
        <v>-6110.386336591735</v>
      </c>
      <c r="J31" s="6">
        <f t="shared" si="30"/>
        <v>-0.10005621882176895</v>
      </c>
      <c r="K31" s="1">
        <v>45706</v>
      </c>
      <c r="L31" s="1">
        <v>45708</v>
      </c>
      <c r="M31">
        <f t="shared" si="26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27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28"/>
        <v>531.63995279999995</v>
      </c>
      <c r="I32" s="57">
        <f t="shared" si="29"/>
        <v>-22176.243614196137</v>
      </c>
      <c r="J32" s="6">
        <f t="shared" si="30"/>
        <v>-0.24194911929355969</v>
      </c>
      <c r="K32" s="1">
        <v>45706</v>
      </c>
      <c r="L32" s="1">
        <v>45708</v>
      </c>
      <c r="M32">
        <f t="shared" si="26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27"/>
        <v>368.56522253629635</v>
      </c>
      <c r="F33" s="3">
        <v>74438.86</v>
      </c>
      <c r="G33" s="56">
        <f>201.9693*360.5332483</f>
        <v>72816.647785877198</v>
      </c>
      <c r="H33" s="57">
        <f t="shared" si="28"/>
        <v>360.53324830000003</v>
      </c>
      <c r="I33" s="57">
        <f t="shared" si="29"/>
        <v>-1622.2122141228028</v>
      </c>
      <c r="J33" s="6">
        <f t="shared" si="30"/>
        <v>-2.1792545105107773E-2</v>
      </c>
      <c r="K33" s="1">
        <v>45664</v>
      </c>
      <c r="L33" s="1">
        <v>45708</v>
      </c>
      <c r="M33">
        <f t="shared" si="26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27"/>
        <v>30.17825528482809</v>
      </c>
      <c r="F34" s="3">
        <v>37884.65</v>
      </c>
      <c r="G34" s="56">
        <f>1255.3625*39.762296</f>
        <v>49916.0953123</v>
      </c>
      <c r="H34" s="57">
        <f t="shared" si="28"/>
        <v>39.762295999999999</v>
      </c>
      <c r="I34" s="57">
        <f t="shared" si="29"/>
        <v>12031.445312299998</v>
      </c>
      <c r="J34" s="6">
        <f t="shared" si="30"/>
        <v>0.31758100740801348</v>
      </c>
      <c r="K34" s="1">
        <v>45663</v>
      </c>
      <c r="L34" s="1">
        <v>45709</v>
      </c>
      <c r="M34">
        <f t="shared" si="26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27"/>
        <v>242.26930551548847</v>
      </c>
      <c r="F35" s="3">
        <v>61221.72</v>
      </c>
      <c r="G35" s="56">
        <f>252.7011*226.6146532</f>
        <v>57265.772139758519</v>
      </c>
      <c r="H35" s="57">
        <f t="shared" si="28"/>
        <v>226.61465319999999</v>
      </c>
      <c r="I35" s="57">
        <f t="shared" si="29"/>
        <v>-3955.947860241482</v>
      </c>
      <c r="J35" s="6">
        <f t="shared" si="30"/>
        <v>-6.4616738311852093E-2</v>
      </c>
      <c r="K35" s="1">
        <v>45699</v>
      </c>
      <c r="L35" s="1">
        <v>45709</v>
      </c>
      <c r="M35">
        <f t="shared" si="26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27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28"/>
        <v>283.93999450000007</v>
      </c>
      <c r="I36" s="57">
        <f t="shared" si="29"/>
        <v>19563.525282954361</v>
      </c>
      <c r="J36" s="6">
        <f t="shared" si="30"/>
        <v>0.36434300703793465</v>
      </c>
      <c r="K36" s="1">
        <v>45580</v>
      </c>
      <c r="L36" s="1">
        <v>45712</v>
      </c>
      <c r="M36">
        <f t="shared" si="26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27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28"/>
        <v>63.365330900000004</v>
      </c>
      <c r="I37" s="57">
        <f t="shared" si="29"/>
        <v>-4549.5912833559851</v>
      </c>
      <c r="J37" s="6">
        <f t="shared" si="30"/>
        <v>-5.9638082078758516E-2</v>
      </c>
      <c r="K37" s="1">
        <v>45673</v>
      </c>
      <c r="L37" s="1">
        <v>45712</v>
      </c>
      <c r="M37">
        <f t="shared" si="26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28"/>
        <v>50.021380499999999</v>
      </c>
      <c r="I38" s="57">
        <f t="shared" si="29"/>
        <v>6027.2875116823998</v>
      </c>
      <c r="J38" s="6">
        <f t="shared" si="30"/>
        <v>9.9771440635884723E-2</v>
      </c>
      <c r="K38" s="1">
        <v>45593</v>
      </c>
      <c r="L38" s="1">
        <v>45713</v>
      </c>
      <c r="M38">
        <f t="shared" si="26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28"/>
        <v>12.519992000000002</v>
      </c>
      <c r="I39" s="57">
        <f t="shared" si="29"/>
        <v>-2230.6527810991975</v>
      </c>
      <c r="J39" s="6">
        <f t="shared" si="30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28"/>
        <v>94.679995300000002</v>
      </c>
      <c r="I40" s="57">
        <f t="shared" si="29"/>
        <v>-4750.690604140058</v>
      </c>
      <c r="J40" s="6">
        <f t="shared" si="30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58" si="31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28"/>
        <v>18.9477051</v>
      </c>
      <c r="I41" s="57">
        <f t="shared" si="29"/>
        <v>-2244.5195874142191</v>
      </c>
      <c r="J41" s="6">
        <f t="shared" si="30"/>
        <v>-8.2776138273503941E-2</v>
      </c>
      <c r="K41" s="1">
        <v>45761</v>
      </c>
      <c r="L41" s="1">
        <v>45768</v>
      </c>
      <c r="M41">
        <f t="shared" ref="M41:M58" si="32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31"/>
        <v>96.336406065231671</v>
      </c>
      <c r="F42" s="3">
        <v>34004.42</v>
      </c>
      <c r="G42" s="56">
        <f>352.9758*89.7849585</f>
        <v>31691.9175545043</v>
      </c>
      <c r="H42" s="57">
        <f t="shared" si="28"/>
        <v>89.784958500000002</v>
      </c>
      <c r="I42" s="57">
        <f t="shared" si="29"/>
        <v>-2312.5024454956983</v>
      </c>
      <c r="J42" s="6">
        <f t="shared" si="30"/>
        <v>-6.8005937036882222E-2</v>
      </c>
      <c r="K42" s="1">
        <v>45762</v>
      </c>
      <c r="L42" s="1">
        <v>45768</v>
      </c>
      <c r="M42">
        <f t="shared" si="32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31"/>
        <v>16.992624876012847</v>
      </c>
      <c r="F43" s="3">
        <v>37971.83</v>
      </c>
      <c r="G43" s="56">
        <f>2234.6065*13.3067232</f>
        <v>29735.2901564208</v>
      </c>
      <c r="H43" s="57">
        <f t="shared" si="28"/>
        <v>13.3067232</v>
      </c>
      <c r="I43" s="57">
        <f t="shared" si="29"/>
        <v>-8236.5398435792013</v>
      </c>
      <c r="J43" s="6">
        <f t="shared" si="30"/>
        <v>-0.21691184869360261</v>
      </c>
      <c r="K43" s="1">
        <v>45652</v>
      </c>
      <c r="L43" s="1">
        <v>45785</v>
      </c>
      <c r="M43">
        <f t="shared" si="32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31"/>
        <v>38.101812248436303</v>
      </c>
      <c r="F44" s="3">
        <v>21940.86</v>
      </c>
      <c r="G44" s="56">
        <f>575.8482*32.7857042</f>
        <v>18879.588749302438</v>
      </c>
      <c r="H44" s="57">
        <f t="shared" si="28"/>
        <v>32.785704199999998</v>
      </c>
      <c r="I44" s="57">
        <f t="shared" si="29"/>
        <v>-3061.2712506975622</v>
      </c>
      <c r="J44" s="6">
        <f t="shared" si="30"/>
        <v>-0.13952375844417958</v>
      </c>
      <c r="K44" s="1">
        <v>45761</v>
      </c>
      <c r="L44" s="1">
        <v>45790</v>
      </c>
      <c r="M44">
        <f t="shared" si="32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31"/>
        <v>24.570291674143743</v>
      </c>
      <c r="F45" s="3">
        <v>23591.34</v>
      </c>
      <c r="G45" s="56">
        <v>19396.37</v>
      </c>
      <c r="H45" s="57">
        <f t="shared" si="28"/>
        <v>20.201246233559068</v>
      </c>
      <c r="I45" s="57">
        <f t="shared" si="29"/>
        <v>-4194.9700000000012</v>
      </c>
      <c r="J45" s="6">
        <f t="shared" si="30"/>
        <v>-0.17781821634548953</v>
      </c>
      <c r="K45" s="1">
        <v>45776</v>
      </c>
      <c r="L45" s="1">
        <v>45812</v>
      </c>
      <c r="M45">
        <f t="shared" si="32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31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28"/>
        <v>84.038907800000004</v>
      </c>
      <c r="I46" s="57">
        <f t="shared" si="29"/>
        <v>-3907.8121523372101</v>
      </c>
      <c r="J46" s="6">
        <f t="shared" si="30"/>
        <v>-0.14246372001691271</v>
      </c>
      <c r="K46" s="1">
        <v>45782</v>
      </c>
      <c r="L46" s="1">
        <v>45818</v>
      </c>
      <c r="M46">
        <f t="shared" si="32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31"/>
        <v>40.437100849618155</v>
      </c>
      <c r="F47" s="3">
        <f>22877.09+14244.67</f>
        <v>37121.760000000002</v>
      </c>
      <c r="G47" s="56">
        <v>34659.56</v>
      </c>
      <c r="H47" s="57">
        <f t="shared" si="28"/>
        <v>37.755002002151599</v>
      </c>
      <c r="I47" s="57">
        <f t="shared" si="29"/>
        <v>-2462.2000000000044</v>
      </c>
      <c r="J47" s="6">
        <f t="shared" si="30"/>
        <v>-6.6327674118899643E-2</v>
      </c>
      <c r="K47" s="1">
        <v>45782</v>
      </c>
      <c r="L47" s="1">
        <v>45828</v>
      </c>
      <c r="M47">
        <f t="shared" si="32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31"/>
        <v>123.70183817297092</v>
      </c>
      <c r="F48" s="3">
        <f>22876.67+14197.82+14808.77</f>
        <v>51883.259999999995</v>
      </c>
      <c r="G48" s="56">
        <v>55156.07</v>
      </c>
      <c r="H48" s="57">
        <f t="shared" si="28"/>
        <v>131.50498340692272</v>
      </c>
      <c r="I48" s="57">
        <f t="shared" si="29"/>
        <v>3272.8100000000049</v>
      </c>
      <c r="J48" s="6">
        <f t="shared" si="30"/>
        <v>6.3080269050171583E-2</v>
      </c>
      <c r="K48" s="1">
        <v>45782</v>
      </c>
      <c r="L48" s="1">
        <v>45839</v>
      </c>
      <c r="M48">
        <f t="shared" si="32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31"/>
        <v>63.194998844628557</v>
      </c>
      <c r="F49" s="3">
        <v>36072.47</v>
      </c>
      <c r="G49" s="56">
        <v>51786.91</v>
      </c>
      <c r="H49" s="57">
        <f t="shared" si="28"/>
        <v>90.724968864535285</v>
      </c>
      <c r="I49" s="57">
        <f t="shared" si="29"/>
        <v>15714.440000000002</v>
      </c>
      <c r="J49" s="6">
        <f t="shared" si="30"/>
        <v>0.43563526423336141</v>
      </c>
      <c r="K49" s="1">
        <v>45796</v>
      </c>
      <c r="L49" s="1">
        <v>45839</v>
      </c>
      <c r="M49">
        <f t="shared" si="32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31"/>
        <v>90.254808370121239</v>
      </c>
      <c r="F50" s="3">
        <f>35895.15+19479.74</f>
        <v>55374.89</v>
      </c>
      <c r="G50" s="56">
        <v>55236.959999999999</v>
      </c>
      <c r="H50" s="57">
        <f t="shared" si="28"/>
        <v>90.029998068584007</v>
      </c>
      <c r="I50" s="57">
        <f t="shared" si="29"/>
        <v>-137.93000000000029</v>
      </c>
      <c r="J50" s="6">
        <f t="shared" si="30"/>
        <v>-2.4908401623912986E-3</v>
      </c>
      <c r="K50" s="1">
        <v>45789</v>
      </c>
      <c r="L50" s="1">
        <v>45855</v>
      </c>
      <c r="M50">
        <f t="shared" si="32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31"/>
        <v>113.05354718581073</v>
      </c>
      <c r="F51" s="3">
        <v>45409.8</v>
      </c>
      <c r="G51" s="56">
        <v>41051.0026</v>
      </c>
      <c r="H51" s="57">
        <f t="shared" si="28"/>
        <v>102.2017595202784</v>
      </c>
      <c r="I51" s="57">
        <f t="shared" si="29"/>
        <v>-4358.7974000000031</v>
      </c>
      <c r="J51" s="6">
        <f t="shared" si="30"/>
        <v>-9.5988033420098803E-2</v>
      </c>
      <c r="K51" s="1">
        <v>45855</v>
      </c>
      <c r="L51" s="1">
        <v>45860</v>
      </c>
      <c r="M51">
        <f t="shared" si="32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31"/>
        <v>17.339829156069133</v>
      </c>
      <c r="F52" s="3">
        <v>22797.23</v>
      </c>
      <c r="G52" s="56">
        <v>18655.11</v>
      </c>
      <c r="H52" s="57">
        <f t="shared" si="28"/>
        <v>14.189286167121043</v>
      </c>
      <c r="I52" s="57">
        <f t="shared" si="29"/>
        <v>-4142.119999999999</v>
      </c>
      <c r="J52" s="6">
        <f t="shared" si="30"/>
        <v>-0.18169400405224664</v>
      </c>
      <c r="K52" s="1">
        <v>45861</v>
      </c>
      <c r="L52" s="1">
        <v>45870</v>
      </c>
      <c r="M52">
        <f t="shared" si="32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31"/>
        <v>74.757798491837917</v>
      </c>
      <c r="F53" s="3">
        <f>26856.13+12527.28</f>
        <v>39383.410000000003</v>
      </c>
      <c r="G53" s="56">
        <v>67176.488400000002</v>
      </c>
      <c r="H53" s="57">
        <f t="shared" si="28"/>
        <v>127.51476784759082</v>
      </c>
      <c r="I53" s="57">
        <f t="shared" si="29"/>
        <v>27793.078399999999</v>
      </c>
      <c r="J53" s="6">
        <f t="shared" si="30"/>
        <v>0.7057052296893539</v>
      </c>
      <c r="K53" s="1">
        <v>45789</v>
      </c>
      <c r="L53" s="1">
        <v>45870</v>
      </c>
      <c r="M53">
        <f t="shared" si="32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31"/>
        <v>22.651928580010882</v>
      </c>
      <c r="F54" s="3">
        <f>18821.97+11334.33+20180.34</f>
        <v>50336.639999999999</v>
      </c>
      <c r="G54" s="56">
        <v>42713.83</v>
      </c>
      <c r="H54" s="57">
        <f t="shared" si="28"/>
        <v>19.221597360068653</v>
      </c>
      <c r="I54" s="57">
        <f t="shared" si="29"/>
        <v>-7622.8099999999977</v>
      </c>
      <c r="J54" s="6">
        <f t="shared" si="30"/>
        <v>-0.15143660760829483</v>
      </c>
      <c r="K54" s="1">
        <v>45814</v>
      </c>
      <c r="L54" s="1">
        <v>45880</v>
      </c>
      <c r="M54">
        <f t="shared" si="32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31"/>
        <v>30.926801697408081</v>
      </c>
      <c r="F55" s="3">
        <f>(605.0016*29.7738017)+17708.65</f>
        <v>35721.847666582718</v>
      </c>
      <c r="G55" s="56">
        <v>42554.27</v>
      </c>
      <c r="H55" s="57">
        <f t="shared" si="28"/>
        <v>36.842088403482109</v>
      </c>
      <c r="I55" s="57">
        <f t="shared" si="29"/>
        <v>6832.4223334172784</v>
      </c>
      <c r="J55" s="6">
        <f t="shared" si="30"/>
        <v>0.1912673274123195</v>
      </c>
      <c r="K55" s="1">
        <v>45800</v>
      </c>
      <c r="L55" s="1">
        <v>45881</v>
      </c>
      <c r="M55">
        <f t="shared" si="32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31"/>
        <v>377.42204050678822</v>
      </c>
      <c r="F56" s="3">
        <f>34962.9+15401.92</f>
        <v>50364.82</v>
      </c>
      <c r="G56" s="56">
        <v>81517.961800000005</v>
      </c>
      <c r="H56" s="57">
        <f t="shared" si="28"/>
        <v>610.87631168959638</v>
      </c>
      <c r="I56" s="57">
        <f t="shared" si="29"/>
        <v>31153.141800000005</v>
      </c>
      <c r="J56" s="6">
        <f t="shared" si="30"/>
        <v>0.61854965033132259</v>
      </c>
      <c r="K56" s="1">
        <v>45771</v>
      </c>
      <c r="L56" s="1">
        <v>45884</v>
      </c>
      <c r="M56">
        <f t="shared" si="32"/>
        <v>111</v>
      </c>
    </row>
    <row r="57" spans="1:13" x14ac:dyDescent="0.25">
      <c r="A57" t="s">
        <v>138</v>
      </c>
      <c r="B57" t="s">
        <v>30</v>
      </c>
      <c r="C57" s="25" t="s">
        <v>139</v>
      </c>
      <c r="D57" s="2">
        <v>345.54309999999998</v>
      </c>
      <c r="E57" s="57">
        <f t="shared" si="31"/>
        <v>133.9832570813887</v>
      </c>
      <c r="F57" s="3">
        <v>46296.99</v>
      </c>
      <c r="G57" s="56">
        <v>42812.79</v>
      </c>
      <c r="H57" s="57">
        <f t="shared" si="28"/>
        <v>123.89999973954046</v>
      </c>
      <c r="I57" s="57">
        <f t="shared" si="29"/>
        <v>-3484.1999999999971</v>
      </c>
      <c r="J57" s="6">
        <f t="shared" si="30"/>
        <v>-7.525759234023631E-2</v>
      </c>
      <c r="K57" s="1">
        <v>45897</v>
      </c>
      <c r="L57" s="1">
        <v>45904</v>
      </c>
      <c r="M57">
        <f t="shared" si="32"/>
        <v>6</v>
      </c>
    </row>
    <row r="58" spans="1:13" x14ac:dyDescent="0.25">
      <c r="A58" t="s">
        <v>136</v>
      </c>
      <c r="B58" t="s">
        <v>30</v>
      </c>
      <c r="C58" s="25" t="s">
        <v>137</v>
      </c>
      <c r="D58" s="2">
        <v>287.49</v>
      </c>
      <c r="E58" s="57">
        <f t="shared" si="31"/>
        <v>198.81999373891267</v>
      </c>
      <c r="F58" s="3">
        <v>57158.76</v>
      </c>
      <c r="G58" s="56">
        <v>56889.83</v>
      </c>
      <c r="H58" s="57">
        <f t="shared" si="28"/>
        <v>197.88455250617412</v>
      </c>
      <c r="I58" s="57">
        <f t="shared" si="29"/>
        <v>-268.93000000000029</v>
      </c>
      <c r="J58" s="6">
        <f t="shared" si="30"/>
        <v>-4.7049656080712784E-3</v>
      </c>
      <c r="K58" s="1">
        <v>45895</v>
      </c>
      <c r="L58" s="1">
        <v>45936</v>
      </c>
      <c r="M58">
        <f t="shared" si="32"/>
        <v>40</v>
      </c>
    </row>
    <row r="59" spans="1:13" x14ac:dyDescent="0.25">
      <c r="C59" s="25"/>
      <c r="D59" s="2"/>
      <c r="E59" s="57"/>
      <c r="F59" s="3"/>
      <c r="G59" s="56"/>
      <c r="H59" s="57"/>
      <c r="I59" s="57"/>
      <c r="J59" s="6"/>
      <c r="K59" s="1"/>
      <c r="L59" s="1"/>
    </row>
    <row r="60" spans="1:13" x14ac:dyDescent="0.25">
      <c r="C60" s="25"/>
      <c r="D60" s="2"/>
      <c r="E60" s="57"/>
      <c r="F60" s="3"/>
      <c r="G60" s="56"/>
      <c r="H60" s="57"/>
      <c r="I60" s="57"/>
      <c r="J60" s="6"/>
      <c r="K60" s="1"/>
      <c r="L60" s="1"/>
    </row>
    <row r="61" spans="1:13" x14ac:dyDescent="0.25">
      <c r="C61" s="25"/>
      <c r="D61" s="2"/>
      <c r="E61" s="57"/>
      <c r="F61" s="3"/>
      <c r="G61" s="56"/>
      <c r="H61" s="57"/>
      <c r="I61" s="57"/>
      <c r="J61" s="6"/>
      <c r="K61" s="1"/>
      <c r="L61" s="1"/>
    </row>
    <row r="62" spans="1:13" x14ac:dyDescent="0.25">
      <c r="C62" s="25"/>
      <c r="D62" s="2"/>
      <c r="E62" s="57"/>
      <c r="F62" s="3"/>
      <c r="G62" s="56"/>
      <c r="H62" s="57"/>
      <c r="I62" s="57"/>
      <c r="J62" s="6"/>
      <c r="K62" s="1"/>
      <c r="L62" s="1"/>
    </row>
    <row r="63" spans="1:13" x14ac:dyDescent="0.25">
      <c r="C63" s="25"/>
      <c r="D63" s="2"/>
      <c r="E63" s="57"/>
      <c r="F63" s="3"/>
      <c r="G63" s="56"/>
      <c r="H63" s="57"/>
      <c r="I63" s="57"/>
      <c r="J63" s="6"/>
      <c r="K63" s="1"/>
      <c r="L63" s="1"/>
    </row>
    <row r="64" spans="1:13" x14ac:dyDescent="0.25">
      <c r="C64" s="25"/>
      <c r="D64" s="2"/>
      <c r="E64" s="57"/>
      <c r="F64" s="3"/>
      <c r="G64" s="56"/>
      <c r="H64" s="57"/>
      <c r="I64" s="57"/>
      <c r="J64" s="6"/>
      <c r="K64" s="1"/>
      <c r="L64" s="1"/>
    </row>
    <row r="65" spans="6:10" x14ac:dyDescent="0.25">
      <c r="F65" s="56"/>
      <c r="G65" s="56"/>
      <c r="H65" s="3"/>
      <c r="I65" s="3">
        <f>SUM(I26:I64)</f>
        <v>40029.55326708276</v>
      </c>
      <c r="J65" s="13" t="s">
        <v>66</v>
      </c>
    </row>
    <row r="66" spans="6:10" x14ac:dyDescent="0.25">
      <c r="F66" s="56"/>
      <c r="G66" s="56"/>
      <c r="H66" s="3" t="s">
        <v>67</v>
      </c>
      <c r="I66" s="59">
        <v>23</v>
      </c>
      <c r="J66" s="5">
        <v>-0.1037</v>
      </c>
    </row>
    <row r="67" spans="6:10" x14ac:dyDescent="0.25">
      <c r="F67" s="56"/>
      <c r="G67" s="56"/>
      <c r="H67" s="3" t="s">
        <v>68</v>
      </c>
      <c r="I67" s="59">
        <v>10</v>
      </c>
      <c r="J67" s="5">
        <v>0.3392</v>
      </c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  <c r="J77" s="6"/>
    </row>
    <row r="78" spans="6:10" x14ac:dyDescent="0.25">
      <c r="F78" s="56"/>
      <c r="G78" s="56"/>
      <c r="J78" s="6"/>
    </row>
    <row r="79" spans="6:10" x14ac:dyDescent="0.25">
      <c r="F79" s="56"/>
      <c r="G79" s="56"/>
      <c r="J79" s="6"/>
    </row>
    <row r="80" spans="6:10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  <c r="J86" s="6"/>
    </row>
    <row r="87" spans="6:10" x14ac:dyDescent="0.25">
      <c r="F87" s="56"/>
      <c r="G87" s="56"/>
      <c r="J87" s="6"/>
    </row>
    <row r="88" spans="6:10" x14ac:dyDescent="0.25">
      <c r="F88" s="56"/>
      <c r="G88" s="56"/>
      <c r="J88" s="6"/>
    </row>
    <row r="89" spans="6:10" x14ac:dyDescent="0.25">
      <c r="F89" s="56"/>
      <c r="G89" s="56"/>
      <c r="J89" s="6"/>
    </row>
    <row r="90" spans="6:10" x14ac:dyDescent="0.25">
      <c r="F90" s="56"/>
      <c r="G90" s="56"/>
      <c r="J90" s="6"/>
    </row>
    <row r="91" spans="6:10" x14ac:dyDescent="0.25">
      <c r="F91" s="56"/>
      <c r="G91" s="56"/>
    </row>
    <row r="92" spans="6:10" x14ac:dyDescent="0.25">
      <c r="F92" s="56"/>
      <c r="G92" s="56"/>
    </row>
    <row r="93" spans="6:10" x14ac:dyDescent="0.25">
      <c r="F93" s="56"/>
      <c r="G93" s="56"/>
    </row>
    <row r="94" spans="6:10" x14ac:dyDescent="0.25">
      <c r="F94" s="56"/>
      <c r="G94" s="56"/>
    </row>
    <row r="95" spans="6:10" x14ac:dyDescent="0.25">
      <c r="F95" s="56"/>
      <c r="G95" s="56"/>
    </row>
    <row r="96" spans="6:10" x14ac:dyDescent="0.25">
      <c r="F96" s="56"/>
      <c r="G96" s="56"/>
    </row>
  </sheetData>
  <sortState xmlns:xlrd2="http://schemas.microsoft.com/office/spreadsheetml/2017/richdata2" ref="A7:AC13">
    <sortCondition descending="1" ref="L7:L13"/>
  </sortState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D0214-28AA-41D1-A52E-5E1081291467}">
  <dimension ref="A1:AC96"/>
  <sheetViews>
    <sheetView workbookViewId="0">
      <selection activeCell="M22" sqref="M22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7" width="11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45947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124</v>
      </c>
      <c r="B7" t="s">
        <v>30</v>
      </c>
      <c r="C7" s="25" t="s">
        <v>125</v>
      </c>
      <c r="D7" s="2">
        <f>915.359+608.2121</f>
        <v>1523.5711000000001</v>
      </c>
      <c r="E7" s="26">
        <v>66.27</v>
      </c>
      <c r="F7" s="3">
        <f t="shared" ref="F7:F14" si="0">E7*D7</f>
        <v>100967.056797</v>
      </c>
      <c r="G7" s="3">
        <f>28630.6+20162.2481</f>
        <v>48792.848100000003</v>
      </c>
      <c r="H7" s="4">
        <f t="shared" ref="H7:H14" si="1">G7/D7</f>
        <v>32.025317426932027</v>
      </c>
      <c r="I7" s="3">
        <f t="shared" ref="I7:I14" si="2">F7-G7</f>
        <v>52174.208696999995</v>
      </c>
      <c r="J7" s="26">
        <f t="shared" ref="J7:J14" si="3">E7-H7</f>
        <v>34.244682573067969</v>
      </c>
      <c r="K7" s="27">
        <v>45817</v>
      </c>
      <c r="L7">
        <f t="shared" ref="L7:L14" si="4">DAYS360(K7,$C$1)</f>
        <v>128</v>
      </c>
      <c r="M7" s="5">
        <f t="shared" ref="M7:M14" si="5">(I7/G7)</f>
        <v>1.0693003325009838</v>
      </c>
      <c r="N7">
        <v>29</v>
      </c>
      <c r="O7">
        <v>98</v>
      </c>
      <c r="P7" s="63">
        <v>8</v>
      </c>
      <c r="Q7" s="28">
        <v>50.92</v>
      </c>
      <c r="R7" s="29">
        <f t="shared" ref="R7:R14" si="6">Q7*0.93</f>
        <v>47.355600000000003</v>
      </c>
      <c r="S7" s="29">
        <v>26.45</v>
      </c>
      <c r="T7" s="28">
        <f t="shared" ref="T7:T14" si="7">Q7*1.25</f>
        <v>63.650000000000006</v>
      </c>
      <c r="U7" s="28">
        <f t="shared" ref="U7:U14" si="8">Q7*1.5</f>
        <v>76.38</v>
      </c>
      <c r="V7" s="28">
        <f t="shared" ref="V7:V14" si="9">Q7*2</f>
        <v>101.84</v>
      </c>
      <c r="W7" s="28">
        <f t="shared" ref="W7:W14" si="10">H7-(H7*0.07)</f>
        <v>29.783545207046785</v>
      </c>
      <c r="X7" s="29">
        <v>52</v>
      </c>
      <c r="Y7" s="5">
        <f t="shared" ref="Y7:Y14" si="11">(X7-H7)/H7</f>
        <v>0.62371536577714148</v>
      </c>
      <c r="Z7" s="6">
        <f t="shared" ref="Z7:Z14" si="12">F7/F$20</f>
        <v>0.14223011338714239</v>
      </c>
      <c r="AB7" s="58">
        <v>45971</v>
      </c>
      <c r="AC7" s="63">
        <v>79</v>
      </c>
    </row>
    <row r="8" spans="1:29" x14ac:dyDescent="0.25">
      <c r="A8" t="s">
        <v>126</v>
      </c>
      <c r="B8" t="s">
        <v>30</v>
      </c>
      <c r="C8" s="25" t="s">
        <v>127</v>
      </c>
      <c r="D8" s="2">
        <f>344.4515+240</f>
        <v>584.45150000000001</v>
      </c>
      <c r="E8" s="26">
        <v>143.61000000000001</v>
      </c>
      <c r="F8" s="3">
        <f t="shared" si="0"/>
        <v>83933.079915000009</v>
      </c>
      <c r="G8" s="3">
        <f>30563.18+23352</f>
        <v>53915.18</v>
      </c>
      <c r="H8" s="4">
        <f t="shared" si="1"/>
        <v>92.249194330068448</v>
      </c>
      <c r="I8" s="3">
        <f t="shared" si="2"/>
        <v>30017.899915000009</v>
      </c>
      <c r="J8" s="26">
        <f t="shared" si="3"/>
        <v>51.360805669931565</v>
      </c>
      <c r="K8" s="27">
        <v>45840</v>
      </c>
      <c r="L8">
        <f t="shared" si="4"/>
        <v>105</v>
      </c>
      <c r="M8" s="5">
        <f t="shared" si="5"/>
        <v>0.556761563533684</v>
      </c>
      <c r="N8">
        <v>10</v>
      </c>
      <c r="O8">
        <v>97</v>
      </c>
      <c r="P8" s="63">
        <v>80</v>
      </c>
      <c r="Q8" s="28">
        <v>80.989999999999995</v>
      </c>
      <c r="R8" s="29">
        <f t="shared" si="6"/>
        <v>75.320700000000002</v>
      </c>
      <c r="S8" s="29">
        <v>81.72</v>
      </c>
      <c r="T8" s="31">
        <f t="shared" si="7"/>
        <v>101.2375</v>
      </c>
      <c r="U8" s="28">
        <f t="shared" si="8"/>
        <v>121.48499999999999</v>
      </c>
      <c r="V8" s="28">
        <f t="shared" si="9"/>
        <v>161.97999999999999</v>
      </c>
      <c r="W8" s="28">
        <f t="shared" si="10"/>
        <v>85.791750726963656</v>
      </c>
      <c r="X8" s="29">
        <v>130</v>
      </c>
      <c r="Y8" s="5">
        <f t="shared" si="11"/>
        <v>0.40922639968928975</v>
      </c>
      <c r="Z8" s="6">
        <f t="shared" si="12"/>
        <v>0.11823471785697569</v>
      </c>
      <c r="AB8" s="58">
        <v>45987</v>
      </c>
      <c r="AC8" s="9">
        <v>99</v>
      </c>
    </row>
    <row r="9" spans="1:29" x14ac:dyDescent="0.25">
      <c r="A9" t="s">
        <v>128</v>
      </c>
      <c r="B9" t="s">
        <v>30</v>
      </c>
      <c r="C9" s="25" t="s">
        <v>129</v>
      </c>
      <c r="D9" s="2">
        <f>786.7766+525.5828</f>
        <v>1312.3594000000001</v>
      </c>
      <c r="E9" s="26">
        <v>60.02</v>
      </c>
      <c r="F9" s="3">
        <f t="shared" si="0"/>
        <v>78767.811188000007</v>
      </c>
      <c r="G9" s="3">
        <f>30514.1+21675.87</f>
        <v>52189.97</v>
      </c>
      <c r="H9" s="4">
        <f t="shared" si="1"/>
        <v>39.768046771334134</v>
      </c>
      <c r="I9" s="3">
        <f t="shared" si="2"/>
        <v>26577.841188000006</v>
      </c>
      <c r="J9" s="26">
        <f t="shared" si="3"/>
        <v>20.251953228665869</v>
      </c>
      <c r="K9" s="27">
        <v>45840</v>
      </c>
      <c r="L9">
        <f t="shared" si="4"/>
        <v>105</v>
      </c>
      <c r="M9" s="5">
        <f t="shared" si="5"/>
        <v>0.50925189625516176</v>
      </c>
      <c r="N9">
        <v>17</v>
      </c>
      <c r="O9">
        <v>97</v>
      </c>
      <c r="P9" s="64">
        <v>80</v>
      </c>
      <c r="Q9" s="28">
        <v>58.42</v>
      </c>
      <c r="R9" s="29">
        <f t="shared" si="6"/>
        <v>54.330600000000004</v>
      </c>
      <c r="S9" s="29">
        <v>34.869999999999997</v>
      </c>
      <c r="T9" s="31">
        <f t="shared" si="7"/>
        <v>73.025000000000006</v>
      </c>
      <c r="U9" s="28">
        <f t="shared" si="8"/>
        <v>87.63</v>
      </c>
      <c r="V9" s="28">
        <f t="shared" si="9"/>
        <v>116.84</v>
      </c>
      <c r="W9" s="28">
        <f t="shared" si="10"/>
        <v>36.984283497340748</v>
      </c>
      <c r="X9" s="29">
        <v>50</v>
      </c>
      <c r="Y9" s="5">
        <f t="shared" si="11"/>
        <v>0.25729081660709896</v>
      </c>
      <c r="Z9" s="6">
        <f t="shared" si="12"/>
        <v>0.11095851530119218</v>
      </c>
      <c r="AB9" s="58">
        <v>45959</v>
      </c>
      <c r="AC9" s="9">
        <v>98</v>
      </c>
    </row>
    <row r="10" spans="1:29" x14ac:dyDescent="0.25">
      <c r="A10" t="s">
        <v>69</v>
      </c>
      <c r="B10" t="s">
        <v>30</v>
      </c>
      <c r="C10" s="25" t="s">
        <v>70</v>
      </c>
      <c r="D10" s="2">
        <f>682.0555-143.2704</f>
        <v>538.78510000000006</v>
      </c>
      <c r="E10" s="26">
        <v>163.38999999999999</v>
      </c>
      <c r="F10" s="3">
        <f t="shared" si="0"/>
        <v>88032.097489000007</v>
      </c>
      <c r="G10" s="3">
        <f>43555.21-9149.25</f>
        <v>34405.96</v>
      </c>
      <c r="H10" s="4">
        <f t="shared" si="1"/>
        <v>63.858410338370525</v>
      </c>
      <c r="I10" s="3">
        <f t="shared" si="2"/>
        <v>53626.137489000008</v>
      </c>
      <c r="J10" s="26">
        <f t="shared" si="3"/>
        <v>99.531589661629454</v>
      </c>
      <c r="K10" s="27">
        <v>45854</v>
      </c>
      <c r="L10">
        <f t="shared" si="4"/>
        <v>91</v>
      </c>
      <c r="M10" s="5">
        <f t="shared" si="5"/>
        <v>1.5586293040217454</v>
      </c>
      <c r="N10">
        <v>4</v>
      </c>
      <c r="O10">
        <v>99</v>
      </c>
      <c r="P10" s="63">
        <v>46</v>
      </c>
      <c r="Q10" s="28">
        <v>58.69</v>
      </c>
      <c r="R10" s="29">
        <f t="shared" si="6"/>
        <v>54.581699999999998</v>
      </c>
      <c r="S10" s="29">
        <v>50.08</v>
      </c>
      <c r="T10" s="31">
        <f t="shared" si="7"/>
        <v>73.362499999999997</v>
      </c>
      <c r="U10" s="28">
        <f t="shared" si="8"/>
        <v>88.034999999999997</v>
      </c>
      <c r="V10" s="28">
        <f t="shared" si="9"/>
        <v>117.38</v>
      </c>
      <c r="W10" s="28">
        <f t="shared" si="10"/>
        <v>59.388321614684585</v>
      </c>
      <c r="X10" s="29">
        <v>130</v>
      </c>
      <c r="Y10" s="5">
        <f t="shared" si="11"/>
        <v>1.035753776380604</v>
      </c>
      <c r="Z10" s="32">
        <f t="shared" si="12"/>
        <v>0.12400891543013137</v>
      </c>
      <c r="AB10" s="58">
        <v>45974</v>
      </c>
      <c r="AC10" s="9">
        <v>93</v>
      </c>
    </row>
    <row r="11" spans="1:29" x14ac:dyDescent="0.25">
      <c r="A11" t="s">
        <v>134</v>
      </c>
      <c r="B11" t="s">
        <v>30</v>
      </c>
      <c r="C11" s="25" t="s">
        <v>135</v>
      </c>
      <c r="D11" s="2">
        <v>148.3219</v>
      </c>
      <c r="E11" s="26">
        <v>599.30999999999995</v>
      </c>
      <c r="F11" s="3">
        <f t="shared" si="0"/>
        <v>88890.797888999994</v>
      </c>
      <c r="G11" s="3">
        <v>68650.22</v>
      </c>
      <c r="H11" s="4">
        <f t="shared" si="1"/>
        <v>462.8461474670969</v>
      </c>
      <c r="I11" s="3">
        <f t="shared" si="2"/>
        <v>20240.577888999993</v>
      </c>
      <c r="J11" s="26">
        <f t="shared" si="3"/>
        <v>136.46385253290305</v>
      </c>
      <c r="K11" s="27">
        <v>45895</v>
      </c>
      <c r="L11">
        <f t="shared" si="4"/>
        <v>51</v>
      </c>
      <c r="M11" s="5">
        <f t="shared" si="5"/>
        <v>0.29483631500379742</v>
      </c>
      <c r="N11">
        <v>51</v>
      </c>
      <c r="O11">
        <v>97</v>
      </c>
      <c r="P11" s="33">
        <v>81</v>
      </c>
      <c r="Q11" s="28">
        <v>473.7</v>
      </c>
      <c r="R11" s="29">
        <f t="shared" si="6"/>
        <v>440.541</v>
      </c>
      <c r="S11" s="29">
        <v>385.19</v>
      </c>
      <c r="T11" s="28">
        <f t="shared" si="7"/>
        <v>592.125</v>
      </c>
      <c r="U11" s="28">
        <f t="shared" si="8"/>
        <v>710.55</v>
      </c>
      <c r="V11" s="28">
        <f t="shared" si="9"/>
        <v>947.4</v>
      </c>
      <c r="W11" s="28">
        <f t="shared" si="10"/>
        <v>430.44691714440012</v>
      </c>
      <c r="X11" s="29">
        <v>530</v>
      </c>
      <c r="Y11" s="5">
        <f t="shared" si="11"/>
        <v>0.14508893052345645</v>
      </c>
      <c r="Z11" s="32">
        <f t="shared" si="12"/>
        <v>0.1252185481472971</v>
      </c>
      <c r="AB11" s="58">
        <v>45966</v>
      </c>
      <c r="AC11" s="9">
        <v>99</v>
      </c>
    </row>
    <row r="12" spans="1:29" x14ac:dyDescent="0.25">
      <c r="A12" t="s">
        <v>140</v>
      </c>
      <c r="B12" t="s">
        <v>30</v>
      </c>
      <c r="C12" s="25" t="s">
        <v>141</v>
      </c>
      <c r="D12" s="2">
        <f>595.1582+306.9859</f>
        <v>902.14409999999998</v>
      </c>
      <c r="E12" s="26">
        <v>86.59</v>
      </c>
      <c r="F12" s="3">
        <f t="shared" si="0"/>
        <v>78116.657619000005</v>
      </c>
      <c r="G12" s="3">
        <f>46827.05+24871.38</f>
        <v>71698.430000000008</v>
      </c>
      <c r="H12" s="4">
        <f t="shared" si="1"/>
        <v>79.475584887159386</v>
      </c>
      <c r="I12" s="3">
        <f t="shared" si="2"/>
        <v>6418.2276189999975</v>
      </c>
      <c r="J12" s="26">
        <f t="shared" si="3"/>
        <v>7.1144151128406179</v>
      </c>
      <c r="K12" s="27">
        <v>45897</v>
      </c>
      <c r="L12">
        <f t="shared" si="4"/>
        <v>49</v>
      </c>
      <c r="M12" s="5">
        <f t="shared" si="5"/>
        <v>8.9516989688616572E-2</v>
      </c>
      <c r="N12">
        <v>2</v>
      </c>
      <c r="O12">
        <v>92</v>
      </c>
      <c r="P12" s="63">
        <v>99</v>
      </c>
      <c r="Q12" s="28">
        <v>78.959999999999994</v>
      </c>
      <c r="R12" s="29">
        <f t="shared" si="6"/>
        <v>73.4328</v>
      </c>
      <c r="S12" s="29">
        <v>68.959999999999994</v>
      </c>
      <c r="T12" s="28">
        <f t="shared" si="7"/>
        <v>98.699999999999989</v>
      </c>
      <c r="U12" s="28">
        <f t="shared" si="8"/>
        <v>118.44</v>
      </c>
      <c r="V12" s="28">
        <f t="shared" si="9"/>
        <v>157.91999999999999</v>
      </c>
      <c r="W12" s="28">
        <f t="shared" si="10"/>
        <v>73.912293945058224</v>
      </c>
      <c r="X12" s="29">
        <v>79</v>
      </c>
      <c r="Y12" s="5">
        <f t="shared" si="11"/>
        <v>-5.9840375863182129E-3</v>
      </c>
      <c r="Z12" s="6">
        <f t="shared" si="12"/>
        <v>0.11004124932465174</v>
      </c>
      <c r="AB12" s="58">
        <v>45967</v>
      </c>
      <c r="AC12" s="9">
        <v>99</v>
      </c>
    </row>
    <row r="13" spans="1:29" x14ac:dyDescent="0.25">
      <c r="A13" t="s">
        <v>138</v>
      </c>
      <c r="B13" t="s">
        <v>30</v>
      </c>
      <c r="C13" s="25" t="s">
        <v>139</v>
      </c>
      <c r="D13" s="2">
        <v>337.18810000000002</v>
      </c>
      <c r="E13" s="26">
        <v>174</v>
      </c>
      <c r="F13" s="3">
        <f t="shared" si="0"/>
        <v>58670.729400000004</v>
      </c>
      <c r="G13" s="3">
        <v>55542.55</v>
      </c>
      <c r="H13" s="4">
        <f t="shared" si="1"/>
        <v>164.72274673987604</v>
      </c>
      <c r="I13" s="3">
        <f t="shared" si="2"/>
        <v>3128.1794000000009</v>
      </c>
      <c r="J13" s="26">
        <f t="shared" si="3"/>
        <v>9.2772532601239561</v>
      </c>
      <c r="K13" s="27">
        <v>45938</v>
      </c>
      <c r="L13">
        <f t="shared" si="4"/>
        <v>9</v>
      </c>
      <c r="M13" s="5">
        <f t="shared" si="5"/>
        <v>5.632041380887267E-2</v>
      </c>
      <c r="N13">
        <v>17</v>
      </c>
      <c r="O13">
        <v>92</v>
      </c>
      <c r="P13" s="63">
        <v>98</v>
      </c>
      <c r="Q13" s="28">
        <v>153.5</v>
      </c>
      <c r="R13" s="29">
        <f t="shared" si="6"/>
        <v>142.755</v>
      </c>
      <c r="S13" s="29">
        <v>118.7</v>
      </c>
      <c r="T13" s="31">
        <f t="shared" si="7"/>
        <v>191.875</v>
      </c>
      <c r="U13" s="28">
        <f t="shared" si="8"/>
        <v>230.25</v>
      </c>
      <c r="V13" s="28">
        <f t="shared" si="9"/>
        <v>307</v>
      </c>
      <c r="W13" s="28">
        <f t="shared" si="10"/>
        <v>153.19215446808471</v>
      </c>
      <c r="X13" s="29">
        <v>153</v>
      </c>
      <c r="Y13" s="5">
        <f t="shared" si="11"/>
        <v>-7.1166532685301584E-2</v>
      </c>
      <c r="Z13" s="6">
        <f t="shared" si="12"/>
        <v>8.264819001157904E-2</v>
      </c>
      <c r="AB13" s="60">
        <v>45952</v>
      </c>
      <c r="AC13" s="9">
        <v>98</v>
      </c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45287</v>
      </c>
      <c r="M14" s="5" t="e">
        <f t="shared" si="5"/>
        <v>#DIV/0!</v>
      </c>
      <c r="P14" s="63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8"/>
      <c r="AC14" s="9"/>
    </row>
    <row r="15" spans="1:29" x14ac:dyDescent="0.25">
      <c r="C15" s="25"/>
      <c r="D15" s="2"/>
      <c r="E15" s="26"/>
      <c r="F15" s="3">
        <f t="shared" ref="F15:F17" si="13">E15*D15</f>
        <v>0</v>
      </c>
      <c r="G15" s="3"/>
      <c r="H15" s="4" t="e">
        <f t="shared" ref="H15:H17" si="14">G15/D15</f>
        <v>#DIV/0!</v>
      </c>
      <c r="I15" s="3">
        <f t="shared" ref="I15:I17" si="15">F15-G15</f>
        <v>0</v>
      </c>
      <c r="J15" s="26" t="e">
        <f t="shared" ref="J15:J17" si="16">E15-H15</f>
        <v>#DIV/0!</v>
      </c>
      <c r="K15" s="27"/>
      <c r="L15">
        <f t="shared" ref="L15:L17" si="17">DAYS360(K15,$C$1)</f>
        <v>45287</v>
      </c>
      <c r="M15" s="5" t="e">
        <f t="shared" ref="M15:M17" si="18">(I15/G15)</f>
        <v>#DIV/0!</v>
      </c>
      <c r="P15" s="63"/>
      <c r="Q15" s="28"/>
      <c r="R15" s="29">
        <f t="shared" ref="R15:R17" si="19">Q15*0.93</f>
        <v>0</v>
      </c>
      <c r="S15" s="29"/>
      <c r="T15" s="28">
        <f t="shared" ref="T15:T17" si="20">Q15*1.25</f>
        <v>0</v>
      </c>
      <c r="U15" s="28">
        <f t="shared" ref="U15:U17" si="21">Q15*1.5</f>
        <v>0</v>
      </c>
      <c r="V15" s="28">
        <f t="shared" ref="V15:V17" si="22">Q15*2</f>
        <v>0</v>
      </c>
      <c r="W15" s="28" t="e">
        <f t="shared" ref="W15:W17" si="23">H15-(H15*0.07)</f>
        <v>#DIV/0!</v>
      </c>
      <c r="X15" s="29"/>
      <c r="Y15" s="5" t="e">
        <f t="shared" ref="Y15:Y17" si="24">(X15-H15)/H15</f>
        <v>#DIV/0!</v>
      </c>
      <c r="Z15" s="32">
        <f t="shared" ref="Z15:Z17" si="25">F15/F$20</f>
        <v>0</v>
      </c>
      <c r="AB15" s="58"/>
      <c r="AC15" s="9"/>
    </row>
    <row r="16" spans="1:29" x14ac:dyDescent="0.25">
      <c r="C16" s="25"/>
      <c r="D16" s="2"/>
      <c r="E16" s="26"/>
      <c r="F16" s="3">
        <f t="shared" si="13"/>
        <v>0</v>
      </c>
      <c r="G16" s="3"/>
      <c r="H16" s="4" t="e">
        <f t="shared" si="14"/>
        <v>#DIV/0!</v>
      </c>
      <c r="I16" s="3">
        <f t="shared" si="15"/>
        <v>0</v>
      </c>
      <c r="J16" s="26" t="e">
        <f t="shared" si="16"/>
        <v>#DIV/0!</v>
      </c>
      <c r="K16" s="27"/>
      <c r="L16">
        <f t="shared" si="17"/>
        <v>45287</v>
      </c>
      <c r="M16" s="5" t="e">
        <f t="shared" si="18"/>
        <v>#DIV/0!</v>
      </c>
      <c r="P16" s="63"/>
      <c r="Q16" s="28"/>
      <c r="R16" s="29">
        <f t="shared" si="19"/>
        <v>0</v>
      </c>
      <c r="S16" s="29"/>
      <c r="T16" s="28">
        <f t="shared" si="20"/>
        <v>0</v>
      </c>
      <c r="U16" s="28">
        <f t="shared" si="21"/>
        <v>0</v>
      </c>
      <c r="V16" s="28">
        <f t="shared" si="22"/>
        <v>0</v>
      </c>
      <c r="W16" s="28" t="e">
        <f t="shared" si="23"/>
        <v>#DIV/0!</v>
      </c>
      <c r="X16" s="29"/>
      <c r="Y16" s="5" t="e">
        <f t="shared" si="24"/>
        <v>#DIV/0!</v>
      </c>
      <c r="Z16" s="32">
        <f t="shared" si="25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3"/>
        <v>0</v>
      </c>
      <c r="G17" s="39"/>
      <c r="H17" s="40" t="e">
        <f t="shared" si="14"/>
        <v>#DIV/0!</v>
      </c>
      <c r="I17" s="39">
        <f t="shared" si="15"/>
        <v>0</v>
      </c>
      <c r="J17" s="38" t="e">
        <f t="shared" si="16"/>
        <v>#DIV/0!</v>
      </c>
      <c r="K17" s="41"/>
      <c r="L17" s="35">
        <f t="shared" si="17"/>
        <v>45287</v>
      </c>
      <c r="M17" s="42" t="e">
        <f t="shared" si="18"/>
        <v>#DIV/0!</v>
      </c>
      <c r="N17" s="35"/>
      <c r="O17" s="35"/>
      <c r="P17" s="65"/>
      <c r="Q17" s="44"/>
      <c r="R17" s="45">
        <f t="shared" si="19"/>
        <v>0</v>
      </c>
      <c r="S17" s="45"/>
      <c r="T17" s="46">
        <f t="shared" si="20"/>
        <v>0</v>
      </c>
      <c r="U17" s="44">
        <f t="shared" si="21"/>
        <v>0</v>
      </c>
      <c r="V17" s="44">
        <f t="shared" si="22"/>
        <v>0</v>
      </c>
      <c r="W17" s="44" t="e">
        <f t="shared" si="23"/>
        <v>#DIV/0!</v>
      </c>
      <c r="X17" s="45"/>
      <c r="Y17" s="42" t="e">
        <f t="shared" si="24"/>
        <v>#DIV/0!</v>
      </c>
      <c r="Z17" s="47">
        <f t="shared" si="25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577378.23029700003</v>
      </c>
      <c r="G18" s="3">
        <f>SUM(G6:G17)</f>
        <v>385195.1581</v>
      </c>
      <c r="H18" s="4"/>
      <c r="I18" s="3">
        <f>SUM(I6:I17)</f>
        <v>192183.072197</v>
      </c>
      <c r="M18" s="5"/>
      <c r="Z18" s="6"/>
    </row>
    <row r="19" spans="1:29" x14ac:dyDescent="0.25">
      <c r="D19" s="2" t="s">
        <v>44</v>
      </c>
      <c r="F19" s="3">
        <v>132507</v>
      </c>
      <c r="G19" s="6">
        <f>F19/F20</f>
        <v>0.18665975054103048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709885.23029700003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'10-10-24'!F20</f>
        <v>687604.46834799997</v>
      </c>
      <c r="K21" s="1">
        <v>45657</v>
      </c>
      <c r="L21" s="50">
        <v>170762</v>
      </c>
      <c r="M21" s="50">
        <v>245608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3.2403457183067148E-2</v>
      </c>
      <c r="K22" s="9" t="s">
        <v>123</v>
      </c>
      <c r="L22" s="6">
        <f>(M21-L21)/L21</f>
        <v>0.43830594628781577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26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26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27">F28/D28</f>
        <v>44.698790833464948</v>
      </c>
      <c r="F28" s="3">
        <v>56489.42</v>
      </c>
      <c r="G28" s="56">
        <v>75501.87</v>
      </c>
      <c r="H28" s="57">
        <f t="shared" ref="H28:H58" si="28">G28/D28</f>
        <v>59.742909285764696</v>
      </c>
      <c r="I28" s="57">
        <f t="shared" ref="I28:I58" si="29">G28-F28</f>
        <v>19012.449999999997</v>
      </c>
      <c r="J28" s="6">
        <f t="shared" ref="J28:J58" si="30">I28/F28</f>
        <v>0.33656656414599401</v>
      </c>
      <c r="K28" s="1">
        <v>45527</v>
      </c>
      <c r="L28" s="1">
        <v>45688</v>
      </c>
      <c r="M28">
        <f t="shared" si="26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27"/>
        <v>169.90901206845703</v>
      </c>
      <c r="F29" s="3">
        <f>59492.79+21969.78</f>
        <v>81462.570000000007</v>
      </c>
      <c r="G29" s="56">
        <v>65047.58</v>
      </c>
      <c r="H29" s="57">
        <f t="shared" si="28"/>
        <v>135.67175765807443</v>
      </c>
      <c r="I29" s="57">
        <f t="shared" si="29"/>
        <v>-16414.990000000005</v>
      </c>
      <c r="J29" s="6">
        <f t="shared" si="30"/>
        <v>-0.20150346349249729</v>
      </c>
      <c r="K29" s="1">
        <v>45671</v>
      </c>
      <c r="L29" s="1">
        <v>45688</v>
      </c>
      <c r="M29">
        <f t="shared" si="26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27"/>
        <v>18.702010092477405</v>
      </c>
      <c r="F30" s="3">
        <v>56486.59</v>
      </c>
      <c r="G30" s="56">
        <v>71124.88</v>
      </c>
      <c r="H30" s="57">
        <f t="shared" si="28"/>
        <v>23.548566546258936</v>
      </c>
      <c r="I30" s="57">
        <f t="shared" si="29"/>
        <v>14638.290000000008</v>
      </c>
      <c r="J30" s="6">
        <f t="shared" si="30"/>
        <v>0.25914628587068206</v>
      </c>
      <c r="K30" s="1">
        <v>45527</v>
      </c>
      <c r="L30" s="1">
        <v>45691</v>
      </c>
      <c r="M30">
        <f t="shared" si="26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27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28"/>
        <v>38.249853000000002</v>
      </c>
      <c r="I31" s="57">
        <f t="shared" si="29"/>
        <v>-6110.386336591735</v>
      </c>
      <c r="J31" s="6">
        <f t="shared" si="30"/>
        <v>-0.10005621882176895</v>
      </c>
      <c r="K31" s="1">
        <v>45706</v>
      </c>
      <c r="L31" s="1">
        <v>45708</v>
      </c>
      <c r="M31">
        <f t="shared" si="26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27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28"/>
        <v>531.63995279999995</v>
      </c>
      <c r="I32" s="57">
        <f t="shared" si="29"/>
        <v>-22176.243614196137</v>
      </c>
      <c r="J32" s="6">
        <f t="shared" si="30"/>
        <v>-0.24194911929355969</v>
      </c>
      <c r="K32" s="1">
        <v>45706</v>
      </c>
      <c r="L32" s="1">
        <v>45708</v>
      </c>
      <c r="M32">
        <f t="shared" si="26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27"/>
        <v>368.56522253629635</v>
      </c>
      <c r="F33" s="3">
        <v>74438.86</v>
      </c>
      <c r="G33" s="56">
        <f>201.9693*360.5332483</f>
        <v>72816.647785877198</v>
      </c>
      <c r="H33" s="57">
        <f t="shared" si="28"/>
        <v>360.53324830000003</v>
      </c>
      <c r="I33" s="57">
        <f t="shared" si="29"/>
        <v>-1622.2122141228028</v>
      </c>
      <c r="J33" s="6">
        <f t="shared" si="30"/>
        <v>-2.1792545105107773E-2</v>
      </c>
      <c r="K33" s="1">
        <v>45664</v>
      </c>
      <c r="L33" s="1">
        <v>45708</v>
      </c>
      <c r="M33">
        <f t="shared" si="26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27"/>
        <v>30.17825528482809</v>
      </c>
      <c r="F34" s="3">
        <v>37884.65</v>
      </c>
      <c r="G34" s="56">
        <f>1255.3625*39.762296</f>
        <v>49916.0953123</v>
      </c>
      <c r="H34" s="57">
        <f t="shared" si="28"/>
        <v>39.762295999999999</v>
      </c>
      <c r="I34" s="57">
        <f t="shared" si="29"/>
        <v>12031.445312299998</v>
      </c>
      <c r="J34" s="6">
        <f t="shared" si="30"/>
        <v>0.31758100740801348</v>
      </c>
      <c r="K34" s="1">
        <v>45663</v>
      </c>
      <c r="L34" s="1">
        <v>45709</v>
      </c>
      <c r="M34">
        <f t="shared" si="26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27"/>
        <v>242.26930551548847</v>
      </c>
      <c r="F35" s="3">
        <v>61221.72</v>
      </c>
      <c r="G35" s="56">
        <f>252.7011*226.6146532</f>
        <v>57265.772139758519</v>
      </c>
      <c r="H35" s="57">
        <f t="shared" si="28"/>
        <v>226.61465319999999</v>
      </c>
      <c r="I35" s="57">
        <f t="shared" si="29"/>
        <v>-3955.947860241482</v>
      </c>
      <c r="J35" s="6">
        <f t="shared" si="30"/>
        <v>-6.4616738311852093E-2</v>
      </c>
      <c r="K35" s="1">
        <v>45699</v>
      </c>
      <c r="L35" s="1">
        <v>45709</v>
      </c>
      <c r="M35">
        <f t="shared" si="26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27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28"/>
        <v>283.93999450000007</v>
      </c>
      <c r="I36" s="57">
        <f t="shared" si="29"/>
        <v>19563.525282954361</v>
      </c>
      <c r="J36" s="6">
        <f t="shared" si="30"/>
        <v>0.36434300703793465</v>
      </c>
      <c r="K36" s="1">
        <v>45580</v>
      </c>
      <c r="L36" s="1">
        <v>45712</v>
      </c>
      <c r="M36">
        <f t="shared" si="26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27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28"/>
        <v>63.365330900000004</v>
      </c>
      <c r="I37" s="57">
        <f t="shared" si="29"/>
        <v>-4549.5912833559851</v>
      </c>
      <c r="J37" s="6">
        <f t="shared" si="30"/>
        <v>-5.9638082078758516E-2</v>
      </c>
      <c r="K37" s="1">
        <v>45673</v>
      </c>
      <c r="L37" s="1">
        <v>45712</v>
      </c>
      <c r="M37">
        <f t="shared" si="26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28"/>
        <v>50.021380499999999</v>
      </c>
      <c r="I38" s="57">
        <f t="shared" si="29"/>
        <v>6027.2875116823998</v>
      </c>
      <c r="J38" s="6">
        <f t="shared" si="30"/>
        <v>9.9771440635884723E-2</v>
      </c>
      <c r="K38" s="1">
        <v>45593</v>
      </c>
      <c r="L38" s="1">
        <v>45713</v>
      </c>
      <c r="M38">
        <f t="shared" si="26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28"/>
        <v>12.519992000000002</v>
      </c>
      <c r="I39" s="57">
        <f t="shared" si="29"/>
        <v>-2230.6527810991975</v>
      </c>
      <c r="J39" s="6">
        <f t="shared" si="30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28"/>
        <v>94.679995300000002</v>
      </c>
      <c r="I40" s="57">
        <f t="shared" si="29"/>
        <v>-4750.690604140058</v>
      </c>
      <c r="J40" s="6">
        <f t="shared" si="30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60" si="31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28"/>
        <v>18.9477051</v>
      </c>
      <c r="I41" s="57">
        <f t="shared" si="29"/>
        <v>-2244.5195874142191</v>
      </c>
      <c r="J41" s="6">
        <f t="shared" si="30"/>
        <v>-8.2776138273503941E-2</v>
      </c>
      <c r="K41" s="1">
        <v>45761</v>
      </c>
      <c r="L41" s="1">
        <v>45768</v>
      </c>
      <c r="M41">
        <f t="shared" ref="M41:M60" si="32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31"/>
        <v>96.336406065231671</v>
      </c>
      <c r="F42" s="3">
        <v>34004.42</v>
      </c>
      <c r="G42" s="56">
        <f>352.9758*89.7849585</f>
        <v>31691.9175545043</v>
      </c>
      <c r="H42" s="57">
        <f t="shared" si="28"/>
        <v>89.784958500000002</v>
      </c>
      <c r="I42" s="57">
        <f t="shared" si="29"/>
        <v>-2312.5024454956983</v>
      </c>
      <c r="J42" s="6">
        <f t="shared" si="30"/>
        <v>-6.8005937036882222E-2</v>
      </c>
      <c r="K42" s="1">
        <v>45762</v>
      </c>
      <c r="L42" s="1">
        <v>45768</v>
      </c>
      <c r="M42">
        <f t="shared" si="32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31"/>
        <v>16.992624876012847</v>
      </c>
      <c r="F43" s="3">
        <v>37971.83</v>
      </c>
      <c r="G43" s="56">
        <f>2234.6065*13.3067232</f>
        <v>29735.2901564208</v>
      </c>
      <c r="H43" s="57">
        <f t="shared" si="28"/>
        <v>13.3067232</v>
      </c>
      <c r="I43" s="57">
        <f t="shared" si="29"/>
        <v>-8236.5398435792013</v>
      </c>
      <c r="J43" s="6">
        <f t="shared" si="30"/>
        <v>-0.21691184869360261</v>
      </c>
      <c r="K43" s="1">
        <v>45652</v>
      </c>
      <c r="L43" s="1">
        <v>45785</v>
      </c>
      <c r="M43">
        <f t="shared" si="32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31"/>
        <v>38.101812248436303</v>
      </c>
      <c r="F44" s="3">
        <v>21940.86</v>
      </c>
      <c r="G44" s="56">
        <f>575.8482*32.7857042</f>
        <v>18879.588749302438</v>
      </c>
      <c r="H44" s="57">
        <f t="shared" si="28"/>
        <v>32.785704199999998</v>
      </c>
      <c r="I44" s="57">
        <f t="shared" si="29"/>
        <v>-3061.2712506975622</v>
      </c>
      <c r="J44" s="6">
        <f t="shared" si="30"/>
        <v>-0.13952375844417958</v>
      </c>
      <c r="K44" s="1">
        <v>45761</v>
      </c>
      <c r="L44" s="1">
        <v>45790</v>
      </c>
      <c r="M44">
        <f t="shared" si="32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31"/>
        <v>24.570291674143743</v>
      </c>
      <c r="F45" s="3">
        <v>23591.34</v>
      </c>
      <c r="G45" s="56">
        <v>19396.37</v>
      </c>
      <c r="H45" s="57">
        <f t="shared" si="28"/>
        <v>20.201246233559068</v>
      </c>
      <c r="I45" s="57">
        <f t="shared" si="29"/>
        <v>-4194.9700000000012</v>
      </c>
      <c r="J45" s="6">
        <f t="shared" si="30"/>
        <v>-0.17781821634548953</v>
      </c>
      <c r="K45" s="1">
        <v>45776</v>
      </c>
      <c r="L45" s="1">
        <v>45812</v>
      </c>
      <c r="M45">
        <f t="shared" si="32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31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28"/>
        <v>84.038907800000004</v>
      </c>
      <c r="I46" s="57">
        <f t="shared" si="29"/>
        <v>-3907.8121523372101</v>
      </c>
      <c r="J46" s="6">
        <f t="shared" si="30"/>
        <v>-0.14246372001691271</v>
      </c>
      <c r="K46" s="1">
        <v>45782</v>
      </c>
      <c r="L46" s="1">
        <v>45818</v>
      </c>
      <c r="M46">
        <f t="shared" si="32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31"/>
        <v>40.437100849618155</v>
      </c>
      <c r="F47" s="3">
        <f>22877.09+14244.67</f>
        <v>37121.760000000002</v>
      </c>
      <c r="G47" s="56">
        <v>34659.56</v>
      </c>
      <c r="H47" s="57">
        <f t="shared" si="28"/>
        <v>37.755002002151599</v>
      </c>
      <c r="I47" s="57">
        <f t="shared" si="29"/>
        <v>-2462.2000000000044</v>
      </c>
      <c r="J47" s="6">
        <f t="shared" si="30"/>
        <v>-6.6327674118899643E-2</v>
      </c>
      <c r="K47" s="1">
        <v>45782</v>
      </c>
      <c r="L47" s="1">
        <v>45828</v>
      </c>
      <c r="M47">
        <f t="shared" si="32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31"/>
        <v>123.70183817297092</v>
      </c>
      <c r="F48" s="3">
        <f>22876.67+14197.82+14808.77</f>
        <v>51883.259999999995</v>
      </c>
      <c r="G48" s="56">
        <v>55156.07</v>
      </c>
      <c r="H48" s="57">
        <f t="shared" si="28"/>
        <v>131.50498340692272</v>
      </c>
      <c r="I48" s="57">
        <f t="shared" si="29"/>
        <v>3272.8100000000049</v>
      </c>
      <c r="J48" s="6">
        <f t="shared" si="30"/>
        <v>6.3080269050171583E-2</v>
      </c>
      <c r="K48" s="1">
        <v>45782</v>
      </c>
      <c r="L48" s="1">
        <v>45839</v>
      </c>
      <c r="M48">
        <f t="shared" si="32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31"/>
        <v>63.194998844628557</v>
      </c>
      <c r="F49" s="3">
        <v>36072.47</v>
      </c>
      <c r="G49" s="56">
        <v>51786.91</v>
      </c>
      <c r="H49" s="57">
        <f t="shared" si="28"/>
        <v>90.724968864535285</v>
      </c>
      <c r="I49" s="57">
        <f t="shared" si="29"/>
        <v>15714.440000000002</v>
      </c>
      <c r="J49" s="6">
        <f t="shared" si="30"/>
        <v>0.43563526423336141</v>
      </c>
      <c r="K49" s="1">
        <v>45796</v>
      </c>
      <c r="L49" s="1">
        <v>45839</v>
      </c>
      <c r="M49">
        <f t="shared" si="32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31"/>
        <v>90.254808370121239</v>
      </c>
      <c r="F50" s="3">
        <f>35895.15+19479.74</f>
        <v>55374.89</v>
      </c>
      <c r="G50" s="56">
        <v>55236.959999999999</v>
      </c>
      <c r="H50" s="57">
        <f t="shared" si="28"/>
        <v>90.029998068584007</v>
      </c>
      <c r="I50" s="57">
        <f t="shared" si="29"/>
        <v>-137.93000000000029</v>
      </c>
      <c r="J50" s="6">
        <f t="shared" si="30"/>
        <v>-2.4908401623912986E-3</v>
      </c>
      <c r="K50" s="1">
        <v>45789</v>
      </c>
      <c r="L50" s="1">
        <v>45855</v>
      </c>
      <c r="M50">
        <f t="shared" si="32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31"/>
        <v>113.05354718581073</v>
      </c>
      <c r="F51" s="3">
        <v>45409.8</v>
      </c>
      <c r="G51" s="56">
        <v>41051.0026</v>
      </c>
      <c r="H51" s="57">
        <f t="shared" si="28"/>
        <v>102.2017595202784</v>
      </c>
      <c r="I51" s="57">
        <f t="shared" si="29"/>
        <v>-4358.7974000000031</v>
      </c>
      <c r="J51" s="6">
        <f t="shared" si="30"/>
        <v>-9.5988033420098803E-2</v>
      </c>
      <c r="K51" s="1">
        <v>45855</v>
      </c>
      <c r="L51" s="1">
        <v>45860</v>
      </c>
      <c r="M51">
        <f t="shared" si="32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31"/>
        <v>17.339829156069133</v>
      </c>
      <c r="F52" s="3">
        <v>22797.23</v>
      </c>
      <c r="G52" s="56">
        <v>18655.11</v>
      </c>
      <c r="H52" s="57">
        <f t="shared" si="28"/>
        <v>14.189286167121043</v>
      </c>
      <c r="I52" s="57">
        <f t="shared" si="29"/>
        <v>-4142.119999999999</v>
      </c>
      <c r="J52" s="6">
        <f t="shared" si="30"/>
        <v>-0.18169400405224664</v>
      </c>
      <c r="K52" s="1">
        <v>45861</v>
      </c>
      <c r="L52" s="1">
        <v>45870</v>
      </c>
      <c r="M52">
        <f t="shared" si="32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31"/>
        <v>74.757798491837917</v>
      </c>
      <c r="F53" s="3">
        <f>26856.13+12527.28</f>
        <v>39383.410000000003</v>
      </c>
      <c r="G53" s="56">
        <v>67176.488400000002</v>
      </c>
      <c r="H53" s="57">
        <f t="shared" si="28"/>
        <v>127.51476784759082</v>
      </c>
      <c r="I53" s="57">
        <f t="shared" si="29"/>
        <v>27793.078399999999</v>
      </c>
      <c r="J53" s="6">
        <f t="shared" si="30"/>
        <v>0.7057052296893539</v>
      </c>
      <c r="K53" s="1">
        <v>45789</v>
      </c>
      <c r="L53" s="1">
        <v>45870</v>
      </c>
      <c r="M53">
        <f t="shared" si="32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31"/>
        <v>22.651928580010882</v>
      </c>
      <c r="F54" s="3">
        <f>18821.97+11334.33+20180.34</f>
        <v>50336.639999999999</v>
      </c>
      <c r="G54" s="56">
        <v>42713.83</v>
      </c>
      <c r="H54" s="57">
        <f t="shared" si="28"/>
        <v>19.221597360068653</v>
      </c>
      <c r="I54" s="57">
        <f t="shared" si="29"/>
        <v>-7622.8099999999977</v>
      </c>
      <c r="J54" s="6">
        <f t="shared" si="30"/>
        <v>-0.15143660760829483</v>
      </c>
      <c r="K54" s="1">
        <v>45814</v>
      </c>
      <c r="L54" s="1">
        <v>45880</v>
      </c>
      <c r="M54">
        <f t="shared" si="32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31"/>
        <v>30.926801697408081</v>
      </c>
      <c r="F55" s="3">
        <f>(605.0016*29.7738017)+17708.65</f>
        <v>35721.847666582718</v>
      </c>
      <c r="G55" s="56">
        <v>42554.27</v>
      </c>
      <c r="H55" s="57">
        <f t="shared" si="28"/>
        <v>36.842088403482109</v>
      </c>
      <c r="I55" s="57">
        <f t="shared" si="29"/>
        <v>6832.4223334172784</v>
      </c>
      <c r="J55" s="6">
        <f t="shared" si="30"/>
        <v>0.1912673274123195</v>
      </c>
      <c r="K55" s="1">
        <v>45800</v>
      </c>
      <c r="L55" s="1">
        <v>45881</v>
      </c>
      <c r="M55">
        <f t="shared" si="32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31"/>
        <v>377.42204050678822</v>
      </c>
      <c r="F56" s="3">
        <f>34962.9+15401.92</f>
        <v>50364.82</v>
      </c>
      <c r="G56" s="56">
        <v>81517.961800000005</v>
      </c>
      <c r="H56" s="57">
        <f t="shared" si="28"/>
        <v>610.87631168959638</v>
      </c>
      <c r="I56" s="57">
        <f t="shared" si="29"/>
        <v>31153.141800000005</v>
      </c>
      <c r="J56" s="6">
        <f t="shared" si="30"/>
        <v>0.61854965033132259</v>
      </c>
      <c r="K56" s="1">
        <v>45771</v>
      </c>
      <c r="L56" s="1">
        <v>45884</v>
      </c>
      <c r="M56">
        <f t="shared" si="32"/>
        <v>111</v>
      </c>
    </row>
    <row r="57" spans="1:13" x14ac:dyDescent="0.25">
      <c r="A57" t="s">
        <v>138</v>
      </c>
      <c r="B57" t="s">
        <v>30</v>
      </c>
      <c r="C57" s="25" t="s">
        <v>139</v>
      </c>
      <c r="D57" s="2">
        <v>345.54309999999998</v>
      </c>
      <c r="E57" s="57">
        <f t="shared" si="31"/>
        <v>133.9832570813887</v>
      </c>
      <c r="F57" s="3">
        <v>46296.99</v>
      </c>
      <c r="G57" s="56">
        <v>42812.79</v>
      </c>
      <c r="H57" s="57">
        <f t="shared" si="28"/>
        <v>123.89999973954046</v>
      </c>
      <c r="I57" s="57">
        <f t="shared" si="29"/>
        <v>-3484.1999999999971</v>
      </c>
      <c r="J57" s="6">
        <f t="shared" si="30"/>
        <v>-7.525759234023631E-2</v>
      </c>
      <c r="K57" s="1">
        <v>45897</v>
      </c>
      <c r="L57" s="1">
        <v>45904</v>
      </c>
      <c r="M57">
        <f t="shared" si="32"/>
        <v>6</v>
      </c>
    </row>
    <row r="58" spans="1:13" x14ac:dyDescent="0.25">
      <c r="A58" t="s">
        <v>136</v>
      </c>
      <c r="B58" t="s">
        <v>30</v>
      </c>
      <c r="C58" s="25" t="s">
        <v>137</v>
      </c>
      <c r="D58" s="2">
        <v>287.49</v>
      </c>
      <c r="E58" s="57">
        <f t="shared" si="31"/>
        <v>198.81999373891267</v>
      </c>
      <c r="F58" s="3">
        <v>57158.76</v>
      </c>
      <c r="G58" s="56">
        <v>56889.83</v>
      </c>
      <c r="H58" s="57">
        <f t="shared" si="28"/>
        <v>197.88455250617412</v>
      </c>
      <c r="I58" s="57">
        <f t="shared" si="29"/>
        <v>-268.93000000000029</v>
      </c>
      <c r="J58" s="6">
        <f t="shared" si="30"/>
        <v>-4.7049656080712784E-3</v>
      </c>
      <c r="K58" s="1">
        <v>45895</v>
      </c>
      <c r="L58" s="1">
        <v>45936</v>
      </c>
      <c r="M58">
        <f t="shared" si="32"/>
        <v>40</v>
      </c>
    </row>
    <row r="59" spans="1:13" x14ac:dyDescent="0.25">
      <c r="A59" t="s">
        <v>142</v>
      </c>
      <c r="B59" t="s">
        <v>30</v>
      </c>
      <c r="C59" s="25" t="s">
        <v>143</v>
      </c>
      <c r="D59" s="2">
        <v>502.0591</v>
      </c>
      <c r="E59" s="57">
        <f t="shared" si="31"/>
        <v>141.49505506423449</v>
      </c>
      <c r="F59" s="3">
        <v>71038.880000000005</v>
      </c>
      <c r="G59" s="56">
        <v>69446.240000000005</v>
      </c>
      <c r="H59" s="57">
        <f t="shared" ref="H59:H60" si="33">G59/D59</f>
        <v>138.3228388849042</v>
      </c>
      <c r="I59" s="57">
        <f t="shared" ref="I59:I60" si="34">G59-F59</f>
        <v>-1592.6399999999994</v>
      </c>
      <c r="J59" s="6">
        <f t="shared" ref="J59:J60" si="35">I59/F59</f>
        <v>-2.2419272375915827E-2</v>
      </c>
      <c r="K59" s="1">
        <v>45909</v>
      </c>
      <c r="L59" s="1">
        <v>45944</v>
      </c>
      <c r="M59">
        <f t="shared" si="32"/>
        <v>35</v>
      </c>
    </row>
    <row r="60" spans="1:13" x14ac:dyDescent="0.25">
      <c r="A60" t="s">
        <v>69</v>
      </c>
      <c r="B60" t="s">
        <v>30</v>
      </c>
      <c r="C60" s="25" t="s">
        <v>70</v>
      </c>
      <c r="D60" s="2">
        <v>143.2704</v>
      </c>
      <c r="E60" s="57">
        <f t="shared" si="31"/>
        <v>63.860015746448674</v>
      </c>
      <c r="F60" s="3">
        <v>9149.25</v>
      </c>
      <c r="G60" s="56">
        <v>25648.23</v>
      </c>
      <c r="H60" s="57">
        <f t="shared" si="33"/>
        <v>179.01974169123559</v>
      </c>
      <c r="I60" s="57">
        <f t="shared" si="34"/>
        <v>16498.98</v>
      </c>
      <c r="J60" s="6">
        <f t="shared" si="35"/>
        <v>1.8033150258217887</v>
      </c>
      <c r="K60" s="1">
        <v>45854</v>
      </c>
      <c r="L60" s="1">
        <v>45945</v>
      </c>
      <c r="M60">
        <f t="shared" si="32"/>
        <v>89</v>
      </c>
    </row>
    <row r="61" spans="1:13" x14ac:dyDescent="0.25">
      <c r="C61" s="25"/>
      <c r="D61" s="2"/>
      <c r="E61" s="57"/>
      <c r="F61" s="3"/>
      <c r="G61" s="56"/>
      <c r="H61" s="57"/>
      <c r="I61" s="57"/>
      <c r="J61" s="6"/>
      <c r="K61" s="1"/>
      <c r="L61" s="1"/>
    </row>
    <row r="62" spans="1:13" x14ac:dyDescent="0.25">
      <c r="C62" s="25"/>
      <c r="D62" s="2"/>
      <c r="E62" s="57"/>
      <c r="F62" s="3"/>
      <c r="G62" s="56"/>
      <c r="H62" s="57"/>
      <c r="I62" s="57"/>
      <c r="J62" s="6"/>
      <c r="K62" s="1"/>
      <c r="L62" s="1"/>
    </row>
    <row r="63" spans="1:13" x14ac:dyDescent="0.25">
      <c r="C63" s="25"/>
      <c r="D63" s="2"/>
      <c r="E63" s="57"/>
      <c r="F63" s="3"/>
      <c r="G63" s="56"/>
      <c r="H63" s="57"/>
      <c r="I63" s="57"/>
      <c r="J63" s="6"/>
      <c r="K63" s="1"/>
      <c r="L63" s="1"/>
    </row>
    <row r="64" spans="1:13" x14ac:dyDescent="0.25">
      <c r="C64" s="25"/>
      <c r="D64" s="2"/>
      <c r="E64" s="57"/>
      <c r="F64" s="3"/>
      <c r="G64" s="56"/>
      <c r="H64" s="57"/>
      <c r="I64" s="57"/>
      <c r="J64" s="6"/>
      <c r="K64" s="1"/>
      <c r="L64" s="1"/>
    </row>
    <row r="65" spans="6:10" x14ac:dyDescent="0.25">
      <c r="F65" s="56"/>
      <c r="G65" s="56"/>
      <c r="H65" s="3"/>
      <c r="I65" s="3">
        <f>SUM(I26:I64)</f>
        <v>54935.893267082763</v>
      </c>
      <c r="J65" s="13" t="s">
        <v>66</v>
      </c>
    </row>
    <row r="66" spans="6:10" x14ac:dyDescent="0.25">
      <c r="F66" s="56"/>
      <c r="G66" s="56"/>
      <c r="H66" s="3" t="s">
        <v>67</v>
      </c>
      <c r="I66" s="59">
        <v>24</v>
      </c>
      <c r="J66" s="5">
        <v>-0.1003</v>
      </c>
    </row>
    <row r="67" spans="6:10" x14ac:dyDescent="0.25">
      <c r="F67" s="56"/>
      <c r="G67" s="56"/>
      <c r="H67" s="3" t="s">
        <v>68</v>
      </c>
      <c r="I67" s="59">
        <v>11</v>
      </c>
      <c r="J67" s="5">
        <v>0.4723</v>
      </c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  <c r="J77" s="6"/>
    </row>
    <row r="78" spans="6:10" x14ac:dyDescent="0.25">
      <c r="F78" s="56"/>
      <c r="G78" s="56"/>
      <c r="J78" s="6"/>
    </row>
    <row r="79" spans="6:10" x14ac:dyDescent="0.25">
      <c r="F79" s="56"/>
      <c r="G79" s="56"/>
      <c r="J79" s="6"/>
    </row>
    <row r="80" spans="6:10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  <c r="J86" s="6"/>
    </row>
    <row r="87" spans="6:10" x14ac:dyDescent="0.25">
      <c r="F87" s="56"/>
      <c r="G87" s="56"/>
      <c r="J87" s="6"/>
    </row>
    <row r="88" spans="6:10" x14ac:dyDescent="0.25">
      <c r="F88" s="56"/>
      <c r="G88" s="56"/>
      <c r="J88" s="6"/>
    </row>
    <row r="89" spans="6:10" x14ac:dyDescent="0.25">
      <c r="F89" s="56"/>
      <c r="G89" s="56"/>
      <c r="J89" s="6"/>
    </row>
    <row r="90" spans="6:10" x14ac:dyDescent="0.25">
      <c r="F90" s="56"/>
      <c r="G90" s="56"/>
      <c r="J90" s="6"/>
    </row>
    <row r="91" spans="6:10" x14ac:dyDescent="0.25">
      <c r="F91" s="56"/>
      <c r="G91" s="56"/>
    </row>
    <row r="92" spans="6:10" x14ac:dyDescent="0.25">
      <c r="F92" s="56"/>
      <c r="G92" s="56"/>
    </row>
    <row r="93" spans="6:10" x14ac:dyDescent="0.25">
      <c r="F93" s="56"/>
      <c r="G93" s="56"/>
    </row>
    <row r="94" spans="6:10" x14ac:dyDescent="0.25">
      <c r="F94" s="56"/>
      <c r="G94" s="56"/>
    </row>
    <row r="95" spans="6:10" x14ac:dyDescent="0.25">
      <c r="F95" s="56"/>
      <c r="G95" s="56"/>
    </row>
    <row r="96" spans="6:10" x14ac:dyDescent="0.25">
      <c r="F96" s="56"/>
      <c r="G96" s="56"/>
    </row>
  </sheetData>
  <sortState xmlns:xlrd2="http://schemas.microsoft.com/office/spreadsheetml/2017/richdata2" ref="A7:AC13">
    <sortCondition descending="1" ref="L7:L13"/>
  </sortState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64CF-DFE3-4462-B9C3-87B8C97C3489}">
  <dimension ref="A1:AC96"/>
  <sheetViews>
    <sheetView workbookViewId="0">
      <selection activeCell="M22" sqref="M22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45954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124</v>
      </c>
      <c r="B7" t="s">
        <v>30</v>
      </c>
      <c r="C7" s="25" t="s">
        <v>125</v>
      </c>
      <c r="D7" s="2">
        <f>915.359+608.2121</f>
        <v>1523.5711000000001</v>
      </c>
      <c r="E7" s="26">
        <v>64.56</v>
      </c>
      <c r="F7" s="3">
        <f>E7*D7</f>
        <v>98361.750216000015</v>
      </c>
      <c r="G7" s="3">
        <f>28630.6+20162.2481</f>
        <v>48792.848100000003</v>
      </c>
      <c r="H7" s="4">
        <f>G7/D7</f>
        <v>32.025317426932027</v>
      </c>
      <c r="I7" s="3">
        <f>F7-G7</f>
        <v>49568.902116000012</v>
      </c>
      <c r="J7" s="26">
        <f>E7-H7</f>
        <v>32.534682573067975</v>
      </c>
      <c r="K7" s="27">
        <v>45817</v>
      </c>
      <c r="L7">
        <f>DAYS360(K7,$C$1)</f>
        <v>135</v>
      </c>
      <c r="M7" s="5">
        <f>(I7/G7)</f>
        <v>1.0159050772033127</v>
      </c>
      <c r="N7">
        <v>29</v>
      </c>
      <c r="O7">
        <v>98</v>
      </c>
      <c r="P7" s="63">
        <v>8</v>
      </c>
      <c r="Q7" s="28">
        <v>50.92</v>
      </c>
      <c r="R7" s="29">
        <f>Q7*0.93</f>
        <v>47.355600000000003</v>
      </c>
      <c r="S7" s="29">
        <v>26.45</v>
      </c>
      <c r="T7" s="28">
        <f>Q7*1.25</f>
        <v>63.650000000000006</v>
      </c>
      <c r="U7" s="28">
        <f>Q7*1.5</f>
        <v>76.38</v>
      </c>
      <c r="V7" s="28">
        <f>Q7*2</f>
        <v>101.84</v>
      </c>
      <c r="W7" s="28">
        <f>H7-(H7*0.07)</f>
        <v>29.783545207046785</v>
      </c>
      <c r="X7" s="29">
        <v>52</v>
      </c>
      <c r="Y7" s="5">
        <f>(X7-H7)/H7</f>
        <v>0.62371536577714148</v>
      </c>
      <c r="Z7" s="6">
        <f>F7/F$20</f>
        <v>0.14165880945895623</v>
      </c>
      <c r="AB7" s="58">
        <v>45971</v>
      </c>
      <c r="AC7" s="63">
        <v>79</v>
      </c>
    </row>
    <row r="8" spans="1:29" x14ac:dyDescent="0.25">
      <c r="A8" t="s">
        <v>128</v>
      </c>
      <c r="B8" t="s">
        <v>30</v>
      </c>
      <c r="C8" s="25" t="s">
        <v>129</v>
      </c>
      <c r="D8" s="2">
        <f>786.7766+525.5828</f>
        <v>1312.3594000000001</v>
      </c>
      <c r="E8" s="26">
        <v>59.58</v>
      </c>
      <c r="F8" s="3">
        <f>E8*D8</f>
        <v>78190.373051999995</v>
      </c>
      <c r="G8" s="3">
        <f>30514.1+21675.87</f>
        <v>52189.97</v>
      </c>
      <c r="H8" s="4">
        <f>G8/D8</f>
        <v>39.768046771334134</v>
      </c>
      <c r="I8" s="3">
        <f>F8-G8</f>
        <v>26000.403051999994</v>
      </c>
      <c r="J8" s="26">
        <f>E8-H8</f>
        <v>19.811953228665864</v>
      </c>
      <c r="K8" s="27">
        <v>45840</v>
      </c>
      <c r="L8">
        <f>DAYS360(K8,$C$1)</f>
        <v>112</v>
      </c>
      <c r="M8" s="5">
        <f>(I8/G8)</f>
        <v>0.49818773706901909</v>
      </c>
      <c r="N8">
        <v>18</v>
      </c>
      <c r="O8">
        <v>96</v>
      </c>
      <c r="P8" s="64">
        <v>80</v>
      </c>
      <c r="Q8" s="28">
        <v>58.42</v>
      </c>
      <c r="R8" s="29">
        <f>Q8*0.93</f>
        <v>54.330600000000004</v>
      </c>
      <c r="S8" s="29">
        <v>34.869999999999997</v>
      </c>
      <c r="T8" s="31">
        <f>Q8*1.25</f>
        <v>73.025000000000006</v>
      </c>
      <c r="U8" s="28">
        <f>Q8*1.5</f>
        <v>87.63</v>
      </c>
      <c r="V8" s="28">
        <f>Q8*2</f>
        <v>116.84</v>
      </c>
      <c r="W8" s="28">
        <f>H8-(H8*0.07)</f>
        <v>36.984283497340748</v>
      </c>
      <c r="X8" s="29">
        <v>50</v>
      </c>
      <c r="Y8" s="5">
        <f>(X8-H8)/H8</f>
        <v>0.25729081660709896</v>
      </c>
      <c r="Z8" s="6">
        <f>F8/F$20</f>
        <v>0.11260835775466141</v>
      </c>
      <c r="AB8" s="60">
        <v>45959</v>
      </c>
      <c r="AC8" s="9">
        <v>98</v>
      </c>
    </row>
    <row r="9" spans="1:29" x14ac:dyDescent="0.25">
      <c r="A9" t="s">
        <v>134</v>
      </c>
      <c r="B9" t="s">
        <v>30</v>
      </c>
      <c r="C9" s="25" t="s">
        <v>135</v>
      </c>
      <c r="D9" s="2">
        <v>148.3219</v>
      </c>
      <c r="E9" s="26">
        <v>620</v>
      </c>
      <c r="F9" s="3">
        <f>E9*D9</f>
        <v>91959.577999999994</v>
      </c>
      <c r="G9" s="3">
        <v>68650.22</v>
      </c>
      <c r="H9" s="4">
        <f>G9/D9</f>
        <v>462.8461474670969</v>
      </c>
      <c r="I9" s="3">
        <f>F9-G9</f>
        <v>23309.357999999993</v>
      </c>
      <c r="J9" s="26">
        <f>E9-H9</f>
        <v>157.1538525329031</v>
      </c>
      <c r="K9" s="27">
        <v>45895</v>
      </c>
      <c r="L9">
        <f>DAYS360(K9,$C$1)</f>
        <v>58</v>
      </c>
      <c r="M9" s="5">
        <f>(I9/G9)</f>
        <v>0.33953799419725084</v>
      </c>
      <c r="N9">
        <v>48</v>
      </c>
      <c r="O9">
        <v>97</v>
      </c>
      <c r="P9" s="33">
        <v>81</v>
      </c>
      <c r="Q9" s="28">
        <v>473.7</v>
      </c>
      <c r="R9" s="29">
        <f>Q9*0.93</f>
        <v>440.541</v>
      </c>
      <c r="S9" s="29">
        <v>385.19</v>
      </c>
      <c r="T9" s="28">
        <f>Q9*1.25</f>
        <v>592.125</v>
      </c>
      <c r="U9" s="28">
        <f>Q9*1.5</f>
        <v>710.55</v>
      </c>
      <c r="V9" s="28">
        <f>Q9*2</f>
        <v>947.4</v>
      </c>
      <c r="W9" s="28">
        <f>H9-(H9*0.07)</f>
        <v>430.44691714440012</v>
      </c>
      <c r="X9" s="29">
        <v>530</v>
      </c>
      <c r="Y9" s="5">
        <f>(X9-H9)/H9</f>
        <v>0.14508893052345645</v>
      </c>
      <c r="Z9" s="32">
        <f>F9/F$20</f>
        <v>0.13243851709858051</v>
      </c>
      <c r="AB9" s="58">
        <v>45966</v>
      </c>
      <c r="AC9" s="9">
        <v>99</v>
      </c>
    </row>
    <row r="10" spans="1:29" x14ac:dyDescent="0.25">
      <c r="A10" t="s">
        <v>140</v>
      </c>
      <c r="B10" t="s">
        <v>30</v>
      </c>
      <c r="C10" s="25" t="s">
        <v>141</v>
      </c>
      <c r="D10" s="2">
        <f>595.1582+306.9859</f>
        <v>902.14409999999998</v>
      </c>
      <c r="E10" s="26">
        <v>88.13</v>
      </c>
      <c r="F10" s="3">
        <f>E10*D10</f>
        <v>79505.959533000001</v>
      </c>
      <c r="G10" s="3">
        <f>46827.05+24871.38</f>
        <v>71698.430000000008</v>
      </c>
      <c r="H10" s="4">
        <f>G10/D10</f>
        <v>79.475584887159386</v>
      </c>
      <c r="I10" s="3">
        <f>F10-G10</f>
        <v>7807.5295329999935</v>
      </c>
      <c r="J10" s="26">
        <f>E10-H10</f>
        <v>8.6544151128406099</v>
      </c>
      <c r="K10" s="27">
        <v>45897</v>
      </c>
      <c r="L10">
        <f>DAYS360(K10,$C$1)</f>
        <v>56</v>
      </c>
      <c r="M10" s="5">
        <f>(I10/G10)</f>
        <v>0.10889400971541487</v>
      </c>
      <c r="N10">
        <v>3</v>
      </c>
      <c r="O10">
        <v>91</v>
      </c>
      <c r="P10" s="63">
        <v>99</v>
      </c>
      <c r="Q10" s="28">
        <v>78.959999999999994</v>
      </c>
      <c r="R10" s="29">
        <f>Q10*0.93</f>
        <v>73.4328</v>
      </c>
      <c r="S10" s="29">
        <v>68.959999999999994</v>
      </c>
      <c r="T10" s="28">
        <f>Q10*1.25</f>
        <v>98.699999999999989</v>
      </c>
      <c r="U10" s="28">
        <f>Q10*1.5</f>
        <v>118.44</v>
      </c>
      <c r="V10" s="28">
        <f>Q10*2</f>
        <v>157.91999999999999</v>
      </c>
      <c r="W10" s="28">
        <f>H10-(H10*0.07)</f>
        <v>73.912293945058224</v>
      </c>
      <c r="X10" s="29">
        <v>79</v>
      </c>
      <c r="Y10" s="5">
        <f>(X10-H10)/H10</f>
        <v>-5.9840375863182129E-3</v>
      </c>
      <c r="Z10" s="6">
        <f>F10/F$20</f>
        <v>0.11450304155430412</v>
      </c>
      <c r="AB10" s="58">
        <v>45967</v>
      </c>
      <c r="AC10" s="9">
        <v>99</v>
      </c>
    </row>
    <row r="11" spans="1:29" x14ac:dyDescent="0.25">
      <c r="A11" t="s">
        <v>144</v>
      </c>
      <c r="B11" t="s">
        <v>30</v>
      </c>
      <c r="C11" s="25" t="s">
        <v>145</v>
      </c>
      <c r="D11" s="2">
        <v>1679.5722000000001</v>
      </c>
      <c r="E11" s="26">
        <v>32.99</v>
      </c>
      <c r="F11" s="3">
        <f>E11*D11</f>
        <v>55409.086878000002</v>
      </c>
      <c r="G11" s="3">
        <v>55619.43</v>
      </c>
      <c r="H11" s="4">
        <f>G11/D11</f>
        <v>33.115236129771617</v>
      </c>
      <c r="I11" s="3">
        <f>F11-G11</f>
        <v>-210.3431219999984</v>
      </c>
      <c r="J11" s="26">
        <f>E11-H11</f>
        <v>-0.12523612977161491</v>
      </c>
      <c r="K11" s="27">
        <v>45954</v>
      </c>
      <c r="L11">
        <f>DAYS360(K11,$C$1)</f>
        <v>0</v>
      </c>
      <c r="M11" s="5">
        <f>(I11/G11)</f>
        <v>-3.7818280769867365E-3</v>
      </c>
      <c r="N11">
        <v>23</v>
      </c>
      <c r="O11">
        <v>87</v>
      </c>
      <c r="P11" s="63">
        <v>80</v>
      </c>
      <c r="Q11" s="28">
        <v>31.48</v>
      </c>
      <c r="R11" s="29">
        <f>Q11*0.93</f>
        <v>29.276400000000002</v>
      </c>
      <c r="S11" s="29">
        <v>31.22</v>
      </c>
      <c r="T11" s="31">
        <f>Q11*1.25</f>
        <v>39.35</v>
      </c>
      <c r="U11" s="28">
        <f>Q11*1.5</f>
        <v>47.22</v>
      </c>
      <c r="V11" s="28">
        <f>Q11*2</f>
        <v>62.96</v>
      </c>
      <c r="W11" s="28">
        <f>H11-(H11*0.07)</f>
        <v>30.797169600687603</v>
      </c>
      <c r="X11" s="29">
        <v>30.5</v>
      </c>
      <c r="Y11" s="5">
        <f>(X11-H11)/H11</f>
        <v>-7.8973802859899855E-2</v>
      </c>
      <c r="Z11" s="6">
        <f>F11/F$20</f>
        <v>7.9799162409256996E-2</v>
      </c>
      <c r="AB11" s="60">
        <v>45959</v>
      </c>
      <c r="AC11" s="9">
        <v>92</v>
      </c>
    </row>
    <row r="12" spans="1:29" x14ac:dyDescent="0.25">
      <c r="C12" s="25"/>
      <c r="D12" s="2"/>
      <c r="E12" s="26"/>
      <c r="F12" s="3">
        <f t="shared" ref="F12:F13" si="0">E12*D12</f>
        <v>0</v>
      </c>
      <c r="G12" s="3"/>
      <c r="H12" s="4" t="e">
        <f t="shared" ref="H12:H13" si="1">G12/D12</f>
        <v>#DIV/0!</v>
      </c>
      <c r="I12" s="3">
        <f t="shared" ref="I12:I13" si="2">F12-G12</f>
        <v>0</v>
      </c>
      <c r="J12" s="26" t="e">
        <f t="shared" ref="J12:J13" si="3">E12-H12</f>
        <v>#DIV/0!</v>
      </c>
      <c r="K12" s="27"/>
      <c r="L12">
        <f t="shared" ref="L12:L13" si="4">DAYS360(K12,$C$1)</f>
        <v>45294</v>
      </c>
      <c r="M12" s="5" t="e">
        <f t="shared" ref="M12:M13" si="5">(I12/G12)</f>
        <v>#DIV/0!</v>
      </c>
      <c r="P12" s="63"/>
      <c r="Q12" s="28"/>
      <c r="R12" s="29">
        <f t="shared" ref="R12:R13" si="6">Q12*0.93</f>
        <v>0</v>
      </c>
      <c r="S12" s="29"/>
      <c r="T12" s="31">
        <f t="shared" ref="T12:T13" si="7">Q12*1.25</f>
        <v>0</v>
      </c>
      <c r="U12" s="28">
        <f t="shared" ref="U12:U13" si="8">Q12*1.5</f>
        <v>0</v>
      </c>
      <c r="V12" s="28">
        <f t="shared" ref="V12:V13" si="9">Q12*2</f>
        <v>0</v>
      </c>
      <c r="W12" s="28" t="e">
        <f t="shared" ref="W12:W13" si="10">H12-(H12*0.07)</f>
        <v>#DIV/0!</v>
      </c>
      <c r="X12" s="29"/>
      <c r="Y12" s="5" t="e">
        <f t="shared" ref="Y12:Y13" si="11">(X12-H12)/H12</f>
        <v>#DIV/0!</v>
      </c>
      <c r="Z12" s="6">
        <f t="shared" ref="Z12:Z13" si="12">F12/F$20</f>
        <v>0</v>
      </c>
      <c r="AB12" s="60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4"/>
        <v>45294</v>
      </c>
      <c r="M13" s="5" t="e">
        <f t="shared" si="5"/>
        <v>#DIV/0!</v>
      </c>
      <c r="P13" s="63"/>
      <c r="Q13" s="28"/>
      <c r="R13" s="29">
        <f t="shared" si="6"/>
        <v>0</v>
      </c>
      <c r="S13" s="29"/>
      <c r="T13" s="31">
        <f t="shared" si="7"/>
        <v>0</v>
      </c>
      <c r="U13" s="28">
        <f t="shared" si="8"/>
        <v>0</v>
      </c>
      <c r="V13" s="28">
        <f t="shared" si="9"/>
        <v>0</v>
      </c>
      <c r="W13" s="28" t="e">
        <f t="shared" si="10"/>
        <v>#DIV/0!</v>
      </c>
      <c r="X13" s="29"/>
      <c r="Y13" s="5" t="e">
        <f t="shared" si="11"/>
        <v>#DIV/0!</v>
      </c>
      <c r="Z13" s="32">
        <f t="shared" si="12"/>
        <v>0</v>
      </c>
      <c r="AB13" s="58"/>
      <c r="AC13" s="9"/>
    </row>
    <row r="14" spans="1:29" x14ac:dyDescent="0.25">
      <c r="C14" s="25"/>
      <c r="D14" s="2"/>
      <c r="E14" s="26"/>
      <c r="F14" s="3">
        <f t="shared" ref="F14:F17" si="13">E14*D14</f>
        <v>0</v>
      </c>
      <c r="G14" s="3"/>
      <c r="H14" s="4" t="e">
        <f t="shared" ref="H14:H17" si="14">G14/D14</f>
        <v>#DIV/0!</v>
      </c>
      <c r="I14" s="3">
        <f t="shared" ref="I14:I17" si="15">F14-G14</f>
        <v>0</v>
      </c>
      <c r="J14" s="26" t="e">
        <f t="shared" ref="J14:J17" si="16">E14-H14</f>
        <v>#DIV/0!</v>
      </c>
      <c r="K14" s="27"/>
      <c r="L14">
        <f t="shared" ref="L14:L17" si="17">DAYS360(K14,$C$1)</f>
        <v>45294</v>
      </c>
      <c r="M14" s="5" t="e">
        <f t="shared" ref="M14:M17" si="18">(I14/G14)</f>
        <v>#DIV/0!</v>
      </c>
      <c r="P14" s="63"/>
      <c r="Q14" s="28"/>
      <c r="R14" s="29">
        <f t="shared" ref="R14:R17" si="19">Q14*0.93</f>
        <v>0</v>
      </c>
      <c r="S14" s="29"/>
      <c r="T14" s="28">
        <f t="shared" ref="T14:T17" si="20">Q14*1.25</f>
        <v>0</v>
      </c>
      <c r="U14" s="28">
        <f t="shared" ref="U14:U17" si="21">Q14*1.5</f>
        <v>0</v>
      </c>
      <c r="V14" s="28">
        <f t="shared" ref="V14:V17" si="22">Q14*2</f>
        <v>0</v>
      </c>
      <c r="W14" s="28" t="e">
        <f t="shared" ref="W14:W17" si="23">H14-(H14*0.07)</f>
        <v>#DIV/0!</v>
      </c>
      <c r="X14" s="29"/>
      <c r="Y14" s="5" t="e">
        <f t="shared" ref="Y14:Y17" si="24">(X14-H14)/H14</f>
        <v>#DIV/0!</v>
      </c>
      <c r="Z14" s="6">
        <f t="shared" ref="Z14:Z17" si="25">F14/F$20</f>
        <v>0</v>
      </c>
      <c r="AB14" s="58"/>
      <c r="AC14" s="9"/>
    </row>
    <row r="15" spans="1:29" x14ac:dyDescent="0.25">
      <c r="C15" s="25"/>
      <c r="D15" s="2"/>
      <c r="E15" s="26"/>
      <c r="F15" s="3">
        <f t="shared" si="13"/>
        <v>0</v>
      </c>
      <c r="G15" s="3"/>
      <c r="H15" s="4" t="e">
        <f t="shared" si="14"/>
        <v>#DIV/0!</v>
      </c>
      <c r="I15" s="3">
        <f t="shared" si="15"/>
        <v>0</v>
      </c>
      <c r="J15" s="26" t="e">
        <f t="shared" si="16"/>
        <v>#DIV/0!</v>
      </c>
      <c r="K15" s="27"/>
      <c r="L15">
        <f t="shared" si="17"/>
        <v>45294</v>
      </c>
      <c r="M15" s="5" t="e">
        <f t="shared" si="18"/>
        <v>#DIV/0!</v>
      </c>
      <c r="P15" s="63"/>
      <c r="Q15" s="28"/>
      <c r="R15" s="29">
        <f t="shared" si="19"/>
        <v>0</v>
      </c>
      <c r="S15" s="29"/>
      <c r="T15" s="28">
        <f t="shared" si="20"/>
        <v>0</v>
      </c>
      <c r="U15" s="28">
        <f t="shared" si="21"/>
        <v>0</v>
      </c>
      <c r="V15" s="28">
        <f t="shared" si="22"/>
        <v>0</v>
      </c>
      <c r="W15" s="28" t="e">
        <f t="shared" si="23"/>
        <v>#DIV/0!</v>
      </c>
      <c r="X15" s="29"/>
      <c r="Y15" s="5" t="e">
        <f t="shared" si="24"/>
        <v>#DIV/0!</v>
      </c>
      <c r="Z15" s="32">
        <f t="shared" si="25"/>
        <v>0</v>
      </c>
      <c r="AB15" s="58"/>
      <c r="AC15" s="9"/>
    </row>
    <row r="16" spans="1:29" x14ac:dyDescent="0.25">
      <c r="C16" s="25"/>
      <c r="D16" s="2"/>
      <c r="E16" s="26"/>
      <c r="F16" s="3">
        <f t="shared" si="13"/>
        <v>0</v>
      </c>
      <c r="G16" s="3"/>
      <c r="H16" s="4" t="e">
        <f t="shared" si="14"/>
        <v>#DIV/0!</v>
      </c>
      <c r="I16" s="3">
        <f t="shared" si="15"/>
        <v>0</v>
      </c>
      <c r="J16" s="26" t="e">
        <f t="shared" si="16"/>
        <v>#DIV/0!</v>
      </c>
      <c r="K16" s="27"/>
      <c r="L16">
        <f t="shared" si="17"/>
        <v>45294</v>
      </c>
      <c r="M16" s="5" t="e">
        <f t="shared" si="18"/>
        <v>#DIV/0!</v>
      </c>
      <c r="P16" s="63"/>
      <c r="Q16" s="28"/>
      <c r="R16" s="29">
        <f t="shared" si="19"/>
        <v>0</v>
      </c>
      <c r="S16" s="29"/>
      <c r="T16" s="28">
        <f t="shared" si="20"/>
        <v>0</v>
      </c>
      <c r="U16" s="28">
        <f t="shared" si="21"/>
        <v>0</v>
      </c>
      <c r="V16" s="28">
        <f t="shared" si="22"/>
        <v>0</v>
      </c>
      <c r="W16" s="28" t="e">
        <f t="shared" si="23"/>
        <v>#DIV/0!</v>
      </c>
      <c r="X16" s="29"/>
      <c r="Y16" s="5" t="e">
        <f t="shared" si="24"/>
        <v>#DIV/0!</v>
      </c>
      <c r="Z16" s="32">
        <f t="shared" si="25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3"/>
        <v>0</v>
      </c>
      <c r="G17" s="39"/>
      <c r="H17" s="40" t="e">
        <f t="shared" si="14"/>
        <v>#DIV/0!</v>
      </c>
      <c r="I17" s="39">
        <f t="shared" si="15"/>
        <v>0</v>
      </c>
      <c r="J17" s="38" t="e">
        <f t="shared" si="16"/>
        <v>#DIV/0!</v>
      </c>
      <c r="K17" s="41"/>
      <c r="L17" s="35">
        <f t="shared" si="17"/>
        <v>45294</v>
      </c>
      <c r="M17" s="42" t="e">
        <f t="shared" si="18"/>
        <v>#DIV/0!</v>
      </c>
      <c r="N17" s="35"/>
      <c r="O17" s="35"/>
      <c r="P17" s="65"/>
      <c r="Q17" s="44"/>
      <c r="R17" s="45">
        <f t="shared" si="19"/>
        <v>0</v>
      </c>
      <c r="S17" s="45"/>
      <c r="T17" s="46">
        <f t="shared" si="20"/>
        <v>0</v>
      </c>
      <c r="U17" s="44">
        <f t="shared" si="21"/>
        <v>0</v>
      </c>
      <c r="V17" s="44">
        <f t="shared" si="22"/>
        <v>0</v>
      </c>
      <c r="W17" s="44" t="e">
        <f t="shared" si="23"/>
        <v>#DIV/0!</v>
      </c>
      <c r="X17" s="45"/>
      <c r="Y17" s="42" t="e">
        <f t="shared" si="24"/>
        <v>#DIV/0!</v>
      </c>
      <c r="Z17" s="47">
        <f t="shared" si="25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403426.74767900002</v>
      </c>
      <c r="G18" s="3">
        <f>SUM(G6:G17)</f>
        <v>296950.89809999999</v>
      </c>
      <c r="H18" s="4"/>
      <c r="I18" s="3">
        <f>SUM(I6:I17)</f>
        <v>106475.849579</v>
      </c>
      <c r="M18" s="5"/>
      <c r="Z18" s="6"/>
    </row>
    <row r="19" spans="1:29" x14ac:dyDescent="0.25">
      <c r="D19" s="2" t="s">
        <v>44</v>
      </c>
      <c r="F19" s="3">
        <v>290930</v>
      </c>
      <c r="G19" s="6">
        <f>F19/F20</f>
        <v>0.41899211172424072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694356.74767900002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'10-17-25'!F20</f>
        <v>709885.23029700003</v>
      </c>
      <c r="K21" s="1">
        <v>45657</v>
      </c>
      <c r="L21" s="50">
        <v>170762</v>
      </c>
      <c r="M21" s="50">
        <v>240229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-2.1874638258783382E-2</v>
      </c>
      <c r="K22" s="9" t="s">
        <v>123</v>
      </c>
      <c r="L22" s="6">
        <f>(M21-L21)/L21</f>
        <v>0.40680596385612722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26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26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27">F28/D28</f>
        <v>44.698790833464948</v>
      </c>
      <c r="F28" s="3">
        <v>56489.42</v>
      </c>
      <c r="G28" s="56">
        <v>75501.87</v>
      </c>
      <c r="H28" s="57">
        <f t="shared" ref="H28:H60" si="28">G28/D28</f>
        <v>59.742909285764696</v>
      </c>
      <c r="I28" s="57">
        <f t="shared" ref="I28:I60" si="29">G28-F28</f>
        <v>19012.449999999997</v>
      </c>
      <c r="J28" s="6">
        <f t="shared" ref="J28:J60" si="30">I28/F28</f>
        <v>0.33656656414599401</v>
      </c>
      <c r="K28" s="1">
        <v>45527</v>
      </c>
      <c r="L28" s="1">
        <v>45688</v>
      </c>
      <c r="M28">
        <f t="shared" si="26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27"/>
        <v>169.90901206845703</v>
      </c>
      <c r="F29" s="3">
        <f>59492.79+21969.78</f>
        <v>81462.570000000007</v>
      </c>
      <c r="G29" s="56">
        <v>65047.58</v>
      </c>
      <c r="H29" s="57">
        <f t="shared" si="28"/>
        <v>135.67175765807443</v>
      </c>
      <c r="I29" s="57">
        <f t="shared" si="29"/>
        <v>-16414.990000000005</v>
      </c>
      <c r="J29" s="6">
        <f t="shared" si="30"/>
        <v>-0.20150346349249729</v>
      </c>
      <c r="K29" s="1">
        <v>45671</v>
      </c>
      <c r="L29" s="1">
        <v>45688</v>
      </c>
      <c r="M29">
        <f t="shared" si="26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27"/>
        <v>18.702010092477405</v>
      </c>
      <c r="F30" s="3">
        <v>56486.59</v>
      </c>
      <c r="G30" s="56">
        <v>71124.88</v>
      </c>
      <c r="H30" s="57">
        <f t="shared" si="28"/>
        <v>23.548566546258936</v>
      </c>
      <c r="I30" s="57">
        <f t="shared" si="29"/>
        <v>14638.290000000008</v>
      </c>
      <c r="J30" s="6">
        <f t="shared" si="30"/>
        <v>0.25914628587068206</v>
      </c>
      <c r="K30" s="1">
        <v>45527</v>
      </c>
      <c r="L30" s="1">
        <v>45691</v>
      </c>
      <c r="M30">
        <f t="shared" si="26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27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28"/>
        <v>38.249853000000002</v>
      </c>
      <c r="I31" s="57">
        <f t="shared" si="29"/>
        <v>-6110.386336591735</v>
      </c>
      <c r="J31" s="6">
        <f t="shared" si="30"/>
        <v>-0.10005621882176895</v>
      </c>
      <c r="K31" s="1">
        <v>45706</v>
      </c>
      <c r="L31" s="1">
        <v>45708</v>
      </c>
      <c r="M31">
        <f t="shared" si="26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27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28"/>
        <v>531.63995279999995</v>
      </c>
      <c r="I32" s="57">
        <f t="shared" si="29"/>
        <v>-22176.243614196137</v>
      </c>
      <c r="J32" s="6">
        <f t="shared" si="30"/>
        <v>-0.24194911929355969</v>
      </c>
      <c r="K32" s="1">
        <v>45706</v>
      </c>
      <c r="L32" s="1">
        <v>45708</v>
      </c>
      <c r="M32">
        <f t="shared" si="26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27"/>
        <v>368.56522253629635</v>
      </c>
      <c r="F33" s="3">
        <v>74438.86</v>
      </c>
      <c r="G33" s="56">
        <f>201.9693*360.5332483</f>
        <v>72816.647785877198</v>
      </c>
      <c r="H33" s="57">
        <f t="shared" si="28"/>
        <v>360.53324830000003</v>
      </c>
      <c r="I33" s="57">
        <f t="shared" si="29"/>
        <v>-1622.2122141228028</v>
      </c>
      <c r="J33" s="6">
        <f t="shared" si="30"/>
        <v>-2.1792545105107773E-2</v>
      </c>
      <c r="K33" s="1">
        <v>45664</v>
      </c>
      <c r="L33" s="1">
        <v>45708</v>
      </c>
      <c r="M33">
        <f t="shared" si="26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27"/>
        <v>30.17825528482809</v>
      </c>
      <c r="F34" s="3">
        <v>37884.65</v>
      </c>
      <c r="G34" s="56">
        <f>1255.3625*39.762296</f>
        <v>49916.0953123</v>
      </c>
      <c r="H34" s="57">
        <f t="shared" si="28"/>
        <v>39.762295999999999</v>
      </c>
      <c r="I34" s="57">
        <f t="shared" si="29"/>
        <v>12031.445312299998</v>
      </c>
      <c r="J34" s="6">
        <f t="shared" si="30"/>
        <v>0.31758100740801348</v>
      </c>
      <c r="K34" s="1">
        <v>45663</v>
      </c>
      <c r="L34" s="1">
        <v>45709</v>
      </c>
      <c r="M34">
        <f t="shared" si="26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27"/>
        <v>242.26930551548847</v>
      </c>
      <c r="F35" s="3">
        <v>61221.72</v>
      </c>
      <c r="G35" s="56">
        <f>252.7011*226.6146532</f>
        <v>57265.772139758519</v>
      </c>
      <c r="H35" s="57">
        <f t="shared" si="28"/>
        <v>226.61465319999999</v>
      </c>
      <c r="I35" s="57">
        <f t="shared" si="29"/>
        <v>-3955.947860241482</v>
      </c>
      <c r="J35" s="6">
        <f t="shared" si="30"/>
        <v>-6.4616738311852093E-2</v>
      </c>
      <c r="K35" s="1">
        <v>45699</v>
      </c>
      <c r="L35" s="1">
        <v>45709</v>
      </c>
      <c r="M35">
        <f t="shared" si="26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27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28"/>
        <v>283.93999450000007</v>
      </c>
      <c r="I36" s="57">
        <f t="shared" si="29"/>
        <v>19563.525282954361</v>
      </c>
      <c r="J36" s="6">
        <f t="shared" si="30"/>
        <v>0.36434300703793465</v>
      </c>
      <c r="K36" s="1">
        <v>45580</v>
      </c>
      <c r="L36" s="1">
        <v>45712</v>
      </c>
      <c r="M36">
        <f t="shared" si="26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27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28"/>
        <v>63.365330900000004</v>
      </c>
      <c r="I37" s="57">
        <f t="shared" si="29"/>
        <v>-4549.5912833559851</v>
      </c>
      <c r="J37" s="6">
        <f t="shared" si="30"/>
        <v>-5.9638082078758516E-2</v>
      </c>
      <c r="K37" s="1">
        <v>45673</v>
      </c>
      <c r="L37" s="1">
        <v>45712</v>
      </c>
      <c r="M37">
        <f t="shared" si="26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28"/>
        <v>50.021380499999999</v>
      </c>
      <c r="I38" s="57">
        <f t="shared" si="29"/>
        <v>6027.2875116823998</v>
      </c>
      <c r="J38" s="6">
        <f t="shared" si="30"/>
        <v>9.9771440635884723E-2</v>
      </c>
      <c r="K38" s="1">
        <v>45593</v>
      </c>
      <c r="L38" s="1">
        <v>45713</v>
      </c>
      <c r="M38">
        <f t="shared" si="26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28"/>
        <v>12.519992000000002</v>
      </c>
      <c r="I39" s="57">
        <f t="shared" si="29"/>
        <v>-2230.6527810991975</v>
      </c>
      <c r="J39" s="6">
        <f t="shared" si="30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28"/>
        <v>94.679995300000002</v>
      </c>
      <c r="I40" s="57">
        <f t="shared" si="29"/>
        <v>-4750.690604140058</v>
      </c>
      <c r="J40" s="6">
        <f t="shared" si="30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63" si="31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28"/>
        <v>18.9477051</v>
      </c>
      <c r="I41" s="57">
        <f t="shared" si="29"/>
        <v>-2244.5195874142191</v>
      </c>
      <c r="J41" s="6">
        <f t="shared" si="30"/>
        <v>-8.2776138273503941E-2</v>
      </c>
      <c r="K41" s="1">
        <v>45761</v>
      </c>
      <c r="L41" s="1">
        <v>45768</v>
      </c>
      <c r="M41">
        <f t="shared" ref="M41:M63" si="32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31"/>
        <v>96.336406065231671</v>
      </c>
      <c r="F42" s="3">
        <v>34004.42</v>
      </c>
      <c r="G42" s="56">
        <f>352.9758*89.7849585</f>
        <v>31691.9175545043</v>
      </c>
      <c r="H42" s="57">
        <f t="shared" si="28"/>
        <v>89.784958500000002</v>
      </c>
      <c r="I42" s="57">
        <f t="shared" si="29"/>
        <v>-2312.5024454956983</v>
      </c>
      <c r="J42" s="6">
        <f t="shared" si="30"/>
        <v>-6.8005937036882222E-2</v>
      </c>
      <c r="K42" s="1">
        <v>45762</v>
      </c>
      <c r="L42" s="1">
        <v>45768</v>
      </c>
      <c r="M42">
        <f t="shared" si="32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31"/>
        <v>16.992624876012847</v>
      </c>
      <c r="F43" s="3">
        <v>37971.83</v>
      </c>
      <c r="G43" s="56">
        <f>2234.6065*13.3067232</f>
        <v>29735.2901564208</v>
      </c>
      <c r="H43" s="57">
        <f t="shared" si="28"/>
        <v>13.3067232</v>
      </c>
      <c r="I43" s="57">
        <f t="shared" si="29"/>
        <v>-8236.5398435792013</v>
      </c>
      <c r="J43" s="6">
        <f t="shared" si="30"/>
        <v>-0.21691184869360261</v>
      </c>
      <c r="K43" s="1">
        <v>45652</v>
      </c>
      <c r="L43" s="1">
        <v>45785</v>
      </c>
      <c r="M43">
        <f t="shared" si="32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31"/>
        <v>38.101812248436303</v>
      </c>
      <c r="F44" s="3">
        <v>21940.86</v>
      </c>
      <c r="G44" s="56">
        <f>575.8482*32.7857042</f>
        <v>18879.588749302438</v>
      </c>
      <c r="H44" s="57">
        <f t="shared" si="28"/>
        <v>32.785704199999998</v>
      </c>
      <c r="I44" s="57">
        <f t="shared" si="29"/>
        <v>-3061.2712506975622</v>
      </c>
      <c r="J44" s="6">
        <f t="shared" si="30"/>
        <v>-0.13952375844417958</v>
      </c>
      <c r="K44" s="1">
        <v>45761</v>
      </c>
      <c r="L44" s="1">
        <v>45790</v>
      </c>
      <c r="M44">
        <f t="shared" si="32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31"/>
        <v>24.570291674143743</v>
      </c>
      <c r="F45" s="3">
        <v>23591.34</v>
      </c>
      <c r="G45" s="56">
        <v>19396.37</v>
      </c>
      <c r="H45" s="57">
        <f t="shared" si="28"/>
        <v>20.201246233559068</v>
      </c>
      <c r="I45" s="57">
        <f t="shared" si="29"/>
        <v>-4194.9700000000012</v>
      </c>
      <c r="J45" s="6">
        <f t="shared" si="30"/>
        <v>-0.17781821634548953</v>
      </c>
      <c r="K45" s="1">
        <v>45776</v>
      </c>
      <c r="L45" s="1">
        <v>45812</v>
      </c>
      <c r="M45">
        <f t="shared" si="32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31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28"/>
        <v>84.038907800000004</v>
      </c>
      <c r="I46" s="57">
        <f t="shared" si="29"/>
        <v>-3907.8121523372101</v>
      </c>
      <c r="J46" s="6">
        <f t="shared" si="30"/>
        <v>-0.14246372001691271</v>
      </c>
      <c r="K46" s="1">
        <v>45782</v>
      </c>
      <c r="L46" s="1">
        <v>45818</v>
      </c>
      <c r="M46">
        <f t="shared" si="32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31"/>
        <v>40.437100849618155</v>
      </c>
      <c r="F47" s="3">
        <f>22877.09+14244.67</f>
        <v>37121.760000000002</v>
      </c>
      <c r="G47" s="56">
        <v>34659.56</v>
      </c>
      <c r="H47" s="57">
        <f t="shared" si="28"/>
        <v>37.755002002151599</v>
      </c>
      <c r="I47" s="57">
        <f t="shared" si="29"/>
        <v>-2462.2000000000044</v>
      </c>
      <c r="J47" s="6">
        <f t="shared" si="30"/>
        <v>-6.6327674118899643E-2</v>
      </c>
      <c r="K47" s="1">
        <v>45782</v>
      </c>
      <c r="L47" s="1">
        <v>45828</v>
      </c>
      <c r="M47">
        <f t="shared" si="32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31"/>
        <v>123.70183817297092</v>
      </c>
      <c r="F48" s="3">
        <f>22876.67+14197.82+14808.77</f>
        <v>51883.259999999995</v>
      </c>
      <c r="G48" s="56">
        <v>55156.07</v>
      </c>
      <c r="H48" s="57">
        <f t="shared" si="28"/>
        <v>131.50498340692272</v>
      </c>
      <c r="I48" s="57">
        <f t="shared" si="29"/>
        <v>3272.8100000000049</v>
      </c>
      <c r="J48" s="6">
        <f t="shared" si="30"/>
        <v>6.3080269050171583E-2</v>
      </c>
      <c r="K48" s="1">
        <v>45782</v>
      </c>
      <c r="L48" s="1">
        <v>45839</v>
      </c>
      <c r="M48">
        <f t="shared" si="32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31"/>
        <v>63.194998844628557</v>
      </c>
      <c r="F49" s="3">
        <v>36072.47</v>
      </c>
      <c r="G49" s="56">
        <v>51786.91</v>
      </c>
      <c r="H49" s="57">
        <f t="shared" si="28"/>
        <v>90.724968864535285</v>
      </c>
      <c r="I49" s="57">
        <f t="shared" si="29"/>
        <v>15714.440000000002</v>
      </c>
      <c r="J49" s="6">
        <f t="shared" si="30"/>
        <v>0.43563526423336141</v>
      </c>
      <c r="K49" s="1">
        <v>45796</v>
      </c>
      <c r="L49" s="1">
        <v>45839</v>
      </c>
      <c r="M49">
        <f t="shared" si="32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31"/>
        <v>90.254808370121239</v>
      </c>
      <c r="F50" s="3">
        <f>35895.15+19479.74</f>
        <v>55374.89</v>
      </c>
      <c r="G50" s="56">
        <v>55236.959999999999</v>
      </c>
      <c r="H50" s="57">
        <f t="shared" si="28"/>
        <v>90.029998068584007</v>
      </c>
      <c r="I50" s="57">
        <f t="shared" si="29"/>
        <v>-137.93000000000029</v>
      </c>
      <c r="J50" s="6">
        <f t="shared" si="30"/>
        <v>-2.4908401623912986E-3</v>
      </c>
      <c r="K50" s="1">
        <v>45789</v>
      </c>
      <c r="L50" s="1">
        <v>45855</v>
      </c>
      <c r="M50">
        <f t="shared" si="32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31"/>
        <v>113.05354718581073</v>
      </c>
      <c r="F51" s="3">
        <v>45409.8</v>
      </c>
      <c r="G51" s="56">
        <v>41051.0026</v>
      </c>
      <c r="H51" s="57">
        <f t="shared" si="28"/>
        <v>102.2017595202784</v>
      </c>
      <c r="I51" s="57">
        <f t="shared" si="29"/>
        <v>-4358.7974000000031</v>
      </c>
      <c r="J51" s="6">
        <f t="shared" si="30"/>
        <v>-9.5988033420098803E-2</v>
      </c>
      <c r="K51" s="1">
        <v>45855</v>
      </c>
      <c r="L51" s="1">
        <v>45860</v>
      </c>
      <c r="M51">
        <f t="shared" si="32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31"/>
        <v>17.339829156069133</v>
      </c>
      <c r="F52" s="3">
        <v>22797.23</v>
      </c>
      <c r="G52" s="56">
        <v>18655.11</v>
      </c>
      <c r="H52" s="57">
        <f t="shared" si="28"/>
        <v>14.189286167121043</v>
      </c>
      <c r="I52" s="57">
        <f t="shared" si="29"/>
        <v>-4142.119999999999</v>
      </c>
      <c r="J52" s="6">
        <f t="shared" si="30"/>
        <v>-0.18169400405224664</v>
      </c>
      <c r="K52" s="1">
        <v>45861</v>
      </c>
      <c r="L52" s="1">
        <v>45870</v>
      </c>
      <c r="M52">
        <f t="shared" si="32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31"/>
        <v>74.757798491837917</v>
      </c>
      <c r="F53" s="3">
        <f>26856.13+12527.28</f>
        <v>39383.410000000003</v>
      </c>
      <c r="G53" s="56">
        <v>67176.488400000002</v>
      </c>
      <c r="H53" s="57">
        <f t="shared" si="28"/>
        <v>127.51476784759082</v>
      </c>
      <c r="I53" s="57">
        <f t="shared" si="29"/>
        <v>27793.078399999999</v>
      </c>
      <c r="J53" s="6">
        <f t="shared" si="30"/>
        <v>0.7057052296893539</v>
      </c>
      <c r="K53" s="1">
        <v>45789</v>
      </c>
      <c r="L53" s="1">
        <v>45870</v>
      </c>
      <c r="M53">
        <f t="shared" si="32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31"/>
        <v>22.651928580010882</v>
      </c>
      <c r="F54" s="3">
        <f>18821.97+11334.33+20180.34</f>
        <v>50336.639999999999</v>
      </c>
      <c r="G54" s="56">
        <v>42713.83</v>
      </c>
      <c r="H54" s="57">
        <f t="shared" si="28"/>
        <v>19.221597360068653</v>
      </c>
      <c r="I54" s="57">
        <f t="shared" si="29"/>
        <v>-7622.8099999999977</v>
      </c>
      <c r="J54" s="6">
        <f t="shared" si="30"/>
        <v>-0.15143660760829483</v>
      </c>
      <c r="K54" s="1">
        <v>45814</v>
      </c>
      <c r="L54" s="1">
        <v>45880</v>
      </c>
      <c r="M54">
        <f t="shared" si="32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31"/>
        <v>30.926801697408081</v>
      </c>
      <c r="F55" s="3">
        <f>(605.0016*29.7738017)+17708.65</f>
        <v>35721.847666582718</v>
      </c>
      <c r="G55" s="56">
        <v>42554.27</v>
      </c>
      <c r="H55" s="57">
        <f t="shared" si="28"/>
        <v>36.842088403482109</v>
      </c>
      <c r="I55" s="57">
        <f t="shared" si="29"/>
        <v>6832.4223334172784</v>
      </c>
      <c r="J55" s="6">
        <f t="shared" si="30"/>
        <v>0.1912673274123195</v>
      </c>
      <c r="K55" s="1">
        <v>45800</v>
      </c>
      <c r="L55" s="1">
        <v>45881</v>
      </c>
      <c r="M55">
        <f t="shared" si="32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31"/>
        <v>377.42204050678822</v>
      </c>
      <c r="F56" s="3">
        <f>34962.9+15401.92</f>
        <v>50364.82</v>
      </c>
      <c r="G56" s="56">
        <v>81517.961800000005</v>
      </c>
      <c r="H56" s="57">
        <f t="shared" si="28"/>
        <v>610.87631168959638</v>
      </c>
      <c r="I56" s="57">
        <f t="shared" si="29"/>
        <v>31153.141800000005</v>
      </c>
      <c r="J56" s="6">
        <f t="shared" si="30"/>
        <v>0.61854965033132259</v>
      </c>
      <c r="K56" s="1">
        <v>45771</v>
      </c>
      <c r="L56" s="1">
        <v>45884</v>
      </c>
      <c r="M56">
        <f t="shared" si="32"/>
        <v>111</v>
      </c>
    </row>
    <row r="57" spans="1:13" x14ac:dyDescent="0.25">
      <c r="A57" t="s">
        <v>138</v>
      </c>
      <c r="B57" t="s">
        <v>30</v>
      </c>
      <c r="C57" s="25" t="s">
        <v>139</v>
      </c>
      <c r="D57" s="2">
        <v>345.54309999999998</v>
      </c>
      <c r="E57" s="57">
        <f t="shared" si="31"/>
        <v>133.9832570813887</v>
      </c>
      <c r="F57" s="3">
        <v>46296.99</v>
      </c>
      <c r="G57" s="56">
        <v>42812.79</v>
      </c>
      <c r="H57" s="57">
        <f t="shared" si="28"/>
        <v>123.89999973954046</v>
      </c>
      <c r="I57" s="57">
        <f t="shared" si="29"/>
        <v>-3484.1999999999971</v>
      </c>
      <c r="J57" s="6">
        <f t="shared" si="30"/>
        <v>-7.525759234023631E-2</v>
      </c>
      <c r="K57" s="1">
        <v>45897</v>
      </c>
      <c r="L57" s="1">
        <v>45904</v>
      </c>
      <c r="M57">
        <f t="shared" si="32"/>
        <v>6</v>
      </c>
    </row>
    <row r="58" spans="1:13" x14ac:dyDescent="0.25">
      <c r="A58" t="s">
        <v>136</v>
      </c>
      <c r="B58" t="s">
        <v>30</v>
      </c>
      <c r="C58" s="25" t="s">
        <v>137</v>
      </c>
      <c r="D58" s="2">
        <v>287.49</v>
      </c>
      <c r="E58" s="57">
        <f t="shared" si="31"/>
        <v>198.81999373891267</v>
      </c>
      <c r="F58" s="3">
        <v>57158.76</v>
      </c>
      <c r="G58" s="56">
        <v>56889.83</v>
      </c>
      <c r="H58" s="57">
        <f t="shared" si="28"/>
        <v>197.88455250617412</v>
      </c>
      <c r="I58" s="57">
        <f t="shared" si="29"/>
        <v>-268.93000000000029</v>
      </c>
      <c r="J58" s="6">
        <f t="shared" si="30"/>
        <v>-4.7049656080712784E-3</v>
      </c>
      <c r="K58" s="1">
        <v>45895</v>
      </c>
      <c r="L58" s="1">
        <v>45936</v>
      </c>
      <c r="M58">
        <f t="shared" si="32"/>
        <v>40</v>
      </c>
    </row>
    <row r="59" spans="1:13" x14ac:dyDescent="0.25">
      <c r="A59" t="s">
        <v>142</v>
      </c>
      <c r="B59" t="s">
        <v>30</v>
      </c>
      <c r="C59" s="25" t="s">
        <v>143</v>
      </c>
      <c r="D59" s="2">
        <v>502.0591</v>
      </c>
      <c r="E59" s="57">
        <f t="shared" si="31"/>
        <v>141.49505506423449</v>
      </c>
      <c r="F59" s="3">
        <v>71038.880000000005</v>
      </c>
      <c r="G59" s="56">
        <v>69446.240000000005</v>
      </c>
      <c r="H59" s="57">
        <f t="shared" si="28"/>
        <v>138.3228388849042</v>
      </c>
      <c r="I59" s="57">
        <f t="shared" si="29"/>
        <v>-1592.6399999999994</v>
      </c>
      <c r="J59" s="6">
        <f t="shared" si="30"/>
        <v>-2.2419272375915827E-2</v>
      </c>
      <c r="K59" s="1">
        <v>45909</v>
      </c>
      <c r="L59" s="1">
        <v>45944</v>
      </c>
      <c r="M59">
        <f t="shared" si="32"/>
        <v>35</v>
      </c>
    </row>
    <row r="60" spans="1:13" x14ac:dyDescent="0.25">
      <c r="A60" t="s">
        <v>69</v>
      </c>
      <c r="B60" t="s">
        <v>30</v>
      </c>
      <c r="C60" s="25" t="s">
        <v>70</v>
      </c>
      <c r="D60" s="2">
        <f>143.2704+538.7851</f>
        <v>682.05550000000005</v>
      </c>
      <c r="E60" s="57">
        <f t="shared" si="31"/>
        <v>63.85874756526411</v>
      </c>
      <c r="F60" s="3">
        <f>9149.25+34405.96</f>
        <v>43555.21</v>
      </c>
      <c r="G60" s="56">
        <f>25648.23+78191</f>
        <v>103839.23</v>
      </c>
      <c r="H60" s="57">
        <f t="shared" si="28"/>
        <v>152.2445460816605</v>
      </c>
      <c r="I60" s="57">
        <f t="shared" si="29"/>
        <v>60284.02</v>
      </c>
      <c r="J60" s="6">
        <f t="shared" si="30"/>
        <v>1.3840828686166362</v>
      </c>
      <c r="K60" s="1">
        <v>45854</v>
      </c>
      <c r="L60" s="1">
        <v>45945</v>
      </c>
      <c r="M60">
        <f t="shared" si="32"/>
        <v>89</v>
      </c>
    </row>
    <row r="61" spans="1:13" x14ac:dyDescent="0.25">
      <c r="A61" t="s">
        <v>138</v>
      </c>
      <c r="B61" t="s">
        <v>30</v>
      </c>
      <c r="C61" s="25" t="s">
        <v>139</v>
      </c>
      <c r="D61" s="2">
        <v>337.18810000000002</v>
      </c>
      <c r="E61" s="57">
        <f t="shared" si="31"/>
        <v>164.72274673987604</v>
      </c>
      <c r="F61" s="3">
        <v>55542.55</v>
      </c>
      <c r="G61" s="56">
        <v>56222.05</v>
      </c>
      <c r="H61" s="57">
        <f t="shared" ref="H61:H63" si="33">G61/D61</f>
        <v>166.73794241255845</v>
      </c>
      <c r="I61" s="57">
        <f t="shared" ref="I61:I63" si="34">G61-F61</f>
        <v>679.5</v>
      </c>
      <c r="J61" s="6">
        <f t="shared" ref="J61:J63" si="35">I61/F61</f>
        <v>1.2233863947550121E-2</v>
      </c>
      <c r="K61" s="1">
        <v>45938</v>
      </c>
      <c r="L61" s="1">
        <v>45953</v>
      </c>
      <c r="M61">
        <f t="shared" si="32"/>
        <v>15</v>
      </c>
    </row>
    <row r="62" spans="1:13" x14ac:dyDescent="0.25">
      <c r="A62" t="s">
        <v>126</v>
      </c>
      <c r="B62" t="s">
        <v>30</v>
      </c>
      <c r="C62" s="25" t="s">
        <v>127</v>
      </c>
      <c r="D62" s="2">
        <f>344.4515+240</f>
        <v>584.45150000000001</v>
      </c>
      <c r="E62" s="57">
        <f t="shared" si="31"/>
        <v>92.249194330068448</v>
      </c>
      <c r="F62" s="3">
        <f>30563.18+23352</f>
        <v>53915.18</v>
      </c>
      <c r="G62" s="56">
        <v>79663.16</v>
      </c>
      <c r="H62" s="57">
        <f t="shared" si="33"/>
        <v>136.30414157547719</v>
      </c>
      <c r="I62" s="57">
        <f t="shared" si="34"/>
        <v>25747.980000000003</v>
      </c>
      <c r="J62" s="6">
        <f t="shared" si="35"/>
        <v>0.47756457457806878</v>
      </c>
      <c r="K62" s="1">
        <v>45840</v>
      </c>
      <c r="L62" s="1">
        <v>45953</v>
      </c>
      <c r="M62">
        <f t="shared" si="32"/>
        <v>111</v>
      </c>
    </row>
    <row r="63" spans="1:13" x14ac:dyDescent="0.25">
      <c r="C63" s="25"/>
      <c r="D63" s="2"/>
      <c r="E63" s="57" t="e">
        <f t="shared" si="31"/>
        <v>#DIV/0!</v>
      </c>
      <c r="F63" s="3"/>
      <c r="G63" s="56"/>
      <c r="H63" s="57" t="e">
        <f t="shared" si="33"/>
        <v>#DIV/0!</v>
      </c>
      <c r="I63" s="57">
        <f t="shared" si="34"/>
        <v>0</v>
      </c>
      <c r="J63" s="6" t="e">
        <f t="shared" si="35"/>
        <v>#DIV/0!</v>
      </c>
      <c r="K63" s="1"/>
      <c r="L63" s="1"/>
      <c r="M63">
        <f t="shared" si="32"/>
        <v>0</v>
      </c>
    </row>
    <row r="64" spans="1:13" x14ac:dyDescent="0.25">
      <c r="C64" s="25"/>
      <c r="D64" s="2"/>
      <c r="E64" s="57"/>
      <c r="F64" s="3"/>
      <c r="G64" s="56"/>
      <c r="H64" s="57"/>
      <c r="I64" s="57"/>
      <c r="J64" s="6"/>
      <c r="K64" s="1"/>
      <c r="L64" s="1"/>
    </row>
    <row r="65" spans="6:10" x14ac:dyDescent="0.25">
      <c r="F65" s="56"/>
      <c r="G65" s="56"/>
      <c r="H65" s="3"/>
      <c r="I65" s="3">
        <f>SUM(I26:I64)</f>
        <v>125148.41326708277</v>
      </c>
      <c r="J65" s="13" t="s">
        <v>66</v>
      </c>
    </row>
    <row r="66" spans="6:10" x14ac:dyDescent="0.25">
      <c r="F66" s="56"/>
      <c r="G66" s="56"/>
      <c r="H66" s="3" t="s">
        <v>67</v>
      </c>
      <c r="I66" s="59">
        <v>24</v>
      </c>
      <c r="J66" s="5">
        <v>-0.1003</v>
      </c>
    </row>
    <row r="67" spans="6:10" x14ac:dyDescent="0.25">
      <c r="F67" s="56"/>
      <c r="G67" s="56"/>
      <c r="H67" s="3" t="s">
        <v>68</v>
      </c>
      <c r="I67" s="59">
        <v>13</v>
      </c>
      <c r="J67" s="5">
        <v>0.40510000000000002</v>
      </c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  <c r="J77" s="6"/>
    </row>
    <row r="78" spans="6:10" x14ac:dyDescent="0.25">
      <c r="F78" s="56"/>
      <c r="G78" s="56"/>
      <c r="J78" s="6"/>
    </row>
    <row r="79" spans="6:10" x14ac:dyDescent="0.25">
      <c r="F79" s="56"/>
      <c r="G79" s="56"/>
      <c r="J79" s="6"/>
    </row>
    <row r="80" spans="6:10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  <c r="J86" s="6"/>
    </row>
    <row r="87" spans="6:10" x14ac:dyDescent="0.25">
      <c r="F87" s="56"/>
      <c r="G87" s="56"/>
      <c r="J87" s="6"/>
    </row>
    <row r="88" spans="6:10" x14ac:dyDescent="0.25">
      <c r="F88" s="56"/>
      <c r="G88" s="56"/>
      <c r="J88" s="6"/>
    </row>
    <row r="89" spans="6:10" x14ac:dyDescent="0.25">
      <c r="F89" s="56"/>
      <c r="G89" s="56"/>
      <c r="J89" s="6"/>
    </row>
    <row r="90" spans="6:10" x14ac:dyDescent="0.25">
      <c r="F90" s="56"/>
      <c r="G90" s="56"/>
      <c r="J90" s="6"/>
    </row>
    <row r="91" spans="6:10" x14ac:dyDescent="0.25">
      <c r="F91" s="56"/>
      <c r="G91" s="56"/>
    </row>
    <row r="92" spans="6:10" x14ac:dyDescent="0.25">
      <c r="F92" s="56"/>
      <c r="G92" s="56"/>
    </row>
    <row r="93" spans="6:10" x14ac:dyDescent="0.25">
      <c r="F93" s="56"/>
      <c r="G93" s="56"/>
    </row>
    <row r="94" spans="6:10" x14ac:dyDescent="0.25">
      <c r="F94" s="56"/>
      <c r="G94" s="56"/>
    </row>
    <row r="95" spans="6:10" x14ac:dyDescent="0.25">
      <c r="F95" s="56"/>
      <c r="G95" s="56"/>
    </row>
    <row r="96" spans="6:10" x14ac:dyDescent="0.25">
      <c r="F96" s="56"/>
      <c r="G96" s="56"/>
    </row>
  </sheetData>
  <sortState xmlns:xlrd2="http://schemas.microsoft.com/office/spreadsheetml/2017/richdata2" ref="A7:AC10">
    <sortCondition descending="1" ref="L7:L10"/>
  </sortState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B256-F567-4B22-9E6F-E0C2D8E9E4DD}">
  <dimension ref="A1:AC96"/>
  <sheetViews>
    <sheetView workbookViewId="0"/>
  </sheetViews>
  <sheetFormatPr defaultRowHeight="15" x14ac:dyDescent="0.25"/>
  <cols>
    <col min="1" max="1" width="9.42578125" bestFit="1" customWidth="1"/>
    <col min="2" max="2" width="8.28515625" bestFit="1" customWidth="1"/>
    <col min="3" max="3" width="16" bestFit="1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45961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124</v>
      </c>
      <c r="B7" t="s">
        <v>30</v>
      </c>
      <c r="C7" s="25" t="s">
        <v>125</v>
      </c>
      <c r="D7" s="2">
        <f>915.359+608.2121</f>
        <v>1523.5711000000001</v>
      </c>
      <c r="E7" s="26">
        <v>62.98</v>
      </c>
      <c r="F7" s="3">
        <f>E7*D7</f>
        <v>95954.507878000004</v>
      </c>
      <c r="G7" s="3">
        <f>28630.6+20162.2481</f>
        <v>48792.848100000003</v>
      </c>
      <c r="H7" s="4">
        <f>G7/D7</f>
        <v>32.025317426932027</v>
      </c>
      <c r="I7" s="3">
        <f>F7-G7</f>
        <v>47161.659778000001</v>
      </c>
      <c r="J7" s="26">
        <f>E7-H7</f>
        <v>30.95468257306797</v>
      </c>
      <c r="K7" s="27">
        <v>45817</v>
      </c>
      <c r="L7">
        <f>DAYS360(K7,$C$1)</f>
        <v>142</v>
      </c>
      <c r="M7" s="5">
        <f>(I7/G7)</f>
        <v>0.96656911032008397</v>
      </c>
      <c r="N7">
        <v>30</v>
      </c>
      <c r="O7">
        <v>98</v>
      </c>
      <c r="P7" s="63">
        <v>8</v>
      </c>
      <c r="Q7" s="28">
        <v>50.92</v>
      </c>
      <c r="R7" s="29">
        <f>Q7*0.93</f>
        <v>47.355600000000003</v>
      </c>
      <c r="S7" s="29">
        <v>26.45</v>
      </c>
      <c r="T7" s="28">
        <f>Q7*1.25</f>
        <v>63.650000000000006</v>
      </c>
      <c r="U7" s="28">
        <f>Q7*1.5</f>
        <v>76.38</v>
      </c>
      <c r="V7" s="28">
        <f>Q7*2</f>
        <v>101.84</v>
      </c>
      <c r="W7" s="28">
        <f>H7-(H7*0.07)</f>
        <v>29.783545207046785</v>
      </c>
      <c r="X7" s="29">
        <v>54</v>
      </c>
      <c r="Y7" s="5">
        <f>(X7-H7)/H7</f>
        <v>0.68616595676857006</v>
      </c>
      <c r="Z7" s="6">
        <f>F7/F$20</f>
        <v>0.13385242705666323</v>
      </c>
      <c r="AB7" s="58">
        <v>45971</v>
      </c>
      <c r="AC7" s="63">
        <v>78</v>
      </c>
    </row>
    <row r="8" spans="1:29" x14ac:dyDescent="0.25">
      <c r="A8" t="s">
        <v>128</v>
      </c>
      <c r="B8" t="s">
        <v>30</v>
      </c>
      <c r="C8" s="25" t="s">
        <v>129</v>
      </c>
      <c r="D8" s="2">
        <f>786.7766+525.5828</f>
        <v>1312.3594000000001</v>
      </c>
      <c r="E8" s="26">
        <v>59.23</v>
      </c>
      <c r="F8" s="3">
        <f>E8*D8</f>
        <v>77731.047261999993</v>
      </c>
      <c r="G8" s="3">
        <f>30514.1+21675.87</f>
        <v>52189.97</v>
      </c>
      <c r="H8" s="4">
        <f>G8/D8</f>
        <v>39.768046771334134</v>
      </c>
      <c r="I8" s="3">
        <f>F8-G8</f>
        <v>25541.077261999992</v>
      </c>
      <c r="J8" s="26">
        <f>E8-H8</f>
        <v>19.461953228665863</v>
      </c>
      <c r="K8" s="27">
        <v>45840</v>
      </c>
      <c r="L8">
        <f>DAYS360(K8,$C$1)</f>
        <v>119</v>
      </c>
      <c r="M8" s="5">
        <f>(I8/G8)</f>
        <v>0.48938670135276935</v>
      </c>
      <c r="N8">
        <v>17</v>
      </c>
      <c r="O8">
        <v>96</v>
      </c>
      <c r="P8" s="64">
        <v>80</v>
      </c>
      <c r="Q8" s="28">
        <v>58.42</v>
      </c>
      <c r="R8" s="29">
        <f>Q8*0.93</f>
        <v>54.330600000000004</v>
      </c>
      <c r="S8" s="29">
        <v>34.869999999999997</v>
      </c>
      <c r="T8" s="31">
        <f>Q8*1.25</f>
        <v>73.025000000000006</v>
      </c>
      <c r="U8" s="28">
        <f>Q8*1.5</f>
        <v>87.63</v>
      </c>
      <c r="V8" s="28">
        <f>Q8*2</f>
        <v>116.84</v>
      </c>
      <c r="W8" s="28">
        <f>H8-(H8*0.07)</f>
        <v>36.984283497340748</v>
      </c>
      <c r="X8" s="29">
        <v>52</v>
      </c>
      <c r="Y8" s="5">
        <f>(X8-H8)/H8</f>
        <v>0.30758244927138295</v>
      </c>
      <c r="Z8" s="6">
        <f>F8/F$20</f>
        <v>0.10843148033132051</v>
      </c>
      <c r="AB8" s="58">
        <v>46057</v>
      </c>
      <c r="AC8" s="9">
        <v>98</v>
      </c>
    </row>
    <row r="9" spans="1:29" x14ac:dyDescent="0.25">
      <c r="A9" t="s">
        <v>134</v>
      </c>
      <c r="B9" t="s">
        <v>30</v>
      </c>
      <c r="C9" s="25" t="s">
        <v>135</v>
      </c>
      <c r="D9" s="2">
        <v>148.3219</v>
      </c>
      <c r="E9" s="26">
        <v>637.33000000000004</v>
      </c>
      <c r="F9" s="3">
        <f>E9*D9</f>
        <v>94529.99652700001</v>
      </c>
      <c r="G9" s="3">
        <v>68650.22</v>
      </c>
      <c r="H9" s="4">
        <f>G9/D9</f>
        <v>462.8461474670969</v>
      </c>
      <c r="I9" s="3">
        <f>F9-G9</f>
        <v>25879.776527000009</v>
      </c>
      <c r="J9" s="26">
        <f>E9-H9</f>
        <v>174.48385253290314</v>
      </c>
      <c r="K9" s="27">
        <v>45895</v>
      </c>
      <c r="L9">
        <f>DAYS360(K9,$C$1)</f>
        <v>65</v>
      </c>
      <c r="M9" s="5">
        <f>(I9/G9)</f>
        <v>0.37698024168021615</v>
      </c>
      <c r="N9">
        <v>48</v>
      </c>
      <c r="O9">
        <v>97</v>
      </c>
      <c r="P9" s="33">
        <v>81</v>
      </c>
      <c r="Q9" s="28">
        <v>473.7</v>
      </c>
      <c r="R9" s="29">
        <f>Q9*0.93</f>
        <v>440.541</v>
      </c>
      <c r="S9" s="29">
        <v>385.19</v>
      </c>
      <c r="T9" s="28">
        <f>Q9*1.25</f>
        <v>592.125</v>
      </c>
      <c r="U9" s="28">
        <f>Q9*1.5</f>
        <v>710.55</v>
      </c>
      <c r="V9" s="28">
        <f>Q9*2</f>
        <v>947.4</v>
      </c>
      <c r="W9" s="28">
        <f>H9-(H9*0.07)</f>
        <v>430.44691714440012</v>
      </c>
      <c r="X9" s="29">
        <v>575</v>
      </c>
      <c r="Y9" s="5">
        <f>(X9-H9)/H9</f>
        <v>0.2423134623603537</v>
      </c>
      <c r="Z9" s="32">
        <f>F9/F$20</f>
        <v>0.13186529475910044</v>
      </c>
      <c r="AB9" s="60">
        <v>45966</v>
      </c>
      <c r="AC9" s="9">
        <v>99</v>
      </c>
    </row>
    <row r="10" spans="1:29" x14ac:dyDescent="0.25">
      <c r="A10" t="s">
        <v>140</v>
      </c>
      <c r="B10" t="s">
        <v>30</v>
      </c>
      <c r="C10" s="25" t="s">
        <v>141</v>
      </c>
      <c r="D10" s="2">
        <f>595.1582+306.9859</f>
        <v>902.14409999999998</v>
      </c>
      <c r="E10" s="26">
        <v>102.21</v>
      </c>
      <c r="F10" s="3">
        <f>E10*D10</f>
        <v>92208.14846099999</v>
      </c>
      <c r="G10" s="3">
        <f>46827.05+24871.38</f>
        <v>71698.430000000008</v>
      </c>
      <c r="H10" s="4">
        <f>G10/D10</f>
        <v>79.475584887159386</v>
      </c>
      <c r="I10" s="3">
        <f>F10-G10</f>
        <v>20509.718460999982</v>
      </c>
      <c r="J10" s="26">
        <f>E10-H10</f>
        <v>22.734415112840608</v>
      </c>
      <c r="K10" s="27">
        <v>45897</v>
      </c>
      <c r="L10">
        <f>DAYS360(K10,$C$1)</f>
        <v>63</v>
      </c>
      <c r="M10" s="5">
        <f>(I10/G10)</f>
        <v>0.28605533567471392</v>
      </c>
      <c r="N10">
        <v>3</v>
      </c>
      <c r="O10">
        <v>95</v>
      </c>
      <c r="P10" s="63">
        <v>99</v>
      </c>
      <c r="Q10" s="28">
        <v>78.959999999999994</v>
      </c>
      <c r="R10" s="29">
        <f>Q10*0.93</f>
        <v>73.4328</v>
      </c>
      <c r="S10" s="29">
        <v>68.959999999999994</v>
      </c>
      <c r="T10" s="28">
        <f>Q10*1.25</f>
        <v>98.699999999999989</v>
      </c>
      <c r="U10" s="28">
        <f>Q10*1.5</f>
        <v>118.44</v>
      </c>
      <c r="V10" s="28">
        <f>Q10*2</f>
        <v>157.91999999999999</v>
      </c>
      <c r="W10" s="28">
        <f>H10-(H10*0.07)</f>
        <v>73.912293945058224</v>
      </c>
      <c r="X10" s="29">
        <v>79</v>
      </c>
      <c r="Y10" s="5">
        <f>(X10-H10)/H10</f>
        <v>-5.9840375863182129E-3</v>
      </c>
      <c r="Z10" s="6">
        <f>F10/F$20</f>
        <v>0.12862641619295673</v>
      </c>
      <c r="AB10" s="60">
        <v>45966</v>
      </c>
      <c r="AC10" s="9">
        <v>99</v>
      </c>
    </row>
    <row r="11" spans="1:29" x14ac:dyDescent="0.25">
      <c r="A11" t="s">
        <v>144</v>
      </c>
      <c r="B11" t="s">
        <v>30</v>
      </c>
      <c r="C11" s="25" t="s">
        <v>145</v>
      </c>
      <c r="D11" s="2">
        <v>1679.5722000000001</v>
      </c>
      <c r="E11" s="26">
        <v>34.72</v>
      </c>
      <c r="F11" s="3">
        <f>E11*D11</f>
        <v>58314.746784000003</v>
      </c>
      <c r="G11" s="3">
        <v>55619.43</v>
      </c>
      <c r="H11" s="4">
        <f>G11/D11</f>
        <v>33.115236129771617</v>
      </c>
      <c r="I11" s="3">
        <f>F11-G11</f>
        <v>2695.3167840000024</v>
      </c>
      <c r="J11" s="26">
        <f>E11-H11</f>
        <v>1.604763870228382</v>
      </c>
      <c r="K11" s="27">
        <v>45954</v>
      </c>
      <c r="L11">
        <f>DAYS360(K11,$C$1)</f>
        <v>7</v>
      </c>
      <c r="M11" s="5">
        <f>(I11/G11)</f>
        <v>4.8459985728009122E-2</v>
      </c>
      <c r="N11">
        <v>26</v>
      </c>
      <c r="O11">
        <v>88</v>
      </c>
      <c r="P11" s="63">
        <v>34</v>
      </c>
      <c r="Q11" s="28">
        <v>31.48</v>
      </c>
      <c r="R11" s="29">
        <f>Q11*0.93</f>
        <v>29.276400000000002</v>
      </c>
      <c r="S11" s="29">
        <v>31.22</v>
      </c>
      <c r="T11" s="31">
        <f>Q11*1.25</f>
        <v>39.35</v>
      </c>
      <c r="U11" s="28">
        <f>Q11*1.5</f>
        <v>47.22</v>
      </c>
      <c r="V11" s="28">
        <f>Q11*2</f>
        <v>62.96</v>
      </c>
      <c r="W11" s="28">
        <f>H11-(H11*0.07)</f>
        <v>30.797169600687603</v>
      </c>
      <c r="X11" s="29">
        <v>30.5</v>
      </c>
      <c r="Y11" s="5">
        <f>(X11-H11)/H11</f>
        <v>-7.8973802859899855E-2</v>
      </c>
      <c r="Z11" s="6">
        <f>F11/F$20</f>
        <v>8.1346573108971892E-2</v>
      </c>
      <c r="AB11" s="58">
        <v>46064</v>
      </c>
      <c r="AC11" s="9">
        <v>74</v>
      </c>
    </row>
    <row r="12" spans="1:29" x14ac:dyDescent="0.25">
      <c r="A12" t="s">
        <v>146</v>
      </c>
      <c r="B12" t="s">
        <v>30</v>
      </c>
      <c r="C12" s="25" t="s">
        <v>147</v>
      </c>
      <c r="D12" s="2">
        <v>776.60839999999996</v>
      </c>
      <c r="E12" s="26">
        <v>80.95</v>
      </c>
      <c r="F12" s="3">
        <f t="shared" ref="F12:F17" si="0">E12*D12</f>
        <v>62866.449979999998</v>
      </c>
      <c r="G12" s="3">
        <v>55657.53</v>
      </c>
      <c r="H12" s="4">
        <f t="shared" ref="H12:H17" si="1">G12/D12</f>
        <v>71.667432389348349</v>
      </c>
      <c r="I12" s="3">
        <f t="shared" ref="I12:I17" si="2">F12-G12</f>
        <v>7208.9199799999988</v>
      </c>
      <c r="J12" s="26">
        <f t="shared" ref="J12:J17" si="3">E12-H12</f>
        <v>9.2825676106516539</v>
      </c>
      <c r="K12" s="27">
        <v>45957</v>
      </c>
      <c r="L12">
        <f t="shared" ref="L12:L17" si="4">DAYS360(K12,$C$1)</f>
        <v>4</v>
      </c>
      <c r="M12" s="5">
        <f t="shared" ref="M12:M17" si="5">(I12/G12)</f>
        <v>0.1295228153315463</v>
      </c>
      <c r="N12">
        <v>42</v>
      </c>
      <c r="O12">
        <v>97</v>
      </c>
      <c r="P12" s="63">
        <v>30</v>
      </c>
      <c r="Q12" s="28">
        <v>64.16</v>
      </c>
      <c r="R12" s="29">
        <f t="shared" ref="R12:R17" si="6">Q12*0.93</f>
        <v>59.668799999999997</v>
      </c>
      <c r="S12" s="29">
        <v>61.5</v>
      </c>
      <c r="T12" s="31">
        <f t="shared" ref="T12:T17" si="7">Q12*1.25</f>
        <v>80.199999999999989</v>
      </c>
      <c r="U12" s="28">
        <f t="shared" ref="U12:U17" si="8">Q12*1.5</f>
        <v>96.24</v>
      </c>
      <c r="V12" s="28">
        <f t="shared" ref="V12:V17" si="9">Q12*2</f>
        <v>128.32</v>
      </c>
      <c r="W12" s="28">
        <f t="shared" ref="W12:W17" si="10">H12-(H12*0.07)</f>
        <v>66.650712122093964</v>
      </c>
      <c r="X12" s="29">
        <v>66</v>
      </c>
      <c r="Y12" s="5">
        <f t="shared" ref="Y12:Y17" si="11">(X12-H12)/H12</f>
        <v>-7.9079607018133907E-2</v>
      </c>
      <c r="Z12" s="6">
        <f t="shared" ref="Z12:Z17" si="12">F12/F$20</f>
        <v>8.7696004037228034E-2</v>
      </c>
      <c r="AB12" s="58">
        <v>45978</v>
      </c>
      <c r="AC12" s="9">
        <v>86</v>
      </c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4"/>
        <v>45301</v>
      </c>
      <c r="M13" s="5" t="e">
        <f t="shared" si="5"/>
        <v>#DIV/0!</v>
      </c>
      <c r="P13" s="63"/>
      <c r="Q13" s="28"/>
      <c r="R13" s="29">
        <f t="shared" si="6"/>
        <v>0</v>
      </c>
      <c r="S13" s="29"/>
      <c r="T13" s="31">
        <f t="shared" si="7"/>
        <v>0</v>
      </c>
      <c r="U13" s="28">
        <f t="shared" si="8"/>
        <v>0</v>
      </c>
      <c r="V13" s="28">
        <f t="shared" si="9"/>
        <v>0</v>
      </c>
      <c r="W13" s="28" t="e">
        <f t="shared" si="10"/>
        <v>#DIV/0!</v>
      </c>
      <c r="X13" s="29"/>
      <c r="Y13" s="5" t="e">
        <f t="shared" si="11"/>
        <v>#DIV/0!</v>
      </c>
      <c r="Z13" s="32">
        <f t="shared" si="12"/>
        <v>0</v>
      </c>
      <c r="AB13" s="58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45301</v>
      </c>
      <c r="M14" s="5" t="e">
        <f t="shared" si="5"/>
        <v>#DIV/0!</v>
      </c>
      <c r="P14" s="63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8"/>
      <c r="AC14" s="9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45301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45301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2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45301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481604.89689200005</v>
      </c>
      <c r="G18" s="3">
        <f>SUM(G6:G17)</f>
        <v>352608.42810000002</v>
      </c>
      <c r="H18" s="4"/>
      <c r="I18" s="3">
        <f>SUM(I6:I17)</f>
        <v>128996.468792</v>
      </c>
      <c r="M18" s="5"/>
      <c r="Z18" s="6"/>
    </row>
    <row r="19" spans="1:29" x14ac:dyDescent="0.25">
      <c r="D19" s="2" t="s">
        <v>44</v>
      </c>
      <c r="F19" s="3">
        <v>235263</v>
      </c>
      <c r="G19" s="6">
        <f>F19/F20</f>
        <v>0.32818180451375917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716867.89689199999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'10-24-25'!F20</f>
        <v>694356.74767900002</v>
      </c>
      <c r="K21" s="1">
        <v>45657</v>
      </c>
      <c r="L21" s="50">
        <v>170762</v>
      </c>
      <c r="M21" s="50">
        <v>247949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3.2420148991490517E-2</v>
      </c>
      <c r="K22" s="9" t="s">
        <v>123</v>
      </c>
      <c r="L22" s="6">
        <f>(M21-L21)/L21</f>
        <v>0.4520150853234326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4">F28/D28</f>
        <v>44.698790833464948</v>
      </c>
      <c r="F28" s="3">
        <v>56489.42</v>
      </c>
      <c r="G28" s="56">
        <v>75501.87</v>
      </c>
      <c r="H28" s="57">
        <f t="shared" ref="H28:H63" si="15">G28/D28</f>
        <v>59.742909285764696</v>
      </c>
      <c r="I28" s="57">
        <f t="shared" ref="I28:I63" si="16">G28-F28</f>
        <v>19012.449999999997</v>
      </c>
      <c r="J28" s="6">
        <f t="shared" ref="J28:J63" si="17">I28/F28</f>
        <v>0.33656656414599401</v>
      </c>
      <c r="K28" s="1">
        <v>45527</v>
      </c>
      <c r="L28" s="1">
        <v>45688</v>
      </c>
      <c r="M28">
        <f t="shared" si="13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4"/>
        <v>169.90901206845703</v>
      </c>
      <c r="F29" s="3">
        <f>59492.79+21969.78</f>
        <v>81462.570000000007</v>
      </c>
      <c r="G29" s="56">
        <v>65047.58</v>
      </c>
      <c r="H29" s="57">
        <f t="shared" si="15"/>
        <v>135.67175765807443</v>
      </c>
      <c r="I29" s="57">
        <f t="shared" si="16"/>
        <v>-16414.990000000005</v>
      </c>
      <c r="J29" s="6">
        <f t="shared" si="17"/>
        <v>-0.20150346349249729</v>
      </c>
      <c r="K29" s="1">
        <v>45671</v>
      </c>
      <c r="L29" s="1">
        <v>45688</v>
      </c>
      <c r="M29">
        <f t="shared" si="13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4"/>
        <v>18.702010092477405</v>
      </c>
      <c r="F30" s="3">
        <v>56486.59</v>
      </c>
      <c r="G30" s="56">
        <v>71124.88</v>
      </c>
      <c r="H30" s="57">
        <f t="shared" si="15"/>
        <v>23.548566546258936</v>
      </c>
      <c r="I30" s="57">
        <f t="shared" si="16"/>
        <v>14638.290000000008</v>
      </c>
      <c r="J30" s="6">
        <f t="shared" si="17"/>
        <v>0.25914628587068206</v>
      </c>
      <c r="K30" s="1">
        <v>45527</v>
      </c>
      <c r="L30" s="1">
        <v>45691</v>
      </c>
      <c r="M30">
        <f t="shared" si="13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4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5"/>
        <v>38.249853000000002</v>
      </c>
      <c r="I31" s="57">
        <f t="shared" si="16"/>
        <v>-6110.386336591735</v>
      </c>
      <c r="J31" s="6">
        <f t="shared" si="17"/>
        <v>-0.10005621882176895</v>
      </c>
      <c r="K31" s="1">
        <v>45706</v>
      </c>
      <c r="L31" s="1">
        <v>45708</v>
      </c>
      <c r="M31">
        <f t="shared" si="13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4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5"/>
        <v>531.63995279999995</v>
      </c>
      <c r="I32" s="57">
        <f t="shared" si="16"/>
        <v>-22176.243614196137</v>
      </c>
      <c r="J32" s="6">
        <f t="shared" si="17"/>
        <v>-0.24194911929355969</v>
      </c>
      <c r="K32" s="1">
        <v>45706</v>
      </c>
      <c r="L32" s="1">
        <v>45708</v>
      </c>
      <c r="M32">
        <f t="shared" si="13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4"/>
        <v>368.56522253629635</v>
      </c>
      <c r="F33" s="3">
        <v>74438.86</v>
      </c>
      <c r="G33" s="56">
        <f>201.9693*360.5332483</f>
        <v>72816.647785877198</v>
      </c>
      <c r="H33" s="57">
        <f t="shared" si="15"/>
        <v>360.53324830000003</v>
      </c>
      <c r="I33" s="57">
        <f t="shared" si="16"/>
        <v>-1622.2122141228028</v>
      </c>
      <c r="J33" s="6">
        <f t="shared" si="17"/>
        <v>-2.1792545105107773E-2</v>
      </c>
      <c r="K33" s="1">
        <v>45664</v>
      </c>
      <c r="L33" s="1">
        <v>45708</v>
      </c>
      <c r="M33">
        <f t="shared" si="13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4"/>
        <v>30.17825528482809</v>
      </c>
      <c r="F34" s="3">
        <v>37884.65</v>
      </c>
      <c r="G34" s="56">
        <f>1255.3625*39.762296</f>
        <v>49916.0953123</v>
      </c>
      <c r="H34" s="57">
        <f t="shared" si="15"/>
        <v>39.762295999999999</v>
      </c>
      <c r="I34" s="57">
        <f t="shared" si="16"/>
        <v>12031.445312299998</v>
      </c>
      <c r="J34" s="6">
        <f t="shared" si="17"/>
        <v>0.31758100740801348</v>
      </c>
      <c r="K34" s="1">
        <v>45663</v>
      </c>
      <c r="L34" s="1">
        <v>45709</v>
      </c>
      <c r="M34">
        <f t="shared" si="13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4"/>
        <v>242.26930551548847</v>
      </c>
      <c r="F35" s="3">
        <v>61221.72</v>
      </c>
      <c r="G35" s="56">
        <f>252.7011*226.6146532</f>
        <v>57265.772139758519</v>
      </c>
      <c r="H35" s="57">
        <f t="shared" si="15"/>
        <v>226.61465319999999</v>
      </c>
      <c r="I35" s="57">
        <f t="shared" si="16"/>
        <v>-3955.947860241482</v>
      </c>
      <c r="J35" s="6">
        <f t="shared" si="17"/>
        <v>-6.4616738311852093E-2</v>
      </c>
      <c r="K35" s="1">
        <v>45699</v>
      </c>
      <c r="L35" s="1">
        <v>45709</v>
      </c>
      <c r="M35">
        <f t="shared" si="13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4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5"/>
        <v>283.93999450000007</v>
      </c>
      <c r="I36" s="57">
        <f t="shared" si="16"/>
        <v>19563.525282954361</v>
      </c>
      <c r="J36" s="6">
        <f t="shared" si="17"/>
        <v>0.36434300703793465</v>
      </c>
      <c r="K36" s="1">
        <v>45580</v>
      </c>
      <c r="L36" s="1">
        <v>45712</v>
      </c>
      <c r="M36">
        <f t="shared" si="13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4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5"/>
        <v>63.365330900000004</v>
      </c>
      <c r="I37" s="57">
        <f t="shared" si="16"/>
        <v>-4549.5912833559851</v>
      </c>
      <c r="J37" s="6">
        <f t="shared" si="17"/>
        <v>-5.9638082078758516E-2</v>
      </c>
      <c r="K37" s="1">
        <v>45673</v>
      </c>
      <c r="L37" s="1">
        <v>45712</v>
      </c>
      <c r="M37">
        <f t="shared" si="13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5"/>
        <v>50.021380499999999</v>
      </c>
      <c r="I38" s="57">
        <f t="shared" si="16"/>
        <v>6027.2875116823998</v>
      </c>
      <c r="J38" s="6">
        <f t="shared" si="17"/>
        <v>9.9771440635884723E-2</v>
      </c>
      <c r="K38" s="1">
        <v>45593</v>
      </c>
      <c r="L38" s="1">
        <v>45713</v>
      </c>
      <c r="M38">
        <f t="shared" si="13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5"/>
        <v>12.519992000000002</v>
      </c>
      <c r="I39" s="57">
        <f t="shared" si="16"/>
        <v>-2230.6527810991975</v>
      </c>
      <c r="J39" s="6">
        <f t="shared" si="17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5"/>
        <v>94.679995300000002</v>
      </c>
      <c r="I40" s="57">
        <f t="shared" si="16"/>
        <v>-4750.690604140058</v>
      </c>
      <c r="J40" s="6">
        <f t="shared" si="17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63" si="18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5"/>
        <v>18.9477051</v>
      </c>
      <c r="I41" s="57">
        <f t="shared" si="16"/>
        <v>-2244.5195874142191</v>
      </c>
      <c r="J41" s="6">
        <f t="shared" si="17"/>
        <v>-8.2776138273503941E-2</v>
      </c>
      <c r="K41" s="1">
        <v>45761</v>
      </c>
      <c r="L41" s="1">
        <v>45768</v>
      </c>
      <c r="M41">
        <f t="shared" ref="M41:M63" si="19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8"/>
        <v>96.336406065231671</v>
      </c>
      <c r="F42" s="3">
        <v>34004.42</v>
      </c>
      <c r="G42" s="56">
        <f>352.9758*89.7849585</f>
        <v>31691.9175545043</v>
      </c>
      <c r="H42" s="57">
        <f t="shared" si="15"/>
        <v>89.784958500000002</v>
      </c>
      <c r="I42" s="57">
        <f t="shared" si="16"/>
        <v>-2312.5024454956983</v>
      </c>
      <c r="J42" s="6">
        <f t="shared" si="17"/>
        <v>-6.8005937036882222E-2</v>
      </c>
      <c r="K42" s="1">
        <v>45762</v>
      </c>
      <c r="L42" s="1">
        <v>45768</v>
      </c>
      <c r="M42">
        <f t="shared" si="19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8"/>
        <v>16.992624876012847</v>
      </c>
      <c r="F43" s="3">
        <v>37971.83</v>
      </c>
      <c r="G43" s="56">
        <f>2234.6065*13.3067232</f>
        <v>29735.2901564208</v>
      </c>
      <c r="H43" s="57">
        <f t="shared" si="15"/>
        <v>13.3067232</v>
      </c>
      <c r="I43" s="57">
        <f t="shared" si="16"/>
        <v>-8236.5398435792013</v>
      </c>
      <c r="J43" s="6">
        <f t="shared" si="17"/>
        <v>-0.21691184869360261</v>
      </c>
      <c r="K43" s="1">
        <v>45652</v>
      </c>
      <c r="L43" s="1">
        <v>45785</v>
      </c>
      <c r="M43">
        <f t="shared" si="19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8"/>
        <v>38.101812248436303</v>
      </c>
      <c r="F44" s="3">
        <v>21940.86</v>
      </c>
      <c r="G44" s="56">
        <f>575.8482*32.7857042</f>
        <v>18879.588749302438</v>
      </c>
      <c r="H44" s="57">
        <f t="shared" si="15"/>
        <v>32.785704199999998</v>
      </c>
      <c r="I44" s="57">
        <f t="shared" si="16"/>
        <v>-3061.2712506975622</v>
      </c>
      <c r="J44" s="6">
        <f t="shared" si="17"/>
        <v>-0.13952375844417958</v>
      </c>
      <c r="K44" s="1">
        <v>45761</v>
      </c>
      <c r="L44" s="1">
        <v>45790</v>
      </c>
      <c r="M44">
        <f t="shared" si="19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8"/>
        <v>24.570291674143743</v>
      </c>
      <c r="F45" s="3">
        <v>23591.34</v>
      </c>
      <c r="G45" s="56">
        <v>19396.37</v>
      </c>
      <c r="H45" s="57">
        <f t="shared" si="15"/>
        <v>20.201246233559068</v>
      </c>
      <c r="I45" s="57">
        <f t="shared" si="16"/>
        <v>-4194.9700000000012</v>
      </c>
      <c r="J45" s="6">
        <f t="shared" si="17"/>
        <v>-0.17781821634548953</v>
      </c>
      <c r="K45" s="1">
        <v>45776</v>
      </c>
      <c r="L45" s="1">
        <v>45812</v>
      </c>
      <c r="M45">
        <f t="shared" si="19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8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5"/>
        <v>84.038907800000004</v>
      </c>
      <c r="I46" s="57">
        <f t="shared" si="16"/>
        <v>-3907.8121523372101</v>
      </c>
      <c r="J46" s="6">
        <f t="shared" si="17"/>
        <v>-0.14246372001691271</v>
      </c>
      <c r="K46" s="1">
        <v>45782</v>
      </c>
      <c r="L46" s="1">
        <v>45818</v>
      </c>
      <c r="M46">
        <f t="shared" si="19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8"/>
        <v>40.437100849618155</v>
      </c>
      <c r="F47" s="3">
        <f>22877.09+14244.67</f>
        <v>37121.760000000002</v>
      </c>
      <c r="G47" s="56">
        <v>34659.56</v>
      </c>
      <c r="H47" s="57">
        <f t="shared" si="15"/>
        <v>37.755002002151599</v>
      </c>
      <c r="I47" s="57">
        <f t="shared" si="16"/>
        <v>-2462.2000000000044</v>
      </c>
      <c r="J47" s="6">
        <f t="shared" si="17"/>
        <v>-6.6327674118899643E-2</v>
      </c>
      <c r="K47" s="1">
        <v>45782</v>
      </c>
      <c r="L47" s="1">
        <v>45828</v>
      </c>
      <c r="M47">
        <f t="shared" si="19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18"/>
        <v>123.70183817297092</v>
      </c>
      <c r="F48" s="3">
        <f>22876.67+14197.82+14808.77</f>
        <v>51883.259999999995</v>
      </c>
      <c r="G48" s="56">
        <v>55156.07</v>
      </c>
      <c r="H48" s="57">
        <f t="shared" si="15"/>
        <v>131.50498340692272</v>
      </c>
      <c r="I48" s="57">
        <f t="shared" si="16"/>
        <v>3272.8100000000049</v>
      </c>
      <c r="J48" s="6">
        <f t="shared" si="17"/>
        <v>6.3080269050171583E-2</v>
      </c>
      <c r="K48" s="1">
        <v>45782</v>
      </c>
      <c r="L48" s="1">
        <v>45839</v>
      </c>
      <c r="M48">
        <f t="shared" si="19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18"/>
        <v>63.194998844628557</v>
      </c>
      <c r="F49" s="3">
        <v>36072.47</v>
      </c>
      <c r="G49" s="56">
        <v>51786.91</v>
      </c>
      <c r="H49" s="57">
        <f t="shared" si="15"/>
        <v>90.724968864535285</v>
      </c>
      <c r="I49" s="57">
        <f t="shared" si="16"/>
        <v>15714.440000000002</v>
      </c>
      <c r="J49" s="6">
        <f t="shared" si="17"/>
        <v>0.43563526423336141</v>
      </c>
      <c r="K49" s="1">
        <v>45796</v>
      </c>
      <c r="L49" s="1">
        <v>45839</v>
      </c>
      <c r="M49">
        <f t="shared" si="19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18"/>
        <v>90.254808370121239</v>
      </c>
      <c r="F50" s="3">
        <f>35895.15+19479.74</f>
        <v>55374.89</v>
      </c>
      <c r="G50" s="56">
        <v>55236.959999999999</v>
      </c>
      <c r="H50" s="57">
        <f t="shared" si="15"/>
        <v>90.029998068584007</v>
      </c>
      <c r="I50" s="57">
        <f t="shared" si="16"/>
        <v>-137.93000000000029</v>
      </c>
      <c r="J50" s="6">
        <f t="shared" si="17"/>
        <v>-2.4908401623912986E-3</v>
      </c>
      <c r="K50" s="1">
        <v>45789</v>
      </c>
      <c r="L50" s="1">
        <v>45855</v>
      </c>
      <c r="M50">
        <f t="shared" si="19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18"/>
        <v>113.05354718581073</v>
      </c>
      <c r="F51" s="3">
        <v>45409.8</v>
      </c>
      <c r="G51" s="56">
        <v>41051.0026</v>
      </c>
      <c r="H51" s="57">
        <f t="shared" si="15"/>
        <v>102.2017595202784</v>
      </c>
      <c r="I51" s="57">
        <f t="shared" si="16"/>
        <v>-4358.7974000000031</v>
      </c>
      <c r="J51" s="6">
        <f t="shared" si="17"/>
        <v>-9.5988033420098803E-2</v>
      </c>
      <c r="K51" s="1">
        <v>45855</v>
      </c>
      <c r="L51" s="1">
        <v>45860</v>
      </c>
      <c r="M51">
        <f t="shared" si="19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18"/>
        <v>17.339829156069133</v>
      </c>
      <c r="F52" s="3">
        <v>22797.23</v>
      </c>
      <c r="G52" s="56">
        <v>18655.11</v>
      </c>
      <c r="H52" s="57">
        <f t="shared" si="15"/>
        <v>14.189286167121043</v>
      </c>
      <c r="I52" s="57">
        <f t="shared" si="16"/>
        <v>-4142.119999999999</v>
      </c>
      <c r="J52" s="6">
        <f t="shared" si="17"/>
        <v>-0.18169400405224664</v>
      </c>
      <c r="K52" s="1">
        <v>45861</v>
      </c>
      <c r="L52" s="1">
        <v>45870</v>
      </c>
      <c r="M52">
        <f t="shared" si="19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18"/>
        <v>74.757798491837917</v>
      </c>
      <c r="F53" s="3">
        <f>26856.13+12527.28</f>
        <v>39383.410000000003</v>
      </c>
      <c r="G53" s="56">
        <v>67176.488400000002</v>
      </c>
      <c r="H53" s="57">
        <f t="shared" si="15"/>
        <v>127.51476784759082</v>
      </c>
      <c r="I53" s="57">
        <f t="shared" si="16"/>
        <v>27793.078399999999</v>
      </c>
      <c r="J53" s="6">
        <f t="shared" si="17"/>
        <v>0.7057052296893539</v>
      </c>
      <c r="K53" s="1">
        <v>45789</v>
      </c>
      <c r="L53" s="1">
        <v>45870</v>
      </c>
      <c r="M53">
        <f t="shared" si="19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18"/>
        <v>22.651928580010882</v>
      </c>
      <c r="F54" s="3">
        <f>18821.97+11334.33+20180.34</f>
        <v>50336.639999999999</v>
      </c>
      <c r="G54" s="56">
        <v>42713.83</v>
      </c>
      <c r="H54" s="57">
        <f t="shared" si="15"/>
        <v>19.221597360068653</v>
      </c>
      <c r="I54" s="57">
        <f t="shared" si="16"/>
        <v>-7622.8099999999977</v>
      </c>
      <c r="J54" s="6">
        <f t="shared" si="17"/>
        <v>-0.15143660760829483</v>
      </c>
      <c r="K54" s="1">
        <v>45814</v>
      </c>
      <c r="L54" s="1">
        <v>45880</v>
      </c>
      <c r="M54">
        <f t="shared" si="19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18"/>
        <v>30.926801697408081</v>
      </c>
      <c r="F55" s="3">
        <f>(605.0016*29.7738017)+17708.65</f>
        <v>35721.847666582718</v>
      </c>
      <c r="G55" s="56">
        <v>42554.27</v>
      </c>
      <c r="H55" s="57">
        <f t="shared" si="15"/>
        <v>36.842088403482109</v>
      </c>
      <c r="I55" s="57">
        <f t="shared" si="16"/>
        <v>6832.4223334172784</v>
      </c>
      <c r="J55" s="6">
        <f t="shared" si="17"/>
        <v>0.1912673274123195</v>
      </c>
      <c r="K55" s="1">
        <v>45800</v>
      </c>
      <c r="L55" s="1">
        <v>45881</v>
      </c>
      <c r="M55">
        <f t="shared" si="19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18"/>
        <v>377.42204050678822</v>
      </c>
      <c r="F56" s="3">
        <f>34962.9+15401.92</f>
        <v>50364.82</v>
      </c>
      <c r="G56" s="56">
        <v>81517.961800000005</v>
      </c>
      <c r="H56" s="57">
        <f t="shared" si="15"/>
        <v>610.87631168959638</v>
      </c>
      <c r="I56" s="57">
        <f t="shared" si="16"/>
        <v>31153.141800000005</v>
      </c>
      <c r="J56" s="6">
        <f t="shared" si="17"/>
        <v>0.61854965033132259</v>
      </c>
      <c r="K56" s="1">
        <v>45771</v>
      </c>
      <c r="L56" s="1">
        <v>45884</v>
      </c>
      <c r="M56">
        <f t="shared" si="19"/>
        <v>111</v>
      </c>
    </row>
    <row r="57" spans="1:13" x14ac:dyDescent="0.25">
      <c r="A57" t="s">
        <v>138</v>
      </c>
      <c r="B57" t="s">
        <v>30</v>
      </c>
      <c r="C57" s="25" t="s">
        <v>139</v>
      </c>
      <c r="D57" s="2">
        <v>345.54309999999998</v>
      </c>
      <c r="E57" s="57">
        <f t="shared" si="18"/>
        <v>133.9832570813887</v>
      </c>
      <c r="F57" s="3">
        <v>46296.99</v>
      </c>
      <c r="G57" s="56">
        <v>42812.79</v>
      </c>
      <c r="H57" s="57">
        <f t="shared" si="15"/>
        <v>123.89999973954046</v>
      </c>
      <c r="I57" s="57">
        <f t="shared" si="16"/>
        <v>-3484.1999999999971</v>
      </c>
      <c r="J57" s="6">
        <f t="shared" si="17"/>
        <v>-7.525759234023631E-2</v>
      </c>
      <c r="K57" s="1">
        <v>45897</v>
      </c>
      <c r="L57" s="1">
        <v>45904</v>
      </c>
      <c r="M57">
        <f t="shared" si="19"/>
        <v>6</v>
      </c>
    </row>
    <row r="58" spans="1:13" x14ac:dyDescent="0.25">
      <c r="A58" t="s">
        <v>136</v>
      </c>
      <c r="B58" t="s">
        <v>30</v>
      </c>
      <c r="C58" s="25" t="s">
        <v>137</v>
      </c>
      <c r="D58" s="2">
        <v>287.49</v>
      </c>
      <c r="E58" s="57">
        <f t="shared" si="18"/>
        <v>198.81999373891267</v>
      </c>
      <c r="F58" s="3">
        <v>57158.76</v>
      </c>
      <c r="G58" s="56">
        <v>56889.83</v>
      </c>
      <c r="H58" s="57">
        <f t="shared" si="15"/>
        <v>197.88455250617412</v>
      </c>
      <c r="I58" s="57">
        <f t="shared" si="16"/>
        <v>-268.93000000000029</v>
      </c>
      <c r="J58" s="6">
        <f t="shared" si="17"/>
        <v>-4.7049656080712784E-3</v>
      </c>
      <c r="K58" s="1">
        <v>45895</v>
      </c>
      <c r="L58" s="1">
        <v>45936</v>
      </c>
      <c r="M58">
        <f t="shared" si="19"/>
        <v>40</v>
      </c>
    </row>
    <row r="59" spans="1:13" x14ac:dyDescent="0.25">
      <c r="A59" t="s">
        <v>142</v>
      </c>
      <c r="B59" t="s">
        <v>30</v>
      </c>
      <c r="C59" s="25" t="s">
        <v>143</v>
      </c>
      <c r="D59" s="2">
        <v>502.0591</v>
      </c>
      <c r="E59" s="57">
        <f t="shared" si="18"/>
        <v>141.49505506423449</v>
      </c>
      <c r="F59" s="3">
        <v>71038.880000000005</v>
      </c>
      <c r="G59" s="56">
        <v>69446.240000000005</v>
      </c>
      <c r="H59" s="57">
        <f t="shared" si="15"/>
        <v>138.3228388849042</v>
      </c>
      <c r="I59" s="57">
        <f t="shared" si="16"/>
        <v>-1592.6399999999994</v>
      </c>
      <c r="J59" s="6">
        <f t="shared" si="17"/>
        <v>-2.2419272375915827E-2</v>
      </c>
      <c r="K59" s="1">
        <v>45909</v>
      </c>
      <c r="L59" s="1">
        <v>45944</v>
      </c>
      <c r="M59">
        <f t="shared" si="19"/>
        <v>35</v>
      </c>
    </row>
    <row r="60" spans="1:13" x14ac:dyDescent="0.25">
      <c r="A60" t="s">
        <v>69</v>
      </c>
      <c r="B60" t="s">
        <v>30</v>
      </c>
      <c r="C60" s="25" t="s">
        <v>70</v>
      </c>
      <c r="D60" s="2">
        <f>143.2704+538.7851</f>
        <v>682.05550000000005</v>
      </c>
      <c r="E60" s="57">
        <f t="shared" si="18"/>
        <v>63.85874756526411</v>
      </c>
      <c r="F60" s="3">
        <f>9149.25+34405.96</f>
        <v>43555.21</v>
      </c>
      <c r="G60" s="56">
        <f>25648.23+78191</f>
        <v>103839.23</v>
      </c>
      <c r="H60" s="57">
        <f t="shared" si="15"/>
        <v>152.2445460816605</v>
      </c>
      <c r="I60" s="57">
        <f t="shared" si="16"/>
        <v>60284.02</v>
      </c>
      <c r="J60" s="6">
        <f t="shared" si="17"/>
        <v>1.3840828686166362</v>
      </c>
      <c r="K60" s="1">
        <v>45854</v>
      </c>
      <c r="L60" s="1">
        <v>45945</v>
      </c>
      <c r="M60">
        <f t="shared" si="19"/>
        <v>89</v>
      </c>
    </row>
    <row r="61" spans="1:13" x14ac:dyDescent="0.25">
      <c r="A61" t="s">
        <v>138</v>
      </c>
      <c r="B61" t="s">
        <v>30</v>
      </c>
      <c r="C61" s="25" t="s">
        <v>139</v>
      </c>
      <c r="D61" s="2">
        <v>337.18810000000002</v>
      </c>
      <c r="E61" s="57">
        <f t="shared" si="18"/>
        <v>164.72274673987604</v>
      </c>
      <c r="F61" s="3">
        <v>55542.55</v>
      </c>
      <c r="G61" s="56">
        <v>56222.05</v>
      </c>
      <c r="H61" s="57">
        <f t="shared" si="15"/>
        <v>166.73794241255845</v>
      </c>
      <c r="I61" s="57">
        <f t="shared" si="16"/>
        <v>679.5</v>
      </c>
      <c r="J61" s="6">
        <f t="shared" si="17"/>
        <v>1.2233863947550121E-2</v>
      </c>
      <c r="K61" s="1">
        <v>45938</v>
      </c>
      <c r="L61" s="1">
        <v>45953</v>
      </c>
      <c r="M61">
        <f t="shared" si="19"/>
        <v>15</v>
      </c>
    </row>
    <row r="62" spans="1:13" x14ac:dyDescent="0.25">
      <c r="A62" t="s">
        <v>126</v>
      </c>
      <c r="B62" t="s">
        <v>30</v>
      </c>
      <c r="C62" s="25" t="s">
        <v>127</v>
      </c>
      <c r="D62" s="2">
        <f>344.4515+240</f>
        <v>584.45150000000001</v>
      </c>
      <c r="E62" s="57">
        <f t="shared" si="18"/>
        <v>92.249194330068448</v>
      </c>
      <c r="F62" s="3">
        <f>30563.18+23352</f>
        <v>53915.18</v>
      </c>
      <c r="G62" s="56">
        <v>79663.16</v>
      </c>
      <c r="H62" s="57">
        <f t="shared" si="15"/>
        <v>136.30414157547719</v>
      </c>
      <c r="I62" s="57">
        <f t="shared" si="16"/>
        <v>25747.980000000003</v>
      </c>
      <c r="J62" s="6">
        <f t="shared" si="17"/>
        <v>0.47756457457806878</v>
      </c>
      <c r="K62" s="1">
        <v>45840</v>
      </c>
      <c r="L62" s="1">
        <v>45953</v>
      </c>
      <c r="M62">
        <f t="shared" si="19"/>
        <v>111</v>
      </c>
    </row>
    <row r="63" spans="1:13" x14ac:dyDescent="0.25">
      <c r="C63" s="25"/>
      <c r="D63" s="2"/>
      <c r="E63" s="57" t="e">
        <f t="shared" si="18"/>
        <v>#DIV/0!</v>
      </c>
      <c r="F63" s="3"/>
      <c r="G63" s="56"/>
      <c r="H63" s="57" t="e">
        <f t="shared" si="15"/>
        <v>#DIV/0!</v>
      </c>
      <c r="I63" s="57">
        <f t="shared" si="16"/>
        <v>0</v>
      </c>
      <c r="J63" s="6" t="e">
        <f t="shared" si="17"/>
        <v>#DIV/0!</v>
      </c>
      <c r="K63" s="1"/>
      <c r="L63" s="1"/>
      <c r="M63">
        <f t="shared" si="19"/>
        <v>0</v>
      </c>
    </row>
    <row r="64" spans="1:13" x14ac:dyDescent="0.25">
      <c r="C64" s="25"/>
      <c r="D64" s="2"/>
      <c r="E64" s="57"/>
      <c r="F64" s="3"/>
      <c r="G64" s="56"/>
      <c r="H64" s="57"/>
      <c r="I64" s="57"/>
      <c r="J64" s="6"/>
      <c r="K64" s="1"/>
      <c r="L64" s="1"/>
    </row>
    <row r="65" spans="6:10" x14ac:dyDescent="0.25">
      <c r="F65" s="56"/>
      <c r="G65" s="56"/>
      <c r="H65" s="3"/>
      <c r="I65" s="3">
        <f>SUM(I26:I64)</f>
        <v>125148.41326708277</v>
      </c>
      <c r="J65" s="13" t="s">
        <v>66</v>
      </c>
    </row>
    <row r="66" spans="6:10" x14ac:dyDescent="0.25">
      <c r="F66" s="56"/>
      <c r="G66" s="56"/>
      <c r="H66" s="3" t="s">
        <v>67</v>
      </c>
      <c r="I66" s="59">
        <v>24</v>
      </c>
      <c r="J66" s="5">
        <v>-0.1003</v>
      </c>
    </row>
    <row r="67" spans="6:10" x14ac:dyDescent="0.25">
      <c r="F67" s="56"/>
      <c r="G67" s="56"/>
      <c r="H67" s="3" t="s">
        <v>68</v>
      </c>
      <c r="I67" s="59">
        <v>13</v>
      </c>
      <c r="J67" s="5">
        <v>0.40510000000000002</v>
      </c>
    </row>
    <row r="68" spans="6:10" x14ac:dyDescent="0.25">
      <c r="F68" s="56"/>
      <c r="G68" s="56"/>
      <c r="J68" s="6"/>
    </row>
    <row r="69" spans="6:10" x14ac:dyDescent="0.25">
      <c r="F69" s="56"/>
      <c r="G69" s="56"/>
      <c r="J69" s="6"/>
    </row>
    <row r="70" spans="6:10" x14ac:dyDescent="0.25">
      <c r="F70" s="56"/>
      <c r="G70" s="56"/>
      <c r="J70" s="6"/>
    </row>
    <row r="71" spans="6:10" x14ac:dyDescent="0.25">
      <c r="F71" s="56"/>
      <c r="G71" s="56"/>
      <c r="J71" s="6"/>
    </row>
    <row r="72" spans="6:10" x14ac:dyDescent="0.25">
      <c r="F72" s="56"/>
      <c r="G72" s="56"/>
      <c r="J72" s="6"/>
    </row>
    <row r="73" spans="6:10" x14ac:dyDescent="0.25">
      <c r="F73" s="56"/>
      <c r="G73" s="56"/>
      <c r="J73" s="6"/>
    </row>
    <row r="74" spans="6:10" x14ac:dyDescent="0.25">
      <c r="F74" s="56"/>
      <c r="G74" s="56"/>
      <c r="J74" s="6"/>
    </row>
    <row r="75" spans="6:10" x14ac:dyDescent="0.25">
      <c r="F75" s="56"/>
      <c r="G75" s="56"/>
      <c r="J75" s="6"/>
    </row>
    <row r="76" spans="6:10" x14ac:dyDescent="0.25">
      <c r="F76" s="56"/>
      <c r="G76" s="56"/>
      <c r="J76" s="6"/>
    </row>
    <row r="77" spans="6:10" x14ac:dyDescent="0.25">
      <c r="F77" s="56"/>
      <c r="G77" s="56"/>
      <c r="J77" s="6"/>
    </row>
    <row r="78" spans="6:10" x14ac:dyDescent="0.25">
      <c r="F78" s="56"/>
      <c r="G78" s="56"/>
      <c r="J78" s="6"/>
    </row>
    <row r="79" spans="6:10" x14ac:dyDescent="0.25">
      <c r="F79" s="56"/>
      <c r="G79" s="56"/>
      <c r="J79" s="6"/>
    </row>
    <row r="80" spans="6:10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  <c r="J86" s="6"/>
    </row>
    <row r="87" spans="6:10" x14ac:dyDescent="0.25">
      <c r="F87" s="56"/>
      <c r="G87" s="56"/>
      <c r="J87" s="6"/>
    </row>
    <row r="88" spans="6:10" x14ac:dyDescent="0.25">
      <c r="F88" s="56"/>
      <c r="G88" s="56"/>
      <c r="J88" s="6"/>
    </row>
    <row r="89" spans="6:10" x14ac:dyDescent="0.25">
      <c r="F89" s="56"/>
      <c r="G89" s="56"/>
      <c r="J89" s="6"/>
    </row>
    <row r="90" spans="6:10" x14ac:dyDescent="0.25">
      <c r="F90" s="56"/>
      <c r="G90" s="56"/>
      <c r="J90" s="6"/>
    </row>
    <row r="91" spans="6:10" x14ac:dyDescent="0.25">
      <c r="F91" s="56"/>
      <c r="G91" s="56"/>
    </row>
    <row r="92" spans="6:10" x14ac:dyDescent="0.25">
      <c r="F92" s="56"/>
      <c r="G92" s="56"/>
    </row>
    <row r="93" spans="6:10" x14ac:dyDescent="0.25">
      <c r="F93" s="56"/>
      <c r="G93" s="56"/>
    </row>
    <row r="94" spans="6:10" x14ac:dyDescent="0.25">
      <c r="F94" s="56"/>
      <c r="G94" s="56"/>
    </row>
    <row r="95" spans="6:10" x14ac:dyDescent="0.25">
      <c r="F95" s="56"/>
      <c r="G95" s="56"/>
    </row>
    <row r="96" spans="6:10" x14ac:dyDescent="0.25">
      <c r="F96" s="56"/>
      <c r="G96" s="56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5B98-0EF4-4865-8688-74FE8958A609}">
  <dimension ref="A1:AC100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45968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134</v>
      </c>
      <c r="B7" t="s">
        <v>30</v>
      </c>
      <c r="C7" s="25" t="s">
        <v>135</v>
      </c>
      <c r="D7" s="2">
        <v>148.3219</v>
      </c>
      <c r="E7" s="26">
        <v>619.92999999999995</v>
      </c>
      <c r="F7" s="3">
        <f>E7*D7</f>
        <v>91949.195466999998</v>
      </c>
      <c r="G7" s="3">
        <v>68650.22</v>
      </c>
      <c r="H7" s="4">
        <f>G7/D7</f>
        <v>462.8461474670969</v>
      </c>
      <c r="I7" s="3">
        <f>F7-G7</f>
        <v>23298.975466999997</v>
      </c>
      <c r="J7" s="26">
        <f>E7-H7</f>
        <v>157.08385253290305</v>
      </c>
      <c r="K7" s="27">
        <v>45895</v>
      </c>
      <c r="L7">
        <f>DAYS360(K7,$C$1)</f>
        <v>71</v>
      </c>
      <c r="M7" s="5">
        <f>(I7/G7)</f>
        <v>0.33938675603661572</v>
      </c>
      <c r="N7">
        <v>55</v>
      </c>
      <c r="O7">
        <v>95</v>
      </c>
      <c r="P7" s="33">
        <v>80</v>
      </c>
      <c r="Q7" s="28">
        <v>473.7</v>
      </c>
      <c r="R7" s="29">
        <f>Q7*0.93</f>
        <v>440.541</v>
      </c>
      <c r="S7" s="29">
        <v>385.19</v>
      </c>
      <c r="T7" s="28">
        <f>Q7*1.25</f>
        <v>592.125</v>
      </c>
      <c r="U7" s="28">
        <f>Q7*1.5</f>
        <v>710.55</v>
      </c>
      <c r="V7" s="28">
        <f>Q7*2</f>
        <v>947.4</v>
      </c>
      <c r="W7" s="28">
        <f>H7-(H7*0.07)</f>
        <v>430.44691714440012</v>
      </c>
      <c r="X7" s="29">
        <v>575</v>
      </c>
      <c r="Y7" s="5">
        <f>(X7-H7)/H7</f>
        <v>0.2423134623603537</v>
      </c>
      <c r="Z7" s="32">
        <f>F7/F$20</f>
        <v>0.14289046480993248</v>
      </c>
      <c r="AB7" s="58">
        <v>46071</v>
      </c>
      <c r="AC7" s="9">
        <v>98</v>
      </c>
    </row>
    <row r="8" spans="1:29" x14ac:dyDescent="0.25">
      <c r="A8" t="s">
        <v>140</v>
      </c>
      <c r="B8" t="s">
        <v>30</v>
      </c>
      <c r="C8" s="25" t="s">
        <v>141</v>
      </c>
      <c r="D8" s="2">
        <f>595.1582+306.9859</f>
        <v>902.14409999999998</v>
      </c>
      <c r="E8" s="26">
        <v>92.26</v>
      </c>
      <c r="F8" s="3">
        <f>E8*D8</f>
        <v>83231.814666000006</v>
      </c>
      <c r="G8" s="3">
        <f>46827.05+24871.38</f>
        <v>71698.430000000008</v>
      </c>
      <c r="H8" s="4">
        <f>G8/D8</f>
        <v>79.475584887159386</v>
      </c>
      <c r="I8" s="3">
        <f>F8-G8</f>
        <v>11533.384665999998</v>
      </c>
      <c r="J8" s="26">
        <f>E8-H8</f>
        <v>12.78441511284062</v>
      </c>
      <c r="K8" s="27">
        <v>45897</v>
      </c>
      <c r="L8">
        <f>DAYS360(K8,$C$1)</f>
        <v>69</v>
      </c>
      <c r="M8" s="5">
        <f>(I8/G8)</f>
        <v>0.16085965433273777</v>
      </c>
      <c r="N8">
        <v>7</v>
      </c>
      <c r="O8">
        <v>94</v>
      </c>
      <c r="P8" s="63">
        <v>97</v>
      </c>
      <c r="Q8" s="28">
        <v>78.959999999999994</v>
      </c>
      <c r="R8" s="29">
        <f>Q8*0.93</f>
        <v>73.4328</v>
      </c>
      <c r="S8" s="29">
        <v>68.959999999999994</v>
      </c>
      <c r="T8" s="28">
        <f>Q8*1.25</f>
        <v>98.699999999999989</v>
      </c>
      <c r="U8" s="28">
        <f>Q8*1.5</f>
        <v>118.44</v>
      </c>
      <c r="V8" s="28">
        <f>Q8*2</f>
        <v>157.91999999999999</v>
      </c>
      <c r="W8" s="28">
        <f>H8-(H8*0.07)</f>
        <v>73.912293945058224</v>
      </c>
      <c r="X8" s="29">
        <v>79</v>
      </c>
      <c r="Y8" s="5">
        <f>(X8-H8)/H8</f>
        <v>-5.9840375863182129E-3</v>
      </c>
      <c r="Z8" s="6">
        <f>F8/F$20</f>
        <v>0.12934352088885032</v>
      </c>
      <c r="AB8" s="58">
        <v>46066</v>
      </c>
      <c r="AC8" s="9">
        <v>97</v>
      </c>
    </row>
    <row r="9" spans="1:29" x14ac:dyDescent="0.25">
      <c r="A9" t="s">
        <v>148</v>
      </c>
      <c r="B9" t="s">
        <v>30</v>
      </c>
      <c r="C9" s="25" t="s">
        <v>149</v>
      </c>
      <c r="D9" s="2">
        <v>364.21120000000002</v>
      </c>
      <c r="E9" s="26">
        <v>105.78</v>
      </c>
      <c r="F9" s="3">
        <f>E9*D9</f>
        <v>38526.260736000004</v>
      </c>
      <c r="G9" s="3">
        <v>38107.089999999997</v>
      </c>
      <c r="H9" s="4">
        <f>G9/D9</f>
        <v>104.6290998190061</v>
      </c>
      <c r="I9" s="3">
        <f>F9-G9</f>
        <v>419.17073600000731</v>
      </c>
      <c r="J9" s="26">
        <f>E9-H9</f>
        <v>1.1509001809939008</v>
      </c>
      <c r="K9" s="27">
        <v>45968</v>
      </c>
      <c r="L9">
        <f>DAYS360(K9,$C$1)</f>
        <v>0</v>
      </c>
      <c r="M9" s="5">
        <f>(I9/G9)</f>
        <v>1.0999809641723032E-2</v>
      </c>
      <c r="N9" s="33" t="s">
        <v>38</v>
      </c>
      <c r="O9">
        <v>89</v>
      </c>
      <c r="P9" s="64" t="s">
        <v>38</v>
      </c>
      <c r="Q9" s="28"/>
      <c r="R9" s="29">
        <f>Q9*0.93</f>
        <v>0</v>
      </c>
      <c r="S9" s="29">
        <v>99.96</v>
      </c>
      <c r="T9" s="31">
        <f>Q9*1.25</f>
        <v>0</v>
      </c>
      <c r="U9" s="28">
        <f>Q9*1.5</f>
        <v>0</v>
      </c>
      <c r="V9" s="28">
        <f>Q9*2</f>
        <v>0</v>
      </c>
      <c r="W9" s="28">
        <f>H9-(H9*0.07)</f>
        <v>97.30506283167567</v>
      </c>
      <c r="X9" s="29">
        <v>99.96</v>
      </c>
      <c r="Y9" s="5">
        <f>(X9-H9)/H9</f>
        <v>-4.4625250786664558E-2</v>
      </c>
      <c r="Z9" s="6">
        <f>F9/F$20</f>
        <v>5.987040208450127E-2</v>
      </c>
      <c r="AB9" s="67" t="s">
        <v>38</v>
      </c>
      <c r="AC9" s="33" t="s">
        <v>38</v>
      </c>
    </row>
    <row r="10" spans="1:29" x14ac:dyDescent="0.25">
      <c r="C10" s="25"/>
      <c r="D10" s="2"/>
      <c r="E10" s="26"/>
      <c r="F10" s="3">
        <f>E10*D10</f>
        <v>0</v>
      </c>
      <c r="G10" s="3"/>
      <c r="H10" s="4" t="e">
        <f>G10/D10</f>
        <v>#DIV/0!</v>
      </c>
      <c r="I10" s="3">
        <f>F10-G10</f>
        <v>0</v>
      </c>
      <c r="J10" s="26" t="e">
        <f>E10-H10</f>
        <v>#DIV/0!</v>
      </c>
      <c r="K10" s="27"/>
      <c r="L10">
        <f>DAYS360(K10,$C$1)</f>
        <v>45307</v>
      </c>
      <c r="M10" s="5" t="e">
        <f>(I10/G10)</f>
        <v>#DIV/0!</v>
      </c>
      <c r="P10" s="63"/>
      <c r="Q10" s="28"/>
      <c r="R10" s="29">
        <f>Q10*0.93</f>
        <v>0</v>
      </c>
      <c r="S10" s="29"/>
      <c r="T10" s="28">
        <f>Q10*1.25</f>
        <v>0</v>
      </c>
      <c r="U10" s="28">
        <f>Q10*1.5</f>
        <v>0</v>
      </c>
      <c r="V10" s="28">
        <f>Q10*2</f>
        <v>0</v>
      </c>
      <c r="W10" s="28" t="e">
        <f>H10-(H10*0.07)</f>
        <v>#DIV/0!</v>
      </c>
      <c r="X10" s="29"/>
      <c r="Y10" s="5" t="e">
        <f>(X10-H10)/H10</f>
        <v>#DIV/0!</v>
      </c>
      <c r="Z10" s="6">
        <f>F10/F$20</f>
        <v>0</v>
      </c>
      <c r="AB10" s="58"/>
      <c r="AC10" s="63"/>
    </row>
    <row r="11" spans="1:29" x14ac:dyDescent="0.25">
      <c r="C11" s="25"/>
      <c r="D11" s="2"/>
      <c r="E11" s="26"/>
      <c r="F11" s="3">
        <f>E11*D11</f>
        <v>0</v>
      </c>
      <c r="G11" s="3"/>
      <c r="H11" s="4" t="e">
        <f>G11/D11</f>
        <v>#DIV/0!</v>
      </c>
      <c r="I11" s="3">
        <f>F11-G11</f>
        <v>0</v>
      </c>
      <c r="J11" s="26" t="e">
        <f>E11-H11</f>
        <v>#DIV/0!</v>
      </c>
      <c r="K11" s="27"/>
      <c r="L11">
        <f>DAYS360(K11,$C$1)</f>
        <v>45307</v>
      </c>
      <c r="M11" s="5" t="e">
        <f>(I11/G11)</f>
        <v>#DIV/0!</v>
      </c>
      <c r="P11" s="64"/>
      <c r="Q11" s="28"/>
      <c r="R11" s="29">
        <f>Q11*0.93</f>
        <v>0</v>
      </c>
      <c r="S11" s="29"/>
      <c r="T11" s="31">
        <f>Q11*1.25</f>
        <v>0</v>
      </c>
      <c r="U11" s="28">
        <f>Q11*1.5</f>
        <v>0</v>
      </c>
      <c r="V11" s="28">
        <f>Q11*2</f>
        <v>0</v>
      </c>
      <c r="W11" s="28" t="e">
        <f>H11-(H11*0.07)</f>
        <v>#DIV/0!</v>
      </c>
      <c r="X11" s="29"/>
      <c r="Y11" s="5" t="e">
        <f>(X11-H11)/H11</f>
        <v>#DIV/0!</v>
      </c>
      <c r="Z11" s="6">
        <f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ref="F12" si="0">E12*D12</f>
        <v>0</v>
      </c>
      <c r="G12" s="3"/>
      <c r="H12" s="4" t="e">
        <f t="shared" ref="H12" si="1">G12/D12</f>
        <v>#DIV/0!</v>
      </c>
      <c r="I12" s="3">
        <f t="shared" ref="I12" si="2">F12-G12</f>
        <v>0</v>
      </c>
      <c r="J12" s="26" t="e">
        <f t="shared" ref="J12" si="3">E12-H12</f>
        <v>#DIV/0!</v>
      </c>
      <c r="K12" s="27"/>
      <c r="L12">
        <f t="shared" ref="L12" si="4">DAYS360(K12,$C$1)</f>
        <v>45307</v>
      </c>
      <c r="M12" s="5" t="e">
        <f t="shared" ref="M12" si="5">(I12/G12)</f>
        <v>#DIV/0!</v>
      </c>
      <c r="P12" s="63"/>
      <c r="Q12" s="28"/>
      <c r="R12" s="29">
        <f t="shared" ref="R12" si="6">Q12*0.93</f>
        <v>0</v>
      </c>
      <c r="S12" s="29"/>
      <c r="T12" s="31">
        <f t="shared" ref="T12" si="7">Q12*1.25</f>
        <v>0</v>
      </c>
      <c r="U12" s="28">
        <f t="shared" ref="U12" si="8">Q12*1.5</f>
        <v>0</v>
      </c>
      <c r="V12" s="28">
        <f t="shared" ref="V12" si="9">Q12*2</f>
        <v>0</v>
      </c>
      <c r="W12" s="28" t="e">
        <f t="shared" ref="W12" si="10">H12-(H12*0.07)</f>
        <v>#DIV/0!</v>
      </c>
      <c r="X12" s="29"/>
      <c r="Y12" s="5" t="e">
        <f t="shared" ref="Y12" si="11">(X12-H12)/H12</f>
        <v>#DIV/0!</v>
      </c>
      <c r="Z12" s="6">
        <f t="shared" ref="Z12" si="12">F12/F$20</f>
        <v>0</v>
      </c>
      <c r="AB12" s="58"/>
      <c r="AC12" s="9"/>
    </row>
    <row r="13" spans="1:29" x14ac:dyDescent="0.25">
      <c r="C13" s="25"/>
      <c r="D13" s="2"/>
      <c r="E13" s="26"/>
      <c r="F13" s="3">
        <f t="shared" ref="F13:F17" si="13">E13*D13</f>
        <v>0</v>
      </c>
      <c r="G13" s="3"/>
      <c r="H13" s="4" t="e">
        <f t="shared" ref="H13:H17" si="14">G13/D13</f>
        <v>#DIV/0!</v>
      </c>
      <c r="I13" s="3">
        <f t="shared" ref="I13:I17" si="15">F13-G13</f>
        <v>0</v>
      </c>
      <c r="J13" s="26" t="e">
        <f t="shared" ref="J13:J17" si="16">E13-H13</f>
        <v>#DIV/0!</v>
      </c>
      <c r="K13" s="27"/>
      <c r="L13">
        <f t="shared" ref="L13:L17" si="17">DAYS360(K13,$C$1)</f>
        <v>45307</v>
      </c>
      <c r="M13" s="5" t="e">
        <f t="shared" ref="M13:M17" si="18">(I13/G13)</f>
        <v>#DIV/0!</v>
      </c>
      <c r="P13" s="63"/>
      <c r="Q13" s="28"/>
      <c r="R13" s="29">
        <f t="shared" ref="R13:R17" si="19">Q13*0.93</f>
        <v>0</v>
      </c>
      <c r="S13" s="29"/>
      <c r="T13" s="31">
        <f t="shared" ref="T13:T17" si="20">Q13*1.25</f>
        <v>0</v>
      </c>
      <c r="U13" s="28">
        <f t="shared" ref="U13:U17" si="21">Q13*1.5</f>
        <v>0</v>
      </c>
      <c r="V13" s="28">
        <f t="shared" ref="V13:V17" si="22">Q13*2</f>
        <v>0</v>
      </c>
      <c r="W13" s="28" t="e">
        <f t="shared" ref="W13:W17" si="23">H13-(H13*0.07)</f>
        <v>#DIV/0!</v>
      </c>
      <c r="X13" s="29"/>
      <c r="Y13" s="5" t="e">
        <f t="shared" ref="Y13:Y17" si="24">(X13-H13)/H13</f>
        <v>#DIV/0!</v>
      </c>
      <c r="Z13" s="32">
        <f t="shared" ref="Z13:Z17" si="25">F13/F$20</f>
        <v>0</v>
      </c>
      <c r="AB13" s="58"/>
      <c r="AC13" s="9"/>
    </row>
    <row r="14" spans="1:29" x14ac:dyDescent="0.25">
      <c r="C14" s="25"/>
      <c r="D14" s="2"/>
      <c r="E14" s="26"/>
      <c r="F14" s="3">
        <f t="shared" si="13"/>
        <v>0</v>
      </c>
      <c r="G14" s="3"/>
      <c r="H14" s="4" t="e">
        <f t="shared" si="14"/>
        <v>#DIV/0!</v>
      </c>
      <c r="I14" s="3">
        <f t="shared" si="15"/>
        <v>0</v>
      </c>
      <c r="J14" s="26" t="e">
        <f t="shared" si="16"/>
        <v>#DIV/0!</v>
      </c>
      <c r="K14" s="27"/>
      <c r="L14">
        <f t="shared" si="17"/>
        <v>45307</v>
      </c>
      <c r="M14" s="5" t="e">
        <f t="shared" si="18"/>
        <v>#DIV/0!</v>
      </c>
      <c r="P14" s="63"/>
      <c r="Q14" s="28"/>
      <c r="R14" s="29">
        <f t="shared" si="19"/>
        <v>0</v>
      </c>
      <c r="S14" s="29"/>
      <c r="T14" s="28">
        <f t="shared" si="20"/>
        <v>0</v>
      </c>
      <c r="U14" s="28">
        <f t="shared" si="21"/>
        <v>0</v>
      </c>
      <c r="V14" s="28">
        <f t="shared" si="22"/>
        <v>0</v>
      </c>
      <c r="W14" s="28" t="e">
        <f t="shared" si="23"/>
        <v>#DIV/0!</v>
      </c>
      <c r="X14" s="29"/>
      <c r="Y14" s="5" t="e">
        <f t="shared" si="24"/>
        <v>#DIV/0!</v>
      </c>
      <c r="Z14" s="6">
        <f t="shared" si="25"/>
        <v>0</v>
      </c>
      <c r="AB14" s="58"/>
      <c r="AC14" s="9"/>
    </row>
    <row r="15" spans="1:29" x14ac:dyDescent="0.25">
      <c r="C15" s="25"/>
      <c r="D15" s="2"/>
      <c r="E15" s="26"/>
      <c r="F15" s="3">
        <f t="shared" si="13"/>
        <v>0</v>
      </c>
      <c r="G15" s="3"/>
      <c r="H15" s="4" t="e">
        <f t="shared" si="14"/>
        <v>#DIV/0!</v>
      </c>
      <c r="I15" s="3">
        <f t="shared" si="15"/>
        <v>0</v>
      </c>
      <c r="J15" s="26" t="e">
        <f t="shared" si="16"/>
        <v>#DIV/0!</v>
      </c>
      <c r="K15" s="27"/>
      <c r="L15">
        <f t="shared" si="17"/>
        <v>45307</v>
      </c>
      <c r="M15" s="5" t="e">
        <f t="shared" si="18"/>
        <v>#DIV/0!</v>
      </c>
      <c r="P15" s="63"/>
      <c r="Q15" s="28"/>
      <c r="R15" s="29">
        <f t="shared" si="19"/>
        <v>0</v>
      </c>
      <c r="S15" s="29"/>
      <c r="T15" s="28">
        <f t="shared" si="20"/>
        <v>0</v>
      </c>
      <c r="U15" s="28">
        <f t="shared" si="21"/>
        <v>0</v>
      </c>
      <c r="V15" s="28">
        <f t="shared" si="22"/>
        <v>0</v>
      </c>
      <c r="W15" s="28" t="e">
        <f t="shared" si="23"/>
        <v>#DIV/0!</v>
      </c>
      <c r="X15" s="29"/>
      <c r="Y15" s="5" t="e">
        <f t="shared" si="24"/>
        <v>#DIV/0!</v>
      </c>
      <c r="Z15" s="32">
        <f t="shared" si="25"/>
        <v>0</v>
      </c>
      <c r="AB15" s="58"/>
      <c r="AC15" s="9"/>
    </row>
    <row r="16" spans="1:29" x14ac:dyDescent="0.25">
      <c r="C16" s="25"/>
      <c r="D16" s="2"/>
      <c r="E16" s="26"/>
      <c r="F16" s="3">
        <f t="shared" si="13"/>
        <v>0</v>
      </c>
      <c r="G16" s="3"/>
      <c r="H16" s="4" t="e">
        <f t="shared" si="14"/>
        <v>#DIV/0!</v>
      </c>
      <c r="I16" s="3">
        <f t="shared" si="15"/>
        <v>0</v>
      </c>
      <c r="J16" s="26" t="e">
        <f t="shared" si="16"/>
        <v>#DIV/0!</v>
      </c>
      <c r="K16" s="27"/>
      <c r="L16">
        <f t="shared" si="17"/>
        <v>45307</v>
      </c>
      <c r="M16" s="5" t="e">
        <f t="shared" si="18"/>
        <v>#DIV/0!</v>
      </c>
      <c r="P16" s="63"/>
      <c r="Q16" s="28"/>
      <c r="R16" s="29">
        <f t="shared" si="19"/>
        <v>0</v>
      </c>
      <c r="S16" s="29"/>
      <c r="T16" s="28">
        <f t="shared" si="20"/>
        <v>0</v>
      </c>
      <c r="U16" s="28">
        <f t="shared" si="21"/>
        <v>0</v>
      </c>
      <c r="V16" s="28">
        <f t="shared" si="22"/>
        <v>0</v>
      </c>
      <c r="W16" s="28" t="e">
        <f t="shared" si="23"/>
        <v>#DIV/0!</v>
      </c>
      <c r="X16" s="29"/>
      <c r="Y16" s="5" t="e">
        <f t="shared" si="24"/>
        <v>#DIV/0!</v>
      </c>
      <c r="Z16" s="32">
        <f t="shared" si="25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3"/>
        <v>0</v>
      </c>
      <c r="G17" s="39"/>
      <c r="H17" s="40" t="e">
        <f t="shared" si="14"/>
        <v>#DIV/0!</v>
      </c>
      <c r="I17" s="39">
        <f t="shared" si="15"/>
        <v>0</v>
      </c>
      <c r="J17" s="38" t="e">
        <f t="shared" si="16"/>
        <v>#DIV/0!</v>
      </c>
      <c r="K17" s="41"/>
      <c r="L17" s="35">
        <f t="shared" si="17"/>
        <v>45307</v>
      </c>
      <c r="M17" s="42" t="e">
        <f t="shared" si="18"/>
        <v>#DIV/0!</v>
      </c>
      <c r="N17" s="35"/>
      <c r="O17" s="35"/>
      <c r="P17" s="65"/>
      <c r="Q17" s="44"/>
      <c r="R17" s="45">
        <f t="shared" si="19"/>
        <v>0</v>
      </c>
      <c r="S17" s="45"/>
      <c r="T17" s="46">
        <f t="shared" si="20"/>
        <v>0</v>
      </c>
      <c r="U17" s="44">
        <f t="shared" si="21"/>
        <v>0</v>
      </c>
      <c r="V17" s="44">
        <f t="shared" si="22"/>
        <v>0</v>
      </c>
      <c r="W17" s="44" t="e">
        <f t="shared" si="23"/>
        <v>#DIV/0!</v>
      </c>
      <c r="X17" s="45"/>
      <c r="Y17" s="42" t="e">
        <f t="shared" si="24"/>
        <v>#DIV/0!</v>
      </c>
      <c r="Z17" s="47">
        <f t="shared" si="25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213707.270869</v>
      </c>
      <c r="G18" s="3">
        <f>SUM(G6:G17)</f>
        <v>178455.74000000002</v>
      </c>
      <c r="H18" s="4"/>
      <c r="I18" s="3">
        <f>SUM(I6:I17)</f>
        <v>35251.530869000002</v>
      </c>
      <c r="M18" s="5"/>
      <c r="Z18" s="6"/>
    </row>
    <row r="19" spans="1:29" x14ac:dyDescent="0.25">
      <c r="D19" s="2" t="s">
        <v>44</v>
      </c>
      <c r="F19" s="3">
        <v>429787</v>
      </c>
      <c r="G19" s="6">
        <f>F19/F20</f>
        <v>0.66789561221671601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643494.270869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'10-31-25'!F20</f>
        <v>716867.89689199999</v>
      </c>
      <c r="K21" s="1">
        <v>45657</v>
      </c>
      <c r="L21" s="50">
        <v>170762</v>
      </c>
      <c r="M21" s="50">
        <v>222649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-0.10235306440853791</v>
      </c>
      <c r="K22" s="9" t="s">
        <v>123</v>
      </c>
      <c r="L22" s="6">
        <f>(M21-L21)/L21</f>
        <v>0.30385565875311837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26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26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27">F28/D28</f>
        <v>44.698790833464948</v>
      </c>
      <c r="F28" s="3">
        <v>56489.42</v>
      </c>
      <c r="G28" s="56">
        <v>75501.87</v>
      </c>
      <c r="H28" s="57">
        <f t="shared" ref="H28:H63" si="28">G28/D28</f>
        <v>59.742909285764696</v>
      </c>
      <c r="I28" s="57">
        <f t="shared" ref="I28:I63" si="29">G28-F28</f>
        <v>19012.449999999997</v>
      </c>
      <c r="J28" s="6">
        <f t="shared" ref="J28:J63" si="30">I28/F28</f>
        <v>0.33656656414599401</v>
      </c>
      <c r="K28" s="1">
        <v>45527</v>
      </c>
      <c r="L28" s="1">
        <v>45688</v>
      </c>
      <c r="M28">
        <f t="shared" si="26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27"/>
        <v>169.90901206845703</v>
      </c>
      <c r="F29" s="3">
        <f>59492.79+21969.78</f>
        <v>81462.570000000007</v>
      </c>
      <c r="G29" s="56">
        <v>65047.58</v>
      </c>
      <c r="H29" s="57">
        <f t="shared" si="28"/>
        <v>135.67175765807443</v>
      </c>
      <c r="I29" s="57">
        <f t="shared" si="29"/>
        <v>-16414.990000000005</v>
      </c>
      <c r="J29" s="6">
        <f t="shared" si="30"/>
        <v>-0.20150346349249729</v>
      </c>
      <c r="K29" s="1">
        <v>45671</v>
      </c>
      <c r="L29" s="1">
        <v>45688</v>
      </c>
      <c r="M29">
        <f t="shared" si="26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27"/>
        <v>18.702010092477405</v>
      </c>
      <c r="F30" s="3">
        <v>56486.59</v>
      </c>
      <c r="G30" s="56">
        <v>71124.88</v>
      </c>
      <c r="H30" s="57">
        <f t="shared" si="28"/>
        <v>23.548566546258936</v>
      </c>
      <c r="I30" s="57">
        <f t="shared" si="29"/>
        <v>14638.290000000008</v>
      </c>
      <c r="J30" s="6">
        <f t="shared" si="30"/>
        <v>0.25914628587068206</v>
      </c>
      <c r="K30" s="1">
        <v>45527</v>
      </c>
      <c r="L30" s="1">
        <v>45691</v>
      </c>
      <c r="M30">
        <f t="shared" si="26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27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28"/>
        <v>38.249853000000002</v>
      </c>
      <c r="I31" s="57">
        <f t="shared" si="29"/>
        <v>-6110.386336591735</v>
      </c>
      <c r="J31" s="6">
        <f t="shared" si="30"/>
        <v>-0.10005621882176895</v>
      </c>
      <c r="K31" s="1">
        <v>45706</v>
      </c>
      <c r="L31" s="1">
        <v>45708</v>
      </c>
      <c r="M31">
        <f t="shared" si="26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27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28"/>
        <v>531.63995279999995</v>
      </c>
      <c r="I32" s="57">
        <f t="shared" si="29"/>
        <v>-22176.243614196137</v>
      </c>
      <c r="J32" s="6">
        <f t="shared" si="30"/>
        <v>-0.24194911929355969</v>
      </c>
      <c r="K32" s="1">
        <v>45706</v>
      </c>
      <c r="L32" s="1">
        <v>45708</v>
      </c>
      <c r="M32">
        <f t="shared" si="26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27"/>
        <v>368.56522253629635</v>
      </c>
      <c r="F33" s="3">
        <v>74438.86</v>
      </c>
      <c r="G33" s="56">
        <f>201.9693*360.5332483</f>
        <v>72816.647785877198</v>
      </c>
      <c r="H33" s="57">
        <f t="shared" si="28"/>
        <v>360.53324830000003</v>
      </c>
      <c r="I33" s="57">
        <f t="shared" si="29"/>
        <v>-1622.2122141228028</v>
      </c>
      <c r="J33" s="6">
        <f t="shared" si="30"/>
        <v>-2.1792545105107773E-2</v>
      </c>
      <c r="K33" s="1">
        <v>45664</v>
      </c>
      <c r="L33" s="1">
        <v>45708</v>
      </c>
      <c r="M33">
        <f t="shared" si="26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27"/>
        <v>30.17825528482809</v>
      </c>
      <c r="F34" s="3">
        <v>37884.65</v>
      </c>
      <c r="G34" s="56">
        <f>1255.3625*39.762296</f>
        <v>49916.0953123</v>
      </c>
      <c r="H34" s="57">
        <f t="shared" si="28"/>
        <v>39.762295999999999</v>
      </c>
      <c r="I34" s="57">
        <f t="shared" si="29"/>
        <v>12031.445312299998</v>
      </c>
      <c r="J34" s="6">
        <f t="shared" si="30"/>
        <v>0.31758100740801348</v>
      </c>
      <c r="K34" s="1">
        <v>45663</v>
      </c>
      <c r="L34" s="1">
        <v>45709</v>
      </c>
      <c r="M34">
        <f t="shared" si="26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27"/>
        <v>242.26930551548847</v>
      </c>
      <c r="F35" s="3">
        <v>61221.72</v>
      </c>
      <c r="G35" s="56">
        <f>252.7011*226.6146532</f>
        <v>57265.772139758519</v>
      </c>
      <c r="H35" s="57">
        <f t="shared" si="28"/>
        <v>226.61465319999999</v>
      </c>
      <c r="I35" s="57">
        <f t="shared" si="29"/>
        <v>-3955.947860241482</v>
      </c>
      <c r="J35" s="6">
        <f t="shared" si="30"/>
        <v>-6.4616738311852093E-2</v>
      </c>
      <c r="K35" s="1">
        <v>45699</v>
      </c>
      <c r="L35" s="1">
        <v>45709</v>
      </c>
      <c r="M35">
        <f t="shared" si="26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27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28"/>
        <v>283.93999450000007</v>
      </c>
      <c r="I36" s="57">
        <f t="shared" si="29"/>
        <v>19563.525282954361</v>
      </c>
      <c r="J36" s="6">
        <f t="shared" si="30"/>
        <v>0.36434300703793465</v>
      </c>
      <c r="K36" s="1">
        <v>45580</v>
      </c>
      <c r="L36" s="1">
        <v>45712</v>
      </c>
      <c r="M36">
        <f t="shared" si="26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27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28"/>
        <v>63.365330900000004</v>
      </c>
      <c r="I37" s="57">
        <f t="shared" si="29"/>
        <v>-4549.5912833559851</v>
      </c>
      <c r="J37" s="6">
        <f t="shared" si="30"/>
        <v>-5.9638082078758516E-2</v>
      </c>
      <c r="K37" s="1">
        <v>45673</v>
      </c>
      <c r="L37" s="1">
        <v>45712</v>
      </c>
      <c r="M37">
        <f t="shared" si="26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28"/>
        <v>50.021380499999999</v>
      </c>
      <c r="I38" s="57">
        <f t="shared" si="29"/>
        <v>6027.2875116823998</v>
      </c>
      <c r="J38" s="6">
        <f t="shared" si="30"/>
        <v>9.9771440635884723E-2</v>
      </c>
      <c r="K38" s="1">
        <v>45593</v>
      </c>
      <c r="L38" s="1">
        <v>45713</v>
      </c>
      <c r="M38">
        <f t="shared" si="26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28"/>
        <v>12.519992000000002</v>
      </c>
      <c r="I39" s="57">
        <f t="shared" si="29"/>
        <v>-2230.6527810991975</v>
      </c>
      <c r="J39" s="6">
        <f t="shared" si="30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28"/>
        <v>94.679995300000002</v>
      </c>
      <c r="I40" s="57">
        <f t="shared" si="29"/>
        <v>-4750.690604140058</v>
      </c>
      <c r="J40" s="6">
        <f t="shared" si="30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66" si="31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28"/>
        <v>18.9477051</v>
      </c>
      <c r="I41" s="57">
        <f t="shared" si="29"/>
        <v>-2244.5195874142191</v>
      </c>
      <c r="J41" s="6">
        <f t="shared" si="30"/>
        <v>-8.2776138273503941E-2</v>
      </c>
      <c r="K41" s="1">
        <v>45761</v>
      </c>
      <c r="L41" s="1">
        <v>45768</v>
      </c>
      <c r="M41">
        <f t="shared" ref="M41:M66" si="32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31"/>
        <v>96.336406065231671</v>
      </c>
      <c r="F42" s="3">
        <v>34004.42</v>
      </c>
      <c r="G42" s="56">
        <f>352.9758*89.7849585</f>
        <v>31691.9175545043</v>
      </c>
      <c r="H42" s="57">
        <f t="shared" si="28"/>
        <v>89.784958500000002</v>
      </c>
      <c r="I42" s="57">
        <f t="shared" si="29"/>
        <v>-2312.5024454956983</v>
      </c>
      <c r="J42" s="6">
        <f t="shared" si="30"/>
        <v>-6.8005937036882222E-2</v>
      </c>
      <c r="K42" s="1">
        <v>45762</v>
      </c>
      <c r="L42" s="1">
        <v>45768</v>
      </c>
      <c r="M42">
        <f t="shared" si="32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31"/>
        <v>16.992624876012847</v>
      </c>
      <c r="F43" s="3">
        <v>37971.83</v>
      </c>
      <c r="G43" s="56">
        <f>2234.6065*13.3067232</f>
        <v>29735.2901564208</v>
      </c>
      <c r="H43" s="57">
        <f t="shared" si="28"/>
        <v>13.3067232</v>
      </c>
      <c r="I43" s="57">
        <f t="shared" si="29"/>
        <v>-8236.5398435792013</v>
      </c>
      <c r="J43" s="6">
        <f t="shared" si="30"/>
        <v>-0.21691184869360261</v>
      </c>
      <c r="K43" s="1">
        <v>45652</v>
      </c>
      <c r="L43" s="1">
        <v>45785</v>
      </c>
      <c r="M43">
        <f t="shared" si="32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31"/>
        <v>38.101812248436303</v>
      </c>
      <c r="F44" s="3">
        <v>21940.86</v>
      </c>
      <c r="G44" s="56">
        <f>575.8482*32.7857042</f>
        <v>18879.588749302438</v>
      </c>
      <c r="H44" s="57">
        <f t="shared" si="28"/>
        <v>32.785704199999998</v>
      </c>
      <c r="I44" s="57">
        <f t="shared" si="29"/>
        <v>-3061.2712506975622</v>
      </c>
      <c r="J44" s="6">
        <f t="shared" si="30"/>
        <v>-0.13952375844417958</v>
      </c>
      <c r="K44" s="1">
        <v>45761</v>
      </c>
      <c r="L44" s="1">
        <v>45790</v>
      </c>
      <c r="M44">
        <f t="shared" si="32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31"/>
        <v>24.570291674143743</v>
      </c>
      <c r="F45" s="3">
        <v>23591.34</v>
      </c>
      <c r="G45" s="56">
        <v>19396.37</v>
      </c>
      <c r="H45" s="57">
        <f t="shared" si="28"/>
        <v>20.201246233559068</v>
      </c>
      <c r="I45" s="57">
        <f t="shared" si="29"/>
        <v>-4194.9700000000012</v>
      </c>
      <c r="J45" s="6">
        <f t="shared" si="30"/>
        <v>-0.17781821634548953</v>
      </c>
      <c r="K45" s="1">
        <v>45776</v>
      </c>
      <c r="L45" s="1">
        <v>45812</v>
      </c>
      <c r="M45">
        <f t="shared" si="32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31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28"/>
        <v>84.038907800000004</v>
      </c>
      <c r="I46" s="57">
        <f t="shared" si="29"/>
        <v>-3907.8121523372101</v>
      </c>
      <c r="J46" s="6">
        <f t="shared" si="30"/>
        <v>-0.14246372001691271</v>
      </c>
      <c r="K46" s="1">
        <v>45782</v>
      </c>
      <c r="L46" s="1">
        <v>45818</v>
      </c>
      <c r="M46">
        <f t="shared" si="32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31"/>
        <v>40.437100849618155</v>
      </c>
      <c r="F47" s="3">
        <f>22877.09+14244.67</f>
        <v>37121.760000000002</v>
      </c>
      <c r="G47" s="56">
        <v>34659.56</v>
      </c>
      <c r="H47" s="57">
        <f t="shared" si="28"/>
        <v>37.755002002151599</v>
      </c>
      <c r="I47" s="57">
        <f t="shared" si="29"/>
        <v>-2462.2000000000044</v>
      </c>
      <c r="J47" s="6">
        <f t="shared" si="30"/>
        <v>-6.6327674118899643E-2</v>
      </c>
      <c r="K47" s="1">
        <v>45782</v>
      </c>
      <c r="L47" s="1">
        <v>45828</v>
      </c>
      <c r="M47">
        <f t="shared" si="32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31"/>
        <v>123.70183817297092</v>
      </c>
      <c r="F48" s="3">
        <f>22876.67+14197.82+14808.77</f>
        <v>51883.259999999995</v>
      </c>
      <c r="G48" s="56">
        <v>55156.07</v>
      </c>
      <c r="H48" s="57">
        <f t="shared" si="28"/>
        <v>131.50498340692272</v>
      </c>
      <c r="I48" s="57">
        <f t="shared" si="29"/>
        <v>3272.8100000000049</v>
      </c>
      <c r="J48" s="6">
        <f t="shared" si="30"/>
        <v>6.3080269050171583E-2</v>
      </c>
      <c r="K48" s="1">
        <v>45782</v>
      </c>
      <c r="L48" s="1">
        <v>45839</v>
      </c>
      <c r="M48">
        <f t="shared" si="32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31"/>
        <v>63.194998844628557</v>
      </c>
      <c r="F49" s="3">
        <v>36072.47</v>
      </c>
      <c r="G49" s="56">
        <v>51786.91</v>
      </c>
      <c r="H49" s="57">
        <f t="shared" si="28"/>
        <v>90.724968864535285</v>
      </c>
      <c r="I49" s="57">
        <f t="shared" si="29"/>
        <v>15714.440000000002</v>
      </c>
      <c r="J49" s="6">
        <f t="shared" si="30"/>
        <v>0.43563526423336141</v>
      </c>
      <c r="K49" s="1">
        <v>45796</v>
      </c>
      <c r="L49" s="1">
        <v>45839</v>
      </c>
      <c r="M49">
        <f t="shared" si="32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31"/>
        <v>90.254808370121239</v>
      </c>
      <c r="F50" s="3">
        <f>35895.15+19479.74</f>
        <v>55374.89</v>
      </c>
      <c r="G50" s="56">
        <v>55236.959999999999</v>
      </c>
      <c r="H50" s="57">
        <f t="shared" si="28"/>
        <v>90.029998068584007</v>
      </c>
      <c r="I50" s="57">
        <f t="shared" si="29"/>
        <v>-137.93000000000029</v>
      </c>
      <c r="J50" s="6">
        <f t="shared" si="30"/>
        <v>-2.4908401623912986E-3</v>
      </c>
      <c r="K50" s="1">
        <v>45789</v>
      </c>
      <c r="L50" s="1">
        <v>45855</v>
      </c>
      <c r="M50">
        <f t="shared" si="32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31"/>
        <v>113.05354718581073</v>
      </c>
      <c r="F51" s="3">
        <v>45409.8</v>
      </c>
      <c r="G51" s="56">
        <v>41051.0026</v>
      </c>
      <c r="H51" s="57">
        <f t="shared" si="28"/>
        <v>102.2017595202784</v>
      </c>
      <c r="I51" s="57">
        <f t="shared" si="29"/>
        <v>-4358.7974000000031</v>
      </c>
      <c r="J51" s="6">
        <f t="shared" si="30"/>
        <v>-9.5988033420098803E-2</v>
      </c>
      <c r="K51" s="1">
        <v>45855</v>
      </c>
      <c r="L51" s="1">
        <v>45860</v>
      </c>
      <c r="M51">
        <f t="shared" si="32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31"/>
        <v>17.339829156069133</v>
      </c>
      <c r="F52" s="3">
        <v>22797.23</v>
      </c>
      <c r="G52" s="56">
        <v>18655.11</v>
      </c>
      <c r="H52" s="57">
        <f t="shared" si="28"/>
        <v>14.189286167121043</v>
      </c>
      <c r="I52" s="57">
        <f t="shared" si="29"/>
        <v>-4142.119999999999</v>
      </c>
      <c r="J52" s="6">
        <f t="shared" si="30"/>
        <v>-0.18169400405224664</v>
      </c>
      <c r="K52" s="1">
        <v>45861</v>
      </c>
      <c r="L52" s="1">
        <v>45870</v>
      </c>
      <c r="M52">
        <f t="shared" si="32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31"/>
        <v>74.757798491837917</v>
      </c>
      <c r="F53" s="3">
        <f>26856.13+12527.28</f>
        <v>39383.410000000003</v>
      </c>
      <c r="G53" s="56">
        <v>67176.488400000002</v>
      </c>
      <c r="H53" s="57">
        <f t="shared" si="28"/>
        <v>127.51476784759082</v>
      </c>
      <c r="I53" s="57">
        <f t="shared" si="29"/>
        <v>27793.078399999999</v>
      </c>
      <c r="J53" s="6">
        <f t="shared" si="30"/>
        <v>0.7057052296893539</v>
      </c>
      <c r="K53" s="1">
        <v>45789</v>
      </c>
      <c r="L53" s="1">
        <v>45870</v>
      </c>
      <c r="M53">
        <f t="shared" si="32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31"/>
        <v>22.651928580010882</v>
      </c>
      <c r="F54" s="3">
        <f>18821.97+11334.33+20180.34</f>
        <v>50336.639999999999</v>
      </c>
      <c r="G54" s="56">
        <v>42713.83</v>
      </c>
      <c r="H54" s="57">
        <f t="shared" si="28"/>
        <v>19.221597360068653</v>
      </c>
      <c r="I54" s="57">
        <f t="shared" si="29"/>
        <v>-7622.8099999999977</v>
      </c>
      <c r="J54" s="6">
        <f t="shared" si="30"/>
        <v>-0.15143660760829483</v>
      </c>
      <c r="K54" s="1">
        <v>45814</v>
      </c>
      <c r="L54" s="1">
        <v>45880</v>
      </c>
      <c r="M54">
        <f t="shared" si="32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31"/>
        <v>30.926801697408081</v>
      </c>
      <c r="F55" s="3">
        <f>(605.0016*29.7738017)+17708.65</f>
        <v>35721.847666582718</v>
      </c>
      <c r="G55" s="56">
        <v>42554.27</v>
      </c>
      <c r="H55" s="57">
        <f t="shared" si="28"/>
        <v>36.842088403482109</v>
      </c>
      <c r="I55" s="57">
        <f t="shared" si="29"/>
        <v>6832.4223334172784</v>
      </c>
      <c r="J55" s="6">
        <f t="shared" si="30"/>
        <v>0.1912673274123195</v>
      </c>
      <c r="K55" s="1">
        <v>45800</v>
      </c>
      <c r="L55" s="1">
        <v>45881</v>
      </c>
      <c r="M55">
        <f t="shared" si="32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31"/>
        <v>377.42204050678822</v>
      </c>
      <c r="F56" s="3">
        <f>34962.9+15401.92</f>
        <v>50364.82</v>
      </c>
      <c r="G56" s="56">
        <v>81517.961800000005</v>
      </c>
      <c r="H56" s="57">
        <f t="shared" si="28"/>
        <v>610.87631168959638</v>
      </c>
      <c r="I56" s="57">
        <f t="shared" si="29"/>
        <v>31153.141800000005</v>
      </c>
      <c r="J56" s="6">
        <f t="shared" si="30"/>
        <v>0.61854965033132259</v>
      </c>
      <c r="K56" s="1">
        <v>45771</v>
      </c>
      <c r="L56" s="1">
        <v>45884</v>
      </c>
      <c r="M56">
        <f t="shared" si="32"/>
        <v>111</v>
      </c>
    </row>
    <row r="57" spans="1:13" x14ac:dyDescent="0.25">
      <c r="A57" t="s">
        <v>138</v>
      </c>
      <c r="B57" t="s">
        <v>30</v>
      </c>
      <c r="C57" s="25" t="s">
        <v>139</v>
      </c>
      <c r="D57" s="2">
        <v>345.54309999999998</v>
      </c>
      <c r="E57" s="57">
        <f t="shared" si="31"/>
        <v>133.9832570813887</v>
      </c>
      <c r="F57" s="3">
        <v>46296.99</v>
      </c>
      <c r="G57" s="56">
        <v>42812.79</v>
      </c>
      <c r="H57" s="57">
        <f t="shared" si="28"/>
        <v>123.89999973954046</v>
      </c>
      <c r="I57" s="57">
        <f t="shared" si="29"/>
        <v>-3484.1999999999971</v>
      </c>
      <c r="J57" s="6">
        <f t="shared" si="30"/>
        <v>-7.525759234023631E-2</v>
      </c>
      <c r="K57" s="1">
        <v>45897</v>
      </c>
      <c r="L57" s="1">
        <v>45904</v>
      </c>
      <c r="M57">
        <f t="shared" si="32"/>
        <v>6</v>
      </c>
    </row>
    <row r="58" spans="1:13" x14ac:dyDescent="0.25">
      <c r="A58" t="s">
        <v>136</v>
      </c>
      <c r="B58" t="s">
        <v>30</v>
      </c>
      <c r="C58" s="25" t="s">
        <v>137</v>
      </c>
      <c r="D58" s="2">
        <v>287.49</v>
      </c>
      <c r="E58" s="57">
        <f t="shared" si="31"/>
        <v>198.81999373891267</v>
      </c>
      <c r="F58" s="3">
        <v>57158.76</v>
      </c>
      <c r="G58" s="56">
        <v>56889.83</v>
      </c>
      <c r="H58" s="57">
        <f t="shared" si="28"/>
        <v>197.88455250617412</v>
      </c>
      <c r="I58" s="57">
        <f t="shared" si="29"/>
        <v>-268.93000000000029</v>
      </c>
      <c r="J58" s="6">
        <f t="shared" si="30"/>
        <v>-4.7049656080712784E-3</v>
      </c>
      <c r="K58" s="1">
        <v>45895</v>
      </c>
      <c r="L58" s="1">
        <v>45936</v>
      </c>
      <c r="M58">
        <f t="shared" si="32"/>
        <v>40</v>
      </c>
    </row>
    <row r="59" spans="1:13" x14ac:dyDescent="0.25">
      <c r="A59" t="s">
        <v>142</v>
      </c>
      <c r="B59" t="s">
        <v>30</v>
      </c>
      <c r="C59" s="25" t="s">
        <v>143</v>
      </c>
      <c r="D59" s="2">
        <v>502.0591</v>
      </c>
      <c r="E59" s="57">
        <f t="shared" si="31"/>
        <v>141.49505506423449</v>
      </c>
      <c r="F59" s="3">
        <v>71038.880000000005</v>
      </c>
      <c r="G59" s="56">
        <v>69446.240000000005</v>
      </c>
      <c r="H59" s="57">
        <f t="shared" si="28"/>
        <v>138.3228388849042</v>
      </c>
      <c r="I59" s="57">
        <f t="shared" si="29"/>
        <v>-1592.6399999999994</v>
      </c>
      <c r="J59" s="6">
        <f t="shared" si="30"/>
        <v>-2.2419272375915827E-2</v>
      </c>
      <c r="K59" s="1">
        <v>45909</v>
      </c>
      <c r="L59" s="1">
        <v>45944</v>
      </c>
      <c r="M59">
        <f t="shared" si="32"/>
        <v>35</v>
      </c>
    </row>
    <row r="60" spans="1:13" x14ac:dyDescent="0.25">
      <c r="A60" t="s">
        <v>69</v>
      </c>
      <c r="B60" t="s">
        <v>30</v>
      </c>
      <c r="C60" s="25" t="s">
        <v>70</v>
      </c>
      <c r="D60" s="2">
        <f>143.2704+538.7851</f>
        <v>682.05550000000005</v>
      </c>
      <c r="E60" s="57">
        <f t="shared" si="31"/>
        <v>63.85874756526411</v>
      </c>
      <c r="F60" s="3">
        <f>9149.25+34405.96</f>
        <v>43555.21</v>
      </c>
      <c r="G60" s="56">
        <f>25648.23+78191</f>
        <v>103839.23</v>
      </c>
      <c r="H60" s="57">
        <f t="shared" si="28"/>
        <v>152.2445460816605</v>
      </c>
      <c r="I60" s="57">
        <f t="shared" si="29"/>
        <v>60284.02</v>
      </c>
      <c r="J60" s="6">
        <f t="shared" si="30"/>
        <v>1.3840828686166362</v>
      </c>
      <c r="K60" s="1">
        <v>45854</v>
      </c>
      <c r="L60" s="1">
        <v>45945</v>
      </c>
      <c r="M60">
        <f t="shared" si="32"/>
        <v>89</v>
      </c>
    </row>
    <row r="61" spans="1:13" x14ac:dyDescent="0.25">
      <c r="A61" t="s">
        <v>138</v>
      </c>
      <c r="B61" t="s">
        <v>30</v>
      </c>
      <c r="C61" s="25" t="s">
        <v>139</v>
      </c>
      <c r="D61" s="2">
        <v>337.18810000000002</v>
      </c>
      <c r="E61" s="57">
        <f t="shared" si="31"/>
        <v>164.72274673987604</v>
      </c>
      <c r="F61" s="3">
        <v>55542.55</v>
      </c>
      <c r="G61" s="56">
        <v>56222.05</v>
      </c>
      <c r="H61" s="57">
        <f t="shared" si="28"/>
        <v>166.73794241255845</v>
      </c>
      <c r="I61" s="57">
        <f t="shared" si="29"/>
        <v>679.5</v>
      </c>
      <c r="J61" s="6">
        <f t="shared" si="30"/>
        <v>1.2233863947550121E-2</v>
      </c>
      <c r="K61" s="1">
        <v>45938</v>
      </c>
      <c r="L61" s="1">
        <v>45953</v>
      </c>
      <c r="M61">
        <f t="shared" si="32"/>
        <v>15</v>
      </c>
    </row>
    <row r="62" spans="1:13" x14ac:dyDescent="0.25">
      <c r="A62" t="s">
        <v>126</v>
      </c>
      <c r="B62" t="s">
        <v>30</v>
      </c>
      <c r="C62" s="25" t="s">
        <v>127</v>
      </c>
      <c r="D62" s="2">
        <f>344.4515+240</f>
        <v>584.45150000000001</v>
      </c>
      <c r="E62" s="57">
        <f t="shared" si="31"/>
        <v>92.249194330068448</v>
      </c>
      <c r="F62" s="3">
        <f>30563.18+23352</f>
        <v>53915.18</v>
      </c>
      <c r="G62" s="56">
        <v>79663.16</v>
      </c>
      <c r="H62" s="57">
        <f t="shared" si="28"/>
        <v>136.30414157547719</v>
      </c>
      <c r="I62" s="57">
        <f t="shared" si="29"/>
        <v>25747.980000000003</v>
      </c>
      <c r="J62" s="6">
        <f t="shared" si="30"/>
        <v>0.47756457457806878</v>
      </c>
      <c r="K62" s="1">
        <v>45840</v>
      </c>
      <c r="L62" s="1">
        <v>45953</v>
      </c>
      <c r="M62">
        <f t="shared" si="32"/>
        <v>111</v>
      </c>
    </row>
    <row r="63" spans="1:13" x14ac:dyDescent="0.25">
      <c r="A63" t="s">
        <v>144</v>
      </c>
      <c r="B63" t="s">
        <v>30</v>
      </c>
      <c r="C63" s="25" t="s">
        <v>145</v>
      </c>
      <c r="D63" s="2">
        <v>1679.5722000000001</v>
      </c>
      <c r="E63" s="57">
        <f t="shared" si="31"/>
        <v>33.115236129771617</v>
      </c>
      <c r="F63" s="3">
        <v>55619.43</v>
      </c>
      <c r="G63" s="56">
        <v>50133.94</v>
      </c>
      <c r="H63" s="57">
        <f t="shared" si="28"/>
        <v>29.849231846061752</v>
      </c>
      <c r="I63" s="57">
        <f t="shared" si="29"/>
        <v>-5485.489999999998</v>
      </c>
      <c r="J63" s="6">
        <f t="shared" si="30"/>
        <v>-9.8625426402248237E-2</v>
      </c>
      <c r="K63" s="1">
        <v>45954</v>
      </c>
      <c r="L63" s="1">
        <v>45965</v>
      </c>
      <c r="M63">
        <f t="shared" si="32"/>
        <v>10</v>
      </c>
    </row>
    <row r="64" spans="1:13" x14ac:dyDescent="0.25">
      <c r="A64" t="s">
        <v>128</v>
      </c>
      <c r="B64" t="s">
        <v>30</v>
      </c>
      <c r="C64" s="25" t="s">
        <v>129</v>
      </c>
      <c r="D64" s="2">
        <f>786.7766+525.5828</f>
        <v>1312.3594000000001</v>
      </c>
      <c r="E64" s="57">
        <f t="shared" si="31"/>
        <v>39.768046771334134</v>
      </c>
      <c r="F64" s="3">
        <f>30514.1+21675.87</f>
        <v>52189.97</v>
      </c>
      <c r="G64" s="56">
        <v>52911.071499999998</v>
      </c>
      <c r="H64" s="57">
        <f t="shared" ref="H64:H65" si="33">G64/D64</f>
        <v>40.317516299269847</v>
      </c>
      <c r="I64" s="57">
        <f t="shared" ref="I64:I65" si="34">G64-F64</f>
        <v>721.10149999999703</v>
      </c>
      <c r="J64" s="6">
        <f t="shared" ref="J64:J65" si="35">I64/F64</f>
        <v>1.3816859829580225E-2</v>
      </c>
      <c r="K64" s="1">
        <v>45840</v>
      </c>
      <c r="L64" s="1">
        <v>45967</v>
      </c>
      <c r="M64">
        <f t="shared" si="32"/>
        <v>124</v>
      </c>
    </row>
    <row r="65" spans="1:13" x14ac:dyDescent="0.25">
      <c r="A65" t="s">
        <v>124</v>
      </c>
      <c r="B65" t="s">
        <v>30</v>
      </c>
      <c r="C65" s="25" t="s">
        <v>125</v>
      </c>
      <c r="D65" s="2">
        <f>915.359+608.2121</f>
        <v>1523.5711000000001</v>
      </c>
      <c r="E65" s="57">
        <f t="shared" si="31"/>
        <v>32.025317426932027</v>
      </c>
      <c r="F65" s="3">
        <f>28630.6+20162.2481</f>
        <v>48792.848100000003</v>
      </c>
      <c r="G65" s="56">
        <v>77936.641799999998</v>
      </c>
      <c r="H65" s="57">
        <f t="shared" si="33"/>
        <v>51.153925012098213</v>
      </c>
      <c r="I65" s="57">
        <f t="shared" si="34"/>
        <v>29143.793699999995</v>
      </c>
      <c r="J65" s="6">
        <f t="shared" si="35"/>
        <v>0.59729642426837537</v>
      </c>
      <c r="K65" s="1">
        <v>45817</v>
      </c>
      <c r="L65" s="1">
        <v>45967</v>
      </c>
      <c r="M65">
        <f t="shared" si="32"/>
        <v>147</v>
      </c>
    </row>
    <row r="66" spans="1:13" x14ac:dyDescent="0.25">
      <c r="A66" t="s">
        <v>146</v>
      </c>
      <c r="B66" t="s">
        <v>30</v>
      </c>
      <c r="C66" s="25" t="s">
        <v>147</v>
      </c>
      <c r="D66" s="2">
        <v>776.60839999999996</v>
      </c>
      <c r="E66" s="57">
        <f t="shared" si="31"/>
        <v>71.667432389348349</v>
      </c>
      <c r="F66" s="3">
        <v>55657.53</v>
      </c>
      <c r="G66" s="56">
        <v>51251.39</v>
      </c>
      <c r="H66" s="57">
        <f t="shared" ref="H66" si="36">G66/D66</f>
        <v>65.993865119151437</v>
      </c>
      <c r="I66" s="57">
        <f t="shared" ref="I66" si="37">G66-F66</f>
        <v>-4406.1399999999994</v>
      </c>
      <c r="J66" s="6">
        <f t="shared" ref="J66" si="38">I66/F66</f>
        <v>-7.9165209092103075E-2</v>
      </c>
      <c r="K66" s="1">
        <v>45957</v>
      </c>
      <c r="L66" s="1">
        <v>45968</v>
      </c>
      <c r="M66">
        <f t="shared" si="32"/>
        <v>10</v>
      </c>
    </row>
    <row r="67" spans="1:13" x14ac:dyDescent="0.25">
      <c r="C67" s="25"/>
      <c r="D67" s="2"/>
      <c r="E67" s="57"/>
      <c r="F67" s="3"/>
      <c r="G67" s="56"/>
      <c r="H67" s="57"/>
      <c r="I67" s="57"/>
      <c r="J67" s="6"/>
      <c r="K67" s="1"/>
      <c r="L67" s="1"/>
    </row>
    <row r="68" spans="1:13" x14ac:dyDescent="0.25">
      <c r="C68" s="25"/>
      <c r="D68" s="2"/>
      <c r="E68" s="57"/>
      <c r="F68" s="3"/>
      <c r="G68" s="56"/>
      <c r="H68" s="57"/>
      <c r="I68" s="57"/>
      <c r="J68" s="6"/>
      <c r="K68" s="1"/>
      <c r="L68" s="1"/>
    </row>
    <row r="69" spans="1:13" x14ac:dyDescent="0.25">
      <c r="F69" s="56"/>
      <c r="G69" s="56"/>
      <c r="H69" s="3"/>
      <c r="I69" s="3">
        <f>SUM(I26:I64)</f>
        <v>120384.02476708277</v>
      </c>
      <c r="J69" s="13" t="s">
        <v>66</v>
      </c>
    </row>
    <row r="70" spans="1:13" x14ac:dyDescent="0.25">
      <c r="F70" s="56"/>
      <c r="G70" s="56"/>
      <c r="H70" s="3" t="s">
        <v>67</v>
      </c>
      <c r="I70" s="59">
        <v>26</v>
      </c>
      <c r="J70" s="5">
        <v>-9.9400000000000002E-2</v>
      </c>
    </row>
    <row r="71" spans="1:13" x14ac:dyDescent="0.25">
      <c r="F71" s="56"/>
      <c r="G71" s="56"/>
      <c r="H71" s="3" t="s">
        <v>68</v>
      </c>
      <c r="I71" s="59">
        <v>15</v>
      </c>
      <c r="J71" s="5">
        <v>0.39179999999999998</v>
      </c>
    </row>
    <row r="72" spans="1:13" x14ac:dyDescent="0.25">
      <c r="F72" s="56"/>
      <c r="G72" s="56"/>
      <c r="J72" s="6"/>
    </row>
    <row r="73" spans="1:13" x14ac:dyDescent="0.25">
      <c r="F73" s="56"/>
      <c r="G73" s="56"/>
      <c r="J73" s="6"/>
    </row>
    <row r="74" spans="1:13" x14ac:dyDescent="0.25">
      <c r="F74" s="56"/>
      <c r="G74" s="56"/>
      <c r="J74" s="6"/>
    </row>
    <row r="75" spans="1:13" x14ac:dyDescent="0.25">
      <c r="F75" s="56"/>
      <c r="G75" s="56"/>
      <c r="J75" s="6"/>
    </row>
    <row r="76" spans="1:13" x14ac:dyDescent="0.25">
      <c r="F76" s="56"/>
      <c r="G76" s="56"/>
      <c r="J76" s="6"/>
    </row>
    <row r="77" spans="1:13" x14ac:dyDescent="0.25">
      <c r="F77" s="56"/>
      <c r="G77" s="56"/>
      <c r="J77" s="6"/>
    </row>
    <row r="78" spans="1:13" x14ac:dyDescent="0.25">
      <c r="F78" s="56"/>
      <c r="G78" s="56"/>
      <c r="J78" s="6"/>
    </row>
    <row r="79" spans="1:13" x14ac:dyDescent="0.25">
      <c r="F79" s="56"/>
      <c r="G79" s="56"/>
      <c r="J79" s="6"/>
    </row>
    <row r="80" spans="1:13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  <c r="J86" s="6"/>
    </row>
    <row r="87" spans="6:10" x14ac:dyDescent="0.25">
      <c r="F87" s="56"/>
      <c r="G87" s="56"/>
      <c r="J87" s="6"/>
    </row>
    <row r="88" spans="6:10" x14ac:dyDescent="0.25">
      <c r="F88" s="56"/>
      <c r="G88" s="56"/>
      <c r="J88" s="6"/>
    </row>
    <row r="89" spans="6:10" x14ac:dyDescent="0.25">
      <c r="F89" s="56"/>
      <c r="G89" s="56"/>
      <c r="J89" s="6"/>
    </row>
    <row r="90" spans="6:10" x14ac:dyDescent="0.25">
      <c r="F90" s="56"/>
      <c r="G90" s="56"/>
      <c r="J90" s="6"/>
    </row>
    <row r="91" spans="6:10" x14ac:dyDescent="0.25">
      <c r="F91" s="56"/>
      <c r="G91" s="56"/>
      <c r="J91" s="6"/>
    </row>
    <row r="92" spans="6:10" x14ac:dyDescent="0.25">
      <c r="F92" s="56"/>
      <c r="G92" s="56"/>
      <c r="J92" s="6"/>
    </row>
    <row r="93" spans="6:10" x14ac:dyDescent="0.25">
      <c r="F93" s="56"/>
      <c r="G93" s="56"/>
      <c r="J93" s="6"/>
    </row>
    <row r="94" spans="6:10" x14ac:dyDescent="0.25">
      <c r="F94" s="56"/>
      <c r="G94" s="56"/>
      <c r="J94" s="6"/>
    </row>
    <row r="95" spans="6:10" x14ac:dyDescent="0.25">
      <c r="F95" s="56"/>
      <c r="G95" s="56"/>
    </row>
    <row r="96" spans="6:10" x14ac:dyDescent="0.25">
      <c r="F96" s="56"/>
      <c r="G96" s="56"/>
    </row>
    <row r="97" spans="6:7" x14ac:dyDescent="0.25">
      <c r="F97" s="56"/>
      <c r="G97" s="56"/>
    </row>
    <row r="98" spans="6:7" x14ac:dyDescent="0.25">
      <c r="F98" s="56"/>
      <c r="G98" s="56"/>
    </row>
    <row r="99" spans="6:7" x14ac:dyDescent="0.25">
      <c r="F99" s="56"/>
      <c r="G99" s="56"/>
    </row>
    <row r="100" spans="6:7" x14ac:dyDescent="0.25">
      <c r="F100" s="56"/>
      <c r="G100" s="56"/>
    </row>
  </sheetData>
  <sortState xmlns:xlrd2="http://schemas.microsoft.com/office/spreadsheetml/2017/richdata2" ref="A7:AC9">
    <sortCondition descending="1" ref="L7:L9"/>
  </sortState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5EC95-4321-41C0-8086-FF1260DA51C1}">
  <dimension ref="A1:AC100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45975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134</v>
      </c>
      <c r="B7" t="s">
        <v>30</v>
      </c>
      <c r="C7" s="25" t="s">
        <v>135</v>
      </c>
      <c r="D7" s="2">
        <v>148.3219</v>
      </c>
      <c r="E7" s="26">
        <v>532</v>
      </c>
      <c r="F7" s="3">
        <f>E7*D7</f>
        <v>78907.250799999994</v>
      </c>
      <c r="G7" s="3">
        <v>68650.22</v>
      </c>
      <c r="H7" s="4">
        <f>G7/D7</f>
        <v>462.8461474670969</v>
      </c>
      <c r="I7" s="3">
        <f>F7-G7</f>
        <v>10257.030799999993</v>
      </c>
      <c r="J7" s="26">
        <f>E7-H7</f>
        <v>69.153852532903102</v>
      </c>
      <c r="K7" s="27">
        <v>45895</v>
      </c>
      <c r="L7">
        <f>DAYS360(K7,$C$1)</f>
        <v>78</v>
      </c>
      <c r="M7" s="5">
        <f>(I7/G7)</f>
        <v>0.14941002082731844</v>
      </c>
      <c r="N7">
        <v>75</v>
      </c>
      <c r="O7">
        <v>92</v>
      </c>
      <c r="P7" s="33">
        <v>80</v>
      </c>
      <c r="Q7" s="28">
        <v>473.7</v>
      </c>
      <c r="R7" s="29">
        <f>Q7*0.93</f>
        <v>440.541</v>
      </c>
      <c r="S7" s="29">
        <v>385.19</v>
      </c>
      <c r="T7" s="28">
        <f>Q7*1.25</f>
        <v>592.125</v>
      </c>
      <c r="U7" s="28">
        <f>Q7*1.5</f>
        <v>710.55</v>
      </c>
      <c r="V7" s="28">
        <f>Q7*2</f>
        <v>947.4</v>
      </c>
      <c r="W7" s="28">
        <f>H7-(H7*0.07)</f>
        <v>430.44691714440012</v>
      </c>
      <c r="X7" s="29">
        <v>575</v>
      </c>
      <c r="Y7" s="5">
        <f>(X7-H7)/H7</f>
        <v>0.2423134623603537</v>
      </c>
      <c r="Z7" s="32">
        <f>F7/F$20</f>
        <v>0.12690266141718942</v>
      </c>
      <c r="AB7" s="58">
        <v>46071</v>
      </c>
      <c r="AC7" s="9">
        <v>96</v>
      </c>
    </row>
    <row r="8" spans="1:29" x14ac:dyDescent="0.25">
      <c r="A8" t="s">
        <v>140</v>
      </c>
      <c r="B8" t="s">
        <v>30</v>
      </c>
      <c r="C8" s="25" t="s">
        <v>141</v>
      </c>
      <c r="D8" s="2">
        <f>595.1582+306.9859</f>
        <v>902.14409999999998</v>
      </c>
      <c r="E8" s="26">
        <v>84.76</v>
      </c>
      <c r="F8" s="3">
        <f>E8*D8</f>
        <v>76465.733915999997</v>
      </c>
      <c r="G8" s="3">
        <f>46827.05+24871.38</f>
        <v>71698.430000000008</v>
      </c>
      <c r="H8" s="4">
        <f>G8/D8</f>
        <v>79.475584887159386</v>
      </c>
      <c r="I8" s="3">
        <f>F8-G8</f>
        <v>4767.3039159999898</v>
      </c>
      <c r="J8" s="26">
        <f>E8-H8</f>
        <v>5.2844151128406196</v>
      </c>
      <c r="K8" s="27">
        <v>45897</v>
      </c>
      <c r="L8">
        <f>DAYS360(K8,$C$1)</f>
        <v>76</v>
      </c>
      <c r="M8" s="5">
        <f>(I8/G8)</f>
        <v>6.6491050306122318E-2</v>
      </c>
      <c r="N8">
        <v>6</v>
      </c>
      <c r="O8">
        <v>93</v>
      </c>
      <c r="P8" s="63">
        <v>97</v>
      </c>
      <c r="Q8" s="28">
        <v>78.959999999999994</v>
      </c>
      <c r="R8" s="29">
        <f>Q8*0.93</f>
        <v>73.4328</v>
      </c>
      <c r="S8" s="29">
        <v>68.959999999999994</v>
      </c>
      <c r="T8" s="28">
        <f>Q8*1.25</f>
        <v>98.699999999999989</v>
      </c>
      <c r="U8" s="28">
        <f>Q8*1.5</f>
        <v>118.44</v>
      </c>
      <c r="V8" s="28">
        <f>Q8*2</f>
        <v>157.91999999999999</v>
      </c>
      <c r="W8" s="28">
        <f>H8-(H8*0.07)</f>
        <v>73.912293945058224</v>
      </c>
      <c r="X8" s="29">
        <v>79</v>
      </c>
      <c r="Y8" s="5">
        <f>(X8-H8)/H8</f>
        <v>-5.9840375863182129E-3</v>
      </c>
      <c r="Z8" s="6">
        <f>F8/F$20</f>
        <v>0.12297608955803395</v>
      </c>
      <c r="AB8" s="58">
        <v>46066</v>
      </c>
      <c r="AC8" s="9">
        <v>97</v>
      </c>
    </row>
    <row r="9" spans="1:29" x14ac:dyDescent="0.25">
      <c r="A9" t="s">
        <v>150</v>
      </c>
      <c r="B9" t="s">
        <v>30</v>
      </c>
      <c r="C9" s="25" t="s">
        <v>151</v>
      </c>
      <c r="D9" s="2">
        <v>288.58530000000002</v>
      </c>
      <c r="E9" s="26">
        <v>272.41000000000003</v>
      </c>
      <c r="F9" s="3">
        <f>E9*D9</f>
        <v>78613.521573000005</v>
      </c>
      <c r="G9" s="3">
        <v>78305</v>
      </c>
      <c r="H9" s="4">
        <f>G9/D9</f>
        <v>271.34091722620656</v>
      </c>
      <c r="I9" s="3">
        <f>F9-G9</f>
        <v>308.52157300000545</v>
      </c>
      <c r="J9" s="26">
        <f>E9-H9</f>
        <v>1.0690827737934683</v>
      </c>
      <c r="K9" s="27">
        <v>45971</v>
      </c>
      <c r="L9">
        <f>DAYS360(K9,$C$1)</f>
        <v>4</v>
      </c>
      <c r="M9" s="5">
        <f>(I9/G9)</f>
        <v>3.9399983781368423E-3</v>
      </c>
      <c r="N9">
        <v>62</v>
      </c>
      <c r="O9">
        <v>84</v>
      </c>
      <c r="P9" s="63">
        <v>85</v>
      </c>
      <c r="Q9" s="28">
        <v>259.24</v>
      </c>
      <c r="R9" s="29">
        <f>Q9*0.93</f>
        <v>241.09320000000002</v>
      </c>
      <c r="S9" s="29">
        <v>255.43</v>
      </c>
      <c r="T9" s="28">
        <f>Q9*1.25</f>
        <v>324.05</v>
      </c>
      <c r="U9" s="28">
        <f>Q9*1.5</f>
        <v>388.86</v>
      </c>
      <c r="V9" s="28">
        <f>Q9*2</f>
        <v>518.48</v>
      </c>
      <c r="W9" s="28">
        <f>H9-(H9*0.07)</f>
        <v>252.3470530203721</v>
      </c>
      <c r="X9" s="29">
        <v>255</v>
      </c>
      <c r="Y9" s="5">
        <f>(X9-H9)/H9</f>
        <v>-6.0222827405657209E-2</v>
      </c>
      <c r="Z9" s="6">
        <f>F9/F$20</f>
        <v>0.12643027110749797</v>
      </c>
      <c r="AB9" s="58">
        <v>46051</v>
      </c>
      <c r="AC9" s="63">
        <v>93</v>
      </c>
    </row>
    <row r="10" spans="1:29" x14ac:dyDescent="0.25">
      <c r="C10" s="25"/>
      <c r="D10" s="2"/>
      <c r="E10" s="26"/>
      <c r="F10" s="3">
        <f>E10*D10</f>
        <v>0</v>
      </c>
      <c r="G10" s="3"/>
      <c r="H10" s="4" t="e">
        <f>G10/D10</f>
        <v>#DIV/0!</v>
      </c>
      <c r="I10" s="3">
        <f>F10-G10</f>
        <v>0</v>
      </c>
      <c r="J10" s="26" t="e">
        <f>E10-H10</f>
        <v>#DIV/0!</v>
      </c>
      <c r="K10" s="27"/>
      <c r="L10">
        <f>DAYS360(K10,$C$1)</f>
        <v>45314</v>
      </c>
      <c r="M10" s="5" t="e">
        <f>(I10/G10)</f>
        <v>#DIV/0!</v>
      </c>
      <c r="N10" s="33"/>
      <c r="P10" s="64"/>
      <c r="Q10" s="28"/>
      <c r="R10" s="29">
        <f>Q10*0.93</f>
        <v>0</v>
      </c>
      <c r="S10" s="29"/>
      <c r="T10" s="31">
        <f>Q10*1.25</f>
        <v>0</v>
      </c>
      <c r="U10" s="28">
        <f>Q10*1.5</f>
        <v>0</v>
      </c>
      <c r="V10" s="28">
        <f>Q10*2</f>
        <v>0</v>
      </c>
      <c r="W10" s="28" t="e">
        <f>H10-(H10*0.07)</f>
        <v>#DIV/0!</v>
      </c>
      <c r="X10" s="29"/>
      <c r="Y10" s="5" t="e">
        <f>(X10-H10)/H10</f>
        <v>#DIV/0!</v>
      </c>
      <c r="Z10" s="6">
        <f>F10/F$20</f>
        <v>0</v>
      </c>
      <c r="AB10" s="67"/>
      <c r="AC10" s="33"/>
    </row>
    <row r="11" spans="1:29" x14ac:dyDescent="0.25">
      <c r="C11" s="25"/>
      <c r="D11" s="2"/>
      <c r="E11" s="26"/>
      <c r="F11" s="3">
        <f>E11*D11</f>
        <v>0</v>
      </c>
      <c r="G11" s="3"/>
      <c r="H11" s="4" t="e">
        <f>G11/D11</f>
        <v>#DIV/0!</v>
      </c>
      <c r="I11" s="3">
        <f>F11-G11</f>
        <v>0</v>
      </c>
      <c r="J11" s="26" t="e">
        <f>E11-H11</f>
        <v>#DIV/0!</v>
      </c>
      <c r="K11" s="27"/>
      <c r="L11">
        <f>DAYS360(K11,$C$1)</f>
        <v>45314</v>
      </c>
      <c r="M11" s="5" t="e">
        <f>(I11/G11)</f>
        <v>#DIV/0!</v>
      </c>
      <c r="P11" s="64"/>
      <c r="Q11" s="28"/>
      <c r="R11" s="29">
        <f>Q11*0.93</f>
        <v>0</v>
      </c>
      <c r="S11" s="29"/>
      <c r="T11" s="31">
        <f>Q11*1.25</f>
        <v>0</v>
      </c>
      <c r="U11" s="28">
        <f>Q11*1.5</f>
        <v>0</v>
      </c>
      <c r="V11" s="28">
        <f>Q11*2</f>
        <v>0</v>
      </c>
      <c r="W11" s="28" t="e">
        <f>H11-(H11*0.07)</f>
        <v>#DIV/0!</v>
      </c>
      <c r="X11" s="29"/>
      <c r="Y11" s="5" t="e">
        <f>(X11-H11)/H11</f>
        <v>#DIV/0!</v>
      </c>
      <c r="Z11" s="6">
        <f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ref="F12:F17" si="0">E12*D12</f>
        <v>0</v>
      </c>
      <c r="G12" s="3"/>
      <c r="H12" s="4" t="e">
        <f t="shared" ref="H12:H17" si="1">G12/D12</f>
        <v>#DIV/0!</v>
      </c>
      <c r="I12" s="3">
        <f t="shared" ref="I12:I17" si="2">F12-G12</f>
        <v>0</v>
      </c>
      <c r="J12" s="26" t="e">
        <f t="shared" ref="J12:J17" si="3">E12-H12</f>
        <v>#DIV/0!</v>
      </c>
      <c r="K12" s="27"/>
      <c r="L12">
        <f t="shared" ref="L12:L17" si="4">DAYS360(K12,$C$1)</f>
        <v>45314</v>
      </c>
      <c r="M12" s="5" t="e">
        <f t="shared" ref="M12:M17" si="5">(I12/G12)</f>
        <v>#DIV/0!</v>
      </c>
      <c r="P12" s="63"/>
      <c r="Q12" s="28"/>
      <c r="R12" s="29">
        <f t="shared" ref="R12:R17" si="6">Q12*0.93</f>
        <v>0</v>
      </c>
      <c r="S12" s="29"/>
      <c r="T12" s="31">
        <f t="shared" ref="T12:T17" si="7">Q12*1.25</f>
        <v>0</v>
      </c>
      <c r="U12" s="28">
        <f t="shared" ref="U12:U17" si="8">Q12*1.5</f>
        <v>0</v>
      </c>
      <c r="V12" s="28">
        <f t="shared" ref="V12:V17" si="9">Q12*2</f>
        <v>0</v>
      </c>
      <c r="W12" s="28" t="e">
        <f t="shared" ref="W12:W17" si="10">H12-(H12*0.07)</f>
        <v>#DIV/0!</v>
      </c>
      <c r="X12" s="29"/>
      <c r="Y12" s="5" t="e">
        <f t="shared" ref="Y12:Y17" si="11">(X12-H12)/H12</f>
        <v>#DIV/0!</v>
      </c>
      <c r="Z12" s="6">
        <f t="shared" ref="Z12:Z17" si="12">F12/F$20</f>
        <v>0</v>
      </c>
      <c r="AB12" s="58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4"/>
        <v>45314</v>
      </c>
      <c r="M13" s="5" t="e">
        <f t="shared" si="5"/>
        <v>#DIV/0!</v>
      </c>
      <c r="P13" s="63"/>
      <c r="Q13" s="28"/>
      <c r="R13" s="29">
        <f t="shared" si="6"/>
        <v>0</v>
      </c>
      <c r="S13" s="29"/>
      <c r="T13" s="31">
        <f t="shared" si="7"/>
        <v>0</v>
      </c>
      <c r="U13" s="28">
        <f t="shared" si="8"/>
        <v>0</v>
      </c>
      <c r="V13" s="28">
        <f t="shared" si="9"/>
        <v>0</v>
      </c>
      <c r="W13" s="28" t="e">
        <f t="shared" si="10"/>
        <v>#DIV/0!</v>
      </c>
      <c r="X13" s="29"/>
      <c r="Y13" s="5" t="e">
        <f t="shared" si="11"/>
        <v>#DIV/0!</v>
      </c>
      <c r="Z13" s="32">
        <f t="shared" si="12"/>
        <v>0</v>
      </c>
      <c r="AB13" s="58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45314</v>
      </c>
      <c r="M14" s="5" t="e">
        <f t="shared" si="5"/>
        <v>#DIV/0!</v>
      </c>
      <c r="P14" s="63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8"/>
      <c r="AC14" s="9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45314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45314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2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45314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233986.50628899998</v>
      </c>
      <c r="G18" s="3">
        <f>SUM(G6:G17)</f>
        <v>218653.65000000002</v>
      </c>
      <c r="H18" s="4"/>
      <c r="I18" s="3">
        <f>SUM(I6:I17)</f>
        <v>15332.856288999988</v>
      </c>
      <c r="M18" s="5"/>
      <c r="Z18" s="6"/>
    </row>
    <row r="19" spans="1:29" x14ac:dyDescent="0.25">
      <c r="D19" s="2" t="s">
        <v>44</v>
      </c>
      <c r="F19" s="3">
        <v>387807</v>
      </c>
      <c r="G19" s="6">
        <f>F19/F20</f>
        <v>0.62369097791727879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621793.50628899992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'11-07-25'!F20</f>
        <v>643494.270869</v>
      </c>
      <c r="K21" s="1">
        <v>45657</v>
      </c>
      <c r="L21" s="50">
        <v>170762</v>
      </c>
      <c r="M21" s="50">
        <v>216459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-3.3723322121725352E-2</v>
      </c>
      <c r="K22" s="9" t="s">
        <v>123</v>
      </c>
      <c r="L22" s="6">
        <f>(M21-L21)/L21</f>
        <v>0.26760637612583593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4">F28/D28</f>
        <v>44.698790833464948</v>
      </c>
      <c r="F28" s="3">
        <v>56489.42</v>
      </c>
      <c r="G28" s="56">
        <v>75501.87</v>
      </c>
      <c r="H28" s="57">
        <f t="shared" ref="H28:H66" si="15">G28/D28</f>
        <v>59.742909285764696</v>
      </c>
      <c r="I28" s="57">
        <f t="shared" ref="I28:I66" si="16">G28-F28</f>
        <v>19012.449999999997</v>
      </c>
      <c r="J28" s="6">
        <f t="shared" ref="J28:J66" si="17">I28/F28</f>
        <v>0.33656656414599401</v>
      </c>
      <c r="K28" s="1">
        <v>45527</v>
      </c>
      <c r="L28" s="1">
        <v>45688</v>
      </c>
      <c r="M28">
        <f t="shared" si="13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4"/>
        <v>169.90901206845703</v>
      </c>
      <c r="F29" s="3">
        <f>59492.79+21969.78</f>
        <v>81462.570000000007</v>
      </c>
      <c r="G29" s="56">
        <v>65047.58</v>
      </c>
      <c r="H29" s="57">
        <f t="shared" si="15"/>
        <v>135.67175765807443</v>
      </c>
      <c r="I29" s="57">
        <f t="shared" si="16"/>
        <v>-16414.990000000005</v>
      </c>
      <c r="J29" s="6">
        <f t="shared" si="17"/>
        <v>-0.20150346349249729</v>
      </c>
      <c r="K29" s="1">
        <v>45671</v>
      </c>
      <c r="L29" s="1">
        <v>45688</v>
      </c>
      <c r="M29">
        <f t="shared" si="13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4"/>
        <v>18.702010092477405</v>
      </c>
      <c r="F30" s="3">
        <v>56486.59</v>
      </c>
      <c r="G30" s="56">
        <v>71124.88</v>
      </c>
      <c r="H30" s="57">
        <f t="shared" si="15"/>
        <v>23.548566546258936</v>
      </c>
      <c r="I30" s="57">
        <f t="shared" si="16"/>
        <v>14638.290000000008</v>
      </c>
      <c r="J30" s="6">
        <f t="shared" si="17"/>
        <v>0.25914628587068206</v>
      </c>
      <c r="K30" s="1">
        <v>45527</v>
      </c>
      <c r="L30" s="1">
        <v>45691</v>
      </c>
      <c r="M30">
        <f t="shared" si="13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4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5"/>
        <v>38.249853000000002</v>
      </c>
      <c r="I31" s="57">
        <f t="shared" si="16"/>
        <v>-6110.386336591735</v>
      </c>
      <c r="J31" s="6">
        <f t="shared" si="17"/>
        <v>-0.10005621882176895</v>
      </c>
      <c r="K31" s="1">
        <v>45706</v>
      </c>
      <c r="L31" s="1">
        <v>45708</v>
      </c>
      <c r="M31">
        <f t="shared" si="13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4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5"/>
        <v>531.63995279999995</v>
      </c>
      <c r="I32" s="57">
        <f t="shared" si="16"/>
        <v>-22176.243614196137</v>
      </c>
      <c r="J32" s="6">
        <f t="shared" si="17"/>
        <v>-0.24194911929355969</v>
      </c>
      <c r="K32" s="1">
        <v>45706</v>
      </c>
      <c r="L32" s="1">
        <v>45708</v>
      </c>
      <c r="M32">
        <f t="shared" si="13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4"/>
        <v>368.56522253629635</v>
      </c>
      <c r="F33" s="3">
        <v>74438.86</v>
      </c>
      <c r="G33" s="56">
        <f>201.9693*360.5332483</f>
        <v>72816.647785877198</v>
      </c>
      <c r="H33" s="57">
        <f t="shared" si="15"/>
        <v>360.53324830000003</v>
      </c>
      <c r="I33" s="57">
        <f t="shared" si="16"/>
        <v>-1622.2122141228028</v>
      </c>
      <c r="J33" s="6">
        <f t="shared" si="17"/>
        <v>-2.1792545105107773E-2</v>
      </c>
      <c r="K33" s="1">
        <v>45664</v>
      </c>
      <c r="L33" s="1">
        <v>45708</v>
      </c>
      <c r="M33">
        <f t="shared" si="13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4"/>
        <v>30.17825528482809</v>
      </c>
      <c r="F34" s="3">
        <v>37884.65</v>
      </c>
      <c r="G34" s="56">
        <f>1255.3625*39.762296</f>
        <v>49916.0953123</v>
      </c>
      <c r="H34" s="57">
        <f t="shared" si="15"/>
        <v>39.762295999999999</v>
      </c>
      <c r="I34" s="57">
        <f t="shared" si="16"/>
        <v>12031.445312299998</v>
      </c>
      <c r="J34" s="6">
        <f t="shared" si="17"/>
        <v>0.31758100740801348</v>
      </c>
      <c r="K34" s="1">
        <v>45663</v>
      </c>
      <c r="L34" s="1">
        <v>45709</v>
      </c>
      <c r="M34">
        <f t="shared" si="13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4"/>
        <v>242.26930551548847</v>
      </c>
      <c r="F35" s="3">
        <v>61221.72</v>
      </c>
      <c r="G35" s="56">
        <f>252.7011*226.6146532</f>
        <v>57265.772139758519</v>
      </c>
      <c r="H35" s="57">
        <f t="shared" si="15"/>
        <v>226.61465319999999</v>
      </c>
      <c r="I35" s="57">
        <f t="shared" si="16"/>
        <v>-3955.947860241482</v>
      </c>
      <c r="J35" s="6">
        <f t="shared" si="17"/>
        <v>-6.4616738311852093E-2</v>
      </c>
      <c r="K35" s="1">
        <v>45699</v>
      </c>
      <c r="L35" s="1">
        <v>45709</v>
      </c>
      <c r="M35">
        <f t="shared" si="13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4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5"/>
        <v>283.93999450000007</v>
      </c>
      <c r="I36" s="57">
        <f t="shared" si="16"/>
        <v>19563.525282954361</v>
      </c>
      <c r="J36" s="6">
        <f t="shared" si="17"/>
        <v>0.36434300703793465</v>
      </c>
      <c r="K36" s="1">
        <v>45580</v>
      </c>
      <c r="L36" s="1">
        <v>45712</v>
      </c>
      <c r="M36">
        <f t="shared" si="13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4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5"/>
        <v>63.365330900000004</v>
      </c>
      <c r="I37" s="57">
        <f t="shared" si="16"/>
        <v>-4549.5912833559851</v>
      </c>
      <c r="J37" s="6">
        <f t="shared" si="17"/>
        <v>-5.9638082078758516E-2</v>
      </c>
      <c r="K37" s="1">
        <v>45673</v>
      </c>
      <c r="L37" s="1">
        <v>45712</v>
      </c>
      <c r="M37">
        <f t="shared" si="13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5"/>
        <v>50.021380499999999</v>
      </c>
      <c r="I38" s="57">
        <f t="shared" si="16"/>
        <v>6027.2875116823998</v>
      </c>
      <c r="J38" s="6">
        <f t="shared" si="17"/>
        <v>9.9771440635884723E-2</v>
      </c>
      <c r="K38" s="1">
        <v>45593</v>
      </c>
      <c r="L38" s="1">
        <v>45713</v>
      </c>
      <c r="M38">
        <f t="shared" si="13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5"/>
        <v>12.519992000000002</v>
      </c>
      <c r="I39" s="57">
        <f t="shared" si="16"/>
        <v>-2230.6527810991975</v>
      </c>
      <c r="J39" s="6">
        <f t="shared" si="17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5"/>
        <v>94.679995300000002</v>
      </c>
      <c r="I40" s="57">
        <f t="shared" si="16"/>
        <v>-4750.690604140058</v>
      </c>
      <c r="J40" s="6">
        <f t="shared" si="17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67" si="18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5"/>
        <v>18.9477051</v>
      </c>
      <c r="I41" s="57">
        <f t="shared" si="16"/>
        <v>-2244.5195874142191</v>
      </c>
      <c r="J41" s="6">
        <f t="shared" si="17"/>
        <v>-8.2776138273503941E-2</v>
      </c>
      <c r="K41" s="1">
        <v>45761</v>
      </c>
      <c r="L41" s="1">
        <v>45768</v>
      </c>
      <c r="M41">
        <f t="shared" ref="M41:M67" si="19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8"/>
        <v>96.336406065231671</v>
      </c>
      <c r="F42" s="3">
        <v>34004.42</v>
      </c>
      <c r="G42" s="56">
        <f>352.9758*89.7849585</f>
        <v>31691.9175545043</v>
      </c>
      <c r="H42" s="57">
        <f t="shared" si="15"/>
        <v>89.784958500000002</v>
      </c>
      <c r="I42" s="57">
        <f t="shared" si="16"/>
        <v>-2312.5024454956983</v>
      </c>
      <c r="J42" s="6">
        <f t="shared" si="17"/>
        <v>-6.8005937036882222E-2</v>
      </c>
      <c r="K42" s="1">
        <v>45762</v>
      </c>
      <c r="L42" s="1">
        <v>45768</v>
      </c>
      <c r="M42">
        <f t="shared" si="19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8"/>
        <v>16.992624876012847</v>
      </c>
      <c r="F43" s="3">
        <v>37971.83</v>
      </c>
      <c r="G43" s="56">
        <f>2234.6065*13.3067232</f>
        <v>29735.2901564208</v>
      </c>
      <c r="H43" s="57">
        <f t="shared" si="15"/>
        <v>13.3067232</v>
      </c>
      <c r="I43" s="57">
        <f t="shared" si="16"/>
        <v>-8236.5398435792013</v>
      </c>
      <c r="J43" s="6">
        <f t="shared" si="17"/>
        <v>-0.21691184869360261</v>
      </c>
      <c r="K43" s="1">
        <v>45652</v>
      </c>
      <c r="L43" s="1">
        <v>45785</v>
      </c>
      <c r="M43">
        <f t="shared" si="19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8"/>
        <v>38.101812248436303</v>
      </c>
      <c r="F44" s="3">
        <v>21940.86</v>
      </c>
      <c r="G44" s="56">
        <f>575.8482*32.7857042</f>
        <v>18879.588749302438</v>
      </c>
      <c r="H44" s="57">
        <f t="shared" si="15"/>
        <v>32.785704199999998</v>
      </c>
      <c r="I44" s="57">
        <f t="shared" si="16"/>
        <v>-3061.2712506975622</v>
      </c>
      <c r="J44" s="6">
        <f t="shared" si="17"/>
        <v>-0.13952375844417958</v>
      </c>
      <c r="K44" s="1">
        <v>45761</v>
      </c>
      <c r="L44" s="1">
        <v>45790</v>
      </c>
      <c r="M44">
        <f t="shared" si="19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8"/>
        <v>24.570291674143743</v>
      </c>
      <c r="F45" s="3">
        <v>23591.34</v>
      </c>
      <c r="G45" s="56">
        <v>19396.37</v>
      </c>
      <c r="H45" s="57">
        <f t="shared" si="15"/>
        <v>20.201246233559068</v>
      </c>
      <c r="I45" s="57">
        <f t="shared" si="16"/>
        <v>-4194.9700000000012</v>
      </c>
      <c r="J45" s="6">
        <f t="shared" si="17"/>
        <v>-0.17781821634548953</v>
      </c>
      <c r="K45" s="1">
        <v>45776</v>
      </c>
      <c r="L45" s="1">
        <v>45812</v>
      </c>
      <c r="M45">
        <f t="shared" si="19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8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5"/>
        <v>84.038907800000004</v>
      </c>
      <c r="I46" s="57">
        <f t="shared" si="16"/>
        <v>-3907.8121523372101</v>
      </c>
      <c r="J46" s="6">
        <f t="shared" si="17"/>
        <v>-0.14246372001691271</v>
      </c>
      <c r="K46" s="1">
        <v>45782</v>
      </c>
      <c r="L46" s="1">
        <v>45818</v>
      </c>
      <c r="M46">
        <f t="shared" si="19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8"/>
        <v>40.437100849618155</v>
      </c>
      <c r="F47" s="3">
        <f>22877.09+14244.67</f>
        <v>37121.760000000002</v>
      </c>
      <c r="G47" s="56">
        <v>34659.56</v>
      </c>
      <c r="H47" s="57">
        <f t="shared" si="15"/>
        <v>37.755002002151599</v>
      </c>
      <c r="I47" s="57">
        <f t="shared" si="16"/>
        <v>-2462.2000000000044</v>
      </c>
      <c r="J47" s="6">
        <f t="shared" si="17"/>
        <v>-6.6327674118899643E-2</v>
      </c>
      <c r="K47" s="1">
        <v>45782</v>
      </c>
      <c r="L47" s="1">
        <v>45828</v>
      </c>
      <c r="M47">
        <f t="shared" si="19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18"/>
        <v>123.70183817297092</v>
      </c>
      <c r="F48" s="3">
        <f>22876.67+14197.82+14808.77</f>
        <v>51883.259999999995</v>
      </c>
      <c r="G48" s="56">
        <v>55156.07</v>
      </c>
      <c r="H48" s="57">
        <f t="shared" si="15"/>
        <v>131.50498340692272</v>
      </c>
      <c r="I48" s="57">
        <f t="shared" si="16"/>
        <v>3272.8100000000049</v>
      </c>
      <c r="J48" s="6">
        <f t="shared" si="17"/>
        <v>6.3080269050171583E-2</v>
      </c>
      <c r="K48" s="1">
        <v>45782</v>
      </c>
      <c r="L48" s="1">
        <v>45839</v>
      </c>
      <c r="M48">
        <f t="shared" si="19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18"/>
        <v>63.194998844628557</v>
      </c>
      <c r="F49" s="3">
        <v>36072.47</v>
      </c>
      <c r="G49" s="56">
        <v>51786.91</v>
      </c>
      <c r="H49" s="57">
        <f t="shared" si="15"/>
        <v>90.724968864535285</v>
      </c>
      <c r="I49" s="57">
        <f t="shared" si="16"/>
        <v>15714.440000000002</v>
      </c>
      <c r="J49" s="6">
        <f t="shared" si="17"/>
        <v>0.43563526423336141</v>
      </c>
      <c r="K49" s="1">
        <v>45796</v>
      </c>
      <c r="L49" s="1">
        <v>45839</v>
      </c>
      <c r="M49">
        <f t="shared" si="19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18"/>
        <v>90.254808370121239</v>
      </c>
      <c r="F50" s="3">
        <f>35895.15+19479.74</f>
        <v>55374.89</v>
      </c>
      <c r="G50" s="56">
        <v>55236.959999999999</v>
      </c>
      <c r="H50" s="57">
        <f t="shared" si="15"/>
        <v>90.029998068584007</v>
      </c>
      <c r="I50" s="57">
        <f t="shared" si="16"/>
        <v>-137.93000000000029</v>
      </c>
      <c r="J50" s="6">
        <f t="shared" si="17"/>
        <v>-2.4908401623912986E-3</v>
      </c>
      <c r="K50" s="1">
        <v>45789</v>
      </c>
      <c r="L50" s="1">
        <v>45855</v>
      </c>
      <c r="M50">
        <f t="shared" si="19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18"/>
        <v>113.05354718581073</v>
      </c>
      <c r="F51" s="3">
        <v>45409.8</v>
      </c>
      <c r="G51" s="56">
        <v>41051.0026</v>
      </c>
      <c r="H51" s="57">
        <f t="shared" si="15"/>
        <v>102.2017595202784</v>
      </c>
      <c r="I51" s="57">
        <f t="shared" si="16"/>
        <v>-4358.7974000000031</v>
      </c>
      <c r="J51" s="6">
        <f t="shared" si="17"/>
        <v>-9.5988033420098803E-2</v>
      </c>
      <c r="K51" s="1">
        <v>45855</v>
      </c>
      <c r="L51" s="1">
        <v>45860</v>
      </c>
      <c r="M51">
        <f t="shared" si="19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18"/>
        <v>17.339829156069133</v>
      </c>
      <c r="F52" s="3">
        <v>22797.23</v>
      </c>
      <c r="G52" s="56">
        <v>18655.11</v>
      </c>
      <c r="H52" s="57">
        <f t="shared" si="15"/>
        <v>14.189286167121043</v>
      </c>
      <c r="I52" s="57">
        <f t="shared" si="16"/>
        <v>-4142.119999999999</v>
      </c>
      <c r="J52" s="6">
        <f t="shared" si="17"/>
        <v>-0.18169400405224664</v>
      </c>
      <c r="K52" s="1">
        <v>45861</v>
      </c>
      <c r="L52" s="1">
        <v>45870</v>
      </c>
      <c r="M52">
        <f t="shared" si="19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18"/>
        <v>74.757798491837917</v>
      </c>
      <c r="F53" s="3">
        <f>26856.13+12527.28</f>
        <v>39383.410000000003</v>
      </c>
      <c r="G53" s="56">
        <v>67176.488400000002</v>
      </c>
      <c r="H53" s="57">
        <f t="shared" si="15"/>
        <v>127.51476784759082</v>
      </c>
      <c r="I53" s="57">
        <f t="shared" si="16"/>
        <v>27793.078399999999</v>
      </c>
      <c r="J53" s="6">
        <f t="shared" si="17"/>
        <v>0.7057052296893539</v>
      </c>
      <c r="K53" s="1">
        <v>45789</v>
      </c>
      <c r="L53" s="1">
        <v>45870</v>
      </c>
      <c r="M53">
        <f t="shared" si="19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18"/>
        <v>22.651928580010882</v>
      </c>
      <c r="F54" s="3">
        <f>18821.97+11334.33+20180.34</f>
        <v>50336.639999999999</v>
      </c>
      <c r="G54" s="56">
        <v>42713.83</v>
      </c>
      <c r="H54" s="57">
        <f t="shared" si="15"/>
        <v>19.221597360068653</v>
      </c>
      <c r="I54" s="57">
        <f t="shared" si="16"/>
        <v>-7622.8099999999977</v>
      </c>
      <c r="J54" s="6">
        <f t="shared" si="17"/>
        <v>-0.15143660760829483</v>
      </c>
      <c r="K54" s="1">
        <v>45814</v>
      </c>
      <c r="L54" s="1">
        <v>45880</v>
      </c>
      <c r="M54">
        <f t="shared" si="19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18"/>
        <v>30.926801697408081</v>
      </c>
      <c r="F55" s="3">
        <f>(605.0016*29.7738017)+17708.65</f>
        <v>35721.847666582718</v>
      </c>
      <c r="G55" s="56">
        <v>42554.27</v>
      </c>
      <c r="H55" s="57">
        <f t="shared" si="15"/>
        <v>36.842088403482109</v>
      </c>
      <c r="I55" s="57">
        <f t="shared" si="16"/>
        <v>6832.4223334172784</v>
      </c>
      <c r="J55" s="6">
        <f t="shared" si="17"/>
        <v>0.1912673274123195</v>
      </c>
      <c r="K55" s="1">
        <v>45800</v>
      </c>
      <c r="L55" s="1">
        <v>45881</v>
      </c>
      <c r="M55">
        <f t="shared" si="19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18"/>
        <v>377.42204050678822</v>
      </c>
      <c r="F56" s="3">
        <f>34962.9+15401.92</f>
        <v>50364.82</v>
      </c>
      <c r="G56" s="56">
        <v>81517.961800000005</v>
      </c>
      <c r="H56" s="57">
        <f t="shared" si="15"/>
        <v>610.87631168959638</v>
      </c>
      <c r="I56" s="57">
        <f t="shared" si="16"/>
        <v>31153.141800000005</v>
      </c>
      <c r="J56" s="6">
        <f t="shared" si="17"/>
        <v>0.61854965033132259</v>
      </c>
      <c r="K56" s="1">
        <v>45771</v>
      </c>
      <c r="L56" s="1">
        <v>45884</v>
      </c>
      <c r="M56">
        <f t="shared" si="19"/>
        <v>111</v>
      </c>
    </row>
    <row r="57" spans="1:13" x14ac:dyDescent="0.25">
      <c r="A57" t="s">
        <v>138</v>
      </c>
      <c r="B57" t="s">
        <v>30</v>
      </c>
      <c r="C57" s="25" t="s">
        <v>139</v>
      </c>
      <c r="D57" s="2">
        <v>345.54309999999998</v>
      </c>
      <c r="E57" s="57">
        <f t="shared" si="18"/>
        <v>133.9832570813887</v>
      </c>
      <c r="F57" s="3">
        <v>46296.99</v>
      </c>
      <c r="G57" s="56">
        <v>42812.79</v>
      </c>
      <c r="H57" s="57">
        <f t="shared" si="15"/>
        <v>123.89999973954046</v>
      </c>
      <c r="I57" s="57">
        <f t="shared" si="16"/>
        <v>-3484.1999999999971</v>
      </c>
      <c r="J57" s="6">
        <f t="shared" si="17"/>
        <v>-7.525759234023631E-2</v>
      </c>
      <c r="K57" s="1">
        <v>45897</v>
      </c>
      <c r="L57" s="1">
        <v>45904</v>
      </c>
      <c r="M57">
        <f t="shared" si="19"/>
        <v>6</v>
      </c>
    </row>
    <row r="58" spans="1:13" x14ac:dyDescent="0.25">
      <c r="A58" t="s">
        <v>136</v>
      </c>
      <c r="B58" t="s">
        <v>30</v>
      </c>
      <c r="C58" s="25" t="s">
        <v>137</v>
      </c>
      <c r="D58" s="2">
        <v>287.49</v>
      </c>
      <c r="E58" s="57">
        <f t="shared" si="18"/>
        <v>198.81999373891267</v>
      </c>
      <c r="F58" s="3">
        <v>57158.76</v>
      </c>
      <c r="G58" s="56">
        <v>56889.83</v>
      </c>
      <c r="H58" s="57">
        <f t="shared" si="15"/>
        <v>197.88455250617412</v>
      </c>
      <c r="I58" s="57">
        <f t="shared" si="16"/>
        <v>-268.93000000000029</v>
      </c>
      <c r="J58" s="6">
        <f t="shared" si="17"/>
        <v>-4.7049656080712784E-3</v>
      </c>
      <c r="K58" s="1">
        <v>45895</v>
      </c>
      <c r="L58" s="1">
        <v>45936</v>
      </c>
      <c r="M58">
        <f t="shared" si="19"/>
        <v>40</v>
      </c>
    </row>
    <row r="59" spans="1:13" x14ac:dyDescent="0.25">
      <c r="A59" t="s">
        <v>142</v>
      </c>
      <c r="B59" t="s">
        <v>30</v>
      </c>
      <c r="C59" s="25" t="s">
        <v>143</v>
      </c>
      <c r="D59" s="2">
        <v>502.0591</v>
      </c>
      <c r="E59" s="57">
        <f t="shared" si="18"/>
        <v>141.49505506423449</v>
      </c>
      <c r="F59" s="3">
        <v>71038.880000000005</v>
      </c>
      <c r="G59" s="56">
        <v>69446.240000000005</v>
      </c>
      <c r="H59" s="57">
        <f t="shared" si="15"/>
        <v>138.3228388849042</v>
      </c>
      <c r="I59" s="57">
        <f t="shared" si="16"/>
        <v>-1592.6399999999994</v>
      </c>
      <c r="J59" s="6">
        <f t="shared" si="17"/>
        <v>-2.2419272375915827E-2</v>
      </c>
      <c r="K59" s="1">
        <v>45909</v>
      </c>
      <c r="L59" s="1">
        <v>45944</v>
      </c>
      <c r="M59">
        <f t="shared" si="19"/>
        <v>35</v>
      </c>
    </row>
    <row r="60" spans="1:13" x14ac:dyDescent="0.25">
      <c r="A60" t="s">
        <v>69</v>
      </c>
      <c r="B60" t="s">
        <v>30</v>
      </c>
      <c r="C60" s="25" t="s">
        <v>70</v>
      </c>
      <c r="D60" s="2">
        <f>143.2704+538.7851</f>
        <v>682.05550000000005</v>
      </c>
      <c r="E60" s="57">
        <f t="shared" si="18"/>
        <v>63.85874756526411</v>
      </c>
      <c r="F60" s="3">
        <f>9149.25+34405.96</f>
        <v>43555.21</v>
      </c>
      <c r="G60" s="56">
        <f>25648.23+78191</f>
        <v>103839.23</v>
      </c>
      <c r="H60" s="57">
        <f t="shared" si="15"/>
        <v>152.2445460816605</v>
      </c>
      <c r="I60" s="57">
        <f t="shared" si="16"/>
        <v>60284.02</v>
      </c>
      <c r="J60" s="6">
        <f t="shared" si="17"/>
        <v>1.3840828686166362</v>
      </c>
      <c r="K60" s="1">
        <v>45854</v>
      </c>
      <c r="L60" s="1">
        <v>45945</v>
      </c>
      <c r="M60">
        <f t="shared" si="19"/>
        <v>89</v>
      </c>
    </row>
    <row r="61" spans="1:13" x14ac:dyDescent="0.25">
      <c r="A61" t="s">
        <v>138</v>
      </c>
      <c r="B61" t="s">
        <v>30</v>
      </c>
      <c r="C61" s="25" t="s">
        <v>139</v>
      </c>
      <c r="D61" s="2">
        <v>337.18810000000002</v>
      </c>
      <c r="E61" s="57">
        <f t="shared" si="18"/>
        <v>164.72274673987604</v>
      </c>
      <c r="F61" s="3">
        <v>55542.55</v>
      </c>
      <c r="G61" s="56">
        <v>56222.05</v>
      </c>
      <c r="H61" s="57">
        <f t="shared" si="15"/>
        <v>166.73794241255845</v>
      </c>
      <c r="I61" s="57">
        <f t="shared" si="16"/>
        <v>679.5</v>
      </c>
      <c r="J61" s="6">
        <f t="shared" si="17"/>
        <v>1.2233863947550121E-2</v>
      </c>
      <c r="K61" s="1">
        <v>45938</v>
      </c>
      <c r="L61" s="1">
        <v>45953</v>
      </c>
      <c r="M61">
        <f t="shared" si="19"/>
        <v>15</v>
      </c>
    </row>
    <row r="62" spans="1:13" x14ac:dyDescent="0.25">
      <c r="A62" t="s">
        <v>126</v>
      </c>
      <c r="B62" t="s">
        <v>30</v>
      </c>
      <c r="C62" s="25" t="s">
        <v>127</v>
      </c>
      <c r="D62" s="2">
        <f>344.4515+240</f>
        <v>584.45150000000001</v>
      </c>
      <c r="E62" s="57">
        <f t="shared" si="18"/>
        <v>92.249194330068448</v>
      </c>
      <c r="F62" s="3">
        <f>30563.18+23352</f>
        <v>53915.18</v>
      </c>
      <c r="G62" s="56">
        <v>79663.16</v>
      </c>
      <c r="H62" s="57">
        <f t="shared" si="15"/>
        <v>136.30414157547719</v>
      </c>
      <c r="I62" s="57">
        <f t="shared" si="16"/>
        <v>25747.980000000003</v>
      </c>
      <c r="J62" s="6">
        <f t="shared" si="17"/>
        <v>0.47756457457806878</v>
      </c>
      <c r="K62" s="1">
        <v>45840</v>
      </c>
      <c r="L62" s="1">
        <v>45953</v>
      </c>
      <c r="M62">
        <f t="shared" si="19"/>
        <v>111</v>
      </c>
    </row>
    <row r="63" spans="1:13" x14ac:dyDescent="0.25">
      <c r="A63" t="s">
        <v>144</v>
      </c>
      <c r="B63" t="s">
        <v>30</v>
      </c>
      <c r="C63" s="25" t="s">
        <v>145</v>
      </c>
      <c r="D63" s="2">
        <v>1679.5722000000001</v>
      </c>
      <c r="E63" s="57">
        <f t="shared" si="18"/>
        <v>33.115236129771617</v>
      </c>
      <c r="F63" s="3">
        <v>55619.43</v>
      </c>
      <c r="G63" s="56">
        <v>50133.94</v>
      </c>
      <c r="H63" s="57">
        <f t="shared" si="15"/>
        <v>29.849231846061752</v>
      </c>
      <c r="I63" s="57">
        <f t="shared" si="16"/>
        <v>-5485.489999999998</v>
      </c>
      <c r="J63" s="6">
        <f t="shared" si="17"/>
        <v>-9.8625426402248237E-2</v>
      </c>
      <c r="K63" s="1">
        <v>45954</v>
      </c>
      <c r="L63" s="1">
        <v>45965</v>
      </c>
      <c r="M63">
        <f t="shared" si="19"/>
        <v>10</v>
      </c>
    </row>
    <row r="64" spans="1:13" x14ac:dyDescent="0.25">
      <c r="A64" t="s">
        <v>128</v>
      </c>
      <c r="B64" t="s">
        <v>30</v>
      </c>
      <c r="C64" s="25" t="s">
        <v>129</v>
      </c>
      <c r="D64" s="2">
        <f>786.7766+525.5828</f>
        <v>1312.3594000000001</v>
      </c>
      <c r="E64" s="57">
        <f t="shared" si="18"/>
        <v>39.768046771334134</v>
      </c>
      <c r="F64" s="3">
        <f>30514.1+21675.87</f>
        <v>52189.97</v>
      </c>
      <c r="G64" s="56">
        <v>52911.071499999998</v>
      </c>
      <c r="H64" s="57">
        <f t="shared" si="15"/>
        <v>40.317516299269847</v>
      </c>
      <c r="I64" s="57">
        <f t="shared" si="16"/>
        <v>721.10149999999703</v>
      </c>
      <c r="J64" s="6">
        <f t="shared" si="17"/>
        <v>1.3816859829580225E-2</v>
      </c>
      <c r="K64" s="1">
        <v>45840</v>
      </c>
      <c r="L64" s="1">
        <v>45967</v>
      </c>
      <c r="M64">
        <f t="shared" si="19"/>
        <v>124</v>
      </c>
    </row>
    <row r="65" spans="1:13" x14ac:dyDescent="0.25">
      <c r="A65" t="s">
        <v>124</v>
      </c>
      <c r="B65" t="s">
        <v>30</v>
      </c>
      <c r="C65" s="25" t="s">
        <v>125</v>
      </c>
      <c r="D65" s="2">
        <f>915.359+608.2121</f>
        <v>1523.5711000000001</v>
      </c>
      <c r="E65" s="57">
        <f t="shared" si="18"/>
        <v>32.025317426932027</v>
      </c>
      <c r="F65" s="3">
        <f>28630.6+20162.2481</f>
        <v>48792.848100000003</v>
      </c>
      <c r="G65" s="56">
        <v>77936.641799999998</v>
      </c>
      <c r="H65" s="57">
        <f t="shared" si="15"/>
        <v>51.153925012098213</v>
      </c>
      <c r="I65" s="57">
        <f t="shared" si="16"/>
        <v>29143.793699999995</v>
      </c>
      <c r="J65" s="6">
        <f t="shared" si="17"/>
        <v>0.59729642426837537</v>
      </c>
      <c r="K65" s="1">
        <v>45817</v>
      </c>
      <c r="L65" s="1">
        <v>45967</v>
      </c>
      <c r="M65">
        <f t="shared" si="19"/>
        <v>147</v>
      </c>
    </row>
    <row r="66" spans="1:13" x14ac:dyDescent="0.25">
      <c r="A66" t="s">
        <v>146</v>
      </c>
      <c r="B66" t="s">
        <v>30</v>
      </c>
      <c r="C66" s="25" t="s">
        <v>147</v>
      </c>
      <c r="D66" s="2">
        <v>776.60839999999996</v>
      </c>
      <c r="E66" s="57">
        <f t="shared" si="18"/>
        <v>71.667432389348349</v>
      </c>
      <c r="F66" s="3">
        <v>55657.53</v>
      </c>
      <c r="G66" s="56">
        <v>51251.39</v>
      </c>
      <c r="H66" s="57">
        <f t="shared" si="15"/>
        <v>65.993865119151437</v>
      </c>
      <c r="I66" s="57">
        <f t="shared" si="16"/>
        <v>-4406.1399999999994</v>
      </c>
      <c r="J66" s="6">
        <f t="shared" si="17"/>
        <v>-7.9165209092103075E-2</v>
      </c>
      <c r="K66" s="1">
        <v>45957</v>
      </c>
      <c r="L66" s="1">
        <v>45968</v>
      </c>
      <c r="M66">
        <f t="shared" si="19"/>
        <v>10</v>
      </c>
    </row>
    <row r="67" spans="1:13" x14ac:dyDescent="0.25">
      <c r="A67" t="s">
        <v>148</v>
      </c>
      <c r="B67" t="s">
        <v>30</v>
      </c>
      <c r="C67" s="25" t="s">
        <v>149</v>
      </c>
      <c r="D67" s="2">
        <v>364.21120000000002</v>
      </c>
      <c r="E67" s="57">
        <f t="shared" si="18"/>
        <v>104.6290998190061</v>
      </c>
      <c r="F67" s="3">
        <v>38107.089999999997</v>
      </c>
      <c r="G67" s="56">
        <v>36324.28</v>
      </c>
      <c r="H67" s="57">
        <f t="shared" ref="H67" si="20">G67/D67</f>
        <v>99.734110318408653</v>
      </c>
      <c r="I67" s="57">
        <f t="shared" ref="I67" si="21">G67-F67</f>
        <v>-1782.8099999999977</v>
      </c>
      <c r="J67" s="6">
        <f t="shared" ref="J67" si="22">I67/F67</f>
        <v>-4.67842073482913E-2</v>
      </c>
      <c r="K67" s="1">
        <v>45968</v>
      </c>
      <c r="L67" s="1">
        <v>45975</v>
      </c>
      <c r="M67">
        <f t="shared" si="19"/>
        <v>7</v>
      </c>
    </row>
    <row r="68" spans="1:13" x14ac:dyDescent="0.25">
      <c r="C68" s="25"/>
      <c r="D68" s="2"/>
      <c r="E68" s="57"/>
      <c r="F68" s="3"/>
      <c r="G68" s="56"/>
      <c r="H68" s="57"/>
      <c r="I68" s="57"/>
      <c r="J68" s="6"/>
      <c r="K68" s="1"/>
      <c r="L68" s="1"/>
    </row>
    <row r="69" spans="1:13" x14ac:dyDescent="0.25">
      <c r="F69" s="56"/>
      <c r="G69" s="56"/>
      <c r="H69" s="3"/>
      <c r="I69" s="3">
        <f>SUM(I26:I64)</f>
        <v>120384.02476708277</v>
      </c>
      <c r="J69" s="13" t="s">
        <v>66</v>
      </c>
    </row>
    <row r="70" spans="1:13" x14ac:dyDescent="0.25">
      <c r="F70" s="56"/>
      <c r="G70" s="56"/>
      <c r="H70" s="3" t="s">
        <v>67</v>
      </c>
      <c r="I70" s="59">
        <v>27</v>
      </c>
      <c r="J70" s="5">
        <v>-9.7500000000000003E-2</v>
      </c>
    </row>
    <row r="71" spans="1:13" x14ac:dyDescent="0.25">
      <c r="F71" s="56"/>
      <c r="G71" s="56"/>
      <c r="H71" s="3" t="s">
        <v>68</v>
      </c>
      <c r="I71" s="59">
        <v>15</v>
      </c>
      <c r="J71" s="5">
        <v>0.39179999999999998</v>
      </c>
    </row>
    <row r="72" spans="1:13" x14ac:dyDescent="0.25">
      <c r="F72" s="56"/>
      <c r="G72" s="56"/>
      <c r="J72" s="6"/>
    </row>
    <row r="73" spans="1:13" x14ac:dyDescent="0.25">
      <c r="F73" s="56"/>
      <c r="G73" s="56"/>
      <c r="J73" s="6"/>
    </row>
    <row r="74" spans="1:13" x14ac:dyDescent="0.25">
      <c r="F74" s="56"/>
      <c r="G74" s="56"/>
      <c r="J74" s="6"/>
    </row>
    <row r="75" spans="1:13" x14ac:dyDescent="0.25">
      <c r="F75" s="56"/>
      <c r="G75" s="56"/>
      <c r="J75" s="6"/>
    </row>
    <row r="76" spans="1:13" x14ac:dyDescent="0.25">
      <c r="F76" s="56"/>
      <c r="G76" s="56"/>
      <c r="J76" s="6"/>
    </row>
    <row r="77" spans="1:13" x14ac:dyDescent="0.25">
      <c r="F77" s="56"/>
      <c r="G77" s="56"/>
      <c r="J77" s="6"/>
    </row>
    <row r="78" spans="1:13" x14ac:dyDescent="0.25">
      <c r="F78" s="56"/>
      <c r="G78" s="56"/>
      <c r="J78" s="6"/>
    </row>
    <row r="79" spans="1:13" x14ac:dyDescent="0.25">
      <c r="F79" s="56"/>
      <c r="G79" s="56"/>
      <c r="J79" s="6"/>
    </row>
    <row r="80" spans="1:13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  <c r="J86" s="6"/>
    </row>
    <row r="87" spans="6:10" x14ac:dyDescent="0.25">
      <c r="F87" s="56"/>
      <c r="G87" s="56"/>
      <c r="J87" s="6"/>
    </row>
    <row r="88" spans="6:10" x14ac:dyDescent="0.25">
      <c r="F88" s="56"/>
      <c r="G88" s="56"/>
      <c r="J88" s="6"/>
    </row>
    <row r="89" spans="6:10" x14ac:dyDescent="0.25">
      <c r="F89" s="56"/>
      <c r="G89" s="56"/>
      <c r="J89" s="6"/>
    </row>
    <row r="90" spans="6:10" x14ac:dyDescent="0.25">
      <c r="F90" s="56"/>
      <c r="G90" s="56"/>
      <c r="J90" s="6"/>
    </row>
    <row r="91" spans="6:10" x14ac:dyDescent="0.25">
      <c r="F91" s="56"/>
      <c r="G91" s="56"/>
      <c r="J91" s="6"/>
    </row>
    <row r="92" spans="6:10" x14ac:dyDescent="0.25">
      <c r="F92" s="56"/>
      <c r="G92" s="56"/>
      <c r="J92" s="6"/>
    </row>
    <row r="93" spans="6:10" x14ac:dyDescent="0.25">
      <c r="F93" s="56"/>
      <c r="G93" s="56"/>
      <c r="J93" s="6"/>
    </row>
    <row r="94" spans="6:10" x14ac:dyDescent="0.25">
      <c r="F94" s="56"/>
      <c r="G94" s="56"/>
      <c r="J94" s="6"/>
    </row>
    <row r="95" spans="6:10" x14ac:dyDescent="0.25">
      <c r="F95" s="56"/>
      <c r="G95" s="56"/>
    </row>
    <row r="96" spans="6:10" x14ac:dyDescent="0.25">
      <c r="F96" s="56"/>
      <c r="G96" s="56"/>
    </row>
    <row r="97" spans="6:7" x14ac:dyDescent="0.25">
      <c r="F97" s="56"/>
      <c r="G97" s="56"/>
    </row>
    <row r="98" spans="6:7" x14ac:dyDescent="0.25">
      <c r="F98" s="56"/>
      <c r="G98" s="56"/>
    </row>
    <row r="99" spans="6:7" x14ac:dyDescent="0.25">
      <c r="F99" s="56"/>
      <c r="G99" s="56"/>
    </row>
    <row r="100" spans="6:7" x14ac:dyDescent="0.25">
      <c r="F100" s="56"/>
      <c r="G100" s="56"/>
    </row>
  </sheetData>
  <sortState xmlns:xlrd2="http://schemas.microsoft.com/office/spreadsheetml/2017/richdata2" ref="A7:AC9">
    <sortCondition descending="1" ref="L7:L9"/>
  </sortState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4BBA-F9E6-4C79-824D-16D1ADFEB1E0}">
  <dimension ref="A1:AC10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45982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150</v>
      </c>
      <c r="B7" t="s">
        <v>30</v>
      </c>
      <c r="C7" s="25" t="s">
        <v>151</v>
      </c>
      <c r="D7" s="2">
        <v>288.58530000000002</v>
      </c>
      <c r="E7" s="26">
        <v>271.49</v>
      </c>
      <c r="F7" s="3">
        <f>E7*D7</f>
        <v>78348.023097000012</v>
      </c>
      <c r="G7" s="3">
        <v>78305</v>
      </c>
      <c r="H7" s="4">
        <f>G7/D7</f>
        <v>271.34091722620656</v>
      </c>
      <c r="I7" s="3">
        <f>F7-G7</f>
        <v>43.023097000012058</v>
      </c>
      <c r="J7" s="26">
        <f>E7-H7</f>
        <v>0.14908277379345236</v>
      </c>
      <c r="K7" s="27">
        <v>45971</v>
      </c>
      <c r="L7">
        <f>DAYS360(K7,$C$1)</f>
        <v>11</v>
      </c>
      <c r="M7" s="5">
        <f>(I7/G7)</f>
        <v>5.4942975544361222E-4</v>
      </c>
      <c r="N7">
        <v>55</v>
      </c>
      <c r="O7">
        <v>86</v>
      </c>
      <c r="P7" s="63">
        <v>85</v>
      </c>
      <c r="Q7" s="28">
        <v>259.24</v>
      </c>
      <c r="R7" s="29">
        <f>Q7*0.93</f>
        <v>241.09320000000002</v>
      </c>
      <c r="S7" s="29">
        <v>255.43</v>
      </c>
      <c r="T7" s="28">
        <f>Q7*1.25</f>
        <v>324.05</v>
      </c>
      <c r="U7" s="28">
        <f>Q7*1.5</f>
        <v>388.86</v>
      </c>
      <c r="V7" s="28">
        <f>Q7*2</f>
        <v>518.48</v>
      </c>
      <c r="W7" s="28">
        <f>H7-(H7*0.07)</f>
        <v>252.3470530203721</v>
      </c>
      <c r="X7" s="29">
        <v>255</v>
      </c>
      <c r="Y7" s="5">
        <f>(X7-H7)/H7</f>
        <v>-6.0222827405657209E-2</v>
      </c>
      <c r="Z7" s="6">
        <f>F7/F$20</f>
        <v>0.12865513824898525</v>
      </c>
      <c r="AB7" s="58">
        <v>46051</v>
      </c>
      <c r="AC7" s="63">
        <v>96</v>
      </c>
    </row>
    <row r="8" spans="1:29" x14ac:dyDescent="0.25">
      <c r="C8" s="25"/>
      <c r="D8" s="2"/>
      <c r="E8" s="26"/>
      <c r="F8" s="3">
        <f>E8*D8</f>
        <v>0</v>
      </c>
      <c r="G8" s="3"/>
      <c r="H8" s="4" t="e">
        <f>G8/D8</f>
        <v>#DIV/0!</v>
      </c>
      <c r="I8" s="3">
        <f>F8-G8</f>
        <v>0</v>
      </c>
      <c r="J8" s="26" t="e">
        <f>E8-H8</f>
        <v>#DIV/0!</v>
      </c>
      <c r="K8" s="27"/>
      <c r="M8" s="5" t="e">
        <f>(I8/G8)</f>
        <v>#DIV/0!</v>
      </c>
      <c r="P8" s="33"/>
      <c r="Q8" s="28"/>
      <c r="R8" s="29">
        <f>Q8*0.93</f>
        <v>0</v>
      </c>
      <c r="S8" s="29"/>
      <c r="T8" s="28">
        <f>Q8*1.25</f>
        <v>0</v>
      </c>
      <c r="U8" s="28">
        <f>Q8*1.5</f>
        <v>0</v>
      </c>
      <c r="V8" s="28">
        <f>Q8*2</f>
        <v>0</v>
      </c>
      <c r="W8" s="28" t="e">
        <f>H8-(H8*0.07)</f>
        <v>#DIV/0!</v>
      </c>
      <c r="X8" s="29"/>
      <c r="Y8" s="5" t="e">
        <f>(X8-H8)/H8</f>
        <v>#DIV/0!</v>
      </c>
      <c r="Z8" s="32">
        <f>F8/F$20</f>
        <v>0</v>
      </c>
      <c r="AB8" s="58"/>
      <c r="AC8" s="9"/>
    </row>
    <row r="9" spans="1:29" x14ac:dyDescent="0.25">
      <c r="C9" s="25"/>
      <c r="D9" s="2"/>
      <c r="E9" s="26"/>
      <c r="F9" s="3">
        <f>E9*D9</f>
        <v>0</v>
      </c>
      <c r="G9" s="3"/>
      <c r="H9" s="4" t="e">
        <f>G9/D9</f>
        <v>#DIV/0!</v>
      </c>
      <c r="I9" s="3">
        <f>F9-G9</f>
        <v>0</v>
      </c>
      <c r="J9" s="26" t="e">
        <f>E9-H9</f>
        <v>#DIV/0!</v>
      </c>
      <c r="K9" s="27"/>
      <c r="M9" s="5" t="e">
        <f>(I9/G9)</f>
        <v>#DIV/0!</v>
      </c>
      <c r="P9" s="63"/>
      <c r="Q9" s="28"/>
      <c r="R9" s="29">
        <f>Q9*0.93</f>
        <v>0</v>
      </c>
      <c r="S9" s="29"/>
      <c r="T9" s="28">
        <f>Q9*1.25</f>
        <v>0</v>
      </c>
      <c r="U9" s="28">
        <f>Q9*1.5</f>
        <v>0</v>
      </c>
      <c r="V9" s="28">
        <f>Q9*2</f>
        <v>0</v>
      </c>
      <c r="W9" s="28" t="e">
        <f>H9-(H9*0.07)</f>
        <v>#DIV/0!</v>
      </c>
      <c r="X9" s="29"/>
      <c r="Y9" s="5" t="e">
        <f>(X9-H9)/H9</f>
        <v>#DIV/0!</v>
      </c>
      <c r="Z9" s="6">
        <f>F9/F$20</f>
        <v>0</v>
      </c>
      <c r="AB9" s="58"/>
      <c r="AC9" s="9"/>
    </row>
    <row r="10" spans="1:29" x14ac:dyDescent="0.25">
      <c r="C10" s="25"/>
      <c r="D10" s="2"/>
      <c r="E10" s="26"/>
      <c r="F10" s="3">
        <f>E10*D10</f>
        <v>0</v>
      </c>
      <c r="G10" s="3"/>
      <c r="H10" s="4" t="e">
        <f>G10/D10</f>
        <v>#DIV/0!</v>
      </c>
      <c r="I10" s="3">
        <f>F10-G10</f>
        <v>0</v>
      </c>
      <c r="J10" s="26" t="e">
        <f>E10-H10</f>
        <v>#DIV/0!</v>
      </c>
      <c r="K10" s="27"/>
      <c r="L10">
        <f>DAYS360(K10,$C$1)</f>
        <v>45321</v>
      </c>
      <c r="M10" s="5" t="e">
        <f>(I10/G10)</f>
        <v>#DIV/0!</v>
      </c>
      <c r="N10" s="33"/>
      <c r="P10" s="64"/>
      <c r="Q10" s="28"/>
      <c r="R10" s="29">
        <f>Q10*0.93</f>
        <v>0</v>
      </c>
      <c r="S10" s="29"/>
      <c r="T10" s="31">
        <f>Q10*1.25</f>
        <v>0</v>
      </c>
      <c r="U10" s="28">
        <f>Q10*1.5</f>
        <v>0</v>
      </c>
      <c r="V10" s="28">
        <f>Q10*2</f>
        <v>0</v>
      </c>
      <c r="W10" s="28" t="e">
        <f>H10-(H10*0.07)</f>
        <v>#DIV/0!</v>
      </c>
      <c r="X10" s="29"/>
      <c r="Y10" s="5" t="e">
        <f>(X10-H10)/H10</f>
        <v>#DIV/0!</v>
      </c>
      <c r="Z10" s="6">
        <f>F10/F$20</f>
        <v>0</v>
      </c>
      <c r="AB10" s="67"/>
      <c r="AC10" s="33"/>
    </row>
    <row r="11" spans="1:29" x14ac:dyDescent="0.25">
      <c r="C11" s="25"/>
      <c r="D11" s="2"/>
      <c r="E11" s="26"/>
      <c r="F11" s="3">
        <f>E11*D11</f>
        <v>0</v>
      </c>
      <c r="G11" s="3"/>
      <c r="H11" s="4" t="e">
        <f>G11/D11</f>
        <v>#DIV/0!</v>
      </c>
      <c r="I11" s="3">
        <f>F11-G11</f>
        <v>0</v>
      </c>
      <c r="J11" s="26" t="e">
        <f>E11-H11</f>
        <v>#DIV/0!</v>
      </c>
      <c r="K11" s="27"/>
      <c r="L11">
        <f>DAYS360(K11,$C$1)</f>
        <v>45321</v>
      </c>
      <c r="M11" s="5" t="e">
        <f>(I11/G11)</f>
        <v>#DIV/0!</v>
      </c>
      <c r="P11" s="64"/>
      <c r="Q11" s="28"/>
      <c r="R11" s="29">
        <f>Q11*0.93</f>
        <v>0</v>
      </c>
      <c r="S11" s="29"/>
      <c r="T11" s="31">
        <f>Q11*1.25</f>
        <v>0</v>
      </c>
      <c r="U11" s="28">
        <f>Q11*1.5</f>
        <v>0</v>
      </c>
      <c r="V11" s="28">
        <f>Q11*2</f>
        <v>0</v>
      </c>
      <c r="W11" s="28" t="e">
        <f>H11-(H11*0.07)</f>
        <v>#DIV/0!</v>
      </c>
      <c r="X11" s="29"/>
      <c r="Y11" s="5" t="e">
        <f>(X11-H11)/H11</f>
        <v>#DIV/0!</v>
      </c>
      <c r="Z11" s="6">
        <f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ref="F12:F17" si="0">E12*D12</f>
        <v>0</v>
      </c>
      <c r="G12" s="3"/>
      <c r="H12" s="4" t="e">
        <f t="shared" ref="H12:H17" si="1">G12/D12</f>
        <v>#DIV/0!</v>
      </c>
      <c r="I12" s="3">
        <f t="shared" ref="I12:I17" si="2">F12-G12</f>
        <v>0</v>
      </c>
      <c r="J12" s="26" t="e">
        <f t="shared" ref="J12:J17" si="3">E12-H12</f>
        <v>#DIV/0!</v>
      </c>
      <c r="K12" s="27"/>
      <c r="L12">
        <f t="shared" ref="L12:L17" si="4">DAYS360(K12,$C$1)</f>
        <v>45321</v>
      </c>
      <c r="M12" s="5" t="e">
        <f t="shared" ref="M12:M17" si="5">(I12/G12)</f>
        <v>#DIV/0!</v>
      </c>
      <c r="P12" s="63"/>
      <c r="Q12" s="28"/>
      <c r="R12" s="29">
        <f t="shared" ref="R12:R17" si="6">Q12*0.93</f>
        <v>0</v>
      </c>
      <c r="S12" s="29"/>
      <c r="T12" s="31">
        <f t="shared" ref="T12:T17" si="7">Q12*1.25</f>
        <v>0</v>
      </c>
      <c r="U12" s="28">
        <f t="shared" ref="U12:U17" si="8">Q12*1.5</f>
        <v>0</v>
      </c>
      <c r="V12" s="28">
        <f t="shared" ref="V12:V17" si="9">Q12*2</f>
        <v>0</v>
      </c>
      <c r="W12" s="28" t="e">
        <f t="shared" ref="W12:W17" si="10">H12-(H12*0.07)</f>
        <v>#DIV/0!</v>
      </c>
      <c r="X12" s="29"/>
      <c r="Y12" s="5" t="e">
        <f t="shared" ref="Y12:Y17" si="11">(X12-H12)/H12</f>
        <v>#DIV/0!</v>
      </c>
      <c r="Z12" s="6">
        <f t="shared" ref="Z12:Z17" si="12">F12/F$20</f>
        <v>0</v>
      </c>
      <c r="AB12" s="58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4"/>
        <v>45321</v>
      </c>
      <c r="M13" s="5" t="e">
        <f t="shared" si="5"/>
        <v>#DIV/0!</v>
      </c>
      <c r="P13" s="63"/>
      <c r="Q13" s="28"/>
      <c r="R13" s="29">
        <f t="shared" si="6"/>
        <v>0</v>
      </c>
      <c r="S13" s="29"/>
      <c r="T13" s="31">
        <f t="shared" si="7"/>
        <v>0</v>
      </c>
      <c r="U13" s="28">
        <f t="shared" si="8"/>
        <v>0</v>
      </c>
      <c r="V13" s="28">
        <f t="shared" si="9"/>
        <v>0</v>
      </c>
      <c r="W13" s="28" t="e">
        <f t="shared" si="10"/>
        <v>#DIV/0!</v>
      </c>
      <c r="X13" s="29"/>
      <c r="Y13" s="5" t="e">
        <f t="shared" si="11"/>
        <v>#DIV/0!</v>
      </c>
      <c r="Z13" s="32">
        <f t="shared" si="12"/>
        <v>0</v>
      </c>
      <c r="AB13" s="58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45321</v>
      </c>
      <c r="M14" s="5" t="e">
        <f t="shared" si="5"/>
        <v>#DIV/0!</v>
      </c>
      <c r="P14" s="63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8"/>
      <c r="AC14" s="9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45321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45321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2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45321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78348.023097000012</v>
      </c>
      <c r="G18" s="3">
        <f>SUM(G6:G17)</f>
        <v>78305</v>
      </c>
      <c r="H18" s="4"/>
      <c r="I18" s="3">
        <f>SUM(I6:I17)</f>
        <v>43.023097000012058</v>
      </c>
      <c r="M18" s="5"/>
      <c r="Z18" s="6"/>
    </row>
    <row r="19" spans="1:29" x14ac:dyDescent="0.25">
      <c r="D19" s="2" t="s">
        <v>44</v>
      </c>
      <c r="F19" s="3">
        <v>530629</v>
      </c>
      <c r="G19" s="6">
        <f>F19/F20</f>
        <v>0.87134486175101478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608977.02309699997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'11-14-25'!F20</f>
        <v>621793.50628899992</v>
      </c>
      <c r="K21" s="1">
        <v>45657</v>
      </c>
      <c r="L21" s="50">
        <v>170762</v>
      </c>
      <c r="M21" s="50">
        <v>210671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-2.0612121327048812E-2</v>
      </c>
      <c r="K22" s="9" t="s">
        <v>123</v>
      </c>
      <c r="L22" s="6">
        <f>(M21-L21)/L21</f>
        <v>0.23371124723299094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4">F28/D28</f>
        <v>44.698790833464948</v>
      </c>
      <c r="F28" s="3">
        <v>56489.42</v>
      </c>
      <c r="G28" s="56">
        <v>75501.87</v>
      </c>
      <c r="H28" s="57">
        <f t="shared" ref="H28:H67" si="15">G28/D28</f>
        <v>59.742909285764696</v>
      </c>
      <c r="I28" s="57">
        <f t="shared" ref="I28:I67" si="16">G28-F28</f>
        <v>19012.449999999997</v>
      </c>
      <c r="J28" s="6">
        <f t="shared" ref="J28:J67" si="17">I28/F28</f>
        <v>0.33656656414599401</v>
      </c>
      <c r="K28" s="1">
        <v>45527</v>
      </c>
      <c r="L28" s="1">
        <v>45688</v>
      </c>
      <c r="M28">
        <f t="shared" si="13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4"/>
        <v>169.90901206845703</v>
      </c>
      <c r="F29" s="3">
        <f>59492.79+21969.78</f>
        <v>81462.570000000007</v>
      </c>
      <c r="G29" s="56">
        <v>65047.58</v>
      </c>
      <c r="H29" s="57">
        <f t="shared" si="15"/>
        <v>135.67175765807443</v>
      </c>
      <c r="I29" s="57">
        <f t="shared" si="16"/>
        <v>-16414.990000000005</v>
      </c>
      <c r="J29" s="6">
        <f t="shared" si="17"/>
        <v>-0.20150346349249729</v>
      </c>
      <c r="K29" s="1">
        <v>45671</v>
      </c>
      <c r="L29" s="1">
        <v>45688</v>
      </c>
      <c r="M29">
        <f t="shared" si="13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4"/>
        <v>18.702010092477405</v>
      </c>
      <c r="F30" s="3">
        <v>56486.59</v>
      </c>
      <c r="G30" s="56">
        <v>71124.88</v>
      </c>
      <c r="H30" s="57">
        <f t="shared" si="15"/>
        <v>23.548566546258936</v>
      </c>
      <c r="I30" s="57">
        <f t="shared" si="16"/>
        <v>14638.290000000008</v>
      </c>
      <c r="J30" s="6">
        <f t="shared" si="17"/>
        <v>0.25914628587068206</v>
      </c>
      <c r="K30" s="1">
        <v>45527</v>
      </c>
      <c r="L30" s="1">
        <v>45691</v>
      </c>
      <c r="M30">
        <f t="shared" si="13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4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5"/>
        <v>38.249853000000002</v>
      </c>
      <c r="I31" s="57">
        <f t="shared" si="16"/>
        <v>-6110.386336591735</v>
      </c>
      <c r="J31" s="6">
        <f t="shared" si="17"/>
        <v>-0.10005621882176895</v>
      </c>
      <c r="K31" s="1">
        <v>45706</v>
      </c>
      <c r="L31" s="1">
        <v>45708</v>
      </c>
      <c r="M31">
        <f t="shared" si="13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4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5"/>
        <v>531.63995279999995</v>
      </c>
      <c r="I32" s="57">
        <f t="shared" si="16"/>
        <v>-22176.243614196137</v>
      </c>
      <c r="J32" s="6">
        <f t="shared" si="17"/>
        <v>-0.24194911929355969</v>
      </c>
      <c r="K32" s="1">
        <v>45706</v>
      </c>
      <c r="L32" s="1">
        <v>45708</v>
      </c>
      <c r="M32">
        <f t="shared" si="13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4"/>
        <v>368.56522253629635</v>
      </c>
      <c r="F33" s="3">
        <v>74438.86</v>
      </c>
      <c r="G33" s="56">
        <f>201.9693*360.5332483</f>
        <v>72816.647785877198</v>
      </c>
      <c r="H33" s="57">
        <f t="shared" si="15"/>
        <v>360.53324830000003</v>
      </c>
      <c r="I33" s="57">
        <f t="shared" si="16"/>
        <v>-1622.2122141228028</v>
      </c>
      <c r="J33" s="6">
        <f t="shared" si="17"/>
        <v>-2.1792545105107773E-2</v>
      </c>
      <c r="K33" s="1">
        <v>45664</v>
      </c>
      <c r="L33" s="1">
        <v>45708</v>
      </c>
      <c r="M33">
        <f t="shared" si="13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4"/>
        <v>30.17825528482809</v>
      </c>
      <c r="F34" s="3">
        <v>37884.65</v>
      </c>
      <c r="G34" s="56">
        <f>1255.3625*39.762296</f>
        <v>49916.0953123</v>
      </c>
      <c r="H34" s="57">
        <f t="shared" si="15"/>
        <v>39.762295999999999</v>
      </c>
      <c r="I34" s="57">
        <f t="shared" si="16"/>
        <v>12031.445312299998</v>
      </c>
      <c r="J34" s="6">
        <f t="shared" si="17"/>
        <v>0.31758100740801348</v>
      </c>
      <c r="K34" s="1">
        <v>45663</v>
      </c>
      <c r="L34" s="1">
        <v>45709</v>
      </c>
      <c r="M34">
        <f t="shared" si="13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4"/>
        <v>242.26930551548847</v>
      </c>
      <c r="F35" s="3">
        <v>61221.72</v>
      </c>
      <c r="G35" s="56">
        <f>252.7011*226.6146532</f>
        <v>57265.772139758519</v>
      </c>
      <c r="H35" s="57">
        <f t="shared" si="15"/>
        <v>226.61465319999999</v>
      </c>
      <c r="I35" s="57">
        <f t="shared" si="16"/>
        <v>-3955.947860241482</v>
      </c>
      <c r="J35" s="6">
        <f t="shared" si="17"/>
        <v>-6.4616738311852093E-2</v>
      </c>
      <c r="K35" s="1">
        <v>45699</v>
      </c>
      <c r="L35" s="1">
        <v>45709</v>
      </c>
      <c r="M35">
        <f t="shared" si="13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4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5"/>
        <v>283.93999450000007</v>
      </c>
      <c r="I36" s="57">
        <f t="shared" si="16"/>
        <v>19563.525282954361</v>
      </c>
      <c r="J36" s="6">
        <f t="shared" si="17"/>
        <v>0.36434300703793465</v>
      </c>
      <c r="K36" s="1">
        <v>45580</v>
      </c>
      <c r="L36" s="1">
        <v>45712</v>
      </c>
      <c r="M36">
        <f t="shared" si="13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4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5"/>
        <v>63.365330900000004</v>
      </c>
      <c r="I37" s="57">
        <f t="shared" si="16"/>
        <v>-4549.5912833559851</v>
      </c>
      <c r="J37" s="6">
        <f t="shared" si="17"/>
        <v>-5.9638082078758516E-2</v>
      </c>
      <c r="K37" s="1">
        <v>45673</v>
      </c>
      <c r="L37" s="1">
        <v>45712</v>
      </c>
      <c r="M37">
        <f t="shared" si="13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5"/>
        <v>50.021380499999999</v>
      </c>
      <c r="I38" s="57">
        <f t="shared" si="16"/>
        <v>6027.2875116823998</v>
      </c>
      <c r="J38" s="6">
        <f t="shared" si="17"/>
        <v>9.9771440635884723E-2</v>
      </c>
      <c r="K38" s="1">
        <v>45593</v>
      </c>
      <c r="L38" s="1">
        <v>45713</v>
      </c>
      <c r="M38">
        <f t="shared" si="13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5"/>
        <v>12.519992000000002</v>
      </c>
      <c r="I39" s="57">
        <f t="shared" si="16"/>
        <v>-2230.6527810991975</v>
      </c>
      <c r="J39" s="6">
        <f t="shared" si="17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5"/>
        <v>94.679995300000002</v>
      </c>
      <c r="I40" s="57">
        <f t="shared" si="16"/>
        <v>-4750.690604140058</v>
      </c>
      <c r="J40" s="6">
        <f t="shared" si="17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70" si="18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5"/>
        <v>18.9477051</v>
      </c>
      <c r="I41" s="57">
        <f t="shared" si="16"/>
        <v>-2244.5195874142191</v>
      </c>
      <c r="J41" s="6">
        <f t="shared" si="17"/>
        <v>-8.2776138273503941E-2</v>
      </c>
      <c r="K41" s="1">
        <v>45761</v>
      </c>
      <c r="L41" s="1">
        <v>45768</v>
      </c>
      <c r="M41">
        <f t="shared" ref="M41:M70" si="19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8"/>
        <v>96.336406065231671</v>
      </c>
      <c r="F42" s="3">
        <v>34004.42</v>
      </c>
      <c r="G42" s="56">
        <f>352.9758*89.7849585</f>
        <v>31691.9175545043</v>
      </c>
      <c r="H42" s="57">
        <f t="shared" si="15"/>
        <v>89.784958500000002</v>
      </c>
      <c r="I42" s="57">
        <f t="shared" si="16"/>
        <v>-2312.5024454956983</v>
      </c>
      <c r="J42" s="6">
        <f t="shared" si="17"/>
        <v>-6.8005937036882222E-2</v>
      </c>
      <c r="K42" s="1">
        <v>45762</v>
      </c>
      <c r="L42" s="1">
        <v>45768</v>
      </c>
      <c r="M42">
        <f t="shared" si="19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8"/>
        <v>16.992624876012847</v>
      </c>
      <c r="F43" s="3">
        <v>37971.83</v>
      </c>
      <c r="G43" s="56">
        <f>2234.6065*13.3067232</f>
        <v>29735.2901564208</v>
      </c>
      <c r="H43" s="57">
        <f t="shared" si="15"/>
        <v>13.3067232</v>
      </c>
      <c r="I43" s="57">
        <f t="shared" si="16"/>
        <v>-8236.5398435792013</v>
      </c>
      <c r="J43" s="6">
        <f t="shared" si="17"/>
        <v>-0.21691184869360261</v>
      </c>
      <c r="K43" s="1">
        <v>45652</v>
      </c>
      <c r="L43" s="1">
        <v>45785</v>
      </c>
      <c r="M43">
        <f t="shared" si="19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8"/>
        <v>38.101812248436303</v>
      </c>
      <c r="F44" s="3">
        <v>21940.86</v>
      </c>
      <c r="G44" s="56">
        <f>575.8482*32.7857042</f>
        <v>18879.588749302438</v>
      </c>
      <c r="H44" s="57">
        <f t="shared" si="15"/>
        <v>32.785704199999998</v>
      </c>
      <c r="I44" s="57">
        <f t="shared" si="16"/>
        <v>-3061.2712506975622</v>
      </c>
      <c r="J44" s="6">
        <f t="shared" si="17"/>
        <v>-0.13952375844417958</v>
      </c>
      <c r="K44" s="1">
        <v>45761</v>
      </c>
      <c r="L44" s="1">
        <v>45790</v>
      </c>
      <c r="M44">
        <f t="shared" si="19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8"/>
        <v>24.570291674143743</v>
      </c>
      <c r="F45" s="3">
        <v>23591.34</v>
      </c>
      <c r="G45" s="56">
        <v>19396.37</v>
      </c>
      <c r="H45" s="57">
        <f t="shared" si="15"/>
        <v>20.201246233559068</v>
      </c>
      <c r="I45" s="57">
        <f t="shared" si="16"/>
        <v>-4194.9700000000012</v>
      </c>
      <c r="J45" s="6">
        <f t="shared" si="17"/>
        <v>-0.17781821634548953</v>
      </c>
      <c r="K45" s="1">
        <v>45776</v>
      </c>
      <c r="L45" s="1">
        <v>45812</v>
      </c>
      <c r="M45">
        <f t="shared" si="19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8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5"/>
        <v>84.038907800000004</v>
      </c>
      <c r="I46" s="57">
        <f t="shared" si="16"/>
        <v>-3907.8121523372101</v>
      </c>
      <c r="J46" s="6">
        <f t="shared" si="17"/>
        <v>-0.14246372001691271</v>
      </c>
      <c r="K46" s="1">
        <v>45782</v>
      </c>
      <c r="L46" s="1">
        <v>45818</v>
      </c>
      <c r="M46">
        <f t="shared" si="19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8"/>
        <v>40.437100849618155</v>
      </c>
      <c r="F47" s="3">
        <f>22877.09+14244.67</f>
        <v>37121.760000000002</v>
      </c>
      <c r="G47" s="56">
        <v>34659.56</v>
      </c>
      <c r="H47" s="57">
        <f t="shared" si="15"/>
        <v>37.755002002151599</v>
      </c>
      <c r="I47" s="57">
        <f t="shared" si="16"/>
        <v>-2462.2000000000044</v>
      </c>
      <c r="J47" s="6">
        <f t="shared" si="17"/>
        <v>-6.6327674118899643E-2</v>
      </c>
      <c r="K47" s="1">
        <v>45782</v>
      </c>
      <c r="L47" s="1">
        <v>45828</v>
      </c>
      <c r="M47">
        <f t="shared" si="19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18"/>
        <v>123.70183817297092</v>
      </c>
      <c r="F48" s="3">
        <f>22876.67+14197.82+14808.77</f>
        <v>51883.259999999995</v>
      </c>
      <c r="G48" s="56">
        <v>55156.07</v>
      </c>
      <c r="H48" s="57">
        <f t="shared" si="15"/>
        <v>131.50498340692272</v>
      </c>
      <c r="I48" s="57">
        <f t="shared" si="16"/>
        <v>3272.8100000000049</v>
      </c>
      <c r="J48" s="6">
        <f t="shared" si="17"/>
        <v>6.3080269050171583E-2</v>
      </c>
      <c r="K48" s="1">
        <v>45782</v>
      </c>
      <c r="L48" s="1">
        <v>45839</v>
      </c>
      <c r="M48">
        <f t="shared" si="19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18"/>
        <v>63.194998844628557</v>
      </c>
      <c r="F49" s="3">
        <v>36072.47</v>
      </c>
      <c r="G49" s="56">
        <v>51786.91</v>
      </c>
      <c r="H49" s="57">
        <f t="shared" si="15"/>
        <v>90.724968864535285</v>
      </c>
      <c r="I49" s="57">
        <f t="shared" si="16"/>
        <v>15714.440000000002</v>
      </c>
      <c r="J49" s="6">
        <f t="shared" si="17"/>
        <v>0.43563526423336141</v>
      </c>
      <c r="K49" s="1">
        <v>45796</v>
      </c>
      <c r="L49" s="1">
        <v>45839</v>
      </c>
      <c r="M49">
        <f t="shared" si="19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18"/>
        <v>90.254808370121239</v>
      </c>
      <c r="F50" s="3">
        <f>35895.15+19479.74</f>
        <v>55374.89</v>
      </c>
      <c r="G50" s="56">
        <v>55236.959999999999</v>
      </c>
      <c r="H50" s="57">
        <f t="shared" si="15"/>
        <v>90.029998068584007</v>
      </c>
      <c r="I50" s="57">
        <f t="shared" si="16"/>
        <v>-137.93000000000029</v>
      </c>
      <c r="J50" s="6">
        <f t="shared" si="17"/>
        <v>-2.4908401623912986E-3</v>
      </c>
      <c r="K50" s="1">
        <v>45789</v>
      </c>
      <c r="L50" s="1">
        <v>45855</v>
      </c>
      <c r="M50">
        <f t="shared" si="19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18"/>
        <v>113.05354718581073</v>
      </c>
      <c r="F51" s="3">
        <v>45409.8</v>
      </c>
      <c r="G51" s="56">
        <v>41051.0026</v>
      </c>
      <c r="H51" s="57">
        <f t="shared" si="15"/>
        <v>102.2017595202784</v>
      </c>
      <c r="I51" s="57">
        <f t="shared" si="16"/>
        <v>-4358.7974000000031</v>
      </c>
      <c r="J51" s="6">
        <f t="shared" si="17"/>
        <v>-9.5988033420098803E-2</v>
      </c>
      <c r="K51" s="1">
        <v>45855</v>
      </c>
      <c r="L51" s="1">
        <v>45860</v>
      </c>
      <c r="M51">
        <f t="shared" si="19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18"/>
        <v>17.339829156069133</v>
      </c>
      <c r="F52" s="3">
        <v>22797.23</v>
      </c>
      <c r="G52" s="56">
        <v>18655.11</v>
      </c>
      <c r="H52" s="57">
        <f t="shared" si="15"/>
        <v>14.189286167121043</v>
      </c>
      <c r="I52" s="57">
        <f t="shared" si="16"/>
        <v>-4142.119999999999</v>
      </c>
      <c r="J52" s="6">
        <f t="shared" si="17"/>
        <v>-0.18169400405224664</v>
      </c>
      <c r="K52" s="1">
        <v>45861</v>
      </c>
      <c r="L52" s="1">
        <v>45870</v>
      </c>
      <c r="M52">
        <f t="shared" si="19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18"/>
        <v>74.757798491837917</v>
      </c>
      <c r="F53" s="3">
        <f>26856.13+12527.28</f>
        <v>39383.410000000003</v>
      </c>
      <c r="G53" s="56">
        <v>67176.488400000002</v>
      </c>
      <c r="H53" s="57">
        <f t="shared" si="15"/>
        <v>127.51476784759082</v>
      </c>
      <c r="I53" s="57">
        <f t="shared" si="16"/>
        <v>27793.078399999999</v>
      </c>
      <c r="J53" s="6">
        <f t="shared" si="17"/>
        <v>0.7057052296893539</v>
      </c>
      <c r="K53" s="1">
        <v>45789</v>
      </c>
      <c r="L53" s="1">
        <v>45870</v>
      </c>
      <c r="M53">
        <f t="shared" si="19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18"/>
        <v>22.651928580010882</v>
      </c>
      <c r="F54" s="3">
        <f>18821.97+11334.33+20180.34</f>
        <v>50336.639999999999</v>
      </c>
      <c r="G54" s="56">
        <v>42713.83</v>
      </c>
      <c r="H54" s="57">
        <f t="shared" si="15"/>
        <v>19.221597360068653</v>
      </c>
      <c r="I54" s="57">
        <f t="shared" si="16"/>
        <v>-7622.8099999999977</v>
      </c>
      <c r="J54" s="6">
        <f t="shared" si="17"/>
        <v>-0.15143660760829483</v>
      </c>
      <c r="K54" s="1">
        <v>45814</v>
      </c>
      <c r="L54" s="1">
        <v>45880</v>
      </c>
      <c r="M54">
        <f t="shared" si="19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18"/>
        <v>30.926801697408081</v>
      </c>
      <c r="F55" s="3">
        <f>(605.0016*29.7738017)+17708.65</f>
        <v>35721.847666582718</v>
      </c>
      <c r="G55" s="56">
        <v>42554.27</v>
      </c>
      <c r="H55" s="57">
        <f t="shared" si="15"/>
        <v>36.842088403482109</v>
      </c>
      <c r="I55" s="57">
        <f t="shared" si="16"/>
        <v>6832.4223334172784</v>
      </c>
      <c r="J55" s="6">
        <f t="shared" si="17"/>
        <v>0.1912673274123195</v>
      </c>
      <c r="K55" s="1">
        <v>45800</v>
      </c>
      <c r="L55" s="1">
        <v>45881</v>
      </c>
      <c r="M55">
        <f t="shared" si="19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18"/>
        <v>377.42204050678822</v>
      </c>
      <c r="F56" s="3">
        <f>34962.9+15401.92</f>
        <v>50364.82</v>
      </c>
      <c r="G56" s="56">
        <v>81517.961800000005</v>
      </c>
      <c r="H56" s="57">
        <f t="shared" si="15"/>
        <v>610.87631168959638</v>
      </c>
      <c r="I56" s="57">
        <f t="shared" si="16"/>
        <v>31153.141800000005</v>
      </c>
      <c r="J56" s="6">
        <f t="shared" si="17"/>
        <v>0.61854965033132259</v>
      </c>
      <c r="K56" s="1">
        <v>45771</v>
      </c>
      <c r="L56" s="1">
        <v>45884</v>
      </c>
      <c r="M56">
        <f t="shared" si="19"/>
        <v>111</v>
      </c>
    </row>
    <row r="57" spans="1:13" x14ac:dyDescent="0.25">
      <c r="A57" t="s">
        <v>138</v>
      </c>
      <c r="B57" t="s">
        <v>30</v>
      </c>
      <c r="C57" s="25" t="s">
        <v>139</v>
      </c>
      <c r="D57" s="2">
        <v>345.54309999999998</v>
      </c>
      <c r="E57" s="57">
        <f t="shared" si="18"/>
        <v>133.9832570813887</v>
      </c>
      <c r="F57" s="3">
        <v>46296.99</v>
      </c>
      <c r="G57" s="56">
        <v>42812.79</v>
      </c>
      <c r="H57" s="57">
        <f t="shared" si="15"/>
        <v>123.89999973954046</v>
      </c>
      <c r="I57" s="57">
        <f t="shared" si="16"/>
        <v>-3484.1999999999971</v>
      </c>
      <c r="J57" s="6">
        <f t="shared" si="17"/>
        <v>-7.525759234023631E-2</v>
      </c>
      <c r="K57" s="1">
        <v>45897</v>
      </c>
      <c r="L57" s="1">
        <v>45904</v>
      </c>
      <c r="M57">
        <f t="shared" si="19"/>
        <v>6</v>
      </c>
    </row>
    <row r="58" spans="1:13" x14ac:dyDescent="0.25">
      <c r="A58" t="s">
        <v>136</v>
      </c>
      <c r="B58" t="s">
        <v>30</v>
      </c>
      <c r="C58" s="25" t="s">
        <v>137</v>
      </c>
      <c r="D58" s="2">
        <v>287.49</v>
      </c>
      <c r="E58" s="57">
        <f t="shared" si="18"/>
        <v>198.81999373891267</v>
      </c>
      <c r="F58" s="3">
        <v>57158.76</v>
      </c>
      <c r="G58" s="56">
        <v>56889.83</v>
      </c>
      <c r="H58" s="57">
        <f t="shared" si="15"/>
        <v>197.88455250617412</v>
      </c>
      <c r="I58" s="57">
        <f t="shared" si="16"/>
        <v>-268.93000000000029</v>
      </c>
      <c r="J58" s="6">
        <f t="shared" si="17"/>
        <v>-4.7049656080712784E-3</v>
      </c>
      <c r="K58" s="1">
        <v>45895</v>
      </c>
      <c r="L58" s="1">
        <v>45936</v>
      </c>
      <c r="M58">
        <f t="shared" si="19"/>
        <v>40</v>
      </c>
    </row>
    <row r="59" spans="1:13" x14ac:dyDescent="0.25">
      <c r="A59" t="s">
        <v>142</v>
      </c>
      <c r="B59" t="s">
        <v>30</v>
      </c>
      <c r="C59" s="25" t="s">
        <v>143</v>
      </c>
      <c r="D59" s="2">
        <v>502.0591</v>
      </c>
      <c r="E59" s="57">
        <f t="shared" si="18"/>
        <v>141.49505506423449</v>
      </c>
      <c r="F59" s="3">
        <v>71038.880000000005</v>
      </c>
      <c r="G59" s="56">
        <v>69446.240000000005</v>
      </c>
      <c r="H59" s="57">
        <f t="shared" si="15"/>
        <v>138.3228388849042</v>
      </c>
      <c r="I59" s="57">
        <f t="shared" si="16"/>
        <v>-1592.6399999999994</v>
      </c>
      <c r="J59" s="6">
        <f t="shared" si="17"/>
        <v>-2.2419272375915827E-2</v>
      </c>
      <c r="K59" s="1">
        <v>45909</v>
      </c>
      <c r="L59" s="1">
        <v>45944</v>
      </c>
      <c r="M59">
        <f t="shared" si="19"/>
        <v>35</v>
      </c>
    </row>
    <row r="60" spans="1:13" x14ac:dyDescent="0.25">
      <c r="A60" t="s">
        <v>69</v>
      </c>
      <c r="B60" t="s">
        <v>30</v>
      </c>
      <c r="C60" s="25" t="s">
        <v>70</v>
      </c>
      <c r="D60" s="2">
        <f>143.2704+538.7851</f>
        <v>682.05550000000005</v>
      </c>
      <c r="E60" s="57">
        <f t="shared" si="18"/>
        <v>63.85874756526411</v>
      </c>
      <c r="F60" s="3">
        <f>9149.25+34405.96</f>
        <v>43555.21</v>
      </c>
      <c r="G60" s="56">
        <f>25648.23+78191</f>
        <v>103839.23</v>
      </c>
      <c r="H60" s="57">
        <f t="shared" si="15"/>
        <v>152.2445460816605</v>
      </c>
      <c r="I60" s="57">
        <f t="shared" si="16"/>
        <v>60284.02</v>
      </c>
      <c r="J60" s="6">
        <f t="shared" si="17"/>
        <v>1.3840828686166362</v>
      </c>
      <c r="K60" s="1">
        <v>45854</v>
      </c>
      <c r="L60" s="1">
        <v>45945</v>
      </c>
      <c r="M60">
        <f t="shared" si="19"/>
        <v>89</v>
      </c>
    </row>
    <row r="61" spans="1:13" x14ac:dyDescent="0.25">
      <c r="A61" t="s">
        <v>138</v>
      </c>
      <c r="B61" t="s">
        <v>30</v>
      </c>
      <c r="C61" s="25" t="s">
        <v>139</v>
      </c>
      <c r="D61" s="2">
        <v>337.18810000000002</v>
      </c>
      <c r="E61" s="57">
        <f t="shared" si="18"/>
        <v>164.72274673987604</v>
      </c>
      <c r="F61" s="3">
        <v>55542.55</v>
      </c>
      <c r="G61" s="56">
        <v>56222.05</v>
      </c>
      <c r="H61" s="57">
        <f t="shared" si="15"/>
        <v>166.73794241255845</v>
      </c>
      <c r="I61" s="57">
        <f t="shared" si="16"/>
        <v>679.5</v>
      </c>
      <c r="J61" s="6">
        <f t="shared" si="17"/>
        <v>1.2233863947550121E-2</v>
      </c>
      <c r="K61" s="1">
        <v>45938</v>
      </c>
      <c r="L61" s="1">
        <v>45953</v>
      </c>
      <c r="M61">
        <f t="shared" si="19"/>
        <v>15</v>
      </c>
    </row>
    <row r="62" spans="1:13" x14ac:dyDescent="0.25">
      <c r="A62" t="s">
        <v>126</v>
      </c>
      <c r="B62" t="s">
        <v>30</v>
      </c>
      <c r="C62" s="25" t="s">
        <v>127</v>
      </c>
      <c r="D62" s="2">
        <f>344.4515+240</f>
        <v>584.45150000000001</v>
      </c>
      <c r="E62" s="57">
        <f t="shared" si="18"/>
        <v>92.249194330068448</v>
      </c>
      <c r="F62" s="3">
        <f>30563.18+23352</f>
        <v>53915.18</v>
      </c>
      <c r="G62" s="56">
        <v>79663.16</v>
      </c>
      <c r="H62" s="57">
        <f t="shared" si="15"/>
        <v>136.30414157547719</v>
      </c>
      <c r="I62" s="57">
        <f t="shared" si="16"/>
        <v>25747.980000000003</v>
      </c>
      <c r="J62" s="6">
        <f t="shared" si="17"/>
        <v>0.47756457457806878</v>
      </c>
      <c r="K62" s="1">
        <v>45840</v>
      </c>
      <c r="L62" s="1">
        <v>45953</v>
      </c>
      <c r="M62">
        <f t="shared" si="19"/>
        <v>111</v>
      </c>
    </row>
    <row r="63" spans="1:13" x14ac:dyDescent="0.25">
      <c r="A63" t="s">
        <v>144</v>
      </c>
      <c r="B63" t="s">
        <v>30</v>
      </c>
      <c r="C63" s="25" t="s">
        <v>145</v>
      </c>
      <c r="D63" s="2">
        <v>1679.5722000000001</v>
      </c>
      <c r="E63" s="57">
        <f t="shared" si="18"/>
        <v>33.115236129771617</v>
      </c>
      <c r="F63" s="3">
        <v>55619.43</v>
      </c>
      <c r="G63" s="56">
        <v>50133.94</v>
      </c>
      <c r="H63" s="57">
        <f t="shared" si="15"/>
        <v>29.849231846061752</v>
      </c>
      <c r="I63" s="57">
        <f t="shared" si="16"/>
        <v>-5485.489999999998</v>
      </c>
      <c r="J63" s="6">
        <f t="shared" si="17"/>
        <v>-9.8625426402248237E-2</v>
      </c>
      <c r="K63" s="1">
        <v>45954</v>
      </c>
      <c r="L63" s="1">
        <v>45965</v>
      </c>
      <c r="M63">
        <f t="shared" si="19"/>
        <v>10</v>
      </c>
    </row>
    <row r="64" spans="1:13" x14ac:dyDescent="0.25">
      <c r="A64" t="s">
        <v>128</v>
      </c>
      <c r="B64" t="s">
        <v>30</v>
      </c>
      <c r="C64" s="25" t="s">
        <v>129</v>
      </c>
      <c r="D64" s="2">
        <f>786.7766+525.5828</f>
        <v>1312.3594000000001</v>
      </c>
      <c r="E64" s="57">
        <f t="shared" si="18"/>
        <v>39.768046771334134</v>
      </c>
      <c r="F64" s="3">
        <f>30514.1+21675.87</f>
        <v>52189.97</v>
      </c>
      <c r="G64" s="56">
        <v>52911.071499999998</v>
      </c>
      <c r="H64" s="57">
        <f t="shared" si="15"/>
        <v>40.317516299269847</v>
      </c>
      <c r="I64" s="57">
        <f t="shared" si="16"/>
        <v>721.10149999999703</v>
      </c>
      <c r="J64" s="6">
        <f t="shared" si="17"/>
        <v>1.3816859829580225E-2</v>
      </c>
      <c r="K64" s="1">
        <v>45840</v>
      </c>
      <c r="L64" s="1">
        <v>45967</v>
      </c>
      <c r="M64">
        <f t="shared" si="19"/>
        <v>124</v>
      </c>
    </row>
    <row r="65" spans="1:13" x14ac:dyDescent="0.25">
      <c r="A65" t="s">
        <v>124</v>
      </c>
      <c r="B65" t="s">
        <v>30</v>
      </c>
      <c r="C65" s="25" t="s">
        <v>125</v>
      </c>
      <c r="D65" s="2">
        <f>915.359+608.2121</f>
        <v>1523.5711000000001</v>
      </c>
      <c r="E65" s="57">
        <f t="shared" si="18"/>
        <v>32.025317426932027</v>
      </c>
      <c r="F65" s="3">
        <f>28630.6+20162.2481</f>
        <v>48792.848100000003</v>
      </c>
      <c r="G65" s="56">
        <v>77936.641799999998</v>
      </c>
      <c r="H65" s="57">
        <f t="shared" si="15"/>
        <v>51.153925012098213</v>
      </c>
      <c r="I65" s="57">
        <f t="shared" si="16"/>
        <v>29143.793699999995</v>
      </c>
      <c r="J65" s="6">
        <f t="shared" si="17"/>
        <v>0.59729642426837537</v>
      </c>
      <c r="K65" s="1">
        <v>45817</v>
      </c>
      <c r="L65" s="1">
        <v>45967</v>
      </c>
      <c r="M65">
        <f t="shared" si="19"/>
        <v>147</v>
      </c>
    </row>
    <row r="66" spans="1:13" x14ac:dyDescent="0.25">
      <c r="A66" t="s">
        <v>146</v>
      </c>
      <c r="B66" t="s">
        <v>30</v>
      </c>
      <c r="C66" s="25" t="s">
        <v>147</v>
      </c>
      <c r="D66" s="2">
        <v>776.60839999999996</v>
      </c>
      <c r="E66" s="57">
        <f t="shared" si="18"/>
        <v>71.667432389348349</v>
      </c>
      <c r="F66" s="3">
        <v>55657.53</v>
      </c>
      <c r="G66" s="56">
        <v>51251.39</v>
      </c>
      <c r="H66" s="57">
        <f t="shared" si="15"/>
        <v>65.993865119151437</v>
      </c>
      <c r="I66" s="57">
        <f t="shared" si="16"/>
        <v>-4406.1399999999994</v>
      </c>
      <c r="J66" s="6">
        <f t="shared" si="17"/>
        <v>-7.9165209092103075E-2</v>
      </c>
      <c r="K66" s="1">
        <v>45957</v>
      </c>
      <c r="L66" s="1">
        <v>45968</v>
      </c>
      <c r="M66">
        <f t="shared" si="19"/>
        <v>10</v>
      </c>
    </row>
    <row r="67" spans="1:13" x14ac:dyDescent="0.25">
      <c r="A67" t="s">
        <v>148</v>
      </c>
      <c r="B67" t="s">
        <v>30</v>
      </c>
      <c r="C67" s="25" t="s">
        <v>149</v>
      </c>
      <c r="D67" s="2">
        <v>364.21120000000002</v>
      </c>
      <c r="E67" s="57">
        <f t="shared" si="18"/>
        <v>104.6290998190061</v>
      </c>
      <c r="F67" s="3">
        <v>38107.089999999997</v>
      </c>
      <c r="G67" s="56">
        <v>36324.28</v>
      </c>
      <c r="H67" s="57">
        <f t="shared" si="15"/>
        <v>99.734110318408653</v>
      </c>
      <c r="I67" s="57">
        <f t="shared" si="16"/>
        <v>-1782.8099999999977</v>
      </c>
      <c r="J67" s="6">
        <f t="shared" si="17"/>
        <v>-4.67842073482913E-2</v>
      </c>
      <c r="K67" s="1">
        <v>45968</v>
      </c>
      <c r="L67" s="1">
        <v>45975</v>
      </c>
      <c r="M67">
        <f t="shared" si="19"/>
        <v>7</v>
      </c>
    </row>
    <row r="68" spans="1:13" x14ac:dyDescent="0.25">
      <c r="A68" t="s">
        <v>134</v>
      </c>
      <c r="B68" t="s">
        <v>30</v>
      </c>
      <c r="C68" s="25" t="s">
        <v>135</v>
      </c>
      <c r="D68" s="2">
        <v>148.3219</v>
      </c>
      <c r="E68" s="57">
        <f t="shared" si="18"/>
        <v>462.8461474670969</v>
      </c>
      <c r="F68" s="3">
        <v>68650.22</v>
      </c>
      <c r="G68" s="56">
        <v>78515.009999999995</v>
      </c>
      <c r="H68" s="57">
        <f t="shared" ref="H68:H70" si="20">G68/D68</f>
        <v>529.3554761636683</v>
      </c>
      <c r="I68" s="57">
        <f t="shared" ref="I68:I70" si="21">G68-F68</f>
        <v>9864.7899999999936</v>
      </c>
      <c r="J68" s="6">
        <f t="shared" ref="J68:J70" si="22">I68/F68</f>
        <v>0.14369640767356598</v>
      </c>
      <c r="K68" s="1">
        <v>45895</v>
      </c>
      <c r="L68" s="1">
        <v>45979</v>
      </c>
      <c r="M68">
        <f t="shared" si="19"/>
        <v>82</v>
      </c>
    </row>
    <row r="69" spans="1:13" x14ac:dyDescent="0.25">
      <c r="A69" t="s">
        <v>138</v>
      </c>
      <c r="B69" t="s">
        <v>30</v>
      </c>
      <c r="C69" s="25" t="s">
        <v>139</v>
      </c>
      <c r="D69" s="2">
        <v>278.13279999999997</v>
      </c>
      <c r="E69" s="57">
        <f t="shared" si="18"/>
        <v>180.33004377764865</v>
      </c>
      <c r="F69" s="3">
        <v>50155.7</v>
      </c>
      <c r="G69" s="56">
        <v>42915.85</v>
      </c>
      <c r="H69" s="57">
        <f t="shared" si="20"/>
        <v>154.29985244458763</v>
      </c>
      <c r="I69" s="57">
        <f t="shared" si="21"/>
        <v>-7239.8499999999985</v>
      </c>
      <c r="J69" s="6">
        <f t="shared" si="22"/>
        <v>-0.1443475018791483</v>
      </c>
      <c r="K69" s="1">
        <v>45981</v>
      </c>
      <c r="L69" s="1">
        <v>45982</v>
      </c>
      <c r="M69">
        <f t="shared" si="19"/>
        <v>1</v>
      </c>
    </row>
    <row r="70" spans="1:13" x14ac:dyDescent="0.25">
      <c r="A70" t="s">
        <v>140</v>
      </c>
      <c r="B70" t="s">
        <v>30</v>
      </c>
      <c r="C70" s="25" t="s">
        <v>141</v>
      </c>
      <c r="D70" s="2">
        <f>595.1582+306.9859</f>
        <v>902.14409999999998</v>
      </c>
      <c r="E70" s="57">
        <f t="shared" si="18"/>
        <v>79.475584887159386</v>
      </c>
      <c r="F70" s="3">
        <f>46827.05+24871.38</f>
        <v>71698.430000000008</v>
      </c>
      <c r="G70" s="56">
        <v>71579.09</v>
      </c>
      <c r="H70" s="57">
        <f t="shared" si="20"/>
        <v>79.343300033775094</v>
      </c>
      <c r="I70" s="57">
        <f t="shared" si="21"/>
        <v>-119.34000000001106</v>
      </c>
      <c r="J70" s="6">
        <f t="shared" si="22"/>
        <v>-1.6644715930322471E-3</v>
      </c>
      <c r="K70" s="1">
        <v>45897</v>
      </c>
      <c r="L70" s="1">
        <v>45982</v>
      </c>
      <c r="M70">
        <f t="shared" si="19"/>
        <v>83</v>
      </c>
    </row>
    <row r="71" spans="1:13" x14ac:dyDescent="0.25">
      <c r="C71" s="25"/>
      <c r="D71" s="2"/>
      <c r="E71" s="57"/>
      <c r="F71" s="3"/>
      <c r="G71" s="56"/>
      <c r="H71" s="57"/>
      <c r="I71" s="57"/>
      <c r="J71" s="6"/>
      <c r="K71" s="1"/>
      <c r="L71" s="1"/>
    </row>
    <row r="72" spans="1:13" x14ac:dyDescent="0.25">
      <c r="C72" s="25"/>
      <c r="D72" s="2"/>
      <c r="E72" s="57"/>
      <c r="F72" s="3"/>
      <c r="G72" s="56"/>
      <c r="H72" s="57"/>
      <c r="I72" s="57"/>
      <c r="J72" s="6"/>
      <c r="K72" s="1"/>
      <c r="L72" s="1"/>
    </row>
    <row r="73" spans="1:13" x14ac:dyDescent="0.25">
      <c r="C73" s="25"/>
      <c r="D73" s="2"/>
      <c r="E73" s="57"/>
      <c r="F73" s="3"/>
      <c r="G73" s="56"/>
      <c r="H73" s="57"/>
      <c r="I73" s="57"/>
      <c r="J73" s="6"/>
      <c r="K73" s="1"/>
      <c r="L73" s="1"/>
    </row>
    <row r="74" spans="1:13" x14ac:dyDescent="0.25">
      <c r="C74" s="25"/>
      <c r="D74" s="2"/>
      <c r="E74" s="57"/>
      <c r="F74" s="3"/>
      <c r="G74" s="56"/>
      <c r="H74" s="57"/>
      <c r="I74" s="57"/>
      <c r="J74" s="6"/>
      <c r="K74" s="1"/>
      <c r="L74" s="1"/>
    </row>
    <row r="75" spans="1:13" x14ac:dyDescent="0.25">
      <c r="C75" s="25"/>
      <c r="D75" s="2"/>
      <c r="E75" s="57"/>
      <c r="F75" s="3"/>
      <c r="G75" s="56"/>
      <c r="H75" s="57"/>
      <c r="I75" s="57"/>
      <c r="J75" s="6"/>
      <c r="K75" s="1"/>
      <c r="L75" s="1"/>
    </row>
    <row r="76" spans="1:13" x14ac:dyDescent="0.25">
      <c r="F76" s="56"/>
      <c r="G76" s="56"/>
      <c r="H76" s="3"/>
      <c r="I76" s="3">
        <f>SUM(I26:I64)</f>
        <v>120384.02476708277</v>
      </c>
      <c r="J76" s="13" t="s">
        <v>66</v>
      </c>
    </row>
    <row r="77" spans="1:13" x14ac:dyDescent="0.25">
      <c r="F77" s="56"/>
      <c r="G77" s="56"/>
      <c r="H77" s="3" t="s">
        <v>67</v>
      </c>
      <c r="I77" s="59">
        <v>29</v>
      </c>
      <c r="J77" s="5">
        <v>-9.5799999999999996E-2</v>
      </c>
    </row>
    <row r="78" spans="1:13" x14ac:dyDescent="0.25">
      <c r="F78" s="56"/>
      <c r="G78" s="56"/>
      <c r="H78" s="3" t="s">
        <v>68</v>
      </c>
      <c r="I78" s="59">
        <v>16</v>
      </c>
      <c r="J78" s="5">
        <v>0.37630000000000002</v>
      </c>
    </row>
    <row r="79" spans="1:13" x14ac:dyDescent="0.25">
      <c r="F79" s="56"/>
      <c r="G79" s="56"/>
      <c r="J79" s="6"/>
    </row>
    <row r="80" spans="1:13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  <c r="J86" s="6"/>
    </row>
    <row r="87" spans="6:10" x14ac:dyDescent="0.25">
      <c r="F87" s="56"/>
      <c r="G87" s="56"/>
      <c r="J87" s="6"/>
    </row>
    <row r="88" spans="6:10" x14ac:dyDescent="0.25">
      <c r="F88" s="56"/>
      <c r="G88" s="56"/>
      <c r="J88" s="6"/>
    </row>
    <row r="89" spans="6:10" x14ac:dyDescent="0.25">
      <c r="F89" s="56"/>
      <c r="G89" s="56"/>
      <c r="J89" s="6"/>
    </row>
    <row r="90" spans="6:10" x14ac:dyDescent="0.25">
      <c r="F90" s="56"/>
      <c r="G90" s="56"/>
      <c r="J90" s="6"/>
    </row>
    <row r="91" spans="6:10" x14ac:dyDescent="0.25">
      <c r="F91" s="56"/>
      <c r="G91" s="56"/>
      <c r="J91" s="6"/>
    </row>
    <row r="92" spans="6:10" x14ac:dyDescent="0.25">
      <c r="F92" s="56"/>
      <c r="G92" s="56"/>
      <c r="J92" s="6"/>
    </row>
    <row r="93" spans="6:10" x14ac:dyDescent="0.25">
      <c r="F93" s="56"/>
      <c r="G93" s="56"/>
      <c r="J93" s="6"/>
    </row>
    <row r="94" spans="6:10" x14ac:dyDescent="0.25">
      <c r="F94" s="56"/>
      <c r="G94" s="56"/>
      <c r="J94" s="6"/>
    </row>
    <row r="95" spans="6:10" x14ac:dyDescent="0.25">
      <c r="F95" s="56"/>
      <c r="G95" s="56"/>
      <c r="J95" s="6"/>
    </row>
    <row r="96" spans="6:10" x14ac:dyDescent="0.25">
      <c r="F96" s="56"/>
      <c r="G96" s="56"/>
      <c r="J96" s="6"/>
    </row>
    <row r="97" spans="6:10" x14ac:dyDescent="0.25">
      <c r="F97" s="56"/>
      <c r="G97" s="56"/>
      <c r="J97" s="6"/>
    </row>
    <row r="98" spans="6:10" x14ac:dyDescent="0.25">
      <c r="F98" s="56"/>
      <c r="G98" s="56"/>
      <c r="J98" s="6"/>
    </row>
    <row r="99" spans="6:10" x14ac:dyDescent="0.25">
      <c r="F99" s="56"/>
      <c r="G99" s="56"/>
      <c r="J99" s="6"/>
    </row>
    <row r="100" spans="6:10" x14ac:dyDescent="0.25">
      <c r="F100" s="56"/>
      <c r="G100" s="56"/>
      <c r="J100" s="6"/>
    </row>
    <row r="101" spans="6:10" x14ac:dyDescent="0.25">
      <c r="F101" s="56"/>
      <c r="G101" s="56"/>
      <c r="J101" s="6"/>
    </row>
    <row r="102" spans="6:10" x14ac:dyDescent="0.25">
      <c r="F102" s="56"/>
      <c r="G102" s="56"/>
    </row>
    <row r="103" spans="6:10" x14ac:dyDescent="0.25">
      <c r="F103" s="56"/>
      <c r="G103" s="56"/>
    </row>
    <row r="104" spans="6:10" x14ac:dyDescent="0.25">
      <c r="F104" s="56"/>
      <c r="G104" s="56"/>
    </row>
    <row r="105" spans="6:10" x14ac:dyDescent="0.25">
      <c r="F105" s="56"/>
      <c r="G105" s="56"/>
    </row>
    <row r="106" spans="6:10" x14ac:dyDescent="0.25">
      <c r="F106" s="56"/>
      <c r="G106" s="56"/>
    </row>
    <row r="107" spans="6:10" x14ac:dyDescent="0.25">
      <c r="F107" s="56"/>
      <c r="G107" s="56"/>
    </row>
  </sheetData>
  <sortState xmlns:xlrd2="http://schemas.microsoft.com/office/spreadsheetml/2017/richdata2" ref="A7:AC9">
    <sortCondition ref="L7:L9"/>
  </sortState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E1B6-C093-4F23-A724-72247F680F65}">
  <dimension ref="A1:AC10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45982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150</v>
      </c>
      <c r="B7" t="s">
        <v>30</v>
      </c>
      <c r="C7" s="25" t="s">
        <v>151</v>
      </c>
      <c r="D7" s="2">
        <v>288.58530000000002</v>
      </c>
      <c r="E7" s="26">
        <v>278.85000000000002</v>
      </c>
      <c r="F7" s="3">
        <f>E7*D7</f>
        <v>80472.010905000017</v>
      </c>
      <c r="G7" s="3">
        <v>78305</v>
      </c>
      <c r="H7" s="4">
        <f>G7/D7</f>
        <v>271.34091722620656</v>
      </c>
      <c r="I7" s="3">
        <f>F7-G7</f>
        <v>2167.0109050000174</v>
      </c>
      <c r="J7" s="26">
        <f>E7-H7</f>
        <v>7.509082773793466</v>
      </c>
      <c r="K7" s="27">
        <v>45971</v>
      </c>
      <c r="L7">
        <f>DAYS360(K7,$C$1)</f>
        <v>11</v>
      </c>
      <c r="M7" s="5">
        <f>(I7/G7)</f>
        <v>2.7673978736990196E-2</v>
      </c>
      <c r="N7">
        <v>71</v>
      </c>
      <c r="O7">
        <v>84</v>
      </c>
      <c r="P7" s="63">
        <v>85</v>
      </c>
      <c r="Q7" s="28">
        <v>259.24</v>
      </c>
      <c r="R7" s="29">
        <f>Q7*0.93</f>
        <v>241.09320000000002</v>
      </c>
      <c r="S7" s="29">
        <v>255.43</v>
      </c>
      <c r="T7" s="28">
        <f>Q7*1.25</f>
        <v>324.05</v>
      </c>
      <c r="U7" s="28">
        <f>Q7*1.5</f>
        <v>388.86</v>
      </c>
      <c r="V7" s="28">
        <f>Q7*2</f>
        <v>518.48</v>
      </c>
      <c r="W7" s="28">
        <f>H7-(H7*0.07)</f>
        <v>252.3470530203721</v>
      </c>
      <c r="X7" s="29">
        <v>255</v>
      </c>
      <c r="Y7" s="5">
        <f>(X7-H7)/H7</f>
        <v>-6.0222827405657209E-2</v>
      </c>
      <c r="Z7" s="6">
        <f>F7/F$20</f>
        <v>0.13168537271572581</v>
      </c>
      <c r="AB7" s="58">
        <v>46051</v>
      </c>
      <c r="AC7" s="63">
        <v>96</v>
      </c>
    </row>
    <row r="8" spans="1:29" x14ac:dyDescent="0.25">
      <c r="C8" s="25"/>
      <c r="D8" s="2"/>
      <c r="E8" s="26"/>
      <c r="F8" s="3">
        <f>E8*D8</f>
        <v>0</v>
      </c>
      <c r="G8" s="3"/>
      <c r="H8" s="4" t="e">
        <f>G8/D8</f>
        <v>#DIV/0!</v>
      </c>
      <c r="I8" s="3">
        <f>F8-G8</f>
        <v>0</v>
      </c>
      <c r="J8" s="26" t="e">
        <f>E8-H8</f>
        <v>#DIV/0!</v>
      </c>
      <c r="K8" s="27"/>
      <c r="M8" s="5" t="e">
        <f>(I8/G8)</f>
        <v>#DIV/0!</v>
      </c>
      <c r="P8" s="33"/>
      <c r="Q8" s="28"/>
      <c r="R8" s="29">
        <f>Q8*0.93</f>
        <v>0</v>
      </c>
      <c r="S8" s="29"/>
      <c r="T8" s="28">
        <f>Q8*1.25</f>
        <v>0</v>
      </c>
      <c r="U8" s="28">
        <f>Q8*1.5</f>
        <v>0</v>
      </c>
      <c r="V8" s="28">
        <f>Q8*2</f>
        <v>0</v>
      </c>
      <c r="W8" s="28" t="e">
        <f>H8-(H8*0.07)</f>
        <v>#DIV/0!</v>
      </c>
      <c r="X8" s="29"/>
      <c r="Y8" s="5" t="e">
        <f>(X8-H8)/H8</f>
        <v>#DIV/0!</v>
      </c>
      <c r="Z8" s="32">
        <f>F8/F$20</f>
        <v>0</v>
      </c>
      <c r="AB8" s="58"/>
      <c r="AC8" s="9"/>
    </row>
    <row r="9" spans="1:29" x14ac:dyDescent="0.25">
      <c r="C9" s="25"/>
      <c r="D9" s="2"/>
      <c r="E9" s="26"/>
      <c r="F9" s="3">
        <f>E9*D9</f>
        <v>0</v>
      </c>
      <c r="G9" s="3"/>
      <c r="H9" s="4" t="e">
        <f>G9/D9</f>
        <v>#DIV/0!</v>
      </c>
      <c r="I9" s="3">
        <f>F9-G9</f>
        <v>0</v>
      </c>
      <c r="J9" s="26" t="e">
        <f>E9-H9</f>
        <v>#DIV/0!</v>
      </c>
      <c r="K9" s="27"/>
      <c r="M9" s="5" t="e">
        <f>(I9/G9)</f>
        <v>#DIV/0!</v>
      </c>
      <c r="P9" s="63"/>
      <c r="Q9" s="28"/>
      <c r="R9" s="29">
        <f>Q9*0.93</f>
        <v>0</v>
      </c>
      <c r="S9" s="29"/>
      <c r="T9" s="28">
        <f>Q9*1.25</f>
        <v>0</v>
      </c>
      <c r="U9" s="28">
        <f>Q9*1.5</f>
        <v>0</v>
      </c>
      <c r="V9" s="28">
        <f>Q9*2</f>
        <v>0</v>
      </c>
      <c r="W9" s="28" t="e">
        <f>H9-(H9*0.07)</f>
        <v>#DIV/0!</v>
      </c>
      <c r="X9" s="29"/>
      <c r="Y9" s="5" t="e">
        <f>(X9-H9)/H9</f>
        <v>#DIV/0!</v>
      </c>
      <c r="Z9" s="6">
        <f>F9/F$20</f>
        <v>0</v>
      </c>
      <c r="AB9" s="58"/>
      <c r="AC9" s="9"/>
    </row>
    <row r="10" spans="1:29" x14ac:dyDescent="0.25">
      <c r="C10" s="25"/>
      <c r="D10" s="2"/>
      <c r="E10" s="26"/>
      <c r="F10" s="3">
        <f>E10*D10</f>
        <v>0</v>
      </c>
      <c r="G10" s="3"/>
      <c r="H10" s="4" t="e">
        <f>G10/D10</f>
        <v>#DIV/0!</v>
      </c>
      <c r="I10" s="3">
        <f>F10-G10</f>
        <v>0</v>
      </c>
      <c r="J10" s="26" t="e">
        <f>E10-H10</f>
        <v>#DIV/0!</v>
      </c>
      <c r="K10" s="27"/>
      <c r="L10">
        <f>DAYS360(K10,$C$1)</f>
        <v>45321</v>
      </c>
      <c r="M10" s="5" t="e">
        <f>(I10/G10)</f>
        <v>#DIV/0!</v>
      </c>
      <c r="N10" s="33"/>
      <c r="P10" s="64"/>
      <c r="Q10" s="28"/>
      <c r="R10" s="29">
        <f>Q10*0.93</f>
        <v>0</v>
      </c>
      <c r="S10" s="29"/>
      <c r="T10" s="31">
        <f>Q10*1.25</f>
        <v>0</v>
      </c>
      <c r="U10" s="28">
        <f>Q10*1.5</f>
        <v>0</v>
      </c>
      <c r="V10" s="28">
        <f>Q10*2</f>
        <v>0</v>
      </c>
      <c r="W10" s="28" t="e">
        <f>H10-(H10*0.07)</f>
        <v>#DIV/0!</v>
      </c>
      <c r="X10" s="29"/>
      <c r="Y10" s="5" t="e">
        <f>(X10-H10)/H10</f>
        <v>#DIV/0!</v>
      </c>
      <c r="Z10" s="6">
        <f>F10/F$20</f>
        <v>0</v>
      </c>
      <c r="AB10" s="67"/>
      <c r="AC10" s="33"/>
    </row>
    <row r="11" spans="1:29" x14ac:dyDescent="0.25">
      <c r="C11" s="25"/>
      <c r="D11" s="2"/>
      <c r="E11" s="26"/>
      <c r="F11" s="3">
        <f>E11*D11</f>
        <v>0</v>
      </c>
      <c r="G11" s="3"/>
      <c r="H11" s="4" t="e">
        <f>G11/D11</f>
        <v>#DIV/0!</v>
      </c>
      <c r="I11" s="3">
        <f>F11-G11</f>
        <v>0</v>
      </c>
      <c r="J11" s="26" t="e">
        <f>E11-H11</f>
        <v>#DIV/0!</v>
      </c>
      <c r="K11" s="27"/>
      <c r="L11">
        <f>DAYS360(K11,$C$1)</f>
        <v>45321</v>
      </c>
      <c r="M11" s="5" t="e">
        <f>(I11/G11)</f>
        <v>#DIV/0!</v>
      </c>
      <c r="P11" s="64"/>
      <c r="Q11" s="28"/>
      <c r="R11" s="29">
        <f>Q11*0.93</f>
        <v>0</v>
      </c>
      <c r="S11" s="29"/>
      <c r="T11" s="31">
        <f>Q11*1.25</f>
        <v>0</v>
      </c>
      <c r="U11" s="28">
        <f>Q11*1.5</f>
        <v>0</v>
      </c>
      <c r="V11" s="28">
        <f>Q11*2</f>
        <v>0</v>
      </c>
      <c r="W11" s="28" t="e">
        <f>H11-(H11*0.07)</f>
        <v>#DIV/0!</v>
      </c>
      <c r="X11" s="29"/>
      <c r="Y11" s="5" t="e">
        <f>(X11-H11)/H11</f>
        <v>#DIV/0!</v>
      </c>
      <c r="Z11" s="6">
        <f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ref="F12:F17" si="0">E12*D12</f>
        <v>0</v>
      </c>
      <c r="G12" s="3"/>
      <c r="H12" s="4" t="e">
        <f t="shared" ref="H12:H17" si="1">G12/D12</f>
        <v>#DIV/0!</v>
      </c>
      <c r="I12" s="3">
        <f t="shared" ref="I12:I17" si="2">F12-G12</f>
        <v>0</v>
      </c>
      <c r="J12" s="26" t="e">
        <f t="shared" ref="J12:J17" si="3">E12-H12</f>
        <v>#DIV/0!</v>
      </c>
      <c r="K12" s="27"/>
      <c r="L12">
        <f t="shared" ref="L12:L17" si="4">DAYS360(K12,$C$1)</f>
        <v>45321</v>
      </c>
      <c r="M12" s="5" t="e">
        <f t="shared" ref="M12:M17" si="5">(I12/G12)</f>
        <v>#DIV/0!</v>
      </c>
      <c r="P12" s="63"/>
      <c r="Q12" s="28"/>
      <c r="R12" s="29">
        <f t="shared" ref="R12:R17" si="6">Q12*0.93</f>
        <v>0</v>
      </c>
      <c r="S12" s="29"/>
      <c r="T12" s="31">
        <f t="shared" ref="T12:T17" si="7">Q12*1.25</f>
        <v>0</v>
      </c>
      <c r="U12" s="28">
        <f t="shared" ref="U12:U17" si="8">Q12*1.5</f>
        <v>0</v>
      </c>
      <c r="V12" s="28">
        <f t="shared" ref="V12:V17" si="9">Q12*2</f>
        <v>0</v>
      </c>
      <c r="W12" s="28" t="e">
        <f t="shared" ref="W12:W17" si="10">H12-(H12*0.07)</f>
        <v>#DIV/0!</v>
      </c>
      <c r="X12" s="29"/>
      <c r="Y12" s="5" t="e">
        <f t="shared" ref="Y12:Y17" si="11">(X12-H12)/H12</f>
        <v>#DIV/0!</v>
      </c>
      <c r="Z12" s="6">
        <f t="shared" ref="Z12:Z17" si="12">F12/F$20</f>
        <v>0</v>
      </c>
      <c r="AB12" s="58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4"/>
        <v>45321</v>
      </c>
      <c r="M13" s="5" t="e">
        <f t="shared" si="5"/>
        <v>#DIV/0!</v>
      </c>
      <c r="P13" s="63"/>
      <c r="Q13" s="28"/>
      <c r="R13" s="29">
        <f t="shared" si="6"/>
        <v>0</v>
      </c>
      <c r="S13" s="29"/>
      <c r="T13" s="31">
        <f t="shared" si="7"/>
        <v>0</v>
      </c>
      <c r="U13" s="28">
        <f t="shared" si="8"/>
        <v>0</v>
      </c>
      <c r="V13" s="28">
        <f t="shared" si="9"/>
        <v>0</v>
      </c>
      <c r="W13" s="28" t="e">
        <f t="shared" si="10"/>
        <v>#DIV/0!</v>
      </c>
      <c r="X13" s="29"/>
      <c r="Y13" s="5" t="e">
        <f t="shared" si="11"/>
        <v>#DIV/0!</v>
      </c>
      <c r="Z13" s="32">
        <f t="shared" si="12"/>
        <v>0</v>
      </c>
      <c r="AB13" s="58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45321</v>
      </c>
      <c r="M14" s="5" t="e">
        <f t="shared" si="5"/>
        <v>#DIV/0!</v>
      </c>
      <c r="P14" s="63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8"/>
      <c r="AC14" s="9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45321</v>
      </c>
      <c r="M15" s="5" t="e">
        <f t="shared" si="5"/>
        <v>#DIV/0!</v>
      </c>
      <c r="P15" s="63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2">
        <f t="shared" si="12"/>
        <v>0</v>
      </c>
      <c r="AB15" s="58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45321</v>
      </c>
      <c r="M16" s="5" t="e">
        <f t="shared" si="5"/>
        <v>#DIV/0!</v>
      </c>
      <c r="P16" s="63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2">
        <f t="shared" si="12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0"/>
        <v>0</v>
      </c>
      <c r="G17" s="39"/>
      <c r="H17" s="40" t="e">
        <f t="shared" si="1"/>
        <v>#DIV/0!</v>
      </c>
      <c r="I17" s="39">
        <f t="shared" si="2"/>
        <v>0</v>
      </c>
      <c r="J17" s="38" t="e">
        <f t="shared" si="3"/>
        <v>#DIV/0!</v>
      </c>
      <c r="K17" s="41"/>
      <c r="L17" s="35">
        <f t="shared" si="4"/>
        <v>45321</v>
      </c>
      <c r="M17" s="42" t="e">
        <f t="shared" si="5"/>
        <v>#DIV/0!</v>
      </c>
      <c r="N17" s="35"/>
      <c r="O17" s="35"/>
      <c r="P17" s="65"/>
      <c r="Q17" s="44"/>
      <c r="R17" s="45">
        <f t="shared" si="6"/>
        <v>0</v>
      </c>
      <c r="S17" s="45"/>
      <c r="T17" s="46">
        <f t="shared" si="7"/>
        <v>0</v>
      </c>
      <c r="U17" s="44">
        <f t="shared" si="8"/>
        <v>0</v>
      </c>
      <c r="V17" s="44">
        <f t="shared" si="9"/>
        <v>0</v>
      </c>
      <c r="W17" s="44" t="e">
        <f t="shared" si="10"/>
        <v>#DIV/0!</v>
      </c>
      <c r="X17" s="45"/>
      <c r="Y17" s="42" t="e">
        <f t="shared" si="11"/>
        <v>#DIV/0!</v>
      </c>
      <c r="Z17" s="47">
        <f t="shared" si="12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80472.010905000017</v>
      </c>
      <c r="G18" s="3">
        <f>SUM(G6:G17)</f>
        <v>78305</v>
      </c>
      <c r="H18" s="4"/>
      <c r="I18" s="3">
        <f>SUM(I6:I17)</f>
        <v>2167.0109050000174</v>
      </c>
      <c r="M18" s="5"/>
      <c r="Z18" s="6"/>
    </row>
    <row r="19" spans="1:29" x14ac:dyDescent="0.25">
      <c r="D19" s="2" t="s">
        <v>44</v>
      </c>
      <c r="F19" s="3">
        <v>530621</v>
      </c>
      <c r="G19" s="6">
        <f>F19/F20</f>
        <v>0.86831462728427422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611093.01090500003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'11-21-25'!F20</f>
        <v>608977.02309699997</v>
      </c>
      <c r="K21" s="1">
        <v>45657</v>
      </c>
      <c r="L21" s="50">
        <v>170762</v>
      </c>
      <c r="M21" s="50">
        <v>211389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3.4746595154592913E-3</v>
      </c>
      <c r="K22" s="9" t="s">
        <v>123</v>
      </c>
      <c r="L22" s="6">
        <f>(M21-L21)/L21</f>
        <v>0.23791592977360301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3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3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4">F28/D28</f>
        <v>44.698790833464948</v>
      </c>
      <c r="F28" s="3">
        <v>56489.42</v>
      </c>
      <c r="G28" s="56">
        <v>75501.87</v>
      </c>
      <c r="H28" s="57">
        <f t="shared" ref="H28:H70" si="15">G28/D28</f>
        <v>59.742909285764696</v>
      </c>
      <c r="I28" s="57">
        <f t="shared" ref="I28:I70" si="16">G28-F28</f>
        <v>19012.449999999997</v>
      </c>
      <c r="J28" s="6">
        <f t="shared" ref="J28:J70" si="17">I28/F28</f>
        <v>0.33656656414599401</v>
      </c>
      <c r="K28" s="1">
        <v>45527</v>
      </c>
      <c r="L28" s="1">
        <v>45688</v>
      </c>
      <c r="M28">
        <f t="shared" si="13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4"/>
        <v>169.90901206845703</v>
      </c>
      <c r="F29" s="3">
        <f>59492.79+21969.78</f>
        <v>81462.570000000007</v>
      </c>
      <c r="G29" s="56">
        <v>65047.58</v>
      </c>
      <c r="H29" s="57">
        <f t="shared" si="15"/>
        <v>135.67175765807443</v>
      </c>
      <c r="I29" s="57">
        <f t="shared" si="16"/>
        <v>-16414.990000000005</v>
      </c>
      <c r="J29" s="6">
        <f t="shared" si="17"/>
        <v>-0.20150346349249729</v>
      </c>
      <c r="K29" s="1">
        <v>45671</v>
      </c>
      <c r="L29" s="1">
        <v>45688</v>
      </c>
      <c r="M29">
        <f t="shared" si="13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4"/>
        <v>18.702010092477405</v>
      </c>
      <c r="F30" s="3">
        <v>56486.59</v>
      </c>
      <c r="G30" s="56">
        <v>71124.88</v>
      </c>
      <c r="H30" s="57">
        <f t="shared" si="15"/>
        <v>23.548566546258936</v>
      </c>
      <c r="I30" s="57">
        <f t="shared" si="16"/>
        <v>14638.290000000008</v>
      </c>
      <c r="J30" s="6">
        <f t="shared" si="17"/>
        <v>0.25914628587068206</v>
      </c>
      <c r="K30" s="1">
        <v>45527</v>
      </c>
      <c r="L30" s="1">
        <v>45691</v>
      </c>
      <c r="M30">
        <f t="shared" si="13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4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5"/>
        <v>38.249853000000002</v>
      </c>
      <c r="I31" s="57">
        <f t="shared" si="16"/>
        <v>-6110.386336591735</v>
      </c>
      <c r="J31" s="6">
        <f t="shared" si="17"/>
        <v>-0.10005621882176895</v>
      </c>
      <c r="K31" s="1">
        <v>45706</v>
      </c>
      <c r="L31" s="1">
        <v>45708</v>
      </c>
      <c r="M31">
        <f t="shared" si="13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4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5"/>
        <v>531.63995279999995</v>
      </c>
      <c r="I32" s="57">
        <f t="shared" si="16"/>
        <v>-22176.243614196137</v>
      </c>
      <c r="J32" s="6">
        <f t="shared" si="17"/>
        <v>-0.24194911929355969</v>
      </c>
      <c r="K32" s="1">
        <v>45706</v>
      </c>
      <c r="L32" s="1">
        <v>45708</v>
      </c>
      <c r="M32">
        <f t="shared" si="13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4"/>
        <v>368.56522253629635</v>
      </c>
      <c r="F33" s="3">
        <v>74438.86</v>
      </c>
      <c r="G33" s="56">
        <f>201.9693*360.5332483</f>
        <v>72816.647785877198</v>
      </c>
      <c r="H33" s="57">
        <f t="shared" si="15"/>
        <v>360.53324830000003</v>
      </c>
      <c r="I33" s="57">
        <f t="shared" si="16"/>
        <v>-1622.2122141228028</v>
      </c>
      <c r="J33" s="6">
        <f t="shared" si="17"/>
        <v>-2.1792545105107773E-2</v>
      </c>
      <c r="K33" s="1">
        <v>45664</v>
      </c>
      <c r="L33" s="1">
        <v>45708</v>
      </c>
      <c r="M33">
        <f t="shared" si="13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4"/>
        <v>30.17825528482809</v>
      </c>
      <c r="F34" s="3">
        <v>37884.65</v>
      </c>
      <c r="G34" s="56">
        <f>1255.3625*39.762296</f>
        <v>49916.0953123</v>
      </c>
      <c r="H34" s="57">
        <f t="shared" si="15"/>
        <v>39.762295999999999</v>
      </c>
      <c r="I34" s="57">
        <f t="shared" si="16"/>
        <v>12031.445312299998</v>
      </c>
      <c r="J34" s="6">
        <f t="shared" si="17"/>
        <v>0.31758100740801348</v>
      </c>
      <c r="K34" s="1">
        <v>45663</v>
      </c>
      <c r="L34" s="1">
        <v>45709</v>
      </c>
      <c r="M34">
        <f t="shared" si="13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4"/>
        <v>242.26930551548847</v>
      </c>
      <c r="F35" s="3">
        <v>61221.72</v>
      </c>
      <c r="G35" s="56">
        <f>252.7011*226.6146532</f>
        <v>57265.772139758519</v>
      </c>
      <c r="H35" s="57">
        <f t="shared" si="15"/>
        <v>226.61465319999999</v>
      </c>
      <c r="I35" s="57">
        <f t="shared" si="16"/>
        <v>-3955.947860241482</v>
      </c>
      <c r="J35" s="6">
        <f t="shared" si="17"/>
        <v>-6.4616738311852093E-2</v>
      </c>
      <c r="K35" s="1">
        <v>45699</v>
      </c>
      <c r="L35" s="1">
        <v>45709</v>
      </c>
      <c r="M35">
        <f t="shared" si="13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4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5"/>
        <v>283.93999450000007</v>
      </c>
      <c r="I36" s="57">
        <f t="shared" si="16"/>
        <v>19563.525282954361</v>
      </c>
      <c r="J36" s="6">
        <f t="shared" si="17"/>
        <v>0.36434300703793465</v>
      </c>
      <c r="K36" s="1">
        <v>45580</v>
      </c>
      <c r="L36" s="1">
        <v>45712</v>
      </c>
      <c r="M36">
        <f t="shared" si="13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4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5"/>
        <v>63.365330900000004</v>
      </c>
      <c r="I37" s="57">
        <f t="shared" si="16"/>
        <v>-4549.5912833559851</v>
      </c>
      <c r="J37" s="6">
        <f t="shared" si="17"/>
        <v>-5.9638082078758516E-2</v>
      </c>
      <c r="K37" s="1">
        <v>45673</v>
      </c>
      <c r="L37" s="1">
        <v>45712</v>
      </c>
      <c r="M37">
        <f t="shared" si="13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5"/>
        <v>50.021380499999999</v>
      </c>
      <c r="I38" s="57">
        <f t="shared" si="16"/>
        <v>6027.2875116823998</v>
      </c>
      <c r="J38" s="6">
        <f t="shared" si="17"/>
        <v>9.9771440635884723E-2</v>
      </c>
      <c r="K38" s="1">
        <v>45593</v>
      </c>
      <c r="L38" s="1">
        <v>45713</v>
      </c>
      <c r="M38">
        <f t="shared" si="13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5"/>
        <v>12.519992000000002</v>
      </c>
      <c r="I39" s="57">
        <f t="shared" si="16"/>
        <v>-2230.6527810991975</v>
      </c>
      <c r="J39" s="6">
        <f t="shared" si="17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5"/>
        <v>94.679995300000002</v>
      </c>
      <c r="I40" s="57">
        <f t="shared" si="16"/>
        <v>-4750.690604140058</v>
      </c>
      <c r="J40" s="6">
        <f t="shared" si="17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70" si="18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5"/>
        <v>18.9477051</v>
      </c>
      <c r="I41" s="57">
        <f t="shared" si="16"/>
        <v>-2244.5195874142191</v>
      </c>
      <c r="J41" s="6">
        <f t="shared" si="17"/>
        <v>-8.2776138273503941E-2</v>
      </c>
      <c r="K41" s="1">
        <v>45761</v>
      </c>
      <c r="L41" s="1">
        <v>45768</v>
      </c>
      <c r="M41">
        <f t="shared" ref="M41:M70" si="19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8"/>
        <v>96.336406065231671</v>
      </c>
      <c r="F42" s="3">
        <v>34004.42</v>
      </c>
      <c r="G42" s="56">
        <f>352.9758*89.7849585</f>
        <v>31691.9175545043</v>
      </c>
      <c r="H42" s="57">
        <f t="shared" si="15"/>
        <v>89.784958500000002</v>
      </c>
      <c r="I42" s="57">
        <f t="shared" si="16"/>
        <v>-2312.5024454956983</v>
      </c>
      <c r="J42" s="6">
        <f t="shared" si="17"/>
        <v>-6.8005937036882222E-2</v>
      </c>
      <c r="K42" s="1">
        <v>45762</v>
      </c>
      <c r="L42" s="1">
        <v>45768</v>
      </c>
      <c r="M42">
        <f t="shared" si="19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8"/>
        <v>16.992624876012847</v>
      </c>
      <c r="F43" s="3">
        <v>37971.83</v>
      </c>
      <c r="G43" s="56">
        <f>2234.6065*13.3067232</f>
        <v>29735.2901564208</v>
      </c>
      <c r="H43" s="57">
        <f t="shared" si="15"/>
        <v>13.3067232</v>
      </c>
      <c r="I43" s="57">
        <f t="shared" si="16"/>
        <v>-8236.5398435792013</v>
      </c>
      <c r="J43" s="6">
        <f t="shared" si="17"/>
        <v>-0.21691184869360261</v>
      </c>
      <c r="K43" s="1">
        <v>45652</v>
      </c>
      <c r="L43" s="1">
        <v>45785</v>
      </c>
      <c r="M43">
        <f t="shared" si="19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8"/>
        <v>38.101812248436303</v>
      </c>
      <c r="F44" s="3">
        <v>21940.86</v>
      </c>
      <c r="G44" s="56">
        <f>575.8482*32.7857042</f>
        <v>18879.588749302438</v>
      </c>
      <c r="H44" s="57">
        <f t="shared" si="15"/>
        <v>32.785704199999998</v>
      </c>
      <c r="I44" s="57">
        <f t="shared" si="16"/>
        <v>-3061.2712506975622</v>
      </c>
      <c r="J44" s="6">
        <f t="shared" si="17"/>
        <v>-0.13952375844417958</v>
      </c>
      <c r="K44" s="1">
        <v>45761</v>
      </c>
      <c r="L44" s="1">
        <v>45790</v>
      </c>
      <c r="M44">
        <f t="shared" si="19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8"/>
        <v>24.570291674143743</v>
      </c>
      <c r="F45" s="3">
        <v>23591.34</v>
      </c>
      <c r="G45" s="56">
        <v>19396.37</v>
      </c>
      <c r="H45" s="57">
        <f t="shared" si="15"/>
        <v>20.201246233559068</v>
      </c>
      <c r="I45" s="57">
        <f t="shared" si="16"/>
        <v>-4194.9700000000012</v>
      </c>
      <c r="J45" s="6">
        <f t="shared" si="17"/>
        <v>-0.17781821634548953</v>
      </c>
      <c r="K45" s="1">
        <v>45776</v>
      </c>
      <c r="L45" s="1">
        <v>45812</v>
      </c>
      <c r="M45">
        <f t="shared" si="19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8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5"/>
        <v>84.038907800000004</v>
      </c>
      <c r="I46" s="57">
        <f t="shared" si="16"/>
        <v>-3907.8121523372101</v>
      </c>
      <c r="J46" s="6">
        <f t="shared" si="17"/>
        <v>-0.14246372001691271</v>
      </c>
      <c r="K46" s="1">
        <v>45782</v>
      </c>
      <c r="L46" s="1">
        <v>45818</v>
      </c>
      <c r="M46">
        <f t="shared" si="19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8"/>
        <v>40.437100849618155</v>
      </c>
      <c r="F47" s="3">
        <f>22877.09+14244.67</f>
        <v>37121.760000000002</v>
      </c>
      <c r="G47" s="56">
        <v>34659.56</v>
      </c>
      <c r="H47" s="57">
        <f t="shared" si="15"/>
        <v>37.755002002151599</v>
      </c>
      <c r="I47" s="57">
        <f t="shared" si="16"/>
        <v>-2462.2000000000044</v>
      </c>
      <c r="J47" s="6">
        <f t="shared" si="17"/>
        <v>-6.6327674118899643E-2</v>
      </c>
      <c r="K47" s="1">
        <v>45782</v>
      </c>
      <c r="L47" s="1">
        <v>45828</v>
      </c>
      <c r="M47">
        <f t="shared" si="19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18"/>
        <v>123.70183817297092</v>
      </c>
      <c r="F48" s="3">
        <f>22876.67+14197.82+14808.77</f>
        <v>51883.259999999995</v>
      </c>
      <c r="G48" s="56">
        <v>55156.07</v>
      </c>
      <c r="H48" s="57">
        <f t="shared" si="15"/>
        <v>131.50498340692272</v>
      </c>
      <c r="I48" s="57">
        <f t="shared" si="16"/>
        <v>3272.8100000000049</v>
      </c>
      <c r="J48" s="6">
        <f t="shared" si="17"/>
        <v>6.3080269050171583E-2</v>
      </c>
      <c r="K48" s="1">
        <v>45782</v>
      </c>
      <c r="L48" s="1">
        <v>45839</v>
      </c>
      <c r="M48">
        <f t="shared" si="19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18"/>
        <v>63.194998844628557</v>
      </c>
      <c r="F49" s="3">
        <v>36072.47</v>
      </c>
      <c r="G49" s="56">
        <v>51786.91</v>
      </c>
      <c r="H49" s="57">
        <f t="shared" si="15"/>
        <v>90.724968864535285</v>
      </c>
      <c r="I49" s="57">
        <f t="shared" si="16"/>
        <v>15714.440000000002</v>
      </c>
      <c r="J49" s="6">
        <f t="shared" si="17"/>
        <v>0.43563526423336141</v>
      </c>
      <c r="K49" s="1">
        <v>45796</v>
      </c>
      <c r="L49" s="1">
        <v>45839</v>
      </c>
      <c r="M49">
        <f t="shared" si="19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18"/>
        <v>90.254808370121239</v>
      </c>
      <c r="F50" s="3">
        <f>35895.15+19479.74</f>
        <v>55374.89</v>
      </c>
      <c r="G50" s="56">
        <v>55236.959999999999</v>
      </c>
      <c r="H50" s="57">
        <f t="shared" si="15"/>
        <v>90.029998068584007</v>
      </c>
      <c r="I50" s="57">
        <f t="shared" si="16"/>
        <v>-137.93000000000029</v>
      </c>
      <c r="J50" s="6">
        <f t="shared" si="17"/>
        <v>-2.4908401623912986E-3</v>
      </c>
      <c r="K50" s="1">
        <v>45789</v>
      </c>
      <c r="L50" s="1">
        <v>45855</v>
      </c>
      <c r="M50">
        <f t="shared" si="19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18"/>
        <v>113.05354718581073</v>
      </c>
      <c r="F51" s="3">
        <v>45409.8</v>
      </c>
      <c r="G51" s="56">
        <v>41051.0026</v>
      </c>
      <c r="H51" s="57">
        <f t="shared" si="15"/>
        <v>102.2017595202784</v>
      </c>
      <c r="I51" s="57">
        <f t="shared" si="16"/>
        <v>-4358.7974000000031</v>
      </c>
      <c r="J51" s="6">
        <f t="shared" si="17"/>
        <v>-9.5988033420098803E-2</v>
      </c>
      <c r="K51" s="1">
        <v>45855</v>
      </c>
      <c r="L51" s="1">
        <v>45860</v>
      </c>
      <c r="M51">
        <f t="shared" si="19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18"/>
        <v>17.339829156069133</v>
      </c>
      <c r="F52" s="3">
        <v>22797.23</v>
      </c>
      <c r="G52" s="56">
        <v>18655.11</v>
      </c>
      <c r="H52" s="57">
        <f t="shared" si="15"/>
        <v>14.189286167121043</v>
      </c>
      <c r="I52" s="57">
        <f t="shared" si="16"/>
        <v>-4142.119999999999</v>
      </c>
      <c r="J52" s="6">
        <f t="shared" si="17"/>
        <v>-0.18169400405224664</v>
      </c>
      <c r="K52" s="1">
        <v>45861</v>
      </c>
      <c r="L52" s="1">
        <v>45870</v>
      </c>
      <c r="M52">
        <f t="shared" si="19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18"/>
        <v>74.757798491837917</v>
      </c>
      <c r="F53" s="3">
        <f>26856.13+12527.28</f>
        <v>39383.410000000003</v>
      </c>
      <c r="G53" s="56">
        <v>67176.488400000002</v>
      </c>
      <c r="H53" s="57">
        <f t="shared" si="15"/>
        <v>127.51476784759082</v>
      </c>
      <c r="I53" s="57">
        <f t="shared" si="16"/>
        <v>27793.078399999999</v>
      </c>
      <c r="J53" s="6">
        <f t="shared" si="17"/>
        <v>0.7057052296893539</v>
      </c>
      <c r="K53" s="1">
        <v>45789</v>
      </c>
      <c r="L53" s="1">
        <v>45870</v>
      </c>
      <c r="M53">
        <f t="shared" si="19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18"/>
        <v>22.651928580010882</v>
      </c>
      <c r="F54" s="3">
        <f>18821.97+11334.33+20180.34</f>
        <v>50336.639999999999</v>
      </c>
      <c r="G54" s="56">
        <v>42713.83</v>
      </c>
      <c r="H54" s="57">
        <f t="shared" si="15"/>
        <v>19.221597360068653</v>
      </c>
      <c r="I54" s="57">
        <f t="shared" si="16"/>
        <v>-7622.8099999999977</v>
      </c>
      <c r="J54" s="6">
        <f t="shared" si="17"/>
        <v>-0.15143660760829483</v>
      </c>
      <c r="K54" s="1">
        <v>45814</v>
      </c>
      <c r="L54" s="1">
        <v>45880</v>
      </c>
      <c r="M54">
        <f t="shared" si="19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18"/>
        <v>30.926801697408081</v>
      </c>
      <c r="F55" s="3">
        <f>(605.0016*29.7738017)+17708.65</f>
        <v>35721.847666582718</v>
      </c>
      <c r="G55" s="56">
        <v>42554.27</v>
      </c>
      <c r="H55" s="57">
        <f t="shared" si="15"/>
        <v>36.842088403482109</v>
      </c>
      <c r="I55" s="57">
        <f t="shared" si="16"/>
        <v>6832.4223334172784</v>
      </c>
      <c r="J55" s="6">
        <f t="shared" si="17"/>
        <v>0.1912673274123195</v>
      </c>
      <c r="K55" s="1">
        <v>45800</v>
      </c>
      <c r="L55" s="1">
        <v>45881</v>
      </c>
      <c r="M55">
        <f t="shared" si="19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18"/>
        <v>377.42204050678822</v>
      </c>
      <c r="F56" s="3">
        <f>34962.9+15401.92</f>
        <v>50364.82</v>
      </c>
      <c r="G56" s="56">
        <v>81517.961800000005</v>
      </c>
      <c r="H56" s="57">
        <f t="shared" si="15"/>
        <v>610.87631168959638</v>
      </c>
      <c r="I56" s="57">
        <f t="shared" si="16"/>
        <v>31153.141800000005</v>
      </c>
      <c r="J56" s="6">
        <f t="shared" si="17"/>
        <v>0.61854965033132259</v>
      </c>
      <c r="K56" s="1">
        <v>45771</v>
      </c>
      <c r="L56" s="1">
        <v>45884</v>
      </c>
      <c r="M56">
        <f t="shared" si="19"/>
        <v>111</v>
      </c>
    </row>
    <row r="57" spans="1:13" x14ac:dyDescent="0.25">
      <c r="A57" t="s">
        <v>138</v>
      </c>
      <c r="B57" t="s">
        <v>30</v>
      </c>
      <c r="C57" s="25" t="s">
        <v>139</v>
      </c>
      <c r="D57" s="2">
        <v>345.54309999999998</v>
      </c>
      <c r="E57" s="57">
        <f t="shared" si="18"/>
        <v>133.9832570813887</v>
      </c>
      <c r="F57" s="3">
        <v>46296.99</v>
      </c>
      <c r="G57" s="56">
        <v>42812.79</v>
      </c>
      <c r="H57" s="57">
        <f t="shared" si="15"/>
        <v>123.89999973954046</v>
      </c>
      <c r="I57" s="57">
        <f t="shared" si="16"/>
        <v>-3484.1999999999971</v>
      </c>
      <c r="J57" s="6">
        <f t="shared" si="17"/>
        <v>-7.525759234023631E-2</v>
      </c>
      <c r="K57" s="1">
        <v>45897</v>
      </c>
      <c r="L57" s="1">
        <v>45904</v>
      </c>
      <c r="M57">
        <f t="shared" si="19"/>
        <v>6</v>
      </c>
    </row>
    <row r="58" spans="1:13" x14ac:dyDescent="0.25">
      <c r="A58" t="s">
        <v>136</v>
      </c>
      <c r="B58" t="s">
        <v>30</v>
      </c>
      <c r="C58" s="25" t="s">
        <v>137</v>
      </c>
      <c r="D58" s="2">
        <v>287.49</v>
      </c>
      <c r="E58" s="57">
        <f t="shared" si="18"/>
        <v>198.81999373891267</v>
      </c>
      <c r="F58" s="3">
        <v>57158.76</v>
      </c>
      <c r="G58" s="56">
        <v>56889.83</v>
      </c>
      <c r="H58" s="57">
        <f t="shared" si="15"/>
        <v>197.88455250617412</v>
      </c>
      <c r="I58" s="57">
        <f t="shared" si="16"/>
        <v>-268.93000000000029</v>
      </c>
      <c r="J58" s="6">
        <f t="shared" si="17"/>
        <v>-4.7049656080712784E-3</v>
      </c>
      <c r="K58" s="1">
        <v>45895</v>
      </c>
      <c r="L58" s="1">
        <v>45936</v>
      </c>
      <c r="M58">
        <f t="shared" si="19"/>
        <v>40</v>
      </c>
    </row>
    <row r="59" spans="1:13" x14ac:dyDescent="0.25">
      <c r="A59" t="s">
        <v>142</v>
      </c>
      <c r="B59" t="s">
        <v>30</v>
      </c>
      <c r="C59" s="25" t="s">
        <v>143</v>
      </c>
      <c r="D59" s="2">
        <v>502.0591</v>
      </c>
      <c r="E59" s="57">
        <f t="shared" si="18"/>
        <v>141.49505506423449</v>
      </c>
      <c r="F59" s="3">
        <v>71038.880000000005</v>
      </c>
      <c r="G59" s="56">
        <v>69446.240000000005</v>
      </c>
      <c r="H59" s="57">
        <f t="shared" si="15"/>
        <v>138.3228388849042</v>
      </c>
      <c r="I59" s="57">
        <f t="shared" si="16"/>
        <v>-1592.6399999999994</v>
      </c>
      <c r="J59" s="6">
        <f t="shared" si="17"/>
        <v>-2.2419272375915827E-2</v>
      </c>
      <c r="K59" s="1">
        <v>45909</v>
      </c>
      <c r="L59" s="1">
        <v>45944</v>
      </c>
      <c r="M59">
        <f t="shared" si="19"/>
        <v>35</v>
      </c>
    </row>
    <row r="60" spans="1:13" x14ac:dyDescent="0.25">
      <c r="A60" t="s">
        <v>69</v>
      </c>
      <c r="B60" t="s">
        <v>30</v>
      </c>
      <c r="C60" s="25" t="s">
        <v>70</v>
      </c>
      <c r="D60" s="2">
        <f>143.2704+538.7851</f>
        <v>682.05550000000005</v>
      </c>
      <c r="E60" s="57">
        <f t="shared" si="18"/>
        <v>63.85874756526411</v>
      </c>
      <c r="F60" s="3">
        <f>9149.25+34405.96</f>
        <v>43555.21</v>
      </c>
      <c r="G60" s="56">
        <f>25648.23+78191</f>
        <v>103839.23</v>
      </c>
      <c r="H60" s="57">
        <f t="shared" si="15"/>
        <v>152.2445460816605</v>
      </c>
      <c r="I60" s="57">
        <f t="shared" si="16"/>
        <v>60284.02</v>
      </c>
      <c r="J60" s="6">
        <f t="shared" si="17"/>
        <v>1.3840828686166362</v>
      </c>
      <c r="K60" s="1">
        <v>45854</v>
      </c>
      <c r="L60" s="1">
        <v>45945</v>
      </c>
      <c r="M60">
        <f t="shared" si="19"/>
        <v>89</v>
      </c>
    </row>
    <row r="61" spans="1:13" x14ac:dyDescent="0.25">
      <c r="A61" t="s">
        <v>138</v>
      </c>
      <c r="B61" t="s">
        <v>30</v>
      </c>
      <c r="C61" s="25" t="s">
        <v>139</v>
      </c>
      <c r="D61" s="2">
        <v>337.18810000000002</v>
      </c>
      <c r="E61" s="57">
        <f t="shared" si="18"/>
        <v>164.72274673987604</v>
      </c>
      <c r="F61" s="3">
        <v>55542.55</v>
      </c>
      <c r="G61" s="56">
        <v>56222.05</v>
      </c>
      <c r="H61" s="57">
        <f t="shared" si="15"/>
        <v>166.73794241255845</v>
      </c>
      <c r="I61" s="57">
        <f t="shared" si="16"/>
        <v>679.5</v>
      </c>
      <c r="J61" s="6">
        <f t="shared" si="17"/>
        <v>1.2233863947550121E-2</v>
      </c>
      <c r="K61" s="1">
        <v>45938</v>
      </c>
      <c r="L61" s="1">
        <v>45953</v>
      </c>
      <c r="M61">
        <f t="shared" si="19"/>
        <v>15</v>
      </c>
    </row>
    <row r="62" spans="1:13" x14ac:dyDescent="0.25">
      <c r="A62" t="s">
        <v>126</v>
      </c>
      <c r="B62" t="s">
        <v>30</v>
      </c>
      <c r="C62" s="25" t="s">
        <v>127</v>
      </c>
      <c r="D62" s="2">
        <f>344.4515+240</f>
        <v>584.45150000000001</v>
      </c>
      <c r="E62" s="57">
        <f t="shared" si="18"/>
        <v>92.249194330068448</v>
      </c>
      <c r="F62" s="3">
        <f>30563.18+23352</f>
        <v>53915.18</v>
      </c>
      <c r="G62" s="56">
        <v>79663.16</v>
      </c>
      <c r="H62" s="57">
        <f t="shared" si="15"/>
        <v>136.30414157547719</v>
      </c>
      <c r="I62" s="57">
        <f t="shared" si="16"/>
        <v>25747.980000000003</v>
      </c>
      <c r="J62" s="6">
        <f t="shared" si="17"/>
        <v>0.47756457457806878</v>
      </c>
      <c r="K62" s="1">
        <v>45840</v>
      </c>
      <c r="L62" s="1">
        <v>45953</v>
      </c>
      <c r="M62">
        <f t="shared" si="19"/>
        <v>111</v>
      </c>
    </row>
    <row r="63" spans="1:13" x14ac:dyDescent="0.25">
      <c r="A63" t="s">
        <v>144</v>
      </c>
      <c r="B63" t="s">
        <v>30</v>
      </c>
      <c r="C63" s="25" t="s">
        <v>145</v>
      </c>
      <c r="D63" s="2">
        <v>1679.5722000000001</v>
      </c>
      <c r="E63" s="57">
        <f t="shared" si="18"/>
        <v>33.115236129771617</v>
      </c>
      <c r="F63" s="3">
        <v>55619.43</v>
      </c>
      <c r="G63" s="56">
        <v>50133.94</v>
      </c>
      <c r="H63" s="57">
        <f t="shared" si="15"/>
        <v>29.849231846061752</v>
      </c>
      <c r="I63" s="57">
        <f t="shared" si="16"/>
        <v>-5485.489999999998</v>
      </c>
      <c r="J63" s="6">
        <f t="shared" si="17"/>
        <v>-9.8625426402248237E-2</v>
      </c>
      <c r="K63" s="1">
        <v>45954</v>
      </c>
      <c r="L63" s="1">
        <v>45965</v>
      </c>
      <c r="M63">
        <f t="shared" si="19"/>
        <v>10</v>
      </c>
    </row>
    <row r="64" spans="1:13" x14ac:dyDescent="0.25">
      <c r="A64" t="s">
        <v>128</v>
      </c>
      <c r="B64" t="s">
        <v>30</v>
      </c>
      <c r="C64" s="25" t="s">
        <v>129</v>
      </c>
      <c r="D64" s="2">
        <f>786.7766+525.5828</f>
        <v>1312.3594000000001</v>
      </c>
      <c r="E64" s="57">
        <f t="shared" si="18"/>
        <v>39.768046771334134</v>
      </c>
      <c r="F64" s="3">
        <f>30514.1+21675.87</f>
        <v>52189.97</v>
      </c>
      <c r="G64" s="56">
        <v>52911.071499999998</v>
      </c>
      <c r="H64" s="57">
        <f t="shared" si="15"/>
        <v>40.317516299269847</v>
      </c>
      <c r="I64" s="57">
        <f t="shared" si="16"/>
        <v>721.10149999999703</v>
      </c>
      <c r="J64" s="6">
        <f t="shared" si="17"/>
        <v>1.3816859829580225E-2</v>
      </c>
      <c r="K64" s="1">
        <v>45840</v>
      </c>
      <c r="L64" s="1">
        <v>45967</v>
      </c>
      <c r="M64">
        <f t="shared" si="19"/>
        <v>124</v>
      </c>
    </row>
    <row r="65" spans="1:13" x14ac:dyDescent="0.25">
      <c r="A65" t="s">
        <v>124</v>
      </c>
      <c r="B65" t="s">
        <v>30</v>
      </c>
      <c r="C65" s="25" t="s">
        <v>125</v>
      </c>
      <c r="D65" s="2">
        <f>915.359+608.2121</f>
        <v>1523.5711000000001</v>
      </c>
      <c r="E65" s="57">
        <f t="shared" si="18"/>
        <v>32.025317426932027</v>
      </c>
      <c r="F65" s="3">
        <f>28630.6+20162.2481</f>
        <v>48792.848100000003</v>
      </c>
      <c r="G65" s="56">
        <v>77936.641799999998</v>
      </c>
      <c r="H65" s="57">
        <f t="shared" si="15"/>
        <v>51.153925012098213</v>
      </c>
      <c r="I65" s="57">
        <f t="shared" si="16"/>
        <v>29143.793699999995</v>
      </c>
      <c r="J65" s="6">
        <f t="shared" si="17"/>
        <v>0.59729642426837537</v>
      </c>
      <c r="K65" s="1">
        <v>45817</v>
      </c>
      <c r="L65" s="1">
        <v>45967</v>
      </c>
      <c r="M65">
        <f t="shared" si="19"/>
        <v>147</v>
      </c>
    </row>
    <row r="66" spans="1:13" x14ac:dyDescent="0.25">
      <c r="A66" t="s">
        <v>146</v>
      </c>
      <c r="B66" t="s">
        <v>30</v>
      </c>
      <c r="C66" s="25" t="s">
        <v>147</v>
      </c>
      <c r="D66" s="2">
        <v>776.60839999999996</v>
      </c>
      <c r="E66" s="57">
        <f t="shared" si="18"/>
        <v>71.667432389348349</v>
      </c>
      <c r="F66" s="3">
        <v>55657.53</v>
      </c>
      <c r="G66" s="56">
        <v>51251.39</v>
      </c>
      <c r="H66" s="57">
        <f t="shared" si="15"/>
        <v>65.993865119151437</v>
      </c>
      <c r="I66" s="57">
        <f t="shared" si="16"/>
        <v>-4406.1399999999994</v>
      </c>
      <c r="J66" s="6">
        <f t="shared" si="17"/>
        <v>-7.9165209092103075E-2</v>
      </c>
      <c r="K66" s="1">
        <v>45957</v>
      </c>
      <c r="L66" s="1">
        <v>45968</v>
      </c>
      <c r="M66">
        <f t="shared" si="19"/>
        <v>10</v>
      </c>
    </row>
    <row r="67" spans="1:13" x14ac:dyDescent="0.25">
      <c r="A67" t="s">
        <v>148</v>
      </c>
      <c r="B67" t="s">
        <v>30</v>
      </c>
      <c r="C67" s="25" t="s">
        <v>149</v>
      </c>
      <c r="D67" s="2">
        <v>364.21120000000002</v>
      </c>
      <c r="E67" s="57">
        <f t="shared" si="18"/>
        <v>104.6290998190061</v>
      </c>
      <c r="F67" s="3">
        <v>38107.089999999997</v>
      </c>
      <c r="G67" s="56">
        <v>36324.28</v>
      </c>
      <c r="H67" s="57">
        <f t="shared" si="15"/>
        <v>99.734110318408653</v>
      </c>
      <c r="I67" s="57">
        <f t="shared" si="16"/>
        <v>-1782.8099999999977</v>
      </c>
      <c r="J67" s="6">
        <f t="shared" si="17"/>
        <v>-4.67842073482913E-2</v>
      </c>
      <c r="K67" s="1">
        <v>45968</v>
      </c>
      <c r="L67" s="1">
        <v>45975</v>
      </c>
      <c r="M67">
        <f t="shared" si="19"/>
        <v>7</v>
      </c>
    </row>
    <row r="68" spans="1:13" x14ac:dyDescent="0.25">
      <c r="A68" t="s">
        <v>134</v>
      </c>
      <c r="B68" t="s">
        <v>30</v>
      </c>
      <c r="C68" s="25" t="s">
        <v>135</v>
      </c>
      <c r="D68" s="2">
        <v>148.3219</v>
      </c>
      <c r="E68" s="57">
        <f t="shared" si="18"/>
        <v>462.8461474670969</v>
      </c>
      <c r="F68" s="3">
        <v>68650.22</v>
      </c>
      <c r="G68" s="56">
        <v>78515.009999999995</v>
      </c>
      <c r="H68" s="57">
        <f t="shared" si="15"/>
        <v>529.3554761636683</v>
      </c>
      <c r="I68" s="57">
        <f t="shared" si="16"/>
        <v>9864.7899999999936</v>
      </c>
      <c r="J68" s="6">
        <f t="shared" si="17"/>
        <v>0.14369640767356598</v>
      </c>
      <c r="K68" s="1">
        <v>45895</v>
      </c>
      <c r="L68" s="1">
        <v>45979</v>
      </c>
      <c r="M68">
        <f t="shared" si="19"/>
        <v>82</v>
      </c>
    </row>
    <row r="69" spans="1:13" x14ac:dyDescent="0.25">
      <c r="A69" t="s">
        <v>138</v>
      </c>
      <c r="B69" t="s">
        <v>30</v>
      </c>
      <c r="C69" s="25" t="s">
        <v>139</v>
      </c>
      <c r="D69" s="2">
        <v>278.13279999999997</v>
      </c>
      <c r="E69" s="57">
        <f t="shared" si="18"/>
        <v>180.33004377764865</v>
      </c>
      <c r="F69" s="3">
        <v>50155.7</v>
      </c>
      <c r="G69" s="56">
        <v>42915.85</v>
      </c>
      <c r="H69" s="57">
        <f t="shared" si="15"/>
        <v>154.29985244458763</v>
      </c>
      <c r="I69" s="57">
        <f t="shared" si="16"/>
        <v>-7239.8499999999985</v>
      </c>
      <c r="J69" s="6">
        <f t="shared" si="17"/>
        <v>-0.1443475018791483</v>
      </c>
      <c r="K69" s="1">
        <v>45981</v>
      </c>
      <c r="L69" s="1">
        <v>45982</v>
      </c>
      <c r="M69">
        <f t="shared" si="19"/>
        <v>1</v>
      </c>
    </row>
    <row r="70" spans="1:13" x14ac:dyDescent="0.25">
      <c r="A70" t="s">
        <v>140</v>
      </c>
      <c r="B70" t="s">
        <v>30</v>
      </c>
      <c r="C70" s="25" t="s">
        <v>141</v>
      </c>
      <c r="D70" s="2">
        <f>595.1582+306.9859</f>
        <v>902.14409999999998</v>
      </c>
      <c r="E70" s="57">
        <f t="shared" si="18"/>
        <v>79.475584887159386</v>
      </c>
      <c r="F70" s="3">
        <f>46827.05+24871.38</f>
        <v>71698.430000000008</v>
      </c>
      <c r="G70" s="56">
        <v>71579.09</v>
      </c>
      <c r="H70" s="57">
        <f t="shared" si="15"/>
        <v>79.343300033775094</v>
      </c>
      <c r="I70" s="57">
        <f t="shared" si="16"/>
        <v>-119.34000000001106</v>
      </c>
      <c r="J70" s="6">
        <f t="shared" si="17"/>
        <v>-1.6644715930322471E-3</v>
      </c>
      <c r="K70" s="1">
        <v>45897</v>
      </c>
      <c r="L70" s="1">
        <v>45982</v>
      </c>
      <c r="M70">
        <f t="shared" si="19"/>
        <v>83</v>
      </c>
    </row>
    <row r="71" spans="1:13" x14ac:dyDescent="0.25">
      <c r="C71" s="25"/>
      <c r="D71" s="2"/>
      <c r="E71" s="57"/>
      <c r="F71" s="3"/>
      <c r="G71" s="56"/>
      <c r="H71" s="57"/>
      <c r="I71" s="57"/>
      <c r="J71" s="6"/>
      <c r="K71" s="1"/>
      <c r="L71" s="1"/>
    </row>
    <row r="72" spans="1:13" x14ac:dyDescent="0.25">
      <c r="C72" s="25"/>
      <c r="D72" s="2"/>
      <c r="E72" s="57"/>
      <c r="F72" s="3"/>
      <c r="G72" s="56"/>
      <c r="H72" s="57"/>
      <c r="I72" s="57"/>
      <c r="J72" s="6"/>
      <c r="K72" s="1"/>
      <c r="L72" s="1"/>
    </row>
    <row r="73" spans="1:13" x14ac:dyDescent="0.25">
      <c r="C73" s="25"/>
      <c r="D73" s="2"/>
      <c r="E73" s="57"/>
      <c r="F73" s="3"/>
      <c r="G73" s="56"/>
      <c r="H73" s="57"/>
      <c r="I73" s="57"/>
      <c r="J73" s="6"/>
      <c r="K73" s="1"/>
      <c r="L73" s="1"/>
    </row>
    <row r="74" spans="1:13" x14ac:dyDescent="0.25">
      <c r="C74" s="25"/>
      <c r="D74" s="2"/>
      <c r="E74" s="57"/>
      <c r="F74" s="3"/>
      <c r="G74" s="56"/>
      <c r="H74" s="57"/>
      <c r="I74" s="57"/>
      <c r="J74" s="6"/>
      <c r="K74" s="1"/>
      <c r="L74" s="1"/>
    </row>
    <row r="75" spans="1:13" x14ac:dyDescent="0.25">
      <c r="C75" s="25"/>
      <c r="D75" s="2"/>
      <c r="E75" s="57"/>
      <c r="F75" s="3"/>
      <c r="G75" s="56"/>
      <c r="H75" s="57"/>
      <c r="I75" s="57"/>
      <c r="J75" s="6"/>
      <c r="K75" s="1"/>
      <c r="L75" s="1"/>
    </row>
    <row r="76" spans="1:13" x14ac:dyDescent="0.25">
      <c r="F76" s="56"/>
      <c r="G76" s="56"/>
      <c r="H76" s="3"/>
      <c r="I76" s="3">
        <f>SUM(I26:I64)</f>
        <v>120384.02476708277</v>
      </c>
      <c r="J76" s="13" t="s">
        <v>66</v>
      </c>
    </row>
    <row r="77" spans="1:13" x14ac:dyDescent="0.25">
      <c r="F77" s="56"/>
      <c r="G77" s="56"/>
      <c r="H77" s="3" t="s">
        <v>67</v>
      </c>
      <c r="I77" s="59">
        <v>29</v>
      </c>
      <c r="J77" s="5">
        <v>-9.5799999999999996E-2</v>
      </c>
    </row>
    <row r="78" spans="1:13" x14ac:dyDescent="0.25">
      <c r="F78" s="56"/>
      <c r="G78" s="56"/>
      <c r="H78" s="3" t="s">
        <v>68</v>
      </c>
      <c r="I78" s="59">
        <v>16</v>
      </c>
      <c r="J78" s="5">
        <v>0.37630000000000002</v>
      </c>
    </row>
    <row r="79" spans="1:13" x14ac:dyDescent="0.25">
      <c r="F79" s="56"/>
      <c r="G79" s="56"/>
      <c r="J79" s="6"/>
    </row>
    <row r="80" spans="1:13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  <c r="J86" s="6"/>
    </row>
    <row r="87" spans="6:10" x14ac:dyDescent="0.25">
      <c r="F87" s="56"/>
      <c r="G87" s="56"/>
      <c r="J87" s="6"/>
    </row>
    <row r="88" spans="6:10" x14ac:dyDescent="0.25">
      <c r="F88" s="56"/>
      <c r="G88" s="56"/>
      <c r="J88" s="6"/>
    </row>
    <row r="89" spans="6:10" x14ac:dyDescent="0.25">
      <c r="F89" s="56"/>
      <c r="G89" s="56"/>
      <c r="J89" s="6"/>
    </row>
    <row r="90" spans="6:10" x14ac:dyDescent="0.25">
      <c r="F90" s="56"/>
      <c r="G90" s="56"/>
      <c r="J90" s="6"/>
    </row>
    <row r="91" spans="6:10" x14ac:dyDescent="0.25">
      <c r="F91" s="56"/>
      <c r="G91" s="56"/>
      <c r="J91" s="6"/>
    </row>
    <row r="92" spans="6:10" x14ac:dyDescent="0.25">
      <c r="F92" s="56"/>
      <c r="G92" s="56"/>
      <c r="J92" s="6"/>
    </row>
    <row r="93" spans="6:10" x14ac:dyDescent="0.25">
      <c r="F93" s="56"/>
      <c r="G93" s="56"/>
      <c r="J93" s="6"/>
    </row>
    <row r="94" spans="6:10" x14ac:dyDescent="0.25">
      <c r="F94" s="56"/>
      <c r="G94" s="56"/>
      <c r="J94" s="6"/>
    </row>
    <row r="95" spans="6:10" x14ac:dyDescent="0.25">
      <c r="F95" s="56"/>
      <c r="G95" s="56"/>
      <c r="J95" s="6"/>
    </row>
    <row r="96" spans="6:10" x14ac:dyDescent="0.25">
      <c r="F96" s="56"/>
      <c r="G96" s="56"/>
      <c r="J96" s="6"/>
    </row>
    <row r="97" spans="6:10" x14ac:dyDescent="0.25">
      <c r="F97" s="56"/>
      <c r="G97" s="56"/>
      <c r="J97" s="6"/>
    </row>
    <row r="98" spans="6:10" x14ac:dyDescent="0.25">
      <c r="F98" s="56"/>
      <c r="G98" s="56"/>
      <c r="J98" s="6"/>
    </row>
    <row r="99" spans="6:10" x14ac:dyDescent="0.25">
      <c r="F99" s="56"/>
      <c r="G99" s="56"/>
      <c r="J99" s="6"/>
    </row>
    <row r="100" spans="6:10" x14ac:dyDescent="0.25">
      <c r="F100" s="56"/>
      <c r="G100" s="56"/>
      <c r="J100" s="6"/>
    </row>
    <row r="101" spans="6:10" x14ac:dyDescent="0.25">
      <c r="F101" s="56"/>
      <c r="G101" s="56"/>
      <c r="J101" s="6"/>
    </row>
    <row r="102" spans="6:10" x14ac:dyDescent="0.25">
      <c r="F102" s="56"/>
      <c r="G102" s="56"/>
    </row>
    <row r="103" spans="6:10" x14ac:dyDescent="0.25">
      <c r="F103" s="56"/>
      <c r="G103" s="56"/>
    </row>
    <row r="104" spans="6:10" x14ac:dyDescent="0.25">
      <c r="F104" s="56"/>
      <c r="G104" s="56"/>
    </row>
    <row r="105" spans="6:10" x14ac:dyDescent="0.25">
      <c r="F105" s="56"/>
      <c r="G105" s="56"/>
    </row>
    <row r="106" spans="6:10" x14ac:dyDescent="0.25">
      <c r="F106" s="56"/>
      <c r="G106" s="56"/>
    </row>
    <row r="107" spans="6:10" x14ac:dyDescent="0.25">
      <c r="F107" s="56"/>
      <c r="G107" s="56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1373-A3A6-430D-8CBA-6ACF601D2124}">
  <dimension ref="A1:AC10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45996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150</v>
      </c>
      <c r="B7" t="s">
        <v>30</v>
      </c>
      <c r="C7" s="25" t="s">
        <v>151</v>
      </c>
      <c r="D7" s="2">
        <v>288.58530000000002</v>
      </c>
      <c r="E7" s="26">
        <v>278.77999999999997</v>
      </c>
      <c r="F7" s="3">
        <f>E7*D7</f>
        <v>80451.80993399999</v>
      </c>
      <c r="G7" s="3">
        <v>78305</v>
      </c>
      <c r="H7" s="4">
        <f>G7/D7</f>
        <v>271.34091722620656</v>
      </c>
      <c r="I7" s="3">
        <f>F7-G7</f>
        <v>2146.8099339999899</v>
      </c>
      <c r="J7" s="26">
        <f>E7-H7</f>
        <v>7.439082773793416</v>
      </c>
      <c r="K7" s="27">
        <v>45971</v>
      </c>
      <c r="L7">
        <f>DAYS360(K7,$C$1)</f>
        <v>25</v>
      </c>
      <c r="M7" s="5">
        <f>(I7/G7)</f>
        <v>2.7416000689611007E-2</v>
      </c>
      <c r="N7">
        <v>147</v>
      </c>
      <c r="O7">
        <v>83</v>
      </c>
      <c r="P7" s="63">
        <v>84</v>
      </c>
      <c r="Q7" s="28">
        <v>259.24</v>
      </c>
      <c r="R7" s="29">
        <f>Q7*0.93</f>
        <v>241.09320000000002</v>
      </c>
      <c r="S7" s="29">
        <v>255.43</v>
      </c>
      <c r="T7" s="28">
        <f>Q7*1.25</f>
        <v>324.05</v>
      </c>
      <c r="U7" s="28">
        <f>Q7*1.5</f>
        <v>388.86</v>
      </c>
      <c r="V7" s="28">
        <f>Q7*2</f>
        <v>518.48</v>
      </c>
      <c r="W7" s="28">
        <f>H7-(H7*0.07)</f>
        <v>252.3470530203721</v>
      </c>
      <c r="X7" s="29">
        <v>255</v>
      </c>
      <c r="Y7" s="5">
        <f>(X7-H7)/H7</f>
        <v>-6.0222827405657209E-2</v>
      </c>
      <c r="Z7" s="6">
        <f>F7/F$20</f>
        <v>0.13124296618688311</v>
      </c>
      <c r="AB7" s="58">
        <v>46051</v>
      </c>
      <c r="AC7" s="63">
        <v>93</v>
      </c>
    </row>
    <row r="8" spans="1:29" x14ac:dyDescent="0.25">
      <c r="A8" t="s">
        <v>134</v>
      </c>
      <c r="B8" t="s">
        <v>30</v>
      </c>
      <c r="C8" s="25" t="s">
        <v>152</v>
      </c>
      <c r="D8" s="2">
        <v>90.343400000000003</v>
      </c>
      <c r="E8" s="26">
        <v>691.94</v>
      </c>
      <c r="F8" s="3">
        <f>E8*D8</f>
        <v>62512.212196000008</v>
      </c>
      <c r="G8" s="3">
        <v>61276.76</v>
      </c>
      <c r="H8" s="4">
        <f>G8/D8</f>
        <v>678.26493136189254</v>
      </c>
      <c r="I8" s="3">
        <f>F8-G8</f>
        <v>1235.4521960000056</v>
      </c>
      <c r="J8" s="26">
        <f>E8-H8</f>
        <v>13.675068638107518</v>
      </c>
      <c r="K8" s="27">
        <v>45995</v>
      </c>
      <c r="L8">
        <f t="shared" ref="L8:L9" si="0">DAYS360(K8,$C$1)</f>
        <v>1</v>
      </c>
      <c r="M8" s="5">
        <f>(I8/G8)</f>
        <v>2.0161839431458283E-2</v>
      </c>
      <c r="N8">
        <v>71</v>
      </c>
      <c r="O8">
        <v>95</v>
      </c>
      <c r="P8" s="33">
        <v>80</v>
      </c>
      <c r="Q8" s="28">
        <v>675</v>
      </c>
      <c r="R8" s="29">
        <f>Q8*0.93</f>
        <v>627.75</v>
      </c>
      <c r="S8" s="29">
        <v>489.3</v>
      </c>
      <c r="T8" s="28">
        <f>Q8*1.25</f>
        <v>843.75</v>
      </c>
      <c r="U8" s="28">
        <f>Q8*1.5</f>
        <v>1012.5</v>
      </c>
      <c r="V8" s="28">
        <f>Q8*2</f>
        <v>1350</v>
      </c>
      <c r="W8" s="28">
        <f>H8-(H8*0.07)</f>
        <v>630.78638616656008</v>
      </c>
      <c r="X8" s="29">
        <v>630</v>
      </c>
      <c r="Y8" s="5">
        <f>(X8-H8)/H8</f>
        <v>-7.1159408558807646E-2</v>
      </c>
      <c r="Z8" s="32">
        <f>F8/F$20</f>
        <v>0.10197767033752775</v>
      </c>
      <c r="AB8" s="58">
        <v>46071</v>
      </c>
      <c r="AC8" s="9">
        <v>98</v>
      </c>
    </row>
    <row r="9" spans="1:29" x14ac:dyDescent="0.25">
      <c r="C9" s="25"/>
      <c r="D9" s="2"/>
      <c r="E9" s="26"/>
      <c r="F9" s="3">
        <f>E9*D9</f>
        <v>0</v>
      </c>
      <c r="G9" s="3"/>
      <c r="H9" s="4" t="e">
        <f>G9/D9</f>
        <v>#DIV/0!</v>
      </c>
      <c r="I9" s="3">
        <f>F9-G9</f>
        <v>0</v>
      </c>
      <c r="J9" s="26" t="e">
        <f>E9-H9</f>
        <v>#DIV/0!</v>
      </c>
      <c r="K9" s="27"/>
      <c r="L9">
        <f t="shared" si="0"/>
        <v>45335</v>
      </c>
      <c r="M9" s="5" t="e">
        <f>(I9/G9)</f>
        <v>#DIV/0!</v>
      </c>
      <c r="P9" s="63"/>
      <c r="Q9" s="28"/>
      <c r="R9" s="29">
        <f>Q9*0.93</f>
        <v>0</v>
      </c>
      <c r="S9" s="29"/>
      <c r="T9" s="28">
        <f>Q9*1.25</f>
        <v>0</v>
      </c>
      <c r="U9" s="28">
        <f>Q9*1.5</f>
        <v>0</v>
      </c>
      <c r="V9" s="28">
        <f>Q9*2</f>
        <v>0</v>
      </c>
      <c r="W9" s="28" t="e">
        <f>H9-(H9*0.07)</f>
        <v>#DIV/0!</v>
      </c>
      <c r="X9" s="29"/>
      <c r="Y9" s="5" t="e">
        <f>(X9-H9)/H9</f>
        <v>#DIV/0!</v>
      </c>
      <c r="Z9" s="6">
        <f>F9/F$20</f>
        <v>0</v>
      </c>
      <c r="AB9" s="58"/>
      <c r="AC9" s="9"/>
    </row>
    <row r="10" spans="1:29" x14ac:dyDescent="0.25">
      <c r="C10" s="25"/>
      <c r="D10" s="2"/>
      <c r="E10" s="26"/>
      <c r="F10" s="3">
        <f>E10*D10</f>
        <v>0</v>
      </c>
      <c r="G10" s="3"/>
      <c r="H10" s="4" t="e">
        <f>G10/D10</f>
        <v>#DIV/0!</v>
      </c>
      <c r="I10" s="3">
        <f>F10-G10</f>
        <v>0</v>
      </c>
      <c r="J10" s="26" t="e">
        <f>E10-H10</f>
        <v>#DIV/0!</v>
      </c>
      <c r="K10" s="27"/>
      <c r="L10">
        <f>DAYS360(K10,$C$1)</f>
        <v>45335</v>
      </c>
      <c r="M10" s="5" t="e">
        <f>(I10/G10)</f>
        <v>#DIV/0!</v>
      </c>
      <c r="N10" s="33"/>
      <c r="P10" s="64"/>
      <c r="Q10" s="28"/>
      <c r="R10" s="29">
        <f>Q10*0.93</f>
        <v>0</v>
      </c>
      <c r="S10" s="29"/>
      <c r="T10" s="31">
        <f>Q10*1.25</f>
        <v>0</v>
      </c>
      <c r="U10" s="28">
        <f>Q10*1.5</f>
        <v>0</v>
      </c>
      <c r="V10" s="28">
        <f>Q10*2</f>
        <v>0</v>
      </c>
      <c r="W10" s="28" t="e">
        <f>H10-(H10*0.07)</f>
        <v>#DIV/0!</v>
      </c>
      <c r="X10" s="29"/>
      <c r="Y10" s="5" t="e">
        <f>(X10-H10)/H10</f>
        <v>#DIV/0!</v>
      </c>
      <c r="Z10" s="6">
        <f>F10/F$20</f>
        <v>0</v>
      </c>
      <c r="AB10" s="67"/>
      <c r="AC10" s="33"/>
    </row>
    <row r="11" spans="1:29" x14ac:dyDescent="0.25">
      <c r="C11" s="25"/>
      <c r="D11" s="2"/>
      <c r="E11" s="26"/>
      <c r="F11" s="3">
        <f>E11*D11</f>
        <v>0</v>
      </c>
      <c r="G11" s="3"/>
      <c r="H11" s="4" t="e">
        <f>G11/D11</f>
        <v>#DIV/0!</v>
      </c>
      <c r="I11" s="3">
        <f>F11-G11</f>
        <v>0</v>
      </c>
      <c r="J11" s="26" t="e">
        <f>E11-H11</f>
        <v>#DIV/0!</v>
      </c>
      <c r="K11" s="27"/>
      <c r="L11">
        <f>DAYS360(K11,$C$1)</f>
        <v>45335</v>
      </c>
      <c r="M11" s="5" t="e">
        <f>(I11/G11)</f>
        <v>#DIV/0!</v>
      </c>
      <c r="P11" s="64"/>
      <c r="Q11" s="28"/>
      <c r="R11" s="29">
        <f>Q11*0.93</f>
        <v>0</v>
      </c>
      <c r="S11" s="29"/>
      <c r="T11" s="31">
        <f>Q11*1.25</f>
        <v>0</v>
      </c>
      <c r="U11" s="28">
        <f>Q11*1.5</f>
        <v>0</v>
      </c>
      <c r="V11" s="28">
        <f>Q11*2</f>
        <v>0</v>
      </c>
      <c r="W11" s="28" t="e">
        <f>H11-(H11*0.07)</f>
        <v>#DIV/0!</v>
      </c>
      <c r="X11" s="29"/>
      <c r="Y11" s="5" t="e">
        <f>(X11-H11)/H11</f>
        <v>#DIV/0!</v>
      </c>
      <c r="Z11" s="6">
        <f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ref="F12:F17" si="1">E12*D12</f>
        <v>0</v>
      </c>
      <c r="G12" s="3"/>
      <c r="H12" s="4" t="e">
        <f t="shared" ref="H12:H17" si="2">G12/D12</f>
        <v>#DIV/0!</v>
      </c>
      <c r="I12" s="3">
        <f t="shared" ref="I12:I17" si="3">F12-G12</f>
        <v>0</v>
      </c>
      <c r="J12" s="26" t="e">
        <f t="shared" ref="J12:J17" si="4">E12-H12</f>
        <v>#DIV/0!</v>
      </c>
      <c r="K12" s="27"/>
      <c r="L12">
        <f t="shared" ref="L12:L17" si="5">DAYS360(K12,$C$1)</f>
        <v>45335</v>
      </c>
      <c r="M12" s="5" t="e">
        <f t="shared" ref="M12:M17" si="6">(I12/G12)</f>
        <v>#DIV/0!</v>
      </c>
      <c r="P12" s="63"/>
      <c r="Q12" s="28"/>
      <c r="R12" s="29">
        <f t="shared" ref="R12:R17" si="7">Q12*0.93</f>
        <v>0</v>
      </c>
      <c r="S12" s="29"/>
      <c r="T12" s="31">
        <f t="shared" ref="T12:T17" si="8">Q12*1.25</f>
        <v>0</v>
      </c>
      <c r="U12" s="28">
        <f t="shared" ref="U12:U17" si="9">Q12*1.5</f>
        <v>0</v>
      </c>
      <c r="V12" s="28">
        <f t="shared" ref="V12:V17" si="10">Q12*2</f>
        <v>0</v>
      </c>
      <c r="W12" s="28" t="e">
        <f t="shared" ref="W12:W17" si="11">H12-(H12*0.07)</f>
        <v>#DIV/0!</v>
      </c>
      <c r="X12" s="29"/>
      <c r="Y12" s="5" t="e">
        <f t="shared" ref="Y12:Y17" si="12">(X12-H12)/H12</f>
        <v>#DIV/0!</v>
      </c>
      <c r="Z12" s="6">
        <f t="shared" ref="Z12:Z17" si="13">F12/F$20</f>
        <v>0</v>
      </c>
      <c r="AB12" s="58"/>
      <c r="AC12" s="9"/>
    </row>
    <row r="13" spans="1:29" x14ac:dyDescent="0.25">
      <c r="C13" s="25"/>
      <c r="D13" s="2"/>
      <c r="E13" s="26"/>
      <c r="F13" s="3">
        <f t="shared" si="1"/>
        <v>0</v>
      </c>
      <c r="G13" s="3"/>
      <c r="H13" s="4" t="e">
        <f t="shared" si="2"/>
        <v>#DIV/0!</v>
      </c>
      <c r="I13" s="3">
        <f t="shared" si="3"/>
        <v>0</v>
      </c>
      <c r="J13" s="26" t="e">
        <f t="shared" si="4"/>
        <v>#DIV/0!</v>
      </c>
      <c r="K13" s="27"/>
      <c r="L13">
        <f t="shared" si="5"/>
        <v>45335</v>
      </c>
      <c r="M13" s="5" t="e">
        <f t="shared" si="6"/>
        <v>#DIV/0!</v>
      </c>
      <c r="P13" s="63"/>
      <c r="Q13" s="28"/>
      <c r="R13" s="29">
        <f t="shared" si="7"/>
        <v>0</v>
      </c>
      <c r="S13" s="29"/>
      <c r="T13" s="31">
        <f t="shared" si="8"/>
        <v>0</v>
      </c>
      <c r="U13" s="28">
        <f t="shared" si="9"/>
        <v>0</v>
      </c>
      <c r="V13" s="28">
        <f t="shared" si="10"/>
        <v>0</v>
      </c>
      <c r="W13" s="28" t="e">
        <f t="shared" si="11"/>
        <v>#DIV/0!</v>
      </c>
      <c r="X13" s="29"/>
      <c r="Y13" s="5" t="e">
        <f t="shared" si="12"/>
        <v>#DIV/0!</v>
      </c>
      <c r="Z13" s="32">
        <f t="shared" si="13"/>
        <v>0</v>
      </c>
      <c r="AB13" s="58"/>
      <c r="AC13" s="9"/>
    </row>
    <row r="14" spans="1:29" x14ac:dyDescent="0.25">
      <c r="C14" s="25"/>
      <c r="D14" s="2"/>
      <c r="E14" s="26"/>
      <c r="F14" s="3">
        <f t="shared" si="1"/>
        <v>0</v>
      </c>
      <c r="G14" s="3"/>
      <c r="H14" s="4" t="e">
        <f t="shared" si="2"/>
        <v>#DIV/0!</v>
      </c>
      <c r="I14" s="3">
        <f t="shared" si="3"/>
        <v>0</v>
      </c>
      <c r="J14" s="26" t="e">
        <f t="shared" si="4"/>
        <v>#DIV/0!</v>
      </c>
      <c r="K14" s="27"/>
      <c r="L14">
        <f t="shared" si="5"/>
        <v>45335</v>
      </c>
      <c r="M14" s="5" t="e">
        <f t="shared" si="6"/>
        <v>#DIV/0!</v>
      </c>
      <c r="P14" s="63"/>
      <c r="Q14" s="28"/>
      <c r="R14" s="29">
        <f t="shared" si="7"/>
        <v>0</v>
      </c>
      <c r="S14" s="29"/>
      <c r="T14" s="28">
        <f t="shared" si="8"/>
        <v>0</v>
      </c>
      <c r="U14" s="28">
        <f t="shared" si="9"/>
        <v>0</v>
      </c>
      <c r="V14" s="28">
        <f t="shared" si="10"/>
        <v>0</v>
      </c>
      <c r="W14" s="28" t="e">
        <f t="shared" si="11"/>
        <v>#DIV/0!</v>
      </c>
      <c r="X14" s="29"/>
      <c r="Y14" s="5" t="e">
        <f t="shared" si="12"/>
        <v>#DIV/0!</v>
      </c>
      <c r="Z14" s="6">
        <f t="shared" si="13"/>
        <v>0</v>
      </c>
      <c r="AB14" s="58"/>
      <c r="AC14" s="9"/>
    </row>
    <row r="15" spans="1:29" x14ac:dyDescent="0.25">
      <c r="C15" s="25"/>
      <c r="D15" s="2"/>
      <c r="E15" s="26"/>
      <c r="F15" s="3">
        <f t="shared" si="1"/>
        <v>0</v>
      </c>
      <c r="G15" s="3"/>
      <c r="H15" s="4" t="e">
        <f t="shared" si="2"/>
        <v>#DIV/0!</v>
      </c>
      <c r="I15" s="3">
        <f t="shared" si="3"/>
        <v>0</v>
      </c>
      <c r="J15" s="26" t="e">
        <f t="shared" si="4"/>
        <v>#DIV/0!</v>
      </c>
      <c r="K15" s="27"/>
      <c r="L15">
        <f t="shared" si="5"/>
        <v>45335</v>
      </c>
      <c r="M15" s="5" t="e">
        <f t="shared" si="6"/>
        <v>#DIV/0!</v>
      </c>
      <c r="P15" s="63"/>
      <c r="Q15" s="28"/>
      <c r="R15" s="29">
        <f t="shared" si="7"/>
        <v>0</v>
      </c>
      <c r="S15" s="29"/>
      <c r="T15" s="28">
        <f t="shared" si="8"/>
        <v>0</v>
      </c>
      <c r="U15" s="28">
        <f t="shared" si="9"/>
        <v>0</v>
      </c>
      <c r="V15" s="28">
        <f t="shared" si="10"/>
        <v>0</v>
      </c>
      <c r="W15" s="28" t="e">
        <f t="shared" si="11"/>
        <v>#DIV/0!</v>
      </c>
      <c r="X15" s="29"/>
      <c r="Y15" s="5" t="e">
        <f t="shared" si="12"/>
        <v>#DIV/0!</v>
      </c>
      <c r="Z15" s="32">
        <f t="shared" si="13"/>
        <v>0</v>
      </c>
      <c r="AB15" s="58"/>
      <c r="AC15" s="9"/>
    </row>
    <row r="16" spans="1:29" x14ac:dyDescent="0.25">
      <c r="C16" s="25"/>
      <c r="D16" s="2"/>
      <c r="E16" s="26"/>
      <c r="F16" s="3">
        <f t="shared" si="1"/>
        <v>0</v>
      </c>
      <c r="G16" s="3"/>
      <c r="H16" s="4" t="e">
        <f t="shared" si="2"/>
        <v>#DIV/0!</v>
      </c>
      <c r="I16" s="3">
        <f t="shared" si="3"/>
        <v>0</v>
      </c>
      <c r="J16" s="26" t="e">
        <f t="shared" si="4"/>
        <v>#DIV/0!</v>
      </c>
      <c r="K16" s="27"/>
      <c r="L16">
        <f t="shared" si="5"/>
        <v>45335</v>
      </c>
      <c r="M16" s="5" t="e">
        <f t="shared" si="6"/>
        <v>#DIV/0!</v>
      </c>
      <c r="P16" s="63"/>
      <c r="Q16" s="28"/>
      <c r="R16" s="29">
        <f t="shared" si="7"/>
        <v>0</v>
      </c>
      <c r="S16" s="29"/>
      <c r="T16" s="28">
        <f t="shared" si="8"/>
        <v>0</v>
      </c>
      <c r="U16" s="28">
        <f t="shared" si="9"/>
        <v>0</v>
      </c>
      <c r="V16" s="28">
        <f t="shared" si="10"/>
        <v>0</v>
      </c>
      <c r="W16" s="28" t="e">
        <f t="shared" si="11"/>
        <v>#DIV/0!</v>
      </c>
      <c r="X16" s="29"/>
      <c r="Y16" s="5" t="e">
        <f t="shared" si="12"/>
        <v>#DIV/0!</v>
      </c>
      <c r="Z16" s="32">
        <f t="shared" si="13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"/>
        <v>0</v>
      </c>
      <c r="G17" s="39"/>
      <c r="H17" s="40" t="e">
        <f t="shared" si="2"/>
        <v>#DIV/0!</v>
      </c>
      <c r="I17" s="39">
        <f t="shared" si="3"/>
        <v>0</v>
      </c>
      <c r="J17" s="38" t="e">
        <f t="shared" si="4"/>
        <v>#DIV/0!</v>
      </c>
      <c r="K17" s="41"/>
      <c r="L17" s="35">
        <f t="shared" si="5"/>
        <v>45335</v>
      </c>
      <c r="M17" s="42" t="e">
        <f t="shared" si="6"/>
        <v>#DIV/0!</v>
      </c>
      <c r="N17" s="35"/>
      <c r="O17" s="35"/>
      <c r="P17" s="65"/>
      <c r="Q17" s="44"/>
      <c r="R17" s="45">
        <f t="shared" si="7"/>
        <v>0</v>
      </c>
      <c r="S17" s="45"/>
      <c r="T17" s="46">
        <f t="shared" si="8"/>
        <v>0</v>
      </c>
      <c r="U17" s="44">
        <f t="shared" si="9"/>
        <v>0</v>
      </c>
      <c r="V17" s="44">
        <f t="shared" si="10"/>
        <v>0</v>
      </c>
      <c r="W17" s="44" t="e">
        <f t="shared" si="11"/>
        <v>#DIV/0!</v>
      </c>
      <c r="X17" s="45"/>
      <c r="Y17" s="42" t="e">
        <f t="shared" si="12"/>
        <v>#DIV/0!</v>
      </c>
      <c r="Z17" s="47">
        <f t="shared" si="13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142964.02213</v>
      </c>
      <c r="G18" s="3">
        <f>SUM(G6:G17)</f>
        <v>139581.76000000001</v>
      </c>
      <c r="H18" s="4"/>
      <c r="I18" s="3">
        <f>SUM(I6:I17)</f>
        <v>3382.2621299999955</v>
      </c>
      <c r="M18" s="5"/>
      <c r="Z18" s="6"/>
    </row>
    <row r="19" spans="1:29" x14ac:dyDescent="0.25">
      <c r="D19" s="2" t="s">
        <v>44</v>
      </c>
      <c r="F19" s="3">
        <v>470035</v>
      </c>
      <c r="G19" s="6">
        <f>F19/F20</f>
        <v>0.76677936347558928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612999.02212999994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'11-28-25'!F20</f>
        <v>611093.01090500003</v>
      </c>
      <c r="K21" s="1">
        <v>45657</v>
      </c>
      <c r="L21" s="50">
        <v>170762</v>
      </c>
      <c r="M21" s="50">
        <v>212292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3.1190198398394287E-3</v>
      </c>
      <c r="K22" s="9" t="s">
        <v>123</v>
      </c>
      <c r="L22" s="6">
        <f>(M21-L21)/L21</f>
        <v>0.24320399152036168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4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4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5">F28/D28</f>
        <v>44.698790833464948</v>
      </c>
      <c r="F28" s="3">
        <v>56489.42</v>
      </c>
      <c r="G28" s="56">
        <v>75501.87</v>
      </c>
      <c r="H28" s="57">
        <f t="shared" ref="H28:H70" si="16">G28/D28</f>
        <v>59.742909285764696</v>
      </c>
      <c r="I28" s="57">
        <f t="shared" ref="I28:I70" si="17">G28-F28</f>
        <v>19012.449999999997</v>
      </c>
      <c r="J28" s="6">
        <f t="shared" ref="J28:J70" si="18">I28/F28</f>
        <v>0.33656656414599401</v>
      </c>
      <c r="K28" s="1">
        <v>45527</v>
      </c>
      <c r="L28" s="1">
        <v>45688</v>
      </c>
      <c r="M28">
        <f t="shared" si="14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5"/>
        <v>169.90901206845703</v>
      </c>
      <c r="F29" s="3">
        <f>59492.79+21969.78</f>
        <v>81462.570000000007</v>
      </c>
      <c r="G29" s="56">
        <v>65047.58</v>
      </c>
      <c r="H29" s="57">
        <f t="shared" si="16"/>
        <v>135.67175765807443</v>
      </c>
      <c r="I29" s="57">
        <f t="shared" si="17"/>
        <v>-16414.990000000005</v>
      </c>
      <c r="J29" s="6">
        <f t="shared" si="18"/>
        <v>-0.20150346349249729</v>
      </c>
      <c r="K29" s="1">
        <v>45671</v>
      </c>
      <c r="L29" s="1">
        <v>45688</v>
      </c>
      <c r="M29">
        <f t="shared" si="14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5"/>
        <v>18.702010092477405</v>
      </c>
      <c r="F30" s="3">
        <v>56486.59</v>
      </c>
      <c r="G30" s="56">
        <v>71124.88</v>
      </c>
      <c r="H30" s="57">
        <f t="shared" si="16"/>
        <v>23.548566546258936</v>
      </c>
      <c r="I30" s="57">
        <f t="shared" si="17"/>
        <v>14638.290000000008</v>
      </c>
      <c r="J30" s="6">
        <f t="shared" si="18"/>
        <v>0.25914628587068206</v>
      </c>
      <c r="K30" s="1">
        <v>45527</v>
      </c>
      <c r="L30" s="1">
        <v>45691</v>
      </c>
      <c r="M30">
        <f t="shared" si="14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5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6"/>
        <v>38.249853000000002</v>
      </c>
      <c r="I31" s="57">
        <f t="shared" si="17"/>
        <v>-6110.386336591735</v>
      </c>
      <c r="J31" s="6">
        <f t="shared" si="18"/>
        <v>-0.10005621882176895</v>
      </c>
      <c r="K31" s="1">
        <v>45706</v>
      </c>
      <c r="L31" s="1">
        <v>45708</v>
      </c>
      <c r="M31">
        <f t="shared" si="14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5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6"/>
        <v>531.63995279999995</v>
      </c>
      <c r="I32" s="57">
        <f t="shared" si="17"/>
        <v>-22176.243614196137</v>
      </c>
      <c r="J32" s="6">
        <f t="shared" si="18"/>
        <v>-0.24194911929355969</v>
      </c>
      <c r="K32" s="1">
        <v>45706</v>
      </c>
      <c r="L32" s="1">
        <v>45708</v>
      </c>
      <c r="M32">
        <f t="shared" si="14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5"/>
        <v>368.56522253629635</v>
      </c>
      <c r="F33" s="3">
        <v>74438.86</v>
      </c>
      <c r="G33" s="56">
        <f>201.9693*360.5332483</f>
        <v>72816.647785877198</v>
      </c>
      <c r="H33" s="57">
        <f t="shared" si="16"/>
        <v>360.53324830000003</v>
      </c>
      <c r="I33" s="57">
        <f t="shared" si="17"/>
        <v>-1622.2122141228028</v>
      </c>
      <c r="J33" s="6">
        <f t="shared" si="18"/>
        <v>-2.1792545105107773E-2</v>
      </c>
      <c r="K33" s="1">
        <v>45664</v>
      </c>
      <c r="L33" s="1">
        <v>45708</v>
      </c>
      <c r="M33">
        <f t="shared" si="14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5"/>
        <v>30.17825528482809</v>
      </c>
      <c r="F34" s="3">
        <v>37884.65</v>
      </c>
      <c r="G34" s="56">
        <f>1255.3625*39.762296</f>
        <v>49916.0953123</v>
      </c>
      <c r="H34" s="57">
        <f t="shared" si="16"/>
        <v>39.762295999999999</v>
      </c>
      <c r="I34" s="57">
        <f t="shared" si="17"/>
        <v>12031.445312299998</v>
      </c>
      <c r="J34" s="6">
        <f t="shared" si="18"/>
        <v>0.31758100740801348</v>
      </c>
      <c r="K34" s="1">
        <v>45663</v>
      </c>
      <c r="L34" s="1">
        <v>45709</v>
      </c>
      <c r="M34">
        <f t="shared" si="14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5"/>
        <v>242.26930551548847</v>
      </c>
      <c r="F35" s="3">
        <v>61221.72</v>
      </c>
      <c r="G35" s="56">
        <f>252.7011*226.6146532</f>
        <v>57265.772139758519</v>
      </c>
      <c r="H35" s="57">
        <f t="shared" si="16"/>
        <v>226.61465319999999</v>
      </c>
      <c r="I35" s="57">
        <f t="shared" si="17"/>
        <v>-3955.947860241482</v>
      </c>
      <c r="J35" s="6">
        <f t="shared" si="18"/>
        <v>-6.4616738311852093E-2</v>
      </c>
      <c r="K35" s="1">
        <v>45699</v>
      </c>
      <c r="L35" s="1">
        <v>45709</v>
      </c>
      <c r="M35">
        <f t="shared" si="14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5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6"/>
        <v>283.93999450000007</v>
      </c>
      <c r="I36" s="57">
        <f t="shared" si="17"/>
        <v>19563.525282954361</v>
      </c>
      <c r="J36" s="6">
        <f t="shared" si="18"/>
        <v>0.36434300703793465</v>
      </c>
      <c r="K36" s="1">
        <v>45580</v>
      </c>
      <c r="L36" s="1">
        <v>45712</v>
      </c>
      <c r="M36">
        <f t="shared" si="14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5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6"/>
        <v>63.365330900000004</v>
      </c>
      <c r="I37" s="57">
        <f t="shared" si="17"/>
        <v>-4549.5912833559851</v>
      </c>
      <c r="J37" s="6">
        <f t="shared" si="18"/>
        <v>-5.9638082078758516E-2</v>
      </c>
      <c r="K37" s="1">
        <v>45673</v>
      </c>
      <c r="L37" s="1">
        <v>45712</v>
      </c>
      <c r="M37">
        <f t="shared" si="14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6"/>
        <v>50.021380499999999</v>
      </c>
      <c r="I38" s="57">
        <f t="shared" si="17"/>
        <v>6027.2875116823998</v>
      </c>
      <c r="J38" s="6">
        <f t="shared" si="18"/>
        <v>9.9771440635884723E-2</v>
      </c>
      <c r="K38" s="1">
        <v>45593</v>
      </c>
      <c r="L38" s="1">
        <v>45713</v>
      </c>
      <c r="M38">
        <f t="shared" si="14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6"/>
        <v>12.519992000000002</v>
      </c>
      <c r="I39" s="57">
        <f t="shared" si="17"/>
        <v>-2230.6527810991975</v>
      </c>
      <c r="J39" s="6">
        <f t="shared" si="18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6"/>
        <v>94.679995300000002</v>
      </c>
      <c r="I40" s="57">
        <f t="shared" si="17"/>
        <v>-4750.690604140058</v>
      </c>
      <c r="J40" s="6">
        <f t="shared" si="18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70" si="19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6"/>
        <v>18.9477051</v>
      </c>
      <c r="I41" s="57">
        <f t="shared" si="17"/>
        <v>-2244.5195874142191</v>
      </c>
      <c r="J41" s="6">
        <f t="shared" si="18"/>
        <v>-8.2776138273503941E-2</v>
      </c>
      <c r="K41" s="1">
        <v>45761</v>
      </c>
      <c r="L41" s="1">
        <v>45768</v>
      </c>
      <c r="M41">
        <f t="shared" ref="M41:M70" si="20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9"/>
        <v>96.336406065231671</v>
      </c>
      <c r="F42" s="3">
        <v>34004.42</v>
      </c>
      <c r="G42" s="56">
        <f>352.9758*89.7849585</f>
        <v>31691.9175545043</v>
      </c>
      <c r="H42" s="57">
        <f t="shared" si="16"/>
        <v>89.784958500000002</v>
      </c>
      <c r="I42" s="57">
        <f t="shared" si="17"/>
        <v>-2312.5024454956983</v>
      </c>
      <c r="J42" s="6">
        <f t="shared" si="18"/>
        <v>-6.8005937036882222E-2</v>
      </c>
      <c r="K42" s="1">
        <v>45762</v>
      </c>
      <c r="L42" s="1">
        <v>45768</v>
      </c>
      <c r="M42">
        <f t="shared" si="20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9"/>
        <v>16.992624876012847</v>
      </c>
      <c r="F43" s="3">
        <v>37971.83</v>
      </c>
      <c r="G43" s="56">
        <f>2234.6065*13.3067232</f>
        <v>29735.2901564208</v>
      </c>
      <c r="H43" s="57">
        <f t="shared" si="16"/>
        <v>13.3067232</v>
      </c>
      <c r="I43" s="57">
        <f t="shared" si="17"/>
        <v>-8236.5398435792013</v>
      </c>
      <c r="J43" s="6">
        <f t="shared" si="18"/>
        <v>-0.21691184869360261</v>
      </c>
      <c r="K43" s="1">
        <v>45652</v>
      </c>
      <c r="L43" s="1">
        <v>45785</v>
      </c>
      <c r="M43">
        <f t="shared" si="20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9"/>
        <v>38.101812248436303</v>
      </c>
      <c r="F44" s="3">
        <v>21940.86</v>
      </c>
      <c r="G44" s="56">
        <f>575.8482*32.7857042</f>
        <v>18879.588749302438</v>
      </c>
      <c r="H44" s="57">
        <f t="shared" si="16"/>
        <v>32.785704199999998</v>
      </c>
      <c r="I44" s="57">
        <f t="shared" si="17"/>
        <v>-3061.2712506975622</v>
      </c>
      <c r="J44" s="6">
        <f t="shared" si="18"/>
        <v>-0.13952375844417958</v>
      </c>
      <c r="K44" s="1">
        <v>45761</v>
      </c>
      <c r="L44" s="1">
        <v>45790</v>
      </c>
      <c r="M44">
        <f t="shared" si="20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9"/>
        <v>24.570291674143743</v>
      </c>
      <c r="F45" s="3">
        <v>23591.34</v>
      </c>
      <c r="G45" s="56">
        <v>19396.37</v>
      </c>
      <c r="H45" s="57">
        <f t="shared" si="16"/>
        <v>20.201246233559068</v>
      </c>
      <c r="I45" s="57">
        <f t="shared" si="17"/>
        <v>-4194.9700000000012</v>
      </c>
      <c r="J45" s="6">
        <f t="shared" si="18"/>
        <v>-0.17781821634548953</v>
      </c>
      <c r="K45" s="1">
        <v>45776</v>
      </c>
      <c r="L45" s="1">
        <v>45812</v>
      </c>
      <c r="M45">
        <f t="shared" si="20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9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6"/>
        <v>84.038907800000004</v>
      </c>
      <c r="I46" s="57">
        <f t="shared" si="17"/>
        <v>-3907.8121523372101</v>
      </c>
      <c r="J46" s="6">
        <f t="shared" si="18"/>
        <v>-0.14246372001691271</v>
      </c>
      <c r="K46" s="1">
        <v>45782</v>
      </c>
      <c r="L46" s="1">
        <v>45818</v>
      </c>
      <c r="M46">
        <f t="shared" si="20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9"/>
        <v>40.437100849618155</v>
      </c>
      <c r="F47" s="3">
        <f>22877.09+14244.67</f>
        <v>37121.760000000002</v>
      </c>
      <c r="G47" s="56">
        <v>34659.56</v>
      </c>
      <c r="H47" s="57">
        <f t="shared" si="16"/>
        <v>37.755002002151599</v>
      </c>
      <c r="I47" s="57">
        <f t="shared" si="17"/>
        <v>-2462.2000000000044</v>
      </c>
      <c r="J47" s="6">
        <f t="shared" si="18"/>
        <v>-6.6327674118899643E-2</v>
      </c>
      <c r="K47" s="1">
        <v>45782</v>
      </c>
      <c r="L47" s="1">
        <v>45828</v>
      </c>
      <c r="M47">
        <f t="shared" si="20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19"/>
        <v>123.70183817297092</v>
      </c>
      <c r="F48" s="3">
        <f>22876.67+14197.82+14808.77</f>
        <v>51883.259999999995</v>
      </c>
      <c r="G48" s="56">
        <v>55156.07</v>
      </c>
      <c r="H48" s="57">
        <f t="shared" si="16"/>
        <v>131.50498340692272</v>
      </c>
      <c r="I48" s="57">
        <f t="shared" si="17"/>
        <v>3272.8100000000049</v>
      </c>
      <c r="J48" s="6">
        <f t="shared" si="18"/>
        <v>6.3080269050171583E-2</v>
      </c>
      <c r="K48" s="1">
        <v>45782</v>
      </c>
      <c r="L48" s="1">
        <v>45839</v>
      </c>
      <c r="M48">
        <f t="shared" si="20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19"/>
        <v>63.194998844628557</v>
      </c>
      <c r="F49" s="3">
        <v>36072.47</v>
      </c>
      <c r="G49" s="56">
        <v>51786.91</v>
      </c>
      <c r="H49" s="57">
        <f t="shared" si="16"/>
        <v>90.724968864535285</v>
      </c>
      <c r="I49" s="57">
        <f t="shared" si="17"/>
        <v>15714.440000000002</v>
      </c>
      <c r="J49" s="6">
        <f t="shared" si="18"/>
        <v>0.43563526423336141</v>
      </c>
      <c r="K49" s="1">
        <v>45796</v>
      </c>
      <c r="L49" s="1">
        <v>45839</v>
      </c>
      <c r="M49">
        <f t="shared" si="20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19"/>
        <v>90.254808370121239</v>
      </c>
      <c r="F50" s="3">
        <f>35895.15+19479.74</f>
        <v>55374.89</v>
      </c>
      <c r="G50" s="56">
        <v>55236.959999999999</v>
      </c>
      <c r="H50" s="57">
        <f t="shared" si="16"/>
        <v>90.029998068584007</v>
      </c>
      <c r="I50" s="57">
        <f t="shared" si="17"/>
        <v>-137.93000000000029</v>
      </c>
      <c r="J50" s="6">
        <f t="shared" si="18"/>
        <v>-2.4908401623912986E-3</v>
      </c>
      <c r="K50" s="1">
        <v>45789</v>
      </c>
      <c r="L50" s="1">
        <v>45855</v>
      </c>
      <c r="M50">
        <f t="shared" si="20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19"/>
        <v>113.05354718581073</v>
      </c>
      <c r="F51" s="3">
        <v>45409.8</v>
      </c>
      <c r="G51" s="56">
        <v>41051.0026</v>
      </c>
      <c r="H51" s="57">
        <f t="shared" si="16"/>
        <v>102.2017595202784</v>
      </c>
      <c r="I51" s="57">
        <f t="shared" si="17"/>
        <v>-4358.7974000000031</v>
      </c>
      <c r="J51" s="6">
        <f t="shared" si="18"/>
        <v>-9.5988033420098803E-2</v>
      </c>
      <c r="K51" s="1">
        <v>45855</v>
      </c>
      <c r="L51" s="1">
        <v>45860</v>
      </c>
      <c r="M51">
        <f t="shared" si="20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19"/>
        <v>17.339829156069133</v>
      </c>
      <c r="F52" s="3">
        <v>22797.23</v>
      </c>
      <c r="G52" s="56">
        <v>18655.11</v>
      </c>
      <c r="H52" s="57">
        <f t="shared" si="16"/>
        <v>14.189286167121043</v>
      </c>
      <c r="I52" s="57">
        <f t="shared" si="17"/>
        <v>-4142.119999999999</v>
      </c>
      <c r="J52" s="6">
        <f t="shared" si="18"/>
        <v>-0.18169400405224664</v>
      </c>
      <c r="K52" s="1">
        <v>45861</v>
      </c>
      <c r="L52" s="1">
        <v>45870</v>
      </c>
      <c r="M52">
        <f t="shared" si="20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19"/>
        <v>74.757798491837917</v>
      </c>
      <c r="F53" s="3">
        <f>26856.13+12527.28</f>
        <v>39383.410000000003</v>
      </c>
      <c r="G53" s="56">
        <v>67176.488400000002</v>
      </c>
      <c r="H53" s="57">
        <f t="shared" si="16"/>
        <v>127.51476784759082</v>
      </c>
      <c r="I53" s="57">
        <f t="shared" si="17"/>
        <v>27793.078399999999</v>
      </c>
      <c r="J53" s="6">
        <f t="shared" si="18"/>
        <v>0.7057052296893539</v>
      </c>
      <c r="K53" s="1">
        <v>45789</v>
      </c>
      <c r="L53" s="1">
        <v>45870</v>
      </c>
      <c r="M53">
        <f t="shared" si="20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19"/>
        <v>22.651928580010882</v>
      </c>
      <c r="F54" s="3">
        <f>18821.97+11334.33+20180.34</f>
        <v>50336.639999999999</v>
      </c>
      <c r="G54" s="56">
        <v>42713.83</v>
      </c>
      <c r="H54" s="57">
        <f t="shared" si="16"/>
        <v>19.221597360068653</v>
      </c>
      <c r="I54" s="57">
        <f t="shared" si="17"/>
        <v>-7622.8099999999977</v>
      </c>
      <c r="J54" s="6">
        <f t="shared" si="18"/>
        <v>-0.15143660760829483</v>
      </c>
      <c r="K54" s="1">
        <v>45814</v>
      </c>
      <c r="L54" s="1">
        <v>45880</v>
      </c>
      <c r="M54">
        <f t="shared" si="20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19"/>
        <v>30.926801697408081</v>
      </c>
      <c r="F55" s="3">
        <f>(605.0016*29.7738017)+17708.65</f>
        <v>35721.847666582718</v>
      </c>
      <c r="G55" s="56">
        <v>42554.27</v>
      </c>
      <c r="H55" s="57">
        <f t="shared" si="16"/>
        <v>36.842088403482109</v>
      </c>
      <c r="I55" s="57">
        <f t="shared" si="17"/>
        <v>6832.4223334172784</v>
      </c>
      <c r="J55" s="6">
        <f t="shared" si="18"/>
        <v>0.1912673274123195</v>
      </c>
      <c r="K55" s="1">
        <v>45800</v>
      </c>
      <c r="L55" s="1">
        <v>45881</v>
      </c>
      <c r="M55">
        <f t="shared" si="20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19"/>
        <v>377.42204050678822</v>
      </c>
      <c r="F56" s="3">
        <f>34962.9+15401.92</f>
        <v>50364.82</v>
      </c>
      <c r="G56" s="56">
        <v>81517.961800000005</v>
      </c>
      <c r="H56" s="57">
        <f t="shared" si="16"/>
        <v>610.87631168959638</v>
      </c>
      <c r="I56" s="57">
        <f t="shared" si="17"/>
        <v>31153.141800000005</v>
      </c>
      <c r="J56" s="6">
        <f t="shared" si="18"/>
        <v>0.61854965033132259</v>
      </c>
      <c r="K56" s="1">
        <v>45771</v>
      </c>
      <c r="L56" s="1">
        <v>45884</v>
      </c>
      <c r="M56">
        <f t="shared" si="20"/>
        <v>111</v>
      </c>
    </row>
    <row r="57" spans="1:13" x14ac:dyDescent="0.25">
      <c r="A57" t="s">
        <v>138</v>
      </c>
      <c r="B57" t="s">
        <v>30</v>
      </c>
      <c r="C57" s="25" t="s">
        <v>139</v>
      </c>
      <c r="D57" s="2">
        <v>345.54309999999998</v>
      </c>
      <c r="E57" s="57">
        <f t="shared" si="19"/>
        <v>133.9832570813887</v>
      </c>
      <c r="F57" s="3">
        <v>46296.99</v>
      </c>
      <c r="G57" s="56">
        <v>42812.79</v>
      </c>
      <c r="H57" s="57">
        <f t="shared" si="16"/>
        <v>123.89999973954046</v>
      </c>
      <c r="I57" s="57">
        <f t="shared" si="17"/>
        <v>-3484.1999999999971</v>
      </c>
      <c r="J57" s="6">
        <f t="shared" si="18"/>
        <v>-7.525759234023631E-2</v>
      </c>
      <c r="K57" s="1">
        <v>45897</v>
      </c>
      <c r="L57" s="1">
        <v>45904</v>
      </c>
      <c r="M57">
        <f t="shared" si="20"/>
        <v>6</v>
      </c>
    </row>
    <row r="58" spans="1:13" x14ac:dyDescent="0.25">
      <c r="A58" t="s">
        <v>136</v>
      </c>
      <c r="B58" t="s">
        <v>30</v>
      </c>
      <c r="C58" s="25" t="s">
        <v>137</v>
      </c>
      <c r="D58" s="2">
        <v>287.49</v>
      </c>
      <c r="E58" s="57">
        <f t="shared" si="19"/>
        <v>198.81999373891267</v>
      </c>
      <c r="F58" s="3">
        <v>57158.76</v>
      </c>
      <c r="G58" s="56">
        <v>56889.83</v>
      </c>
      <c r="H58" s="57">
        <f t="shared" si="16"/>
        <v>197.88455250617412</v>
      </c>
      <c r="I58" s="57">
        <f t="shared" si="17"/>
        <v>-268.93000000000029</v>
      </c>
      <c r="J58" s="6">
        <f t="shared" si="18"/>
        <v>-4.7049656080712784E-3</v>
      </c>
      <c r="K58" s="1">
        <v>45895</v>
      </c>
      <c r="L58" s="1">
        <v>45936</v>
      </c>
      <c r="M58">
        <f t="shared" si="20"/>
        <v>40</v>
      </c>
    </row>
    <row r="59" spans="1:13" x14ac:dyDescent="0.25">
      <c r="A59" t="s">
        <v>142</v>
      </c>
      <c r="B59" t="s">
        <v>30</v>
      </c>
      <c r="C59" s="25" t="s">
        <v>143</v>
      </c>
      <c r="D59" s="2">
        <v>502.0591</v>
      </c>
      <c r="E59" s="57">
        <f t="shared" si="19"/>
        <v>141.49505506423449</v>
      </c>
      <c r="F59" s="3">
        <v>71038.880000000005</v>
      </c>
      <c r="G59" s="56">
        <v>69446.240000000005</v>
      </c>
      <c r="H59" s="57">
        <f t="shared" si="16"/>
        <v>138.3228388849042</v>
      </c>
      <c r="I59" s="57">
        <f t="shared" si="17"/>
        <v>-1592.6399999999994</v>
      </c>
      <c r="J59" s="6">
        <f t="shared" si="18"/>
        <v>-2.2419272375915827E-2</v>
      </c>
      <c r="K59" s="1">
        <v>45909</v>
      </c>
      <c r="L59" s="1">
        <v>45944</v>
      </c>
      <c r="M59">
        <f t="shared" si="20"/>
        <v>35</v>
      </c>
    </row>
    <row r="60" spans="1:13" x14ac:dyDescent="0.25">
      <c r="A60" t="s">
        <v>69</v>
      </c>
      <c r="B60" t="s">
        <v>30</v>
      </c>
      <c r="C60" s="25" t="s">
        <v>70</v>
      </c>
      <c r="D60" s="2">
        <f>143.2704+538.7851</f>
        <v>682.05550000000005</v>
      </c>
      <c r="E60" s="57">
        <f t="shared" si="19"/>
        <v>63.85874756526411</v>
      </c>
      <c r="F60" s="3">
        <f>9149.25+34405.96</f>
        <v>43555.21</v>
      </c>
      <c r="G60" s="56">
        <f>25648.23+78191</f>
        <v>103839.23</v>
      </c>
      <c r="H60" s="57">
        <f t="shared" si="16"/>
        <v>152.2445460816605</v>
      </c>
      <c r="I60" s="57">
        <f t="shared" si="17"/>
        <v>60284.02</v>
      </c>
      <c r="J60" s="6">
        <f t="shared" si="18"/>
        <v>1.3840828686166362</v>
      </c>
      <c r="K60" s="1">
        <v>45854</v>
      </c>
      <c r="L60" s="1">
        <v>45945</v>
      </c>
      <c r="M60">
        <f t="shared" si="20"/>
        <v>89</v>
      </c>
    </row>
    <row r="61" spans="1:13" x14ac:dyDescent="0.25">
      <c r="A61" t="s">
        <v>138</v>
      </c>
      <c r="B61" t="s">
        <v>30</v>
      </c>
      <c r="C61" s="25" t="s">
        <v>139</v>
      </c>
      <c r="D61" s="2">
        <v>337.18810000000002</v>
      </c>
      <c r="E61" s="57">
        <f t="shared" si="19"/>
        <v>164.72274673987604</v>
      </c>
      <c r="F61" s="3">
        <v>55542.55</v>
      </c>
      <c r="G61" s="56">
        <v>56222.05</v>
      </c>
      <c r="H61" s="57">
        <f t="shared" si="16"/>
        <v>166.73794241255845</v>
      </c>
      <c r="I61" s="57">
        <f t="shared" si="17"/>
        <v>679.5</v>
      </c>
      <c r="J61" s="6">
        <f t="shared" si="18"/>
        <v>1.2233863947550121E-2</v>
      </c>
      <c r="K61" s="1">
        <v>45938</v>
      </c>
      <c r="L61" s="1">
        <v>45953</v>
      </c>
      <c r="M61">
        <f t="shared" si="20"/>
        <v>15</v>
      </c>
    </row>
    <row r="62" spans="1:13" x14ac:dyDescent="0.25">
      <c r="A62" t="s">
        <v>126</v>
      </c>
      <c r="B62" t="s">
        <v>30</v>
      </c>
      <c r="C62" s="25" t="s">
        <v>127</v>
      </c>
      <c r="D62" s="2">
        <f>344.4515+240</f>
        <v>584.45150000000001</v>
      </c>
      <c r="E62" s="57">
        <f t="shared" si="19"/>
        <v>92.249194330068448</v>
      </c>
      <c r="F62" s="3">
        <f>30563.18+23352</f>
        <v>53915.18</v>
      </c>
      <c r="G62" s="56">
        <v>79663.16</v>
      </c>
      <c r="H62" s="57">
        <f t="shared" si="16"/>
        <v>136.30414157547719</v>
      </c>
      <c r="I62" s="57">
        <f t="shared" si="17"/>
        <v>25747.980000000003</v>
      </c>
      <c r="J62" s="6">
        <f t="shared" si="18"/>
        <v>0.47756457457806878</v>
      </c>
      <c r="K62" s="1">
        <v>45840</v>
      </c>
      <c r="L62" s="1">
        <v>45953</v>
      </c>
      <c r="M62">
        <f t="shared" si="20"/>
        <v>111</v>
      </c>
    </row>
    <row r="63" spans="1:13" x14ac:dyDescent="0.25">
      <c r="A63" t="s">
        <v>144</v>
      </c>
      <c r="B63" t="s">
        <v>30</v>
      </c>
      <c r="C63" s="25" t="s">
        <v>145</v>
      </c>
      <c r="D63" s="2">
        <v>1679.5722000000001</v>
      </c>
      <c r="E63" s="57">
        <f t="shared" si="19"/>
        <v>33.115236129771617</v>
      </c>
      <c r="F63" s="3">
        <v>55619.43</v>
      </c>
      <c r="G63" s="56">
        <v>50133.94</v>
      </c>
      <c r="H63" s="57">
        <f t="shared" si="16"/>
        <v>29.849231846061752</v>
      </c>
      <c r="I63" s="57">
        <f t="shared" si="17"/>
        <v>-5485.489999999998</v>
      </c>
      <c r="J63" s="6">
        <f t="shared" si="18"/>
        <v>-9.8625426402248237E-2</v>
      </c>
      <c r="K63" s="1">
        <v>45954</v>
      </c>
      <c r="L63" s="1">
        <v>45965</v>
      </c>
      <c r="M63">
        <f t="shared" si="20"/>
        <v>10</v>
      </c>
    </row>
    <row r="64" spans="1:13" x14ac:dyDescent="0.25">
      <c r="A64" t="s">
        <v>128</v>
      </c>
      <c r="B64" t="s">
        <v>30</v>
      </c>
      <c r="C64" s="25" t="s">
        <v>129</v>
      </c>
      <c r="D64" s="2">
        <f>786.7766+525.5828</f>
        <v>1312.3594000000001</v>
      </c>
      <c r="E64" s="57">
        <f t="shared" si="19"/>
        <v>39.768046771334134</v>
      </c>
      <c r="F64" s="3">
        <f>30514.1+21675.87</f>
        <v>52189.97</v>
      </c>
      <c r="G64" s="56">
        <v>52911.071499999998</v>
      </c>
      <c r="H64" s="57">
        <f t="shared" si="16"/>
        <v>40.317516299269847</v>
      </c>
      <c r="I64" s="57">
        <f t="shared" si="17"/>
        <v>721.10149999999703</v>
      </c>
      <c r="J64" s="6">
        <f t="shared" si="18"/>
        <v>1.3816859829580225E-2</v>
      </c>
      <c r="K64" s="1">
        <v>45840</v>
      </c>
      <c r="L64" s="1">
        <v>45967</v>
      </c>
      <c r="M64">
        <f t="shared" si="20"/>
        <v>124</v>
      </c>
    </row>
    <row r="65" spans="1:13" x14ac:dyDescent="0.25">
      <c r="A65" t="s">
        <v>124</v>
      </c>
      <c r="B65" t="s">
        <v>30</v>
      </c>
      <c r="C65" s="25" t="s">
        <v>125</v>
      </c>
      <c r="D65" s="2">
        <f>915.359+608.2121</f>
        <v>1523.5711000000001</v>
      </c>
      <c r="E65" s="57">
        <f t="shared" si="19"/>
        <v>32.025317426932027</v>
      </c>
      <c r="F65" s="3">
        <f>28630.6+20162.2481</f>
        <v>48792.848100000003</v>
      </c>
      <c r="G65" s="56">
        <v>77936.641799999998</v>
      </c>
      <c r="H65" s="57">
        <f t="shared" si="16"/>
        <v>51.153925012098213</v>
      </c>
      <c r="I65" s="57">
        <f t="shared" si="17"/>
        <v>29143.793699999995</v>
      </c>
      <c r="J65" s="6">
        <f t="shared" si="18"/>
        <v>0.59729642426837537</v>
      </c>
      <c r="K65" s="1">
        <v>45817</v>
      </c>
      <c r="L65" s="1">
        <v>45967</v>
      </c>
      <c r="M65">
        <f t="shared" si="20"/>
        <v>147</v>
      </c>
    </row>
    <row r="66" spans="1:13" x14ac:dyDescent="0.25">
      <c r="A66" t="s">
        <v>146</v>
      </c>
      <c r="B66" t="s">
        <v>30</v>
      </c>
      <c r="C66" s="25" t="s">
        <v>147</v>
      </c>
      <c r="D66" s="2">
        <v>776.60839999999996</v>
      </c>
      <c r="E66" s="57">
        <f t="shared" si="19"/>
        <v>71.667432389348349</v>
      </c>
      <c r="F66" s="3">
        <v>55657.53</v>
      </c>
      <c r="G66" s="56">
        <v>51251.39</v>
      </c>
      <c r="H66" s="57">
        <f t="shared" si="16"/>
        <v>65.993865119151437</v>
      </c>
      <c r="I66" s="57">
        <f t="shared" si="17"/>
        <v>-4406.1399999999994</v>
      </c>
      <c r="J66" s="6">
        <f t="shared" si="18"/>
        <v>-7.9165209092103075E-2</v>
      </c>
      <c r="K66" s="1">
        <v>45957</v>
      </c>
      <c r="L66" s="1">
        <v>45968</v>
      </c>
      <c r="M66">
        <f t="shared" si="20"/>
        <v>10</v>
      </c>
    </row>
    <row r="67" spans="1:13" x14ac:dyDescent="0.25">
      <c r="A67" t="s">
        <v>148</v>
      </c>
      <c r="B67" t="s">
        <v>30</v>
      </c>
      <c r="C67" s="25" t="s">
        <v>149</v>
      </c>
      <c r="D67" s="2">
        <v>364.21120000000002</v>
      </c>
      <c r="E67" s="57">
        <f t="shared" si="19"/>
        <v>104.6290998190061</v>
      </c>
      <c r="F67" s="3">
        <v>38107.089999999997</v>
      </c>
      <c r="G67" s="56">
        <v>36324.28</v>
      </c>
      <c r="H67" s="57">
        <f t="shared" si="16"/>
        <v>99.734110318408653</v>
      </c>
      <c r="I67" s="57">
        <f t="shared" si="17"/>
        <v>-1782.8099999999977</v>
      </c>
      <c r="J67" s="6">
        <f t="shared" si="18"/>
        <v>-4.67842073482913E-2</v>
      </c>
      <c r="K67" s="1">
        <v>45968</v>
      </c>
      <c r="L67" s="1">
        <v>45975</v>
      </c>
      <c r="M67">
        <f t="shared" si="20"/>
        <v>7</v>
      </c>
    </row>
    <row r="68" spans="1:13" x14ac:dyDescent="0.25">
      <c r="A68" t="s">
        <v>134</v>
      </c>
      <c r="B68" t="s">
        <v>30</v>
      </c>
      <c r="C68" s="25" t="s">
        <v>135</v>
      </c>
      <c r="D68" s="2">
        <v>148.3219</v>
      </c>
      <c r="E68" s="57">
        <f t="shared" si="19"/>
        <v>462.8461474670969</v>
      </c>
      <c r="F68" s="3">
        <v>68650.22</v>
      </c>
      <c r="G68" s="56">
        <v>78515.009999999995</v>
      </c>
      <c r="H68" s="57">
        <f t="shared" si="16"/>
        <v>529.3554761636683</v>
      </c>
      <c r="I68" s="57">
        <f t="shared" si="17"/>
        <v>9864.7899999999936</v>
      </c>
      <c r="J68" s="6">
        <f t="shared" si="18"/>
        <v>0.14369640767356598</v>
      </c>
      <c r="K68" s="1">
        <v>45895</v>
      </c>
      <c r="L68" s="1">
        <v>45979</v>
      </c>
      <c r="M68">
        <f t="shared" si="20"/>
        <v>82</v>
      </c>
    </row>
    <row r="69" spans="1:13" x14ac:dyDescent="0.25">
      <c r="A69" t="s">
        <v>138</v>
      </c>
      <c r="B69" t="s">
        <v>30</v>
      </c>
      <c r="C69" s="25" t="s">
        <v>139</v>
      </c>
      <c r="D69" s="2">
        <v>278.13279999999997</v>
      </c>
      <c r="E69" s="57">
        <f t="shared" si="19"/>
        <v>180.33004377764865</v>
      </c>
      <c r="F69" s="3">
        <v>50155.7</v>
      </c>
      <c r="G69" s="56">
        <v>42915.85</v>
      </c>
      <c r="H69" s="57">
        <f t="shared" si="16"/>
        <v>154.29985244458763</v>
      </c>
      <c r="I69" s="57">
        <f t="shared" si="17"/>
        <v>-7239.8499999999985</v>
      </c>
      <c r="J69" s="6">
        <f t="shared" si="18"/>
        <v>-0.1443475018791483</v>
      </c>
      <c r="K69" s="1">
        <v>45981</v>
      </c>
      <c r="L69" s="1">
        <v>45982</v>
      </c>
      <c r="M69">
        <f t="shared" si="20"/>
        <v>1</v>
      </c>
    </row>
    <row r="70" spans="1:13" x14ac:dyDescent="0.25">
      <c r="A70" t="s">
        <v>140</v>
      </c>
      <c r="B70" t="s">
        <v>30</v>
      </c>
      <c r="C70" s="25" t="s">
        <v>141</v>
      </c>
      <c r="D70" s="2">
        <f>595.1582+306.9859</f>
        <v>902.14409999999998</v>
      </c>
      <c r="E70" s="57">
        <f t="shared" si="19"/>
        <v>79.475584887159386</v>
      </c>
      <c r="F70" s="3">
        <f>46827.05+24871.38</f>
        <v>71698.430000000008</v>
      </c>
      <c r="G70" s="56">
        <v>71579.09</v>
      </c>
      <c r="H70" s="57">
        <f t="shared" si="16"/>
        <v>79.343300033775094</v>
      </c>
      <c r="I70" s="57">
        <f t="shared" si="17"/>
        <v>-119.34000000001106</v>
      </c>
      <c r="J70" s="6">
        <f t="shared" si="18"/>
        <v>-1.6644715930322471E-3</v>
      </c>
      <c r="K70" s="1">
        <v>45897</v>
      </c>
      <c r="L70" s="1">
        <v>45982</v>
      </c>
      <c r="M70">
        <f t="shared" si="20"/>
        <v>83</v>
      </c>
    </row>
    <row r="71" spans="1:13" x14ac:dyDescent="0.25">
      <c r="C71" s="25"/>
      <c r="D71" s="2"/>
      <c r="E71" s="57"/>
      <c r="F71" s="3"/>
      <c r="G71" s="56"/>
      <c r="H71" s="57"/>
      <c r="I71" s="57"/>
      <c r="J71" s="6"/>
      <c r="K71" s="1"/>
      <c r="L71" s="1"/>
    </row>
    <row r="72" spans="1:13" x14ac:dyDescent="0.25">
      <c r="C72" s="25"/>
      <c r="D72" s="2"/>
      <c r="E72" s="57"/>
      <c r="F72" s="3"/>
      <c r="G72" s="56"/>
      <c r="H72" s="57"/>
      <c r="I72" s="57"/>
      <c r="J72" s="6"/>
      <c r="K72" s="1"/>
      <c r="L72" s="1"/>
    </row>
    <row r="73" spans="1:13" x14ac:dyDescent="0.25">
      <c r="C73" s="25"/>
      <c r="D73" s="2"/>
      <c r="E73" s="57"/>
      <c r="F73" s="3"/>
      <c r="G73" s="56"/>
      <c r="H73" s="57"/>
      <c r="I73" s="57"/>
      <c r="J73" s="6"/>
      <c r="K73" s="1"/>
      <c r="L73" s="1"/>
    </row>
    <row r="74" spans="1:13" x14ac:dyDescent="0.25">
      <c r="C74" s="25"/>
      <c r="D74" s="2"/>
      <c r="E74" s="57"/>
      <c r="F74" s="3"/>
      <c r="G74" s="56"/>
      <c r="H74" s="57"/>
      <c r="I74" s="57"/>
      <c r="J74" s="6"/>
      <c r="K74" s="1"/>
      <c r="L74" s="1"/>
    </row>
    <row r="75" spans="1:13" x14ac:dyDescent="0.25">
      <c r="C75" s="25"/>
      <c r="D75" s="2"/>
      <c r="E75" s="57"/>
      <c r="F75" s="3"/>
      <c r="G75" s="56"/>
      <c r="H75" s="57"/>
      <c r="I75" s="57"/>
      <c r="J75" s="6"/>
      <c r="K75" s="1"/>
      <c r="L75" s="1"/>
    </row>
    <row r="76" spans="1:13" x14ac:dyDescent="0.25">
      <c r="F76" s="56"/>
      <c r="G76" s="56"/>
      <c r="H76" s="3"/>
      <c r="I76" s="3">
        <f>SUM(I26:I64)</f>
        <v>120384.02476708277</v>
      </c>
      <c r="J76" s="13" t="s">
        <v>66</v>
      </c>
    </row>
    <row r="77" spans="1:13" x14ac:dyDescent="0.25">
      <c r="F77" s="56"/>
      <c r="G77" s="56"/>
      <c r="H77" s="3" t="s">
        <v>67</v>
      </c>
      <c r="I77" s="59">
        <v>29</v>
      </c>
      <c r="J77" s="5">
        <v>-9.5799999999999996E-2</v>
      </c>
    </row>
    <row r="78" spans="1:13" x14ac:dyDescent="0.25">
      <c r="F78" s="56"/>
      <c r="G78" s="56"/>
      <c r="H78" s="3" t="s">
        <v>68</v>
      </c>
      <c r="I78" s="59">
        <v>16</v>
      </c>
      <c r="J78" s="5">
        <v>0.37630000000000002</v>
      </c>
    </row>
    <row r="79" spans="1:13" x14ac:dyDescent="0.25">
      <c r="F79" s="56"/>
      <c r="G79" s="56"/>
      <c r="J79" s="6"/>
    </row>
    <row r="80" spans="1:13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  <c r="J86" s="6"/>
    </row>
    <row r="87" spans="6:10" x14ac:dyDescent="0.25">
      <c r="F87" s="56"/>
      <c r="G87" s="56"/>
      <c r="J87" s="6"/>
    </row>
    <row r="88" spans="6:10" x14ac:dyDescent="0.25">
      <c r="F88" s="56"/>
      <c r="G88" s="56"/>
      <c r="J88" s="6"/>
    </row>
    <row r="89" spans="6:10" x14ac:dyDescent="0.25">
      <c r="F89" s="56"/>
      <c r="G89" s="56"/>
      <c r="J89" s="6"/>
    </row>
    <row r="90" spans="6:10" x14ac:dyDescent="0.25">
      <c r="F90" s="56"/>
      <c r="G90" s="56"/>
      <c r="J90" s="6"/>
    </row>
    <row r="91" spans="6:10" x14ac:dyDescent="0.25">
      <c r="F91" s="56"/>
      <c r="G91" s="56"/>
      <c r="J91" s="6"/>
    </row>
    <row r="92" spans="6:10" x14ac:dyDescent="0.25">
      <c r="F92" s="56"/>
      <c r="G92" s="56"/>
      <c r="J92" s="6"/>
    </row>
    <row r="93" spans="6:10" x14ac:dyDescent="0.25">
      <c r="F93" s="56"/>
      <c r="G93" s="56"/>
      <c r="J93" s="6"/>
    </row>
    <row r="94" spans="6:10" x14ac:dyDescent="0.25">
      <c r="F94" s="56"/>
      <c r="G94" s="56"/>
      <c r="J94" s="6"/>
    </row>
    <row r="95" spans="6:10" x14ac:dyDescent="0.25">
      <c r="F95" s="56"/>
      <c r="G95" s="56"/>
      <c r="J95" s="6"/>
    </row>
    <row r="96" spans="6:10" x14ac:dyDescent="0.25">
      <c r="F96" s="56"/>
      <c r="G96" s="56"/>
      <c r="J96" s="6"/>
    </row>
    <row r="97" spans="6:10" x14ac:dyDescent="0.25">
      <c r="F97" s="56"/>
      <c r="G97" s="56"/>
      <c r="J97" s="6"/>
    </row>
    <row r="98" spans="6:10" x14ac:dyDescent="0.25">
      <c r="F98" s="56"/>
      <c r="G98" s="56"/>
      <c r="J98" s="6"/>
    </row>
    <row r="99" spans="6:10" x14ac:dyDescent="0.25">
      <c r="F99" s="56"/>
      <c r="G99" s="56"/>
      <c r="J99" s="6"/>
    </row>
    <row r="100" spans="6:10" x14ac:dyDescent="0.25">
      <c r="F100" s="56"/>
      <c r="G100" s="56"/>
      <c r="J100" s="6"/>
    </row>
    <row r="101" spans="6:10" x14ac:dyDescent="0.25">
      <c r="F101" s="56"/>
      <c r="G101" s="56"/>
      <c r="J101" s="6"/>
    </row>
    <row r="102" spans="6:10" x14ac:dyDescent="0.25">
      <c r="F102" s="56"/>
      <c r="G102" s="56"/>
    </row>
    <row r="103" spans="6:10" x14ac:dyDescent="0.25">
      <c r="F103" s="56"/>
      <c r="G103" s="56"/>
    </row>
    <row r="104" spans="6:10" x14ac:dyDescent="0.25">
      <c r="F104" s="56"/>
      <c r="G104" s="56"/>
    </row>
    <row r="105" spans="6:10" x14ac:dyDescent="0.25">
      <c r="F105" s="56"/>
      <c r="G105" s="56"/>
    </row>
    <row r="106" spans="6:10" x14ac:dyDescent="0.25">
      <c r="F106" s="56"/>
      <c r="G106" s="56"/>
    </row>
    <row r="107" spans="6:10" x14ac:dyDescent="0.25">
      <c r="F107" s="56"/>
      <c r="G107" s="56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45F9-6B0D-4D5C-BBE2-D45A13F95413}">
  <dimension ref="A1:AC10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46003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150</v>
      </c>
      <c r="B7" t="s">
        <v>30</v>
      </c>
      <c r="C7" s="25" t="s">
        <v>151</v>
      </c>
      <c r="D7" s="2">
        <v>288.58530000000002</v>
      </c>
      <c r="E7" s="26">
        <v>278.27999999999997</v>
      </c>
      <c r="F7" s="3">
        <f>E7*D7</f>
        <v>80307.517284000001</v>
      </c>
      <c r="G7" s="3">
        <v>78305</v>
      </c>
      <c r="H7" s="4">
        <f>G7/D7</f>
        <v>271.34091722620656</v>
      </c>
      <c r="I7" s="3">
        <f>F7-G7</f>
        <v>2002.5172840000014</v>
      </c>
      <c r="J7" s="26">
        <f>E7-H7</f>
        <v>6.939082773793416</v>
      </c>
      <c r="K7" s="27">
        <v>45971</v>
      </c>
      <c r="L7">
        <f>DAYS360(K7,$C$1)</f>
        <v>32</v>
      </c>
      <c r="M7" s="5">
        <f>(I7/G7)</f>
        <v>2.5573300351190875E-2</v>
      </c>
      <c r="N7">
        <v>142</v>
      </c>
      <c r="O7">
        <v>85</v>
      </c>
      <c r="P7" s="63">
        <v>84</v>
      </c>
      <c r="Q7" s="28">
        <v>259.24</v>
      </c>
      <c r="R7" s="29">
        <f>Q7*0.93</f>
        <v>241.09320000000002</v>
      </c>
      <c r="S7" s="29">
        <v>255.43</v>
      </c>
      <c r="T7" s="28">
        <f>Q7*1.25</f>
        <v>324.05</v>
      </c>
      <c r="U7" s="28">
        <f>Q7*1.5</f>
        <v>388.86</v>
      </c>
      <c r="V7" s="28">
        <f>Q7*2</f>
        <v>518.48</v>
      </c>
      <c r="W7" s="28">
        <f>H7-(H7*0.07)</f>
        <v>252.3470530203721</v>
      </c>
      <c r="X7" s="29">
        <v>265</v>
      </c>
      <c r="Y7" s="5">
        <f>(X7-H7)/H7</f>
        <v>-2.3368820637251611E-2</v>
      </c>
      <c r="Z7" s="6">
        <f>F7/F$20</f>
        <v>0.13059711591924036</v>
      </c>
      <c r="AB7" s="58">
        <v>46051</v>
      </c>
      <c r="AC7" s="63">
        <v>95</v>
      </c>
    </row>
    <row r="8" spans="1:29" x14ac:dyDescent="0.25">
      <c r="A8" t="s">
        <v>134</v>
      </c>
      <c r="B8" t="s">
        <v>30</v>
      </c>
      <c r="C8" s="25" t="s">
        <v>152</v>
      </c>
      <c r="D8" s="2">
        <v>90.343400000000003</v>
      </c>
      <c r="E8" s="26">
        <v>670.67</v>
      </c>
      <c r="F8" s="3">
        <f>E8*D8</f>
        <v>60590.608077999997</v>
      </c>
      <c r="G8" s="3">
        <v>61276.76</v>
      </c>
      <c r="H8" s="4">
        <f>G8/D8</f>
        <v>678.26493136189254</v>
      </c>
      <c r="I8" s="3">
        <f>F8-G8</f>
        <v>-686.15192200000456</v>
      </c>
      <c r="J8" s="26">
        <f>E8-H8</f>
        <v>-7.5949313618925771</v>
      </c>
      <c r="K8" s="27">
        <v>45995</v>
      </c>
      <c r="L8">
        <f t="shared" ref="L8:L9" si="0">DAYS360(K8,$C$1)</f>
        <v>8</v>
      </c>
      <c r="M8" s="5">
        <f>(I8/G8)</f>
        <v>-1.1197588155770712E-2</v>
      </c>
      <c r="N8">
        <v>66</v>
      </c>
      <c r="O8">
        <v>95</v>
      </c>
      <c r="P8" s="33">
        <v>80</v>
      </c>
      <c r="Q8" s="28">
        <v>675</v>
      </c>
      <c r="R8" s="29">
        <f>Q8*0.93</f>
        <v>627.75</v>
      </c>
      <c r="S8" s="29">
        <v>489.3</v>
      </c>
      <c r="T8" s="28">
        <f>Q8*1.25</f>
        <v>843.75</v>
      </c>
      <c r="U8" s="28">
        <f>Q8*1.5</f>
        <v>1012.5</v>
      </c>
      <c r="V8" s="28">
        <f>Q8*2</f>
        <v>1350</v>
      </c>
      <c r="W8" s="28">
        <f>H8-(H8*0.07)</f>
        <v>630.78638616656008</v>
      </c>
      <c r="X8" s="29">
        <v>630</v>
      </c>
      <c r="Y8" s="5">
        <f>(X8-H8)/H8</f>
        <v>-7.1159408558807646E-2</v>
      </c>
      <c r="Z8" s="32">
        <f>F8/F$20</f>
        <v>9.853322496319232E-2</v>
      </c>
      <c r="AB8" s="58">
        <v>46071</v>
      </c>
      <c r="AC8" s="9">
        <v>98</v>
      </c>
    </row>
    <row r="9" spans="1:29" x14ac:dyDescent="0.25">
      <c r="A9" t="s">
        <v>71</v>
      </c>
      <c r="B9" t="s">
        <v>30</v>
      </c>
      <c r="C9" s="25" t="s">
        <v>72</v>
      </c>
      <c r="D9" s="2">
        <f>97.1506+30.2251</f>
        <v>127.37569999999999</v>
      </c>
      <c r="E9" s="26">
        <v>671.71</v>
      </c>
      <c r="F9" s="3">
        <f>E9*D9</f>
        <v>85559.531447000001</v>
      </c>
      <c r="G9" s="3">
        <f>61467.93+20488.3849</f>
        <v>81956.314899999998</v>
      </c>
      <c r="H9" s="4">
        <f>G9/D9</f>
        <v>643.42189993852833</v>
      </c>
      <c r="I9" s="3">
        <f>F9-G9</f>
        <v>3603.2165470000036</v>
      </c>
      <c r="J9" s="26">
        <f>E9-H9</f>
        <v>28.28810006147171</v>
      </c>
      <c r="K9" s="27">
        <v>46000</v>
      </c>
      <c r="L9">
        <f t="shared" si="0"/>
        <v>3</v>
      </c>
      <c r="M9" s="5">
        <f>(I9/G9)</f>
        <v>4.3965087393161982E-2</v>
      </c>
      <c r="N9">
        <v>37</v>
      </c>
      <c r="O9">
        <v>93</v>
      </c>
      <c r="P9" s="63">
        <v>40</v>
      </c>
      <c r="Q9" s="28">
        <v>664.69</v>
      </c>
      <c r="R9" s="29">
        <f>Q9*0.93</f>
        <v>618.16170000000011</v>
      </c>
      <c r="S9" s="29">
        <v>555.84</v>
      </c>
      <c r="T9" s="28">
        <f>Q9*1.25</f>
        <v>830.86250000000007</v>
      </c>
      <c r="U9" s="28">
        <f>Q9*1.5</f>
        <v>997.03500000000008</v>
      </c>
      <c r="V9" s="28">
        <f>Q9*2</f>
        <v>1329.38</v>
      </c>
      <c r="W9" s="28">
        <f>H9-(H9*0.07)</f>
        <v>598.38236694283137</v>
      </c>
      <c r="X9" s="29">
        <v>630</v>
      </c>
      <c r="Y9" s="5">
        <f>(X9-H9)/H9</f>
        <v>-2.0860185113081537E-2</v>
      </c>
      <c r="Z9" s="6">
        <f>F9/F$20</f>
        <v>0.13913800879766405</v>
      </c>
      <c r="AB9" s="58">
        <v>46048</v>
      </c>
      <c r="AC9" s="9">
        <v>86</v>
      </c>
    </row>
    <row r="10" spans="1:29" x14ac:dyDescent="0.25">
      <c r="C10" s="25"/>
      <c r="D10" s="2"/>
      <c r="E10" s="26"/>
      <c r="F10" s="3">
        <f>E10*D10</f>
        <v>0</v>
      </c>
      <c r="G10" s="3"/>
      <c r="H10" s="4" t="e">
        <f>G10/D10</f>
        <v>#DIV/0!</v>
      </c>
      <c r="I10" s="3">
        <f>F10-G10</f>
        <v>0</v>
      </c>
      <c r="J10" s="26" t="e">
        <f>E10-H10</f>
        <v>#DIV/0!</v>
      </c>
      <c r="K10" s="27"/>
      <c r="L10">
        <f>DAYS360(K10,$C$1)</f>
        <v>45342</v>
      </c>
      <c r="M10" s="5" t="e">
        <f>(I10/G10)</f>
        <v>#DIV/0!</v>
      </c>
      <c r="N10" s="33"/>
      <c r="P10" s="64"/>
      <c r="Q10" s="28"/>
      <c r="R10" s="29">
        <f>Q10*0.93</f>
        <v>0</v>
      </c>
      <c r="S10" s="29"/>
      <c r="T10" s="31">
        <f>Q10*1.25</f>
        <v>0</v>
      </c>
      <c r="U10" s="28">
        <f>Q10*1.5</f>
        <v>0</v>
      </c>
      <c r="V10" s="28">
        <f>Q10*2</f>
        <v>0</v>
      </c>
      <c r="W10" s="28" t="e">
        <f>H10-(H10*0.07)</f>
        <v>#DIV/0!</v>
      </c>
      <c r="X10" s="29"/>
      <c r="Y10" s="5" t="e">
        <f>(X10-H10)/H10</f>
        <v>#DIV/0!</v>
      </c>
      <c r="Z10" s="6">
        <f>F10/F$20</f>
        <v>0</v>
      </c>
      <c r="AB10" s="67"/>
      <c r="AC10" s="33"/>
    </row>
    <row r="11" spans="1:29" x14ac:dyDescent="0.25">
      <c r="C11" s="25"/>
      <c r="D11" s="2"/>
      <c r="E11" s="26"/>
      <c r="F11" s="3">
        <f>E11*D11</f>
        <v>0</v>
      </c>
      <c r="G11" s="3"/>
      <c r="H11" s="4" t="e">
        <f>G11/D11</f>
        <v>#DIV/0!</v>
      </c>
      <c r="I11" s="3">
        <f>F11-G11</f>
        <v>0</v>
      </c>
      <c r="J11" s="26" t="e">
        <f>E11-H11</f>
        <v>#DIV/0!</v>
      </c>
      <c r="K11" s="27"/>
      <c r="L11">
        <f>DAYS360(K11,$C$1)</f>
        <v>45342</v>
      </c>
      <c r="M11" s="5" t="e">
        <f>(I11/G11)</f>
        <v>#DIV/0!</v>
      </c>
      <c r="P11" s="64"/>
      <c r="Q11" s="28"/>
      <c r="R11" s="29">
        <f>Q11*0.93</f>
        <v>0</v>
      </c>
      <c r="S11" s="29"/>
      <c r="T11" s="31">
        <f>Q11*1.25</f>
        <v>0</v>
      </c>
      <c r="U11" s="28">
        <f>Q11*1.5</f>
        <v>0</v>
      </c>
      <c r="V11" s="28">
        <f>Q11*2</f>
        <v>0</v>
      </c>
      <c r="W11" s="28" t="e">
        <f>H11-(H11*0.07)</f>
        <v>#DIV/0!</v>
      </c>
      <c r="X11" s="29"/>
      <c r="Y11" s="5" t="e">
        <f>(X11-H11)/H11</f>
        <v>#DIV/0!</v>
      </c>
      <c r="Z11" s="6">
        <f>F11/F$20</f>
        <v>0</v>
      </c>
      <c r="AB11" s="58"/>
      <c r="AC11" s="9"/>
    </row>
    <row r="12" spans="1:29" x14ac:dyDescent="0.25">
      <c r="C12" s="25"/>
      <c r="D12" s="2"/>
      <c r="E12" s="26"/>
      <c r="F12" s="3">
        <f t="shared" ref="F12:F17" si="1">E12*D12</f>
        <v>0</v>
      </c>
      <c r="G12" s="3"/>
      <c r="H12" s="4" t="e">
        <f t="shared" ref="H12:H17" si="2">G12/D12</f>
        <v>#DIV/0!</v>
      </c>
      <c r="I12" s="3">
        <f t="shared" ref="I12:I17" si="3">F12-G12</f>
        <v>0</v>
      </c>
      <c r="J12" s="26" t="e">
        <f t="shared" ref="J12:J17" si="4">E12-H12</f>
        <v>#DIV/0!</v>
      </c>
      <c r="K12" s="27"/>
      <c r="L12">
        <f t="shared" ref="L12:L17" si="5">DAYS360(K12,$C$1)</f>
        <v>45342</v>
      </c>
      <c r="M12" s="5" t="e">
        <f t="shared" ref="M12:M17" si="6">(I12/G12)</f>
        <v>#DIV/0!</v>
      </c>
      <c r="P12" s="63"/>
      <c r="Q12" s="28"/>
      <c r="R12" s="29">
        <f t="shared" ref="R12:R17" si="7">Q12*0.93</f>
        <v>0</v>
      </c>
      <c r="S12" s="29"/>
      <c r="T12" s="31">
        <f t="shared" ref="T12:T17" si="8">Q12*1.25</f>
        <v>0</v>
      </c>
      <c r="U12" s="28">
        <f t="shared" ref="U12:U17" si="9">Q12*1.5</f>
        <v>0</v>
      </c>
      <c r="V12" s="28">
        <f t="shared" ref="V12:V17" si="10">Q12*2</f>
        <v>0</v>
      </c>
      <c r="W12" s="28" t="e">
        <f t="shared" ref="W12:W17" si="11">H12-(H12*0.07)</f>
        <v>#DIV/0!</v>
      </c>
      <c r="X12" s="29"/>
      <c r="Y12" s="5" t="e">
        <f t="shared" ref="Y12:Y17" si="12">(X12-H12)/H12</f>
        <v>#DIV/0!</v>
      </c>
      <c r="Z12" s="6">
        <f t="shared" ref="Z12:Z17" si="13">F12/F$20</f>
        <v>0</v>
      </c>
      <c r="AB12" s="58"/>
      <c r="AC12" s="9"/>
    </row>
    <row r="13" spans="1:29" x14ac:dyDescent="0.25">
      <c r="C13" s="25"/>
      <c r="D13" s="2"/>
      <c r="E13" s="26"/>
      <c r="F13" s="3">
        <f t="shared" si="1"/>
        <v>0</v>
      </c>
      <c r="G13" s="3"/>
      <c r="H13" s="4" t="e">
        <f t="shared" si="2"/>
        <v>#DIV/0!</v>
      </c>
      <c r="I13" s="3">
        <f t="shared" si="3"/>
        <v>0</v>
      </c>
      <c r="J13" s="26" t="e">
        <f t="shared" si="4"/>
        <v>#DIV/0!</v>
      </c>
      <c r="K13" s="27"/>
      <c r="L13">
        <f t="shared" si="5"/>
        <v>45342</v>
      </c>
      <c r="M13" s="5" t="e">
        <f t="shared" si="6"/>
        <v>#DIV/0!</v>
      </c>
      <c r="P13" s="63"/>
      <c r="Q13" s="28"/>
      <c r="R13" s="29">
        <f t="shared" si="7"/>
        <v>0</v>
      </c>
      <c r="S13" s="29"/>
      <c r="T13" s="31">
        <f t="shared" si="8"/>
        <v>0</v>
      </c>
      <c r="U13" s="28">
        <f t="shared" si="9"/>
        <v>0</v>
      </c>
      <c r="V13" s="28">
        <f t="shared" si="10"/>
        <v>0</v>
      </c>
      <c r="W13" s="28" t="e">
        <f t="shared" si="11"/>
        <v>#DIV/0!</v>
      </c>
      <c r="X13" s="29"/>
      <c r="Y13" s="5" t="e">
        <f t="shared" si="12"/>
        <v>#DIV/0!</v>
      </c>
      <c r="Z13" s="32">
        <f t="shared" si="13"/>
        <v>0</v>
      </c>
      <c r="AB13" s="58"/>
      <c r="AC13" s="9"/>
    </row>
    <row r="14" spans="1:29" x14ac:dyDescent="0.25">
      <c r="C14" s="25"/>
      <c r="D14" s="2"/>
      <c r="E14" s="26"/>
      <c r="F14" s="3">
        <f t="shared" si="1"/>
        <v>0</v>
      </c>
      <c r="G14" s="3"/>
      <c r="H14" s="4" t="e">
        <f t="shared" si="2"/>
        <v>#DIV/0!</v>
      </c>
      <c r="I14" s="3">
        <f t="shared" si="3"/>
        <v>0</v>
      </c>
      <c r="J14" s="26" t="e">
        <f t="shared" si="4"/>
        <v>#DIV/0!</v>
      </c>
      <c r="K14" s="27"/>
      <c r="L14">
        <f t="shared" si="5"/>
        <v>45342</v>
      </c>
      <c r="M14" s="5" t="e">
        <f t="shared" si="6"/>
        <v>#DIV/0!</v>
      </c>
      <c r="P14" s="63"/>
      <c r="Q14" s="28"/>
      <c r="R14" s="29">
        <f t="shared" si="7"/>
        <v>0</v>
      </c>
      <c r="S14" s="29"/>
      <c r="T14" s="28">
        <f t="shared" si="8"/>
        <v>0</v>
      </c>
      <c r="U14" s="28">
        <f t="shared" si="9"/>
        <v>0</v>
      </c>
      <c r="V14" s="28">
        <f t="shared" si="10"/>
        <v>0</v>
      </c>
      <c r="W14" s="28" t="e">
        <f t="shared" si="11"/>
        <v>#DIV/0!</v>
      </c>
      <c r="X14" s="29"/>
      <c r="Y14" s="5" t="e">
        <f t="shared" si="12"/>
        <v>#DIV/0!</v>
      </c>
      <c r="Z14" s="6">
        <f t="shared" si="13"/>
        <v>0</v>
      </c>
      <c r="AB14" s="58"/>
      <c r="AC14" s="9"/>
    </row>
    <row r="15" spans="1:29" x14ac:dyDescent="0.25">
      <c r="C15" s="25"/>
      <c r="D15" s="2"/>
      <c r="E15" s="26"/>
      <c r="F15" s="3">
        <f t="shared" si="1"/>
        <v>0</v>
      </c>
      <c r="G15" s="3"/>
      <c r="H15" s="4" t="e">
        <f t="shared" si="2"/>
        <v>#DIV/0!</v>
      </c>
      <c r="I15" s="3">
        <f t="shared" si="3"/>
        <v>0</v>
      </c>
      <c r="J15" s="26" t="e">
        <f t="shared" si="4"/>
        <v>#DIV/0!</v>
      </c>
      <c r="K15" s="27"/>
      <c r="L15">
        <f t="shared" si="5"/>
        <v>45342</v>
      </c>
      <c r="M15" s="5" t="e">
        <f t="shared" si="6"/>
        <v>#DIV/0!</v>
      </c>
      <c r="P15" s="63"/>
      <c r="Q15" s="28"/>
      <c r="R15" s="29">
        <f t="shared" si="7"/>
        <v>0</v>
      </c>
      <c r="S15" s="29"/>
      <c r="T15" s="28">
        <f t="shared" si="8"/>
        <v>0</v>
      </c>
      <c r="U15" s="28">
        <f t="shared" si="9"/>
        <v>0</v>
      </c>
      <c r="V15" s="28">
        <f t="shared" si="10"/>
        <v>0</v>
      </c>
      <c r="W15" s="28" t="e">
        <f t="shared" si="11"/>
        <v>#DIV/0!</v>
      </c>
      <c r="X15" s="29"/>
      <c r="Y15" s="5" t="e">
        <f t="shared" si="12"/>
        <v>#DIV/0!</v>
      </c>
      <c r="Z15" s="32">
        <f t="shared" si="13"/>
        <v>0</v>
      </c>
      <c r="AB15" s="58"/>
      <c r="AC15" s="9"/>
    </row>
    <row r="16" spans="1:29" x14ac:dyDescent="0.25">
      <c r="C16" s="25"/>
      <c r="D16" s="2"/>
      <c r="E16" s="26"/>
      <c r="F16" s="3">
        <f t="shared" si="1"/>
        <v>0</v>
      </c>
      <c r="G16" s="3"/>
      <c r="H16" s="4" t="e">
        <f t="shared" si="2"/>
        <v>#DIV/0!</v>
      </c>
      <c r="I16" s="3">
        <f t="shared" si="3"/>
        <v>0</v>
      </c>
      <c r="J16" s="26" t="e">
        <f t="shared" si="4"/>
        <v>#DIV/0!</v>
      </c>
      <c r="K16" s="27"/>
      <c r="L16">
        <f t="shared" si="5"/>
        <v>45342</v>
      </c>
      <c r="M16" s="5" t="e">
        <f t="shared" si="6"/>
        <v>#DIV/0!</v>
      </c>
      <c r="P16" s="63"/>
      <c r="Q16" s="28"/>
      <c r="R16" s="29">
        <f t="shared" si="7"/>
        <v>0</v>
      </c>
      <c r="S16" s="29"/>
      <c r="T16" s="28">
        <f t="shared" si="8"/>
        <v>0</v>
      </c>
      <c r="U16" s="28">
        <f t="shared" si="9"/>
        <v>0</v>
      </c>
      <c r="V16" s="28">
        <f t="shared" si="10"/>
        <v>0</v>
      </c>
      <c r="W16" s="28" t="e">
        <f t="shared" si="11"/>
        <v>#DIV/0!</v>
      </c>
      <c r="X16" s="29"/>
      <c r="Y16" s="5" t="e">
        <f t="shared" si="12"/>
        <v>#DIV/0!</v>
      </c>
      <c r="Z16" s="32">
        <f t="shared" si="13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"/>
        <v>0</v>
      </c>
      <c r="G17" s="39"/>
      <c r="H17" s="40" t="e">
        <f t="shared" si="2"/>
        <v>#DIV/0!</v>
      </c>
      <c r="I17" s="39">
        <f t="shared" si="3"/>
        <v>0</v>
      </c>
      <c r="J17" s="38" t="e">
        <f t="shared" si="4"/>
        <v>#DIV/0!</v>
      </c>
      <c r="K17" s="41"/>
      <c r="L17" s="35">
        <f t="shared" si="5"/>
        <v>45342</v>
      </c>
      <c r="M17" s="42" t="e">
        <f t="shared" si="6"/>
        <v>#DIV/0!</v>
      </c>
      <c r="N17" s="35"/>
      <c r="O17" s="35"/>
      <c r="P17" s="65"/>
      <c r="Q17" s="44"/>
      <c r="R17" s="45">
        <f t="shared" si="7"/>
        <v>0</v>
      </c>
      <c r="S17" s="45"/>
      <c r="T17" s="46">
        <f t="shared" si="8"/>
        <v>0</v>
      </c>
      <c r="U17" s="44">
        <f t="shared" si="9"/>
        <v>0</v>
      </c>
      <c r="V17" s="44">
        <f t="shared" si="10"/>
        <v>0</v>
      </c>
      <c r="W17" s="44" t="e">
        <f t="shared" si="11"/>
        <v>#DIV/0!</v>
      </c>
      <c r="X17" s="45"/>
      <c r="Y17" s="42" t="e">
        <f t="shared" si="12"/>
        <v>#DIV/0!</v>
      </c>
      <c r="Z17" s="47">
        <f t="shared" si="13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226457.65680900001</v>
      </c>
      <c r="G18" s="3">
        <f>SUM(G6:G17)</f>
        <v>221538.07490000001</v>
      </c>
      <c r="H18" s="4"/>
      <c r="I18" s="3">
        <f>SUM(I6:I17)</f>
        <v>4919.5819090000005</v>
      </c>
      <c r="M18" s="5"/>
      <c r="Z18" s="6"/>
    </row>
    <row r="19" spans="1:29" x14ac:dyDescent="0.25">
      <c r="D19" s="2" t="s">
        <v>44</v>
      </c>
      <c r="F19" s="3">
        <v>388468</v>
      </c>
      <c r="G19" s="6">
        <f>F19/F20</f>
        <v>0.63173165031990319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614925.65680900007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'12-05-25'!F20</f>
        <v>612999.02212999994</v>
      </c>
      <c r="K21" s="1">
        <v>45657</v>
      </c>
      <c r="L21" s="50">
        <v>170762</v>
      </c>
      <c r="M21" s="50">
        <v>212950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3.1429653383550438E-3</v>
      </c>
      <c r="K22" s="9" t="s">
        <v>123</v>
      </c>
      <c r="L22" s="6">
        <f>(M21-L21)/L21</f>
        <v>0.24705730783195323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4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4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5">F28/D28</f>
        <v>44.698790833464948</v>
      </c>
      <c r="F28" s="3">
        <v>56489.42</v>
      </c>
      <c r="G28" s="56">
        <v>75501.87</v>
      </c>
      <c r="H28" s="57">
        <f t="shared" ref="H28:H70" si="16">G28/D28</f>
        <v>59.742909285764696</v>
      </c>
      <c r="I28" s="57">
        <f t="shared" ref="I28:I70" si="17">G28-F28</f>
        <v>19012.449999999997</v>
      </c>
      <c r="J28" s="6">
        <f t="shared" ref="J28:J70" si="18">I28/F28</f>
        <v>0.33656656414599401</v>
      </c>
      <c r="K28" s="1">
        <v>45527</v>
      </c>
      <c r="L28" s="1">
        <v>45688</v>
      </c>
      <c r="M28">
        <f t="shared" si="14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5"/>
        <v>169.90901206845703</v>
      </c>
      <c r="F29" s="3">
        <f>59492.79+21969.78</f>
        <v>81462.570000000007</v>
      </c>
      <c r="G29" s="56">
        <v>65047.58</v>
      </c>
      <c r="H29" s="57">
        <f t="shared" si="16"/>
        <v>135.67175765807443</v>
      </c>
      <c r="I29" s="57">
        <f t="shared" si="17"/>
        <v>-16414.990000000005</v>
      </c>
      <c r="J29" s="6">
        <f t="shared" si="18"/>
        <v>-0.20150346349249729</v>
      </c>
      <c r="K29" s="1">
        <v>45671</v>
      </c>
      <c r="L29" s="1">
        <v>45688</v>
      </c>
      <c r="M29">
        <f t="shared" si="14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5"/>
        <v>18.702010092477405</v>
      </c>
      <c r="F30" s="3">
        <v>56486.59</v>
      </c>
      <c r="G30" s="56">
        <v>71124.88</v>
      </c>
      <c r="H30" s="57">
        <f t="shared" si="16"/>
        <v>23.548566546258936</v>
      </c>
      <c r="I30" s="57">
        <f t="shared" si="17"/>
        <v>14638.290000000008</v>
      </c>
      <c r="J30" s="6">
        <f t="shared" si="18"/>
        <v>0.25914628587068206</v>
      </c>
      <c r="K30" s="1">
        <v>45527</v>
      </c>
      <c r="L30" s="1">
        <v>45691</v>
      </c>
      <c r="M30">
        <f t="shared" si="14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5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6"/>
        <v>38.249853000000002</v>
      </c>
      <c r="I31" s="57">
        <f t="shared" si="17"/>
        <v>-6110.386336591735</v>
      </c>
      <c r="J31" s="6">
        <f t="shared" si="18"/>
        <v>-0.10005621882176895</v>
      </c>
      <c r="K31" s="1">
        <v>45706</v>
      </c>
      <c r="L31" s="1">
        <v>45708</v>
      </c>
      <c r="M31">
        <f t="shared" si="14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5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6"/>
        <v>531.63995279999995</v>
      </c>
      <c r="I32" s="57">
        <f t="shared" si="17"/>
        <v>-22176.243614196137</v>
      </c>
      <c r="J32" s="6">
        <f t="shared" si="18"/>
        <v>-0.24194911929355969</v>
      </c>
      <c r="K32" s="1">
        <v>45706</v>
      </c>
      <c r="L32" s="1">
        <v>45708</v>
      </c>
      <c r="M32">
        <f t="shared" si="14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5"/>
        <v>368.56522253629635</v>
      </c>
      <c r="F33" s="3">
        <v>74438.86</v>
      </c>
      <c r="G33" s="56">
        <f>201.9693*360.5332483</f>
        <v>72816.647785877198</v>
      </c>
      <c r="H33" s="57">
        <f t="shared" si="16"/>
        <v>360.53324830000003</v>
      </c>
      <c r="I33" s="57">
        <f t="shared" si="17"/>
        <v>-1622.2122141228028</v>
      </c>
      <c r="J33" s="6">
        <f t="shared" si="18"/>
        <v>-2.1792545105107773E-2</v>
      </c>
      <c r="K33" s="1">
        <v>45664</v>
      </c>
      <c r="L33" s="1">
        <v>45708</v>
      </c>
      <c r="M33">
        <f t="shared" si="14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5"/>
        <v>30.17825528482809</v>
      </c>
      <c r="F34" s="3">
        <v>37884.65</v>
      </c>
      <c r="G34" s="56">
        <f>1255.3625*39.762296</f>
        <v>49916.0953123</v>
      </c>
      <c r="H34" s="57">
        <f t="shared" si="16"/>
        <v>39.762295999999999</v>
      </c>
      <c r="I34" s="57">
        <f t="shared" si="17"/>
        <v>12031.445312299998</v>
      </c>
      <c r="J34" s="6">
        <f t="shared" si="18"/>
        <v>0.31758100740801348</v>
      </c>
      <c r="K34" s="1">
        <v>45663</v>
      </c>
      <c r="L34" s="1">
        <v>45709</v>
      </c>
      <c r="M34">
        <f t="shared" si="14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5"/>
        <v>242.26930551548847</v>
      </c>
      <c r="F35" s="3">
        <v>61221.72</v>
      </c>
      <c r="G35" s="56">
        <f>252.7011*226.6146532</f>
        <v>57265.772139758519</v>
      </c>
      <c r="H35" s="57">
        <f t="shared" si="16"/>
        <v>226.61465319999999</v>
      </c>
      <c r="I35" s="57">
        <f t="shared" si="17"/>
        <v>-3955.947860241482</v>
      </c>
      <c r="J35" s="6">
        <f t="shared" si="18"/>
        <v>-6.4616738311852093E-2</v>
      </c>
      <c r="K35" s="1">
        <v>45699</v>
      </c>
      <c r="L35" s="1">
        <v>45709</v>
      </c>
      <c r="M35">
        <f t="shared" si="14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5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6"/>
        <v>283.93999450000007</v>
      </c>
      <c r="I36" s="57">
        <f t="shared" si="17"/>
        <v>19563.525282954361</v>
      </c>
      <c r="J36" s="6">
        <f t="shared" si="18"/>
        <v>0.36434300703793465</v>
      </c>
      <c r="K36" s="1">
        <v>45580</v>
      </c>
      <c r="L36" s="1">
        <v>45712</v>
      </c>
      <c r="M36">
        <f t="shared" si="14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5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6"/>
        <v>63.365330900000004</v>
      </c>
      <c r="I37" s="57">
        <f t="shared" si="17"/>
        <v>-4549.5912833559851</v>
      </c>
      <c r="J37" s="6">
        <f t="shared" si="18"/>
        <v>-5.9638082078758516E-2</v>
      </c>
      <c r="K37" s="1">
        <v>45673</v>
      </c>
      <c r="L37" s="1">
        <v>45712</v>
      </c>
      <c r="M37">
        <f t="shared" si="14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6"/>
        <v>50.021380499999999</v>
      </c>
      <c r="I38" s="57">
        <f t="shared" si="17"/>
        <v>6027.2875116823998</v>
      </c>
      <c r="J38" s="6">
        <f t="shared" si="18"/>
        <v>9.9771440635884723E-2</v>
      </c>
      <c r="K38" s="1">
        <v>45593</v>
      </c>
      <c r="L38" s="1">
        <v>45713</v>
      </c>
      <c r="M38">
        <f t="shared" si="14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6"/>
        <v>12.519992000000002</v>
      </c>
      <c r="I39" s="57">
        <f t="shared" si="17"/>
        <v>-2230.6527810991975</v>
      </c>
      <c r="J39" s="6">
        <f t="shared" si="18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6"/>
        <v>94.679995300000002</v>
      </c>
      <c r="I40" s="57">
        <f t="shared" si="17"/>
        <v>-4750.690604140058</v>
      </c>
      <c r="J40" s="6">
        <f t="shared" si="18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70" si="19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6"/>
        <v>18.9477051</v>
      </c>
      <c r="I41" s="57">
        <f t="shared" si="17"/>
        <v>-2244.5195874142191</v>
      </c>
      <c r="J41" s="6">
        <f t="shared" si="18"/>
        <v>-8.2776138273503941E-2</v>
      </c>
      <c r="K41" s="1">
        <v>45761</v>
      </c>
      <c r="L41" s="1">
        <v>45768</v>
      </c>
      <c r="M41">
        <f t="shared" ref="M41:M70" si="20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9"/>
        <v>96.336406065231671</v>
      </c>
      <c r="F42" s="3">
        <v>34004.42</v>
      </c>
      <c r="G42" s="56">
        <f>352.9758*89.7849585</f>
        <v>31691.9175545043</v>
      </c>
      <c r="H42" s="57">
        <f t="shared" si="16"/>
        <v>89.784958500000002</v>
      </c>
      <c r="I42" s="57">
        <f t="shared" si="17"/>
        <v>-2312.5024454956983</v>
      </c>
      <c r="J42" s="6">
        <f t="shared" si="18"/>
        <v>-6.8005937036882222E-2</v>
      </c>
      <c r="K42" s="1">
        <v>45762</v>
      </c>
      <c r="L42" s="1">
        <v>45768</v>
      </c>
      <c r="M42">
        <f t="shared" si="20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9"/>
        <v>16.992624876012847</v>
      </c>
      <c r="F43" s="3">
        <v>37971.83</v>
      </c>
      <c r="G43" s="56">
        <f>2234.6065*13.3067232</f>
        <v>29735.2901564208</v>
      </c>
      <c r="H43" s="57">
        <f t="shared" si="16"/>
        <v>13.3067232</v>
      </c>
      <c r="I43" s="57">
        <f t="shared" si="17"/>
        <v>-8236.5398435792013</v>
      </c>
      <c r="J43" s="6">
        <f t="shared" si="18"/>
        <v>-0.21691184869360261</v>
      </c>
      <c r="K43" s="1">
        <v>45652</v>
      </c>
      <c r="L43" s="1">
        <v>45785</v>
      </c>
      <c r="M43">
        <f t="shared" si="20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9"/>
        <v>38.101812248436303</v>
      </c>
      <c r="F44" s="3">
        <v>21940.86</v>
      </c>
      <c r="G44" s="56">
        <f>575.8482*32.7857042</f>
        <v>18879.588749302438</v>
      </c>
      <c r="H44" s="57">
        <f t="shared" si="16"/>
        <v>32.785704199999998</v>
      </c>
      <c r="I44" s="57">
        <f t="shared" si="17"/>
        <v>-3061.2712506975622</v>
      </c>
      <c r="J44" s="6">
        <f t="shared" si="18"/>
        <v>-0.13952375844417958</v>
      </c>
      <c r="K44" s="1">
        <v>45761</v>
      </c>
      <c r="L44" s="1">
        <v>45790</v>
      </c>
      <c r="M44">
        <f t="shared" si="20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9"/>
        <v>24.570291674143743</v>
      </c>
      <c r="F45" s="3">
        <v>23591.34</v>
      </c>
      <c r="G45" s="56">
        <v>19396.37</v>
      </c>
      <c r="H45" s="57">
        <f t="shared" si="16"/>
        <v>20.201246233559068</v>
      </c>
      <c r="I45" s="57">
        <f t="shared" si="17"/>
        <v>-4194.9700000000012</v>
      </c>
      <c r="J45" s="6">
        <f t="shared" si="18"/>
        <v>-0.17781821634548953</v>
      </c>
      <c r="K45" s="1">
        <v>45776</v>
      </c>
      <c r="L45" s="1">
        <v>45812</v>
      </c>
      <c r="M45">
        <f t="shared" si="20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9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6"/>
        <v>84.038907800000004</v>
      </c>
      <c r="I46" s="57">
        <f t="shared" si="17"/>
        <v>-3907.8121523372101</v>
      </c>
      <c r="J46" s="6">
        <f t="shared" si="18"/>
        <v>-0.14246372001691271</v>
      </c>
      <c r="K46" s="1">
        <v>45782</v>
      </c>
      <c r="L46" s="1">
        <v>45818</v>
      </c>
      <c r="M46">
        <f t="shared" si="20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9"/>
        <v>40.437100849618155</v>
      </c>
      <c r="F47" s="3">
        <f>22877.09+14244.67</f>
        <v>37121.760000000002</v>
      </c>
      <c r="G47" s="56">
        <v>34659.56</v>
      </c>
      <c r="H47" s="57">
        <f t="shared" si="16"/>
        <v>37.755002002151599</v>
      </c>
      <c r="I47" s="57">
        <f t="shared" si="17"/>
        <v>-2462.2000000000044</v>
      </c>
      <c r="J47" s="6">
        <f t="shared" si="18"/>
        <v>-6.6327674118899643E-2</v>
      </c>
      <c r="K47" s="1">
        <v>45782</v>
      </c>
      <c r="L47" s="1">
        <v>45828</v>
      </c>
      <c r="M47">
        <f t="shared" si="20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19"/>
        <v>123.70183817297092</v>
      </c>
      <c r="F48" s="3">
        <f>22876.67+14197.82+14808.77</f>
        <v>51883.259999999995</v>
      </c>
      <c r="G48" s="56">
        <v>55156.07</v>
      </c>
      <c r="H48" s="57">
        <f t="shared" si="16"/>
        <v>131.50498340692272</v>
      </c>
      <c r="I48" s="57">
        <f t="shared" si="17"/>
        <v>3272.8100000000049</v>
      </c>
      <c r="J48" s="6">
        <f t="shared" si="18"/>
        <v>6.3080269050171583E-2</v>
      </c>
      <c r="K48" s="1">
        <v>45782</v>
      </c>
      <c r="L48" s="1">
        <v>45839</v>
      </c>
      <c r="M48">
        <f t="shared" si="20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19"/>
        <v>63.194998844628557</v>
      </c>
      <c r="F49" s="3">
        <v>36072.47</v>
      </c>
      <c r="G49" s="56">
        <v>51786.91</v>
      </c>
      <c r="H49" s="57">
        <f t="shared" si="16"/>
        <v>90.724968864535285</v>
      </c>
      <c r="I49" s="57">
        <f t="shared" si="17"/>
        <v>15714.440000000002</v>
      </c>
      <c r="J49" s="6">
        <f t="shared" si="18"/>
        <v>0.43563526423336141</v>
      </c>
      <c r="K49" s="1">
        <v>45796</v>
      </c>
      <c r="L49" s="1">
        <v>45839</v>
      </c>
      <c r="M49">
        <f t="shared" si="20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19"/>
        <v>90.254808370121239</v>
      </c>
      <c r="F50" s="3">
        <f>35895.15+19479.74</f>
        <v>55374.89</v>
      </c>
      <c r="G50" s="56">
        <v>55236.959999999999</v>
      </c>
      <c r="H50" s="57">
        <f t="shared" si="16"/>
        <v>90.029998068584007</v>
      </c>
      <c r="I50" s="57">
        <f t="shared" si="17"/>
        <v>-137.93000000000029</v>
      </c>
      <c r="J50" s="6">
        <f t="shared" si="18"/>
        <v>-2.4908401623912986E-3</v>
      </c>
      <c r="K50" s="1">
        <v>45789</v>
      </c>
      <c r="L50" s="1">
        <v>45855</v>
      </c>
      <c r="M50">
        <f t="shared" si="20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19"/>
        <v>113.05354718581073</v>
      </c>
      <c r="F51" s="3">
        <v>45409.8</v>
      </c>
      <c r="G51" s="56">
        <v>41051.0026</v>
      </c>
      <c r="H51" s="57">
        <f t="shared" si="16"/>
        <v>102.2017595202784</v>
      </c>
      <c r="I51" s="57">
        <f t="shared" si="17"/>
        <v>-4358.7974000000031</v>
      </c>
      <c r="J51" s="6">
        <f t="shared" si="18"/>
        <v>-9.5988033420098803E-2</v>
      </c>
      <c r="K51" s="1">
        <v>45855</v>
      </c>
      <c r="L51" s="1">
        <v>45860</v>
      </c>
      <c r="M51">
        <f t="shared" si="20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19"/>
        <v>17.339829156069133</v>
      </c>
      <c r="F52" s="3">
        <v>22797.23</v>
      </c>
      <c r="G52" s="56">
        <v>18655.11</v>
      </c>
      <c r="H52" s="57">
        <f t="shared" si="16"/>
        <v>14.189286167121043</v>
      </c>
      <c r="I52" s="57">
        <f t="shared" si="17"/>
        <v>-4142.119999999999</v>
      </c>
      <c r="J52" s="6">
        <f t="shared" si="18"/>
        <v>-0.18169400405224664</v>
      </c>
      <c r="K52" s="1">
        <v>45861</v>
      </c>
      <c r="L52" s="1">
        <v>45870</v>
      </c>
      <c r="M52">
        <f t="shared" si="20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19"/>
        <v>74.757798491837917</v>
      </c>
      <c r="F53" s="3">
        <f>26856.13+12527.28</f>
        <v>39383.410000000003</v>
      </c>
      <c r="G53" s="56">
        <v>67176.488400000002</v>
      </c>
      <c r="H53" s="57">
        <f t="shared" si="16"/>
        <v>127.51476784759082</v>
      </c>
      <c r="I53" s="57">
        <f t="shared" si="17"/>
        <v>27793.078399999999</v>
      </c>
      <c r="J53" s="6">
        <f t="shared" si="18"/>
        <v>0.7057052296893539</v>
      </c>
      <c r="K53" s="1">
        <v>45789</v>
      </c>
      <c r="L53" s="1">
        <v>45870</v>
      </c>
      <c r="M53">
        <f t="shared" si="20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19"/>
        <v>22.651928580010882</v>
      </c>
      <c r="F54" s="3">
        <f>18821.97+11334.33+20180.34</f>
        <v>50336.639999999999</v>
      </c>
      <c r="G54" s="56">
        <v>42713.83</v>
      </c>
      <c r="H54" s="57">
        <f t="shared" si="16"/>
        <v>19.221597360068653</v>
      </c>
      <c r="I54" s="57">
        <f t="shared" si="17"/>
        <v>-7622.8099999999977</v>
      </c>
      <c r="J54" s="6">
        <f t="shared" si="18"/>
        <v>-0.15143660760829483</v>
      </c>
      <c r="K54" s="1">
        <v>45814</v>
      </c>
      <c r="L54" s="1">
        <v>45880</v>
      </c>
      <c r="M54">
        <f t="shared" si="20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19"/>
        <v>30.926801697408081</v>
      </c>
      <c r="F55" s="3">
        <f>(605.0016*29.7738017)+17708.65</f>
        <v>35721.847666582718</v>
      </c>
      <c r="G55" s="56">
        <v>42554.27</v>
      </c>
      <c r="H55" s="57">
        <f t="shared" si="16"/>
        <v>36.842088403482109</v>
      </c>
      <c r="I55" s="57">
        <f t="shared" si="17"/>
        <v>6832.4223334172784</v>
      </c>
      <c r="J55" s="6">
        <f t="shared" si="18"/>
        <v>0.1912673274123195</v>
      </c>
      <c r="K55" s="1">
        <v>45800</v>
      </c>
      <c r="L55" s="1">
        <v>45881</v>
      </c>
      <c r="M55">
        <f t="shared" si="20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19"/>
        <v>377.42204050678822</v>
      </c>
      <c r="F56" s="3">
        <f>34962.9+15401.92</f>
        <v>50364.82</v>
      </c>
      <c r="G56" s="56">
        <v>81517.961800000005</v>
      </c>
      <c r="H56" s="57">
        <f t="shared" si="16"/>
        <v>610.87631168959638</v>
      </c>
      <c r="I56" s="57">
        <f t="shared" si="17"/>
        <v>31153.141800000005</v>
      </c>
      <c r="J56" s="6">
        <f t="shared" si="18"/>
        <v>0.61854965033132259</v>
      </c>
      <c r="K56" s="1">
        <v>45771</v>
      </c>
      <c r="L56" s="1">
        <v>45884</v>
      </c>
      <c r="M56">
        <f t="shared" si="20"/>
        <v>111</v>
      </c>
    </row>
    <row r="57" spans="1:13" x14ac:dyDescent="0.25">
      <c r="A57" t="s">
        <v>138</v>
      </c>
      <c r="B57" t="s">
        <v>30</v>
      </c>
      <c r="C57" s="25" t="s">
        <v>139</v>
      </c>
      <c r="D57" s="2">
        <v>345.54309999999998</v>
      </c>
      <c r="E57" s="57">
        <f t="shared" si="19"/>
        <v>133.9832570813887</v>
      </c>
      <c r="F57" s="3">
        <v>46296.99</v>
      </c>
      <c r="G57" s="56">
        <v>42812.79</v>
      </c>
      <c r="H57" s="57">
        <f t="shared" si="16"/>
        <v>123.89999973954046</v>
      </c>
      <c r="I57" s="57">
        <f t="shared" si="17"/>
        <v>-3484.1999999999971</v>
      </c>
      <c r="J57" s="6">
        <f t="shared" si="18"/>
        <v>-7.525759234023631E-2</v>
      </c>
      <c r="K57" s="1">
        <v>45897</v>
      </c>
      <c r="L57" s="1">
        <v>45904</v>
      </c>
      <c r="M57">
        <f t="shared" si="20"/>
        <v>6</v>
      </c>
    </row>
    <row r="58" spans="1:13" x14ac:dyDescent="0.25">
      <c r="A58" t="s">
        <v>136</v>
      </c>
      <c r="B58" t="s">
        <v>30</v>
      </c>
      <c r="C58" s="25" t="s">
        <v>137</v>
      </c>
      <c r="D58" s="2">
        <v>287.49</v>
      </c>
      <c r="E58" s="57">
        <f t="shared" si="19"/>
        <v>198.81999373891267</v>
      </c>
      <c r="F58" s="3">
        <v>57158.76</v>
      </c>
      <c r="G58" s="56">
        <v>56889.83</v>
      </c>
      <c r="H58" s="57">
        <f t="shared" si="16"/>
        <v>197.88455250617412</v>
      </c>
      <c r="I58" s="57">
        <f t="shared" si="17"/>
        <v>-268.93000000000029</v>
      </c>
      <c r="J58" s="6">
        <f t="shared" si="18"/>
        <v>-4.7049656080712784E-3</v>
      </c>
      <c r="K58" s="1">
        <v>45895</v>
      </c>
      <c r="L58" s="1">
        <v>45936</v>
      </c>
      <c r="M58">
        <f t="shared" si="20"/>
        <v>40</v>
      </c>
    </row>
    <row r="59" spans="1:13" x14ac:dyDescent="0.25">
      <c r="A59" t="s">
        <v>142</v>
      </c>
      <c r="B59" t="s">
        <v>30</v>
      </c>
      <c r="C59" s="25" t="s">
        <v>143</v>
      </c>
      <c r="D59" s="2">
        <v>502.0591</v>
      </c>
      <c r="E59" s="57">
        <f t="shared" si="19"/>
        <v>141.49505506423449</v>
      </c>
      <c r="F59" s="3">
        <v>71038.880000000005</v>
      </c>
      <c r="G59" s="56">
        <v>69446.240000000005</v>
      </c>
      <c r="H59" s="57">
        <f t="shared" si="16"/>
        <v>138.3228388849042</v>
      </c>
      <c r="I59" s="57">
        <f t="shared" si="17"/>
        <v>-1592.6399999999994</v>
      </c>
      <c r="J59" s="6">
        <f t="shared" si="18"/>
        <v>-2.2419272375915827E-2</v>
      </c>
      <c r="K59" s="1">
        <v>45909</v>
      </c>
      <c r="L59" s="1">
        <v>45944</v>
      </c>
      <c r="M59">
        <f t="shared" si="20"/>
        <v>35</v>
      </c>
    </row>
    <row r="60" spans="1:13" x14ac:dyDescent="0.25">
      <c r="A60" t="s">
        <v>69</v>
      </c>
      <c r="B60" t="s">
        <v>30</v>
      </c>
      <c r="C60" s="25" t="s">
        <v>70</v>
      </c>
      <c r="D60" s="2">
        <f>143.2704+538.7851</f>
        <v>682.05550000000005</v>
      </c>
      <c r="E60" s="57">
        <f t="shared" si="19"/>
        <v>63.85874756526411</v>
      </c>
      <c r="F60" s="3">
        <f>9149.25+34405.96</f>
        <v>43555.21</v>
      </c>
      <c r="G60" s="56">
        <f>25648.23+78191</f>
        <v>103839.23</v>
      </c>
      <c r="H60" s="57">
        <f t="shared" si="16"/>
        <v>152.2445460816605</v>
      </c>
      <c r="I60" s="57">
        <f t="shared" si="17"/>
        <v>60284.02</v>
      </c>
      <c r="J60" s="6">
        <f t="shared" si="18"/>
        <v>1.3840828686166362</v>
      </c>
      <c r="K60" s="1">
        <v>45854</v>
      </c>
      <c r="L60" s="1">
        <v>45945</v>
      </c>
      <c r="M60">
        <f t="shared" si="20"/>
        <v>89</v>
      </c>
    </row>
    <row r="61" spans="1:13" x14ac:dyDescent="0.25">
      <c r="A61" t="s">
        <v>138</v>
      </c>
      <c r="B61" t="s">
        <v>30</v>
      </c>
      <c r="C61" s="25" t="s">
        <v>139</v>
      </c>
      <c r="D61" s="2">
        <v>337.18810000000002</v>
      </c>
      <c r="E61" s="57">
        <f t="shared" si="19"/>
        <v>164.72274673987604</v>
      </c>
      <c r="F61" s="3">
        <v>55542.55</v>
      </c>
      <c r="G61" s="56">
        <v>56222.05</v>
      </c>
      <c r="H61" s="57">
        <f t="shared" si="16"/>
        <v>166.73794241255845</v>
      </c>
      <c r="I61" s="57">
        <f t="shared" si="17"/>
        <v>679.5</v>
      </c>
      <c r="J61" s="6">
        <f t="shared" si="18"/>
        <v>1.2233863947550121E-2</v>
      </c>
      <c r="K61" s="1">
        <v>45938</v>
      </c>
      <c r="L61" s="1">
        <v>45953</v>
      </c>
      <c r="M61">
        <f t="shared" si="20"/>
        <v>15</v>
      </c>
    </row>
    <row r="62" spans="1:13" x14ac:dyDescent="0.25">
      <c r="A62" t="s">
        <v>126</v>
      </c>
      <c r="B62" t="s">
        <v>30</v>
      </c>
      <c r="C62" s="25" t="s">
        <v>127</v>
      </c>
      <c r="D62" s="2">
        <f>344.4515+240</f>
        <v>584.45150000000001</v>
      </c>
      <c r="E62" s="57">
        <f t="shared" si="19"/>
        <v>92.249194330068448</v>
      </c>
      <c r="F62" s="3">
        <f>30563.18+23352</f>
        <v>53915.18</v>
      </c>
      <c r="G62" s="56">
        <v>79663.16</v>
      </c>
      <c r="H62" s="57">
        <f t="shared" si="16"/>
        <v>136.30414157547719</v>
      </c>
      <c r="I62" s="57">
        <f t="shared" si="17"/>
        <v>25747.980000000003</v>
      </c>
      <c r="J62" s="6">
        <f t="shared" si="18"/>
        <v>0.47756457457806878</v>
      </c>
      <c r="K62" s="1">
        <v>45840</v>
      </c>
      <c r="L62" s="1">
        <v>45953</v>
      </c>
      <c r="M62">
        <f t="shared" si="20"/>
        <v>111</v>
      </c>
    </row>
    <row r="63" spans="1:13" x14ac:dyDescent="0.25">
      <c r="A63" t="s">
        <v>144</v>
      </c>
      <c r="B63" t="s">
        <v>30</v>
      </c>
      <c r="C63" s="25" t="s">
        <v>145</v>
      </c>
      <c r="D63" s="2">
        <v>1679.5722000000001</v>
      </c>
      <c r="E63" s="57">
        <f t="shared" si="19"/>
        <v>33.115236129771617</v>
      </c>
      <c r="F63" s="3">
        <v>55619.43</v>
      </c>
      <c r="G63" s="56">
        <v>50133.94</v>
      </c>
      <c r="H63" s="57">
        <f t="shared" si="16"/>
        <v>29.849231846061752</v>
      </c>
      <c r="I63" s="57">
        <f t="shared" si="17"/>
        <v>-5485.489999999998</v>
      </c>
      <c r="J63" s="6">
        <f t="shared" si="18"/>
        <v>-9.8625426402248237E-2</v>
      </c>
      <c r="K63" s="1">
        <v>45954</v>
      </c>
      <c r="L63" s="1">
        <v>45965</v>
      </c>
      <c r="M63">
        <f t="shared" si="20"/>
        <v>10</v>
      </c>
    </row>
    <row r="64" spans="1:13" x14ac:dyDescent="0.25">
      <c r="A64" t="s">
        <v>128</v>
      </c>
      <c r="B64" t="s">
        <v>30</v>
      </c>
      <c r="C64" s="25" t="s">
        <v>129</v>
      </c>
      <c r="D64" s="2">
        <f>786.7766+525.5828</f>
        <v>1312.3594000000001</v>
      </c>
      <c r="E64" s="57">
        <f t="shared" si="19"/>
        <v>39.768046771334134</v>
      </c>
      <c r="F64" s="3">
        <f>30514.1+21675.87</f>
        <v>52189.97</v>
      </c>
      <c r="G64" s="56">
        <v>52911.071499999998</v>
      </c>
      <c r="H64" s="57">
        <f t="shared" si="16"/>
        <v>40.317516299269847</v>
      </c>
      <c r="I64" s="57">
        <f t="shared" si="17"/>
        <v>721.10149999999703</v>
      </c>
      <c r="J64" s="6">
        <f t="shared" si="18"/>
        <v>1.3816859829580225E-2</v>
      </c>
      <c r="K64" s="1">
        <v>45840</v>
      </c>
      <c r="L64" s="1">
        <v>45967</v>
      </c>
      <c r="M64">
        <f t="shared" si="20"/>
        <v>124</v>
      </c>
    </row>
    <row r="65" spans="1:13" x14ac:dyDescent="0.25">
      <c r="A65" t="s">
        <v>124</v>
      </c>
      <c r="B65" t="s">
        <v>30</v>
      </c>
      <c r="C65" s="25" t="s">
        <v>125</v>
      </c>
      <c r="D65" s="2">
        <f>915.359+608.2121</f>
        <v>1523.5711000000001</v>
      </c>
      <c r="E65" s="57">
        <f t="shared" si="19"/>
        <v>32.025317426932027</v>
      </c>
      <c r="F65" s="3">
        <f>28630.6+20162.2481</f>
        <v>48792.848100000003</v>
      </c>
      <c r="G65" s="56">
        <v>77936.641799999998</v>
      </c>
      <c r="H65" s="57">
        <f t="shared" si="16"/>
        <v>51.153925012098213</v>
      </c>
      <c r="I65" s="57">
        <f t="shared" si="17"/>
        <v>29143.793699999995</v>
      </c>
      <c r="J65" s="6">
        <f t="shared" si="18"/>
        <v>0.59729642426837537</v>
      </c>
      <c r="K65" s="1">
        <v>45817</v>
      </c>
      <c r="L65" s="1">
        <v>45967</v>
      </c>
      <c r="M65">
        <f t="shared" si="20"/>
        <v>147</v>
      </c>
    </row>
    <row r="66" spans="1:13" x14ac:dyDescent="0.25">
      <c r="A66" t="s">
        <v>146</v>
      </c>
      <c r="B66" t="s">
        <v>30</v>
      </c>
      <c r="C66" s="25" t="s">
        <v>147</v>
      </c>
      <c r="D66" s="2">
        <v>776.60839999999996</v>
      </c>
      <c r="E66" s="57">
        <f t="shared" si="19"/>
        <v>71.667432389348349</v>
      </c>
      <c r="F66" s="3">
        <v>55657.53</v>
      </c>
      <c r="G66" s="56">
        <v>51251.39</v>
      </c>
      <c r="H66" s="57">
        <f t="shared" si="16"/>
        <v>65.993865119151437</v>
      </c>
      <c r="I66" s="57">
        <f t="shared" si="17"/>
        <v>-4406.1399999999994</v>
      </c>
      <c r="J66" s="6">
        <f t="shared" si="18"/>
        <v>-7.9165209092103075E-2</v>
      </c>
      <c r="K66" s="1">
        <v>45957</v>
      </c>
      <c r="L66" s="1">
        <v>45968</v>
      </c>
      <c r="M66">
        <f t="shared" si="20"/>
        <v>10</v>
      </c>
    </row>
    <row r="67" spans="1:13" x14ac:dyDescent="0.25">
      <c r="A67" t="s">
        <v>148</v>
      </c>
      <c r="B67" t="s">
        <v>30</v>
      </c>
      <c r="C67" s="25" t="s">
        <v>149</v>
      </c>
      <c r="D67" s="2">
        <v>364.21120000000002</v>
      </c>
      <c r="E67" s="57">
        <f t="shared" si="19"/>
        <v>104.6290998190061</v>
      </c>
      <c r="F67" s="3">
        <v>38107.089999999997</v>
      </c>
      <c r="G67" s="56">
        <v>36324.28</v>
      </c>
      <c r="H67" s="57">
        <f t="shared" si="16"/>
        <v>99.734110318408653</v>
      </c>
      <c r="I67" s="57">
        <f t="shared" si="17"/>
        <v>-1782.8099999999977</v>
      </c>
      <c r="J67" s="6">
        <f t="shared" si="18"/>
        <v>-4.67842073482913E-2</v>
      </c>
      <c r="K67" s="1">
        <v>45968</v>
      </c>
      <c r="L67" s="1">
        <v>45975</v>
      </c>
      <c r="M67">
        <f t="shared" si="20"/>
        <v>7</v>
      </c>
    </row>
    <row r="68" spans="1:13" x14ac:dyDescent="0.25">
      <c r="A68" t="s">
        <v>134</v>
      </c>
      <c r="B68" t="s">
        <v>30</v>
      </c>
      <c r="C68" s="25" t="s">
        <v>135</v>
      </c>
      <c r="D68" s="2">
        <v>148.3219</v>
      </c>
      <c r="E68" s="57">
        <f t="shared" si="19"/>
        <v>462.8461474670969</v>
      </c>
      <c r="F68" s="3">
        <v>68650.22</v>
      </c>
      <c r="G68" s="56">
        <v>78515.009999999995</v>
      </c>
      <c r="H68" s="57">
        <f t="shared" si="16"/>
        <v>529.3554761636683</v>
      </c>
      <c r="I68" s="57">
        <f t="shared" si="17"/>
        <v>9864.7899999999936</v>
      </c>
      <c r="J68" s="6">
        <f t="shared" si="18"/>
        <v>0.14369640767356598</v>
      </c>
      <c r="K68" s="1">
        <v>45895</v>
      </c>
      <c r="L68" s="1">
        <v>45979</v>
      </c>
      <c r="M68">
        <f t="shared" si="20"/>
        <v>82</v>
      </c>
    </row>
    <row r="69" spans="1:13" x14ac:dyDescent="0.25">
      <c r="A69" t="s">
        <v>138</v>
      </c>
      <c r="B69" t="s">
        <v>30</v>
      </c>
      <c r="C69" s="25" t="s">
        <v>139</v>
      </c>
      <c r="D69" s="2">
        <v>278.13279999999997</v>
      </c>
      <c r="E69" s="57">
        <f t="shared" si="19"/>
        <v>180.33004377764865</v>
      </c>
      <c r="F69" s="3">
        <v>50155.7</v>
      </c>
      <c r="G69" s="56">
        <v>42915.85</v>
      </c>
      <c r="H69" s="57">
        <f t="shared" si="16"/>
        <v>154.29985244458763</v>
      </c>
      <c r="I69" s="57">
        <f t="shared" si="17"/>
        <v>-7239.8499999999985</v>
      </c>
      <c r="J69" s="6">
        <f t="shared" si="18"/>
        <v>-0.1443475018791483</v>
      </c>
      <c r="K69" s="1">
        <v>45981</v>
      </c>
      <c r="L69" s="1">
        <v>45982</v>
      </c>
      <c r="M69">
        <f t="shared" si="20"/>
        <v>1</v>
      </c>
    </row>
    <row r="70" spans="1:13" x14ac:dyDescent="0.25">
      <c r="A70" t="s">
        <v>140</v>
      </c>
      <c r="B70" t="s">
        <v>30</v>
      </c>
      <c r="C70" s="25" t="s">
        <v>141</v>
      </c>
      <c r="D70" s="2">
        <f>595.1582+306.9859</f>
        <v>902.14409999999998</v>
      </c>
      <c r="E70" s="57">
        <f t="shared" si="19"/>
        <v>79.475584887159386</v>
      </c>
      <c r="F70" s="3">
        <f>46827.05+24871.38</f>
        <v>71698.430000000008</v>
      </c>
      <c r="G70" s="56">
        <v>71579.09</v>
      </c>
      <c r="H70" s="57">
        <f t="shared" si="16"/>
        <v>79.343300033775094</v>
      </c>
      <c r="I70" s="57">
        <f t="shared" si="17"/>
        <v>-119.34000000001106</v>
      </c>
      <c r="J70" s="6">
        <f t="shared" si="18"/>
        <v>-1.6644715930322471E-3</v>
      </c>
      <c r="K70" s="1">
        <v>45897</v>
      </c>
      <c r="L70" s="1">
        <v>45982</v>
      </c>
      <c r="M70">
        <f t="shared" si="20"/>
        <v>83</v>
      </c>
    </row>
    <row r="71" spans="1:13" x14ac:dyDescent="0.25">
      <c r="C71" s="25"/>
      <c r="D71" s="2"/>
      <c r="E71" s="57"/>
      <c r="F71" s="3"/>
      <c r="G71" s="56"/>
      <c r="H71" s="57"/>
      <c r="I71" s="57"/>
      <c r="J71" s="6"/>
      <c r="K71" s="1"/>
      <c r="L71" s="1"/>
    </row>
    <row r="72" spans="1:13" x14ac:dyDescent="0.25">
      <c r="C72" s="25"/>
      <c r="D72" s="2"/>
      <c r="E72" s="57"/>
      <c r="F72" s="3"/>
      <c r="G72" s="56"/>
      <c r="H72" s="57"/>
      <c r="I72" s="57"/>
      <c r="J72" s="6"/>
      <c r="K72" s="1"/>
      <c r="L72" s="1"/>
    </row>
    <row r="73" spans="1:13" x14ac:dyDescent="0.25">
      <c r="C73" s="25"/>
      <c r="D73" s="2"/>
      <c r="E73" s="57"/>
      <c r="F73" s="3"/>
      <c r="G73" s="56"/>
      <c r="H73" s="57"/>
      <c r="I73" s="57"/>
      <c r="J73" s="6"/>
      <c r="K73" s="1"/>
      <c r="L73" s="1"/>
    </row>
    <row r="74" spans="1:13" x14ac:dyDescent="0.25">
      <c r="C74" s="25"/>
      <c r="D74" s="2"/>
      <c r="E74" s="57"/>
      <c r="F74" s="3"/>
      <c r="G74" s="56"/>
      <c r="H74" s="57"/>
      <c r="I74" s="57"/>
      <c r="J74" s="6"/>
      <c r="K74" s="1"/>
      <c r="L74" s="1"/>
    </row>
    <row r="75" spans="1:13" x14ac:dyDescent="0.25">
      <c r="C75" s="25"/>
      <c r="D75" s="2"/>
      <c r="E75" s="57"/>
      <c r="F75" s="3"/>
      <c r="G75" s="56"/>
      <c r="H75" s="57"/>
      <c r="I75" s="57"/>
      <c r="J75" s="6"/>
      <c r="K75" s="1"/>
      <c r="L75" s="1"/>
    </row>
    <row r="76" spans="1:13" x14ac:dyDescent="0.25">
      <c r="F76" s="56"/>
      <c r="G76" s="56"/>
      <c r="H76" s="3"/>
      <c r="I76" s="3">
        <f>SUM(I26:I64)</f>
        <v>120384.02476708277</v>
      </c>
      <c r="J76" s="13" t="s">
        <v>66</v>
      </c>
    </row>
    <row r="77" spans="1:13" x14ac:dyDescent="0.25">
      <c r="F77" s="56"/>
      <c r="G77" s="56"/>
      <c r="H77" s="3" t="s">
        <v>67</v>
      </c>
      <c r="I77" s="59">
        <v>29</v>
      </c>
      <c r="J77" s="5">
        <v>-9.5799999999999996E-2</v>
      </c>
    </row>
    <row r="78" spans="1:13" x14ac:dyDescent="0.25">
      <c r="F78" s="56"/>
      <c r="G78" s="56"/>
      <c r="H78" s="3" t="s">
        <v>68</v>
      </c>
      <c r="I78" s="59">
        <v>16</v>
      </c>
      <c r="J78" s="5">
        <v>0.37630000000000002</v>
      </c>
    </row>
    <row r="79" spans="1:13" x14ac:dyDescent="0.25">
      <c r="F79" s="56"/>
      <c r="G79" s="56"/>
      <c r="J79" s="6"/>
    </row>
    <row r="80" spans="1:13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  <c r="J86" s="6"/>
    </row>
    <row r="87" spans="6:10" x14ac:dyDescent="0.25">
      <c r="F87" s="56"/>
      <c r="G87" s="56"/>
      <c r="J87" s="6"/>
    </row>
    <row r="88" spans="6:10" x14ac:dyDescent="0.25">
      <c r="F88" s="56"/>
      <c r="G88" s="56"/>
      <c r="J88" s="6"/>
    </row>
    <row r="89" spans="6:10" x14ac:dyDescent="0.25">
      <c r="F89" s="56"/>
      <c r="G89" s="56"/>
      <c r="J89" s="6"/>
    </row>
    <row r="90" spans="6:10" x14ac:dyDescent="0.25">
      <c r="F90" s="56"/>
      <c r="G90" s="56"/>
      <c r="J90" s="6"/>
    </row>
    <row r="91" spans="6:10" x14ac:dyDescent="0.25">
      <c r="F91" s="56"/>
      <c r="G91" s="56"/>
      <c r="J91" s="6"/>
    </row>
    <row r="92" spans="6:10" x14ac:dyDescent="0.25">
      <c r="F92" s="56"/>
      <c r="G92" s="56"/>
      <c r="J92" s="6"/>
    </row>
    <row r="93" spans="6:10" x14ac:dyDescent="0.25">
      <c r="F93" s="56"/>
      <c r="G93" s="56"/>
      <c r="J93" s="6"/>
    </row>
    <row r="94" spans="6:10" x14ac:dyDescent="0.25">
      <c r="F94" s="56"/>
      <c r="G94" s="56"/>
      <c r="J94" s="6"/>
    </row>
    <row r="95" spans="6:10" x14ac:dyDescent="0.25">
      <c r="F95" s="56"/>
      <c r="G95" s="56"/>
      <c r="J95" s="6"/>
    </row>
    <row r="96" spans="6:10" x14ac:dyDescent="0.25">
      <c r="F96" s="56"/>
      <c r="G96" s="56"/>
      <c r="J96" s="6"/>
    </row>
    <row r="97" spans="6:10" x14ac:dyDescent="0.25">
      <c r="F97" s="56"/>
      <c r="G97" s="56"/>
      <c r="J97" s="6"/>
    </row>
    <row r="98" spans="6:10" x14ac:dyDescent="0.25">
      <c r="F98" s="56"/>
      <c r="G98" s="56"/>
      <c r="J98" s="6"/>
    </row>
    <row r="99" spans="6:10" x14ac:dyDescent="0.25">
      <c r="F99" s="56"/>
      <c r="G99" s="56"/>
      <c r="J99" s="6"/>
    </row>
    <row r="100" spans="6:10" x14ac:dyDescent="0.25">
      <c r="F100" s="56"/>
      <c r="G100" s="56"/>
      <c r="J100" s="6"/>
    </row>
    <row r="101" spans="6:10" x14ac:dyDescent="0.25">
      <c r="F101" s="56"/>
      <c r="G101" s="56"/>
      <c r="J101" s="6"/>
    </row>
    <row r="102" spans="6:10" x14ac:dyDescent="0.25">
      <c r="F102" s="56"/>
      <c r="G102" s="56"/>
    </row>
    <row r="103" spans="6:10" x14ac:dyDescent="0.25">
      <c r="F103" s="56"/>
      <c r="G103" s="56"/>
    </row>
    <row r="104" spans="6:10" x14ac:dyDescent="0.25">
      <c r="F104" s="56"/>
      <c r="G104" s="56"/>
    </row>
    <row r="105" spans="6:10" x14ac:dyDescent="0.25">
      <c r="F105" s="56"/>
      <c r="G105" s="56"/>
    </row>
    <row r="106" spans="6:10" x14ac:dyDescent="0.25">
      <c r="F106" s="56"/>
      <c r="G106" s="56"/>
    </row>
    <row r="107" spans="6:10" x14ac:dyDescent="0.25">
      <c r="F107" s="56"/>
      <c r="G107" s="56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6F257-321C-429E-98E3-37B5DA8ADA83}">
  <dimension ref="A1:AC10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46010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150</v>
      </c>
      <c r="B7" t="s">
        <v>30</v>
      </c>
      <c r="C7" s="25" t="s">
        <v>151</v>
      </c>
      <c r="D7" s="2">
        <v>288.58530000000002</v>
      </c>
      <c r="E7" s="26">
        <v>273.67</v>
      </c>
      <c r="F7" s="3">
        <f>E7*D7</f>
        <v>78977.139051000006</v>
      </c>
      <c r="G7" s="3">
        <v>78305</v>
      </c>
      <c r="H7" s="4">
        <f>G7/D7</f>
        <v>271.34091722620656</v>
      </c>
      <c r="I7" s="3">
        <f>F7-G7</f>
        <v>672.13905100000557</v>
      </c>
      <c r="J7" s="26">
        <f>E7-H7</f>
        <v>2.3290827737934592</v>
      </c>
      <c r="K7" s="27">
        <v>45971</v>
      </c>
      <c r="L7">
        <f>DAYS360(K7,$C$1)</f>
        <v>39</v>
      </c>
      <c r="M7" s="5">
        <f>(I7/G7)</f>
        <v>8.5836032309559492E-3</v>
      </c>
      <c r="N7" s="9">
        <v>69</v>
      </c>
      <c r="O7">
        <v>84</v>
      </c>
      <c r="P7" s="63">
        <v>84</v>
      </c>
      <c r="Q7" s="28">
        <v>259.24</v>
      </c>
      <c r="R7" s="29">
        <f>Q7*0.93</f>
        <v>241.09320000000002</v>
      </c>
      <c r="S7" s="29">
        <v>255.43</v>
      </c>
      <c r="T7" s="28">
        <f>Q7*1.25</f>
        <v>324.05</v>
      </c>
      <c r="U7" s="28">
        <f>Q7*1.5</f>
        <v>388.86</v>
      </c>
      <c r="V7" s="28">
        <f>Q7*2</f>
        <v>518.48</v>
      </c>
      <c r="W7" s="28">
        <f>H7-(H7*0.07)</f>
        <v>252.3470530203721</v>
      </c>
      <c r="X7" s="29">
        <v>265</v>
      </c>
      <c r="Y7" s="5">
        <f>(X7-H7)/H7</f>
        <v>-2.3368820637251611E-2</v>
      </c>
      <c r="Z7" s="6">
        <f>F7/F$20</f>
        <v>0.12818505829343174</v>
      </c>
      <c r="AB7" s="58">
        <v>46051</v>
      </c>
      <c r="AC7" s="63">
        <v>90</v>
      </c>
    </row>
    <row r="8" spans="1:29" x14ac:dyDescent="0.25">
      <c r="A8" t="s">
        <v>134</v>
      </c>
      <c r="B8" t="s">
        <v>30</v>
      </c>
      <c r="C8" s="25" t="s">
        <v>152</v>
      </c>
      <c r="D8" s="2">
        <v>90.343400000000003</v>
      </c>
      <c r="E8" s="26">
        <v>721.37</v>
      </c>
      <c r="F8" s="3">
        <f>E8*D8</f>
        <v>65171.018457999999</v>
      </c>
      <c r="G8" s="3">
        <v>61276.76</v>
      </c>
      <c r="H8" s="4">
        <f>G8/D8</f>
        <v>678.26493136189254</v>
      </c>
      <c r="I8" s="3">
        <f>F8-G8</f>
        <v>3894.2584579999966</v>
      </c>
      <c r="J8" s="26">
        <f>E8-H8</f>
        <v>43.105068638107468</v>
      </c>
      <c r="K8" s="27">
        <v>45995</v>
      </c>
      <c r="L8">
        <f t="shared" ref="L8:L9" si="0">DAYS360(K8,$C$1)</f>
        <v>15</v>
      </c>
      <c r="M8" s="5">
        <f>(I8/G8)</f>
        <v>6.355196420306812E-2</v>
      </c>
      <c r="N8" s="9">
        <v>45</v>
      </c>
      <c r="O8">
        <v>96</v>
      </c>
      <c r="P8" s="33">
        <v>80</v>
      </c>
      <c r="Q8" s="28">
        <v>675</v>
      </c>
      <c r="R8" s="29">
        <f>Q8*0.93</f>
        <v>627.75</v>
      </c>
      <c r="S8" s="29">
        <v>489.3</v>
      </c>
      <c r="T8" s="28">
        <f>Q8*1.25</f>
        <v>843.75</v>
      </c>
      <c r="U8" s="28">
        <f>Q8*1.5</f>
        <v>1012.5</v>
      </c>
      <c r="V8" s="28">
        <f>Q8*2</f>
        <v>1350</v>
      </c>
      <c r="W8" s="28">
        <f>H8-(H8*0.07)</f>
        <v>630.78638616656008</v>
      </c>
      <c r="X8" s="29">
        <v>650</v>
      </c>
      <c r="Y8" s="5">
        <f>(X8-H8)/H8</f>
        <v>-4.1672405655912653E-2</v>
      </c>
      <c r="Z8" s="32">
        <f>F8/F$20</f>
        <v>0.10577682226101438</v>
      </c>
      <c r="AB8" s="58">
        <v>46071</v>
      </c>
      <c r="AC8" s="9">
        <v>98</v>
      </c>
    </row>
    <row r="9" spans="1:29" x14ac:dyDescent="0.25">
      <c r="A9" t="s">
        <v>71</v>
      </c>
      <c r="B9" t="s">
        <v>30</v>
      </c>
      <c r="C9" s="25" t="s">
        <v>72</v>
      </c>
      <c r="D9" s="2">
        <f>97.1506+30.2251</f>
        <v>127.37569999999999</v>
      </c>
      <c r="E9" s="26">
        <v>658.28</v>
      </c>
      <c r="F9" s="3">
        <f>E9*D9</f>
        <v>83848.875795999993</v>
      </c>
      <c r="G9" s="3">
        <f>61467.93+20488.3849</f>
        <v>81956.314899999998</v>
      </c>
      <c r="H9" s="4">
        <f>G9/D9</f>
        <v>643.42189993852833</v>
      </c>
      <c r="I9" s="3">
        <f>F9-G9</f>
        <v>1892.5608959999954</v>
      </c>
      <c r="J9" s="26">
        <f>E9-H9</f>
        <v>14.858100061471646</v>
      </c>
      <c r="K9" s="27">
        <v>46000</v>
      </c>
      <c r="L9">
        <f t="shared" si="0"/>
        <v>10</v>
      </c>
      <c r="M9" s="5">
        <f>(I9/G9)</f>
        <v>2.3092313244064556E-2</v>
      </c>
      <c r="N9" s="9">
        <v>52</v>
      </c>
      <c r="O9">
        <v>92</v>
      </c>
      <c r="P9" s="63">
        <v>40</v>
      </c>
      <c r="Q9" s="28">
        <v>664.69</v>
      </c>
      <c r="R9" s="29">
        <f>Q9*0.93</f>
        <v>618.16170000000011</v>
      </c>
      <c r="S9" s="29">
        <v>555.84</v>
      </c>
      <c r="T9" s="28">
        <f>Q9*1.25</f>
        <v>830.86250000000007</v>
      </c>
      <c r="U9" s="28">
        <f>Q9*1.5</f>
        <v>997.03500000000008</v>
      </c>
      <c r="V9" s="28">
        <f>Q9*2</f>
        <v>1329.38</v>
      </c>
      <c r="W9" s="28">
        <f>H9-(H9*0.07)</f>
        <v>598.38236694283137</v>
      </c>
      <c r="X9" s="29">
        <v>630</v>
      </c>
      <c r="Y9" s="5">
        <f>(X9-H9)/H9</f>
        <v>-2.0860185113081537E-2</v>
      </c>
      <c r="Z9" s="6">
        <f>F9/F$20</f>
        <v>0.1360922054267916</v>
      </c>
      <c r="AB9" s="58">
        <v>46048</v>
      </c>
      <c r="AC9" s="9">
        <v>76</v>
      </c>
    </row>
    <row r="10" spans="1:29" x14ac:dyDescent="0.25">
      <c r="A10" t="s">
        <v>153</v>
      </c>
      <c r="B10" t="s">
        <v>30</v>
      </c>
      <c r="C10" s="25" t="s">
        <v>154</v>
      </c>
      <c r="D10" s="2">
        <v>129.2645</v>
      </c>
      <c r="E10" s="26">
        <v>481.2</v>
      </c>
      <c r="F10" s="3">
        <f>E10*D10</f>
        <v>62202.077399999995</v>
      </c>
      <c r="G10" s="3">
        <v>61897.919999999998</v>
      </c>
      <c r="H10" s="4">
        <f>G10/D10</f>
        <v>478.84701522846564</v>
      </c>
      <c r="I10" s="3">
        <f>F10-G10</f>
        <v>304.15739999999641</v>
      </c>
      <c r="J10" s="26">
        <f>E10-H10</f>
        <v>2.3529847715343521</v>
      </c>
      <c r="K10" s="27">
        <v>46006</v>
      </c>
      <c r="L10">
        <f>DAYS360(K10,$C$1)</f>
        <v>4</v>
      </c>
      <c r="M10" s="5">
        <f>(I10/G10)</f>
        <v>4.9138549405213687E-3</v>
      </c>
      <c r="N10" s="33">
        <v>27</v>
      </c>
      <c r="O10">
        <v>92</v>
      </c>
      <c r="P10" s="64">
        <v>45</v>
      </c>
      <c r="Q10" s="28">
        <v>458.87</v>
      </c>
      <c r="R10" s="29">
        <f>Q10*0.93</f>
        <v>426.7491</v>
      </c>
      <c r="S10" s="29">
        <v>435.25</v>
      </c>
      <c r="T10" s="31">
        <f>Q10*1.25</f>
        <v>573.58749999999998</v>
      </c>
      <c r="U10" s="28">
        <f>Q10*1.5</f>
        <v>688.30500000000006</v>
      </c>
      <c r="V10" s="28">
        <f>Q10*2</f>
        <v>917.74</v>
      </c>
      <c r="W10" s="28">
        <f>H10-(H10*0.07)</f>
        <v>445.32772416247303</v>
      </c>
      <c r="X10" s="29">
        <v>445</v>
      </c>
      <c r="Y10" s="5">
        <f>(X10-H10)/H10</f>
        <v>-7.0684402642285829E-2</v>
      </c>
      <c r="Z10" s="6">
        <f>F10/F$20</f>
        <v>0.10095803688637914</v>
      </c>
      <c r="AB10" s="67">
        <v>46050</v>
      </c>
      <c r="AC10" s="33">
        <v>75</v>
      </c>
    </row>
    <row r="11" spans="1:29" x14ac:dyDescent="0.25">
      <c r="A11" t="s">
        <v>155</v>
      </c>
      <c r="B11" t="s">
        <v>30</v>
      </c>
      <c r="C11" s="25" t="s">
        <v>156</v>
      </c>
      <c r="D11" s="2">
        <v>747.35059999999999</v>
      </c>
      <c r="E11" s="26">
        <v>81.33</v>
      </c>
      <c r="F11" s="3">
        <f>E11*D11</f>
        <v>60782.024297999997</v>
      </c>
      <c r="G11" s="3">
        <v>61420</v>
      </c>
      <c r="H11" s="4">
        <f>G11/D11</f>
        <v>82.183649815762507</v>
      </c>
      <c r="I11" s="3">
        <f>F11-G11</f>
        <v>-637.97570200000337</v>
      </c>
      <c r="J11" s="26">
        <f>E11-H11</f>
        <v>-0.85364981576250898</v>
      </c>
      <c r="K11" s="27">
        <v>46009</v>
      </c>
      <c r="L11">
        <f>DAYS360(K11,$C$1)</f>
        <v>1</v>
      </c>
      <c r="M11" s="5">
        <f>(I11/G11)</f>
        <v>-1.0387100325626886E-2</v>
      </c>
      <c r="N11" s="9">
        <v>42</v>
      </c>
      <c r="O11">
        <v>90</v>
      </c>
      <c r="P11" s="64">
        <v>94</v>
      </c>
      <c r="Q11" s="28">
        <v>79.92</v>
      </c>
      <c r="R11" s="29">
        <f>Q11*0.93</f>
        <v>74.325600000000009</v>
      </c>
      <c r="S11" s="29">
        <v>73.66</v>
      </c>
      <c r="T11" s="31">
        <f>Q11*1.25</f>
        <v>99.9</v>
      </c>
      <c r="U11" s="28">
        <f>Q11*1.5</f>
        <v>119.88</v>
      </c>
      <c r="V11" s="28">
        <f>Q11*2</f>
        <v>159.84</v>
      </c>
      <c r="W11" s="28">
        <f>H11-(H11*0.07)</f>
        <v>76.430794328659132</v>
      </c>
      <c r="X11" s="29">
        <v>77</v>
      </c>
      <c r="Y11" s="5">
        <f>(X11-H11)/H11</f>
        <v>-6.3073979159882762E-2</v>
      </c>
      <c r="Z11" s="6">
        <f>F11/F$20</f>
        <v>9.865319789313462E-2</v>
      </c>
      <c r="AB11" s="58">
        <v>46084</v>
      </c>
      <c r="AC11" s="9">
        <v>98</v>
      </c>
    </row>
    <row r="12" spans="1:29" x14ac:dyDescent="0.25">
      <c r="C12" s="25"/>
      <c r="D12" s="2"/>
      <c r="E12" s="26"/>
      <c r="F12" s="3">
        <f t="shared" ref="F12:F17" si="1">E12*D12</f>
        <v>0</v>
      </c>
      <c r="G12" s="3"/>
      <c r="H12" s="4" t="e">
        <f t="shared" ref="H12:H17" si="2">G12/D12</f>
        <v>#DIV/0!</v>
      </c>
      <c r="I12" s="3">
        <f t="shared" ref="I12:I17" si="3">F12-G12</f>
        <v>0</v>
      </c>
      <c r="J12" s="26" t="e">
        <f t="shared" ref="J12:J17" si="4">E12-H12</f>
        <v>#DIV/0!</v>
      </c>
      <c r="K12" s="27"/>
      <c r="L12">
        <f t="shared" ref="L12:L17" si="5">DAYS360(K12,$C$1)</f>
        <v>45349</v>
      </c>
      <c r="M12" s="5" t="e">
        <f t="shared" ref="M12:M17" si="6">(I12/G12)</f>
        <v>#DIV/0!</v>
      </c>
      <c r="P12" s="63"/>
      <c r="Q12" s="28"/>
      <c r="R12" s="29">
        <f t="shared" ref="R12:R17" si="7">Q12*0.93</f>
        <v>0</v>
      </c>
      <c r="S12" s="29"/>
      <c r="T12" s="31">
        <f t="shared" ref="T12:T17" si="8">Q12*1.25</f>
        <v>0</v>
      </c>
      <c r="U12" s="28">
        <f t="shared" ref="U12:U17" si="9">Q12*1.5</f>
        <v>0</v>
      </c>
      <c r="V12" s="28">
        <f t="shared" ref="V12:V17" si="10">Q12*2</f>
        <v>0</v>
      </c>
      <c r="W12" s="28" t="e">
        <f t="shared" ref="W12:W17" si="11">H12-(H12*0.07)</f>
        <v>#DIV/0!</v>
      </c>
      <c r="X12" s="29"/>
      <c r="Y12" s="5" t="e">
        <f t="shared" ref="Y12:Y17" si="12">(X12-H12)/H12</f>
        <v>#DIV/0!</v>
      </c>
      <c r="Z12" s="6">
        <f t="shared" ref="Z12:Z17" si="13">F12/F$20</f>
        <v>0</v>
      </c>
      <c r="AB12" s="58"/>
      <c r="AC12" s="9"/>
    </row>
    <row r="13" spans="1:29" x14ac:dyDescent="0.25">
      <c r="C13" s="25"/>
      <c r="D13" s="2"/>
      <c r="E13" s="26"/>
      <c r="F13" s="3">
        <f t="shared" si="1"/>
        <v>0</v>
      </c>
      <c r="G13" s="3"/>
      <c r="H13" s="4" t="e">
        <f t="shared" si="2"/>
        <v>#DIV/0!</v>
      </c>
      <c r="I13" s="3">
        <f t="shared" si="3"/>
        <v>0</v>
      </c>
      <c r="J13" s="26" t="e">
        <f t="shared" si="4"/>
        <v>#DIV/0!</v>
      </c>
      <c r="K13" s="27"/>
      <c r="L13">
        <f t="shared" si="5"/>
        <v>45349</v>
      </c>
      <c r="M13" s="5" t="e">
        <f t="shared" si="6"/>
        <v>#DIV/0!</v>
      </c>
      <c r="P13" s="63"/>
      <c r="Q13" s="28"/>
      <c r="R13" s="29">
        <f t="shared" si="7"/>
        <v>0</v>
      </c>
      <c r="S13" s="29"/>
      <c r="T13" s="31">
        <f t="shared" si="8"/>
        <v>0</v>
      </c>
      <c r="U13" s="28">
        <f t="shared" si="9"/>
        <v>0</v>
      </c>
      <c r="V13" s="28">
        <f t="shared" si="10"/>
        <v>0</v>
      </c>
      <c r="W13" s="28" t="e">
        <f t="shared" si="11"/>
        <v>#DIV/0!</v>
      </c>
      <c r="X13" s="29"/>
      <c r="Y13" s="5" t="e">
        <f t="shared" si="12"/>
        <v>#DIV/0!</v>
      </c>
      <c r="Z13" s="32">
        <f t="shared" si="13"/>
        <v>0</v>
      </c>
      <c r="AB13" s="58"/>
      <c r="AC13" s="9"/>
    </row>
    <row r="14" spans="1:29" x14ac:dyDescent="0.25">
      <c r="C14" s="25"/>
      <c r="D14" s="2"/>
      <c r="E14" s="26"/>
      <c r="F14" s="3">
        <f t="shared" si="1"/>
        <v>0</v>
      </c>
      <c r="G14" s="3"/>
      <c r="H14" s="4" t="e">
        <f t="shared" si="2"/>
        <v>#DIV/0!</v>
      </c>
      <c r="I14" s="3">
        <f t="shared" si="3"/>
        <v>0</v>
      </c>
      <c r="J14" s="26" t="e">
        <f t="shared" si="4"/>
        <v>#DIV/0!</v>
      </c>
      <c r="K14" s="27"/>
      <c r="L14">
        <f t="shared" si="5"/>
        <v>45349</v>
      </c>
      <c r="M14" s="5" t="e">
        <f t="shared" si="6"/>
        <v>#DIV/0!</v>
      </c>
      <c r="P14" s="63"/>
      <c r="Q14" s="28"/>
      <c r="R14" s="29">
        <f t="shared" si="7"/>
        <v>0</v>
      </c>
      <c r="S14" s="29"/>
      <c r="T14" s="28">
        <f t="shared" si="8"/>
        <v>0</v>
      </c>
      <c r="U14" s="28">
        <f t="shared" si="9"/>
        <v>0</v>
      </c>
      <c r="V14" s="28">
        <f t="shared" si="10"/>
        <v>0</v>
      </c>
      <c r="W14" s="28" t="e">
        <f t="shared" si="11"/>
        <v>#DIV/0!</v>
      </c>
      <c r="X14" s="29"/>
      <c r="Y14" s="5" t="e">
        <f t="shared" si="12"/>
        <v>#DIV/0!</v>
      </c>
      <c r="Z14" s="6">
        <f t="shared" si="13"/>
        <v>0</v>
      </c>
      <c r="AB14" s="58"/>
      <c r="AC14" s="9"/>
    </row>
    <row r="15" spans="1:29" x14ac:dyDescent="0.25">
      <c r="C15" s="25"/>
      <c r="D15" s="2"/>
      <c r="E15" s="26"/>
      <c r="F15" s="3">
        <f t="shared" si="1"/>
        <v>0</v>
      </c>
      <c r="G15" s="3"/>
      <c r="H15" s="4" t="e">
        <f t="shared" si="2"/>
        <v>#DIV/0!</v>
      </c>
      <c r="I15" s="3">
        <f t="shared" si="3"/>
        <v>0</v>
      </c>
      <c r="J15" s="26" t="e">
        <f t="shared" si="4"/>
        <v>#DIV/0!</v>
      </c>
      <c r="K15" s="27"/>
      <c r="L15">
        <f t="shared" si="5"/>
        <v>45349</v>
      </c>
      <c r="M15" s="5" t="e">
        <f t="shared" si="6"/>
        <v>#DIV/0!</v>
      </c>
      <c r="P15" s="63"/>
      <c r="Q15" s="28"/>
      <c r="R15" s="29">
        <f t="shared" si="7"/>
        <v>0</v>
      </c>
      <c r="S15" s="29"/>
      <c r="T15" s="28">
        <f t="shared" si="8"/>
        <v>0</v>
      </c>
      <c r="U15" s="28">
        <f t="shared" si="9"/>
        <v>0</v>
      </c>
      <c r="V15" s="28">
        <f t="shared" si="10"/>
        <v>0</v>
      </c>
      <c r="W15" s="28" t="e">
        <f t="shared" si="11"/>
        <v>#DIV/0!</v>
      </c>
      <c r="X15" s="29"/>
      <c r="Y15" s="5" t="e">
        <f t="shared" si="12"/>
        <v>#DIV/0!</v>
      </c>
      <c r="Z15" s="32">
        <f t="shared" si="13"/>
        <v>0</v>
      </c>
      <c r="AB15" s="58"/>
      <c r="AC15" s="9"/>
    </row>
    <row r="16" spans="1:29" x14ac:dyDescent="0.25">
      <c r="C16" s="25"/>
      <c r="D16" s="2"/>
      <c r="E16" s="26"/>
      <c r="F16" s="3">
        <f t="shared" si="1"/>
        <v>0</v>
      </c>
      <c r="G16" s="3"/>
      <c r="H16" s="4" t="e">
        <f t="shared" si="2"/>
        <v>#DIV/0!</v>
      </c>
      <c r="I16" s="3">
        <f t="shared" si="3"/>
        <v>0</v>
      </c>
      <c r="J16" s="26" t="e">
        <f t="shared" si="4"/>
        <v>#DIV/0!</v>
      </c>
      <c r="K16" s="27"/>
      <c r="L16">
        <f t="shared" si="5"/>
        <v>45349</v>
      </c>
      <c r="M16" s="5" t="e">
        <f t="shared" si="6"/>
        <v>#DIV/0!</v>
      </c>
      <c r="P16" s="63"/>
      <c r="Q16" s="28"/>
      <c r="R16" s="29">
        <f t="shared" si="7"/>
        <v>0</v>
      </c>
      <c r="S16" s="29"/>
      <c r="T16" s="28">
        <f t="shared" si="8"/>
        <v>0</v>
      </c>
      <c r="U16" s="28">
        <f t="shared" si="9"/>
        <v>0</v>
      </c>
      <c r="V16" s="28">
        <f t="shared" si="10"/>
        <v>0</v>
      </c>
      <c r="W16" s="28" t="e">
        <f t="shared" si="11"/>
        <v>#DIV/0!</v>
      </c>
      <c r="X16" s="29"/>
      <c r="Y16" s="5" t="e">
        <f t="shared" si="12"/>
        <v>#DIV/0!</v>
      </c>
      <c r="Z16" s="32">
        <f t="shared" si="13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"/>
        <v>0</v>
      </c>
      <c r="G17" s="39"/>
      <c r="H17" s="40" t="e">
        <f t="shared" si="2"/>
        <v>#DIV/0!</v>
      </c>
      <c r="I17" s="39">
        <f t="shared" si="3"/>
        <v>0</v>
      </c>
      <c r="J17" s="38" t="e">
        <f t="shared" si="4"/>
        <v>#DIV/0!</v>
      </c>
      <c r="K17" s="41"/>
      <c r="L17" s="35">
        <f t="shared" si="5"/>
        <v>45349</v>
      </c>
      <c r="M17" s="42" t="e">
        <f t="shared" si="6"/>
        <v>#DIV/0!</v>
      </c>
      <c r="N17" s="35"/>
      <c r="O17" s="35"/>
      <c r="P17" s="65"/>
      <c r="Q17" s="44"/>
      <c r="R17" s="45">
        <f t="shared" si="7"/>
        <v>0</v>
      </c>
      <c r="S17" s="45"/>
      <c r="T17" s="46">
        <f t="shared" si="8"/>
        <v>0</v>
      </c>
      <c r="U17" s="44">
        <f t="shared" si="9"/>
        <v>0</v>
      </c>
      <c r="V17" s="44">
        <f t="shared" si="10"/>
        <v>0</v>
      </c>
      <c r="W17" s="44" t="e">
        <f t="shared" si="11"/>
        <v>#DIV/0!</v>
      </c>
      <c r="X17" s="45"/>
      <c r="Y17" s="42" t="e">
        <f t="shared" si="12"/>
        <v>#DIV/0!</v>
      </c>
      <c r="Z17" s="47">
        <f t="shared" si="13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350981.13500299997</v>
      </c>
      <c r="G18" s="3">
        <f>SUM(G6:G17)</f>
        <v>344855.99489999999</v>
      </c>
      <c r="H18" s="4"/>
      <c r="I18" s="3">
        <f>SUM(I6:I17)</f>
        <v>6125.1401029999906</v>
      </c>
      <c r="M18" s="5"/>
      <c r="Z18" s="6"/>
    </row>
    <row r="19" spans="1:29" x14ac:dyDescent="0.25">
      <c r="D19" s="2" t="s">
        <v>44</v>
      </c>
      <c r="F19" s="3">
        <v>265137</v>
      </c>
      <c r="G19" s="6">
        <f>F19/F20</f>
        <v>0.43033467923924845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616118.13500300003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'12-12-25'!F20</f>
        <v>614925.65680900007</v>
      </c>
      <c r="K21" s="1">
        <v>45657</v>
      </c>
      <c r="L21" s="50">
        <v>170762</v>
      </c>
      <c r="M21" s="50">
        <v>213151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1.9392233529302195E-3</v>
      </c>
      <c r="K22" s="9" t="s">
        <v>123</v>
      </c>
      <c r="L22" s="6">
        <f>(M21-L21)/L21</f>
        <v>0.24823438469917194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4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4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5">F28/D28</f>
        <v>44.698790833464948</v>
      </c>
      <c r="F28" s="3">
        <v>56489.42</v>
      </c>
      <c r="G28" s="56">
        <v>75501.87</v>
      </c>
      <c r="H28" s="57">
        <f t="shared" ref="H28:H70" si="16">G28/D28</f>
        <v>59.742909285764696</v>
      </c>
      <c r="I28" s="57">
        <f t="shared" ref="I28:I70" si="17">G28-F28</f>
        <v>19012.449999999997</v>
      </c>
      <c r="J28" s="6">
        <f t="shared" ref="J28:J70" si="18">I28/F28</f>
        <v>0.33656656414599401</v>
      </c>
      <c r="K28" s="1">
        <v>45527</v>
      </c>
      <c r="L28" s="1">
        <v>45688</v>
      </c>
      <c r="M28">
        <f t="shared" si="14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5"/>
        <v>169.90901206845703</v>
      </c>
      <c r="F29" s="3">
        <f>59492.79+21969.78</f>
        <v>81462.570000000007</v>
      </c>
      <c r="G29" s="56">
        <v>65047.58</v>
      </c>
      <c r="H29" s="57">
        <f t="shared" si="16"/>
        <v>135.67175765807443</v>
      </c>
      <c r="I29" s="57">
        <f t="shared" si="17"/>
        <v>-16414.990000000005</v>
      </c>
      <c r="J29" s="6">
        <f t="shared" si="18"/>
        <v>-0.20150346349249729</v>
      </c>
      <c r="K29" s="1">
        <v>45671</v>
      </c>
      <c r="L29" s="1">
        <v>45688</v>
      </c>
      <c r="M29">
        <f t="shared" si="14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5"/>
        <v>18.702010092477405</v>
      </c>
      <c r="F30" s="3">
        <v>56486.59</v>
      </c>
      <c r="G30" s="56">
        <v>71124.88</v>
      </c>
      <c r="H30" s="57">
        <f t="shared" si="16"/>
        <v>23.548566546258936</v>
      </c>
      <c r="I30" s="57">
        <f t="shared" si="17"/>
        <v>14638.290000000008</v>
      </c>
      <c r="J30" s="6">
        <f t="shared" si="18"/>
        <v>0.25914628587068206</v>
      </c>
      <c r="K30" s="1">
        <v>45527</v>
      </c>
      <c r="L30" s="1">
        <v>45691</v>
      </c>
      <c r="M30">
        <f t="shared" si="14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5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6"/>
        <v>38.249853000000002</v>
      </c>
      <c r="I31" s="57">
        <f t="shared" si="17"/>
        <v>-6110.386336591735</v>
      </c>
      <c r="J31" s="6">
        <f t="shared" si="18"/>
        <v>-0.10005621882176895</v>
      </c>
      <c r="K31" s="1">
        <v>45706</v>
      </c>
      <c r="L31" s="1">
        <v>45708</v>
      </c>
      <c r="M31">
        <f t="shared" si="14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5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6"/>
        <v>531.63995279999995</v>
      </c>
      <c r="I32" s="57">
        <f t="shared" si="17"/>
        <v>-22176.243614196137</v>
      </c>
      <c r="J32" s="6">
        <f t="shared" si="18"/>
        <v>-0.24194911929355969</v>
      </c>
      <c r="K32" s="1">
        <v>45706</v>
      </c>
      <c r="L32" s="1">
        <v>45708</v>
      </c>
      <c r="M32">
        <f t="shared" si="14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5"/>
        <v>368.56522253629635</v>
      </c>
      <c r="F33" s="3">
        <v>74438.86</v>
      </c>
      <c r="G33" s="56">
        <f>201.9693*360.5332483</f>
        <v>72816.647785877198</v>
      </c>
      <c r="H33" s="57">
        <f t="shared" si="16"/>
        <v>360.53324830000003</v>
      </c>
      <c r="I33" s="57">
        <f t="shared" si="17"/>
        <v>-1622.2122141228028</v>
      </c>
      <c r="J33" s="6">
        <f t="shared" si="18"/>
        <v>-2.1792545105107773E-2</v>
      </c>
      <c r="K33" s="1">
        <v>45664</v>
      </c>
      <c r="L33" s="1">
        <v>45708</v>
      </c>
      <c r="M33">
        <f t="shared" si="14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5"/>
        <v>30.17825528482809</v>
      </c>
      <c r="F34" s="3">
        <v>37884.65</v>
      </c>
      <c r="G34" s="56">
        <f>1255.3625*39.762296</f>
        <v>49916.0953123</v>
      </c>
      <c r="H34" s="57">
        <f t="shared" si="16"/>
        <v>39.762295999999999</v>
      </c>
      <c r="I34" s="57">
        <f t="shared" si="17"/>
        <v>12031.445312299998</v>
      </c>
      <c r="J34" s="6">
        <f t="shared" si="18"/>
        <v>0.31758100740801348</v>
      </c>
      <c r="K34" s="1">
        <v>45663</v>
      </c>
      <c r="L34" s="1">
        <v>45709</v>
      </c>
      <c r="M34">
        <f t="shared" si="14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5"/>
        <v>242.26930551548847</v>
      </c>
      <c r="F35" s="3">
        <v>61221.72</v>
      </c>
      <c r="G35" s="56">
        <f>252.7011*226.6146532</f>
        <v>57265.772139758519</v>
      </c>
      <c r="H35" s="57">
        <f t="shared" si="16"/>
        <v>226.61465319999999</v>
      </c>
      <c r="I35" s="57">
        <f t="shared" si="17"/>
        <v>-3955.947860241482</v>
      </c>
      <c r="J35" s="6">
        <f t="shared" si="18"/>
        <v>-6.4616738311852093E-2</v>
      </c>
      <c r="K35" s="1">
        <v>45699</v>
      </c>
      <c r="L35" s="1">
        <v>45709</v>
      </c>
      <c r="M35">
        <f t="shared" si="14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5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6"/>
        <v>283.93999450000007</v>
      </c>
      <c r="I36" s="57">
        <f t="shared" si="17"/>
        <v>19563.525282954361</v>
      </c>
      <c r="J36" s="6">
        <f t="shared" si="18"/>
        <v>0.36434300703793465</v>
      </c>
      <c r="K36" s="1">
        <v>45580</v>
      </c>
      <c r="L36" s="1">
        <v>45712</v>
      </c>
      <c r="M36">
        <f t="shared" si="14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5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6"/>
        <v>63.365330900000004</v>
      </c>
      <c r="I37" s="57">
        <f t="shared" si="17"/>
        <v>-4549.5912833559851</v>
      </c>
      <c r="J37" s="6">
        <f t="shared" si="18"/>
        <v>-5.9638082078758516E-2</v>
      </c>
      <c r="K37" s="1">
        <v>45673</v>
      </c>
      <c r="L37" s="1">
        <v>45712</v>
      </c>
      <c r="M37">
        <f t="shared" si="14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6"/>
        <v>50.021380499999999</v>
      </c>
      <c r="I38" s="57">
        <f t="shared" si="17"/>
        <v>6027.2875116823998</v>
      </c>
      <c r="J38" s="6">
        <f t="shared" si="18"/>
        <v>9.9771440635884723E-2</v>
      </c>
      <c r="K38" s="1">
        <v>45593</v>
      </c>
      <c r="L38" s="1">
        <v>45713</v>
      </c>
      <c r="M38">
        <f t="shared" si="14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6"/>
        <v>12.519992000000002</v>
      </c>
      <c r="I39" s="57">
        <f t="shared" si="17"/>
        <v>-2230.6527810991975</v>
      </c>
      <c r="J39" s="6">
        <f t="shared" si="18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6"/>
        <v>94.679995300000002</v>
      </c>
      <c r="I40" s="57">
        <f t="shared" si="17"/>
        <v>-4750.690604140058</v>
      </c>
      <c r="J40" s="6">
        <f t="shared" si="18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70" si="19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6"/>
        <v>18.9477051</v>
      </c>
      <c r="I41" s="57">
        <f t="shared" si="17"/>
        <v>-2244.5195874142191</v>
      </c>
      <c r="J41" s="6">
        <f t="shared" si="18"/>
        <v>-8.2776138273503941E-2</v>
      </c>
      <c r="K41" s="1">
        <v>45761</v>
      </c>
      <c r="L41" s="1">
        <v>45768</v>
      </c>
      <c r="M41">
        <f t="shared" ref="M41:M70" si="20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9"/>
        <v>96.336406065231671</v>
      </c>
      <c r="F42" s="3">
        <v>34004.42</v>
      </c>
      <c r="G42" s="56">
        <f>352.9758*89.7849585</f>
        <v>31691.9175545043</v>
      </c>
      <c r="H42" s="57">
        <f t="shared" si="16"/>
        <v>89.784958500000002</v>
      </c>
      <c r="I42" s="57">
        <f t="shared" si="17"/>
        <v>-2312.5024454956983</v>
      </c>
      <c r="J42" s="6">
        <f t="shared" si="18"/>
        <v>-6.8005937036882222E-2</v>
      </c>
      <c r="K42" s="1">
        <v>45762</v>
      </c>
      <c r="L42" s="1">
        <v>45768</v>
      </c>
      <c r="M42">
        <f t="shared" si="20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9"/>
        <v>16.992624876012847</v>
      </c>
      <c r="F43" s="3">
        <v>37971.83</v>
      </c>
      <c r="G43" s="56">
        <f>2234.6065*13.3067232</f>
        <v>29735.2901564208</v>
      </c>
      <c r="H43" s="57">
        <f t="shared" si="16"/>
        <v>13.3067232</v>
      </c>
      <c r="I43" s="57">
        <f t="shared" si="17"/>
        <v>-8236.5398435792013</v>
      </c>
      <c r="J43" s="6">
        <f t="shared" si="18"/>
        <v>-0.21691184869360261</v>
      </c>
      <c r="K43" s="1">
        <v>45652</v>
      </c>
      <c r="L43" s="1">
        <v>45785</v>
      </c>
      <c r="M43">
        <f t="shared" si="20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9"/>
        <v>38.101812248436303</v>
      </c>
      <c r="F44" s="3">
        <v>21940.86</v>
      </c>
      <c r="G44" s="56">
        <f>575.8482*32.7857042</f>
        <v>18879.588749302438</v>
      </c>
      <c r="H44" s="57">
        <f t="shared" si="16"/>
        <v>32.785704199999998</v>
      </c>
      <c r="I44" s="57">
        <f t="shared" si="17"/>
        <v>-3061.2712506975622</v>
      </c>
      <c r="J44" s="6">
        <f t="shared" si="18"/>
        <v>-0.13952375844417958</v>
      </c>
      <c r="K44" s="1">
        <v>45761</v>
      </c>
      <c r="L44" s="1">
        <v>45790</v>
      </c>
      <c r="M44">
        <f t="shared" si="20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9"/>
        <v>24.570291674143743</v>
      </c>
      <c r="F45" s="3">
        <v>23591.34</v>
      </c>
      <c r="G45" s="56">
        <v>19396.37</v>
      </c>
      <c r="H45" s="57">
        <f t="shared" si="16"/>
        <v>20.201246233559068</v>
      </c>
      <c r="I45" s="57">
        <f t="shared" si="17"/>
        <v>-4194.9700000000012</v>
      </c>
      <c r="J45" s="6">
        <f t="shared" si="18"/>
        <v>-0.17781821634548953</v>
      </c>
      <c r="K45" s="1">
        <v>45776</v>
      </c>
      <c r="L45" s="1">
        <v>45812</v>
      </c>
      <c r="M45">
        <f t="shared" si="20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9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6"/>
        <v>84.038907800000004</v>
      </c>
      <c r="I46" s="57">
        <f t="shared" si="17"/>
        <v>-3907.8121523372101</v>
      </c>
      <c r="J46" s="6">
        <f t="shared" si="18"/>
        <v>-0.14246372001691271</v>
      </c>
      <c r="K46" s="1">
        <v>45782</v>
      </c>
      <c r="L46" s="1">
        <v>45818</v>
      </c>
      <c r="M46">
        <f t="shared" si="20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9"/>
        <v>40.437100849618155</v>
      </c>
      <c r="F47" s="3">
        <f>22877.09+14244.67</f>
        <v>37121.760000000002</v>
      </c>
      <c r="G47" s="56">
        <v>34659.56</v>
      </c>
      <c r="H47" s="57">
        <f t="shared" si="16"/>
        <v>37.755002002151599</v>
      </c>
      <c r="I47" s="57">
        <f t="shared" si="17"/>
        <v>-2462.2000000000044</v>
      </c>
      <c r="J47" s="6">
        <f t="shared" si="18"/>
        <v>-6.6327674118899643E-2</v>
      </c>
      <c r="K47" s="1">
        <v>45782</v>
      </c>
      <c r="L47" s="1">
        <v>45828</v>
      </c>
      <c r="M47">
        <f t="shared" si="20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19"/>
        <v>123.70183817297092</v>
      </c>
      <c r="F48" s="3">
        <f>22876.67+14197.82+14808.77</f>
        <v>51883.259999999995</v>
      </c>
      <c r="G48" s="56">
        <v>55156.07</v>
      </c>
      <c r="H48" s="57">
        <f t="shared" si="16"/>
        <v>131.50498340692272</v>
      </c>
      <c r="I48" s="57">
        <f t="shared" si="17"/>
        <v>3272.8100000000049</v>
      </c>
      <c r="J48" s="6">
        <f t="shared" si="18"/>
        <v>6.3080269050171583E-2</v>
      </c>
      <c r="K48" s="1">
        <v>45782</v>
      </c>
      <c r="L48" s="1">
        <v>45839</v>
      </c>
      <c r="M48">
        <f t="shared" si="20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19"/>
        <v>63.194998844628557</v>
      </c>
      <c r="F49" s="3">
        <v>36072.47</v>
      </c>
      <c r="G49" s="56">
        <v>51786.91</v>
      </c>
      <c r="H49" s="57">
        <f t="shared" si="16"/>
        <v>90.724968864535285</v>
      </c>
      <c r="I49" s="57">
        <f t="shared" si="17"/>
        <v>15714.440000000002</v>
      </c>
      <c r="J49" s="6">
        <f t="shared" si="18"/>
        <v>0.43563526423336141</v>
      </c>
      <c r="K49" s="1">
        <v>45796</v>
      </c>
      <c r="L49" s="1">
        <v>45839</v>
      </c>
      <c r="M49">
        <f t="shared" si="20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19"/>
        <v>90.254808370121239</v>
      </c>
      <c r="F50" s="3">
        <f>35895.15+19479.74</f>
        <v>55374.89</v>
      </c>
      <c r="G50" s="56">
        <v>55236.959999999999</v>
      </c>
      <c r="H50" s="57">
        <f t="shared" si="16"/>
        <v>90.029998068584007</v>
      </c>
      <c r="I50" s="57">
        <f t="shared" si="17"/>
        <v>-137.93000000000029</v>
      </c>
      <c r="J50" s="6">
        <f t="shared" si="18"/>
        <v>-2.4908401623912986E-3</v>
      </c>
      <c r="K50" s="1">
        <v>45789</v>
      </c>
      <c r="L50" s="1">
        <v>45855</v>
      </c>
      <c r="M50">
        <f t="shared" si="20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19"/>
        <v>113.05354718581073</v>
      </c>
      <c r="F51" s="3">
        <v>45409.8</v>
      </c>
      <c r="G51" s="56">
        <v>41051.0026</v>
      </c>
      <c r="H51" s="57">
        <f t="shared" si="16"/>
        <v>102.2017595202784</v>
      </c>
      <c r="I51" s="57">
        <f t="shared" si="17"/>
        <v>-4358.7974000000031</v>
      </c>
      <c r="J51" s="6">
        <f t="shared" si="18"/>
        <v>-9.5988033420098803E-2</v>
      </c>
      <c r="K51" s="1">
        <v>45855</v>
      </c>
      <c r="L51" s="1">
        <v>45860</v>
      </c>
      <c r="M51">
        <f t="shared" si="20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19"/>
        <v>17.339829156069133</v>
      </c>
      <c r="F52" s="3">
        <v>22797.23</v>
      </c>
      <c r="G52" s="56">
        <v>18655.11</v>
      </c>
      <c r="H52" s="57">
        <f t="shared" si="16"/>
        <v>14.189286167121043</v>
      </c>
      <c r="I52" s="57">
        <f t="shared" si="17"/>
        <v>-4142.119999999999</v>
      </c>
      <c r="J52" s="6">
        <f t="shared" si="18"/>
        <v>-0.18169400405224664</v>
      </c>
      <c r="K52" s="1">
        <v>45861</v>
      </c>
      <c r="L52" s="1">
        <v>45870</v>
      </c>
      <c r="M52">
        <f t="shared" si="20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19"/>
        <v>74.757798491837917</v>
      </c>
      <c r="F53" s="3">
        <f>26856.13+12527.28</f>
        <v>39383.410000000003</v>
      </c>
      <c r="G53" s="56">
        <v>67176.488400000002</v>
      </c>
      <c r="H53" s="57">
        <f t="shared" si="16"/>
        <v>127.51476784759082</v>
      </c>
      <c r="I53" s="57">
        <f t="shared" si="17"/>
        <v>27793.078399999999</v>
      </c>
      <c r="J53" s="6">
        <f t="shared" si="18"/>
        <v>0.7057052296893539</v>
      </c>
      <c r="K53" s="1">
        <v>45789</v>
      </c>
      <c r="L53" s="1">
        <v>45870</v>
      </c>
      <c r="M53">
        <f t="shared" si="20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19"/>
        <v>22.651928580010882</v>
      </c>
      <c r="F54" s="3">
        <f>18821.97+11334.33+20180.34</f>
        <v>50336.639999999999</v>
      </c>
      <c r="G54" s="56">
        <v>42713.83</v>
      </c>
      <c r="H54" s="57">
        <f t="shared" si="16"/>
        <v>19.221597360068653</v>
      </c>
      <c r="I54" s="57">
        <f t="shared" si="17"/>
        <v>-7622.8099999999977</v>
      </c>
      <c r="J54" s="6">
        <f t="shared" si="18"/>
        <v>-0.15143660760829483</v>
      </c>
      <c r="K54" s="1">
        <v>45814</v>
      </c>
      <c r="L54" s="1">
        <v>45880</v>
      </c>
      <c r="M54">
        <f t="shared" si="20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19"/>
        <v>30.926801697408081</v>
      </c>
      <c r="F55" s="3">
        <f>(605.0016*29.7738017)+17708.65</f>
        <v>35721.847666582718</v>
      </c>
      <c r="G55" s="56">
        <v>42554.27</v>
      </c>
      <c r="H55" s="57">
        <f t="shared" si="16"/>
        <v>36.842088403482109</v>
      </c>
      <c r="I55" s="57">
        <f t="shared" si="17"/>
        <v>6832.4223334172784</v>
      </c>
      <c r="J55" s="6">
        <f t="shared" si="18"/>
        <v>0.1912673274123195</v>
      </c>
      <c r="K55" s="1">
        <v>45800</v>
      </c>
      <c r="L55" s="1">
        <v>45881</v>
      </c>
      <c r="M55">
        <f t="shared" si="20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19"/>
        <v>377.42204050678822</v>
      </c>
      <c r="F56" s="3">
        <f>34962.9+15401.92</f>
        <v>50364.82</v>
      </c>
      <c r="G56" s="56">
        <v>81517.961800000005</v>
      </c>
      <c r="H56" s="57">
        <f t="shared" si="16"/>
        <v>610.87631168959638</v>
      </c>
      <c r="I56" s="57">
        <f t="shared" si="17"/>
        <v>31153.141800000005</v>
      </c>
      <c r="J56" s="6">
        <f t="shared" si="18"/>
        <v>0.61854965033132259</v>
      </c>
      <c r="K56" s="1">
        <v>45771</v>
      </c>
      <c r="L56" s="1">
        <v>45884</v>
      </c>
      <c r="M56">
        <f t="shared" si="20"/>
        <v>111</v>
      </c>
    </row>
    <row r="57" spans="1:13" x14ac:dyDescent="0.25">
      <c r="A57" t="s">
        <v>138</v>
      </c>
      <c r="B57" t="s">
        <v>30</v>
      </c>
      <c r="C57" s="25" t="s">
        <v>139</v>
      </c>
      <c r="D57" s="2">
        <v>345.54309999999998</v>
      </c>
      <c r="E57" s="57">
        <f t="shared" si="19"/>
        <v>133.9832570813887</v>
      </c>
      <c r="F57" s="3">
        <v>46296.99</v>
      </c>
      <c r="G57" s="56">
        <v>42812.79</v>
      </c>
      <c r="H57" s="57">
        <f t="shared" si="16"/>
        <v>123.89999973954046</v>
      </c>
      <c r="I57" s="57">
        <f t="shared" si="17"/>
        <v>-3484.1999999999971</v>
      </c>
      <c r="J57" s="6">
        <f t="shared" si="18"/>
        <v>-7.525759234023631E-2</v>
      </c>
      <c r="K57" s="1">
        <v>45897</v>
      </c>
      <c r="L57" s="1">
        <v>45904</v>
      </c>
      <c r="M57">
        <f t="shared" si="20"/>
        <v>6</v>
      </c>
    </row>
    <row r="58" spans="1:13" x14ac:dyDescent="0.25">
      <c r="A58" t="s">
        <v>136</v>
      </c>
      <c r="B58" t="s">
        <v>30</v>
      </c>
      <c r="C58" s="25" t="s">
        <v>137</v>
      </c>
      <c r="D58" s="2">
        <v>287.49</v>
      </c>
      <c r="E58" s="57">
        <f t="shared" si="19"/>
        <v>198.81999373891267</v>
      </c>
      <c r="F58" s="3">
        <v>57158.76</v>
      </c>
      <c r="G58" s="56">
        <v>56889.83</v>
      </c>
      <c r="H58" s="57">
        <f t="shared" si="16"/>
        <v>197.88455250617412</v>
      </c>
      <c r="I58" s="57">
        <f t="shared" si="17"/>
        <v>-268.93000000000029</v>
      </c>
      <c r="J58" s="6">
        <f t="shared" si="18"/>
        <v>-4.7049656080712784E-3</v>
      </c>
      <c r="K58" s="1">
        <v>45895</v>
      </c>
      <c r="L58" s="1">
        <v>45936</v>
      </c>
      <c r="M58">
        <f t="shared" si="20"/>
        <v>40</v>
      </c>
    </row>
    <row r="59" spans="1:13" x14ac:dyDescent="0.25">
      <c r="A59" t="s">
        <v>142</v>
      </c>
      <c r="B59" t="s">
        <v>30</v>
      </c>
      <c r="C59" s="25" t="s">
        <v>143</v>
      </c>
      <c r="D59" s="2">
        <v>502.0591</v>
      </c>
      <c r="E59" s="57">
        <f t="shared" si="19"/>
        <v>141.49505506423449</v>
      </c>
      <c r="F59" s="3">
        <v>71038.880000000005</v>
      </c>
      <c r="G59" s="56">
        <v>69446.240000000005</v>
      </c>
      <c r="H59" s="57">
        <f t="shared" si="16"/>
        <v>138.3228388849042</v>
      </c>
      <c r="I59" s="57">
        <f t="shared" si="17"/>
        <v>-1592.6399999999994</v>
      </c>
      <c r="J59" s="6">
        <f t="shared" si="18"/>
        <v>-2.2419272375915827E-2</v>
      </c>
      <c r="K59" s="1">
        <v>45909</v>
      </c>
      <c r="L59" s="1">
        <v>45944</v>
      </c>
      <c r="M59">
        <f t="shared" si="20"/>
        <v>35</v>
      </c>
    </row>
    <row r="60" spans="1:13" x14ac:dyDescent="0.25">
      <c r="A60" t="s">
        <v>69</v>
      </c>
      <c r="B60" t="s">
        <v>30</v>
      </c>
      <c r="C60" s="25" t="s">
        <v>70</v>
      </c>
      <c r="D60" s="2">
        <f>143.2704+538.7851</f>
        <v>682.05550000000005</v>
      </c>
      <c r="E60" s="57">
        <f t="shared" si="19"/>
        <v>63.85874756526411</v>
      </c>
      <c r="F60" s="3">
        <f>9149.25+34405.96</f>
        <v>43555.21</v>
      </c>
      <c r="G60" s="56">
        <f>25648.23+78191</f>
        <v>103839.23</v>
      </c>
      <c r="H60" s="57">
        <f t="shared" si="16"/>
        <v>152.2445460816605</v>
      </c>
      <c r="I60" s="57">
        <f t="shared" si="17"/>
        <v>60284.02</v>
      </c>
      <c r="J60" s="6">
        <f t="shared" si="18"/>
        <v>1.3840828686166362</v>
      </c>
      <c r="K60" s="1">
        <v>45854</v>
      </c>
      <c r="L60" s="1">
        <v>45945</v>
      </c>
      <c r="M60">
        <f t="shared" si="20"/>
        <v>89</v>
      </c>
    </row>
    <row r="61" spans="1:13" x14ac:dyDescent="0.25">
      <c r="A61" t="s">
        <v>138</v>
      </c>
      <c r="B61" t="s">
        <v>30</v>
      </c>
      <c r="C61" s="25" t="s">
        <v>139</v>
      </c>
      <c r="D61" s="2">
        <v>337.18810000000002</v>
      </c>
      <c r="E61" s="57">
        <f t="shared" si="19"/>
        <v>164.72274673987604</v>
      </c>
      <c r="F61" s="3">
        <v>55542.55</v>
      </c>
      <c r="G61" s="56">
        <v>56222.05</v>
      </c>
      <c r="H61" s="57">
        <f t="shared" si="16"/>
        <v>166.73794241255845</v>
      </c>
      <c r="I61" s="57">
        <f t="shared" si="17"/>
        <v>679.5</v>
      </c>
      <c r="J61" s="6">
        <f t="shared" si="18"/>
        <v>1.2233863947550121E-2</v>
      </c>
      <c r="K61" s="1">
        <v>45938</v>
      </c>
      <c r="L61" s="1">
        <v>45953</v>
      </c>
      <c r="M61">
        <f t="shared" si="20"/>
        <v>15</v>
      </c>
    </row>
    <row r="62" spans="1:13" x14ac:dyDescent="0.25">
      <c r="A62" t="s">
        <v>126</v>
      </c>
      <c r="B62" t="s">
        <v>30</v>
      </c>
      <c r="C62" s="25" t="s">
        <v>127</v>
      </c>
      <c r="D62" s="2">
        <f>344.4515+240</f>
        <v>584.45150000000001</v>
      </c>
      <c r="E62" s="57">
        <f t="shared" si="19"/>
        <v>92.249194330068448</v>
      </c>
      <c r="F62" s="3">
        <f>30563.18+23352</f>
        <v>53915.18</v>
      </c>
      <c r="G62" s="56">
        <v>79663.16</v>
      </c>
      <c r="H62" s="57">
        <f t="shared" si="16"/>
        <v>136.30414157547719</v>
      </c>
      <c r="I62" s="57">
        <f t="shared" si="17"/>
        <v>25747.980000000003</v>
      </c>
      <c r="J62" s="6">
        <f t="shared" si="18"/>
        <v>0.47756457457806878</v>
      </c>
      <c r="K62" s="1">
        <v>45840</v>
      </c>
      <c r="L62" s="1">
        <v>45953</v>
      </c>
      <c r="M62">
        <f t="shared" si="20"/>
        <v>111</v>
      </c>
    </row>
    <row r="63" spans="1:13" x14ac:dyDescent="0.25">
      <c r="A63" t="s">
        <v>144</v>
      </c>
      <c r="B63" t="s">
        <v>30</v>
      </c>
      <c r="C63" s="25" t="s">
        <v>145</v>
      </c>
      <c r="D63" s="2">
        <v>1679.5722000000001</v>
      </c>
      <c r="E63" s="57">
        <f t="shared" si="19"/>
        <v>33.115236129771617</v>
      </c>
      <c r="F63" s="3">
        <v>55619.43</v>
      </c>
      <c r="G63" s="56">
        <v>50133.94</v>
      </c>
      <c r="H63" s="57">
        <f t="shared" si="16"/>
        <v>29.849231846061752</v>
      </c>
      <c r="I63" s="57">
        <f t="shared" si="17"/>
        <v>-5485.489999999998</v>
      </c>
      <c r="J63" s="6">
        <f t="shared" si="18"/>
        <v>-9.8625426402248237E-2</v>
      </c>
      <c r="K63" s="1">
        <v>45954</v>
      </c>
      <c r="L63" s="1">
        <v>45965</v>
      </c>
      <c r="M63">
        <f t="shared" si="20"/>
        <v>10</v>
      </c>
    </row>
    <row r="64" spans="1:13" x14ac:dyDescent="0.25">
      <c r="A64" t="s">
        <v>128</v>
      </c>
      <c r="B64" t="s">
        <v>30</v>
      </c>
      <c r="C64" s="25" t="s">
        <v>129</v>
      </c>
      <c r="D64" s="2">
        <f>786.7766+525.5828</f>
        <v>1312.3594000000001</v>
      </c>
      <c r="E64" s="57">
        <f t="shared" si="19"/>
        <v>39.768046771334134</v>
      </c>
      <c r="F64" s="3">
        <f>30514.1+21675.87</f>
        <v>52189.97</v>
      </c>
      <c r="G64" s="56">
        <v>52911.071499999998</v>
      </c>
      <c r="H64" s="57">
        <f t="shared" si="16"/>
        <v>40.317516299269847</v>
      </c>
      <c r="I64" s="57">
        <f t="shared" si="17"/>
        <v>721.10149999999703</v>
      </c>
      <c r="J64" s="6">
        <f t="shared" si="18"/>
        <v>1.3816859829580225E-2</v>
      </c>
      <c r="K64" s="1">
        <v>45840</v>
      </c>
      <c r="L64" s="1">
        <v>45967</v>
      </c>
      <c r="M64">
        <f t="shared" si="20"/>
        <v>124</v>
      </c>
    </row>
    <row r="65" spans="1:13" x14ac:dyDescent="0.25">
      <c r="A65" t="s">
        <v>124</v>
      </c>
      <c r="B65" t="s">
        <v>30</v>
      </c>
      <c r="C65" s="25" t="s">
        <v>125</v>
      </c>
      <c r="D65" s="2">
        <f>915.359+608.2121</f>
        <v>1523.5711000000001</v>
      </c>
      <c r="E65" s="57">
        <f t="shared" si="19"/>
        <v>32.025317426932027</v>
      </c>
      <c r="F65" s="3">
        <f>28630.6+20162.2481</f>
        <v>48792.848100000003</v>
      </c>
      <c r="G65" s="56">
        <v>77936.641799999998</v>
      </c>
      <c r="H65" s="57">
        <f t="shared" si="16"/>
        <v>51.153925012098213</v>
      </c>
      <c r="I65" s="57">
        <f t="shared" si="17"/>
        <v>29143.793699999995</v>
      </c>
      <c r="J65" s="6">
        <f t="shared" si="18"/>
        <v>0.59729642426837537</v>
      </c>
      <c r="K65" s="1">
        <v>45817</v>
      </c>
      <c r="L65" s="1">
        <v>45967</v>
      </c>
      <c r="M65">
        <f t="shared" si="20"/>
        <v>147</v>
      </c>
    </row>
    <row r="66" spans="1:13" x14ac:dyDescent="0.25">
      <c r="A66" t="s">
        <v>146</v>
      </c>
      <c r="B66" t="s">
        <v>30</v>
      </c>
      <c r="C66" s="25" t="s">
        <v>147</v>
      </c>
      <c r="D66" s="2">
        <v>776.60839999999996</v>
      </c>
      <c r="E66" s="57">
        <f t="shared" si="19"/>
        <v>71.667432389348349</v>
      </c>
      <c r="F66" s="3">
        <v>55657.53</v>
      </c>
      <c r="G66" s="56">
        <v>51251.39</v>
      </c>
      <c r="H66" s="57">
        <f t="shared" si="16"/>
        <v>65.993865119151437</v>
      </c>
      <c r="I66" s="57">
        <f t="shared" si="17"/>
        <v>-4406.1399999999994</v>
      </c>
      <c r="J66" s="6">
        <f t="shared" si="18"/>
        <v>-7.9165209092103075E-2</v>
      </c>
      <c r="K66" s="1">
        <v>45957</v>
      </c>
      <c r="L66" s="1">
        <v>45968</v>
      </c>
      <c r="M66">
        <f t="shared" si="20"/>
        <v>10</v>
      </c>
    </row>
    <row r="67" spans="1:13" x14ac:dyDescent="0.25">
      <c r="A67" t="s">
        <v>148</v>
      </c>
      <c r="B67" t="s">
        <v>30</v>
      </c>
      <c r="C67" s="25" t="s">
        <v>149</v>
      </c>
      <c r="D67" s="2">
        <v>364.21120000000002</v>
      </c>
      <c r="E67" s="57">
        <f t="shared" si="19"/>
        <v>104.6290998190061</v>
      </c>
      <c r="F67" s="3">
        <v>38107.089999999997</v>
      </c>
      <c r="G67" s="56">
        <v>36324.28</v>
      </c>
      <c r="H67" s="57">
        <f t="shared" si="16"/>
        <v>99.734110318408653</v>
      </c>
      <c r="I67" s="57">
        <f t="shared" si="17"/>
        <v>-1782.8099999999977</v>
      </c>
      <c r="J67" s="6">
        <f t="shared" si="18"/>
        <v>-4.67842073482913E-2</v>
      </c>
      <c r="K67" s="1">
        <v>45968</v>
      </c>
      <c r="L67" s="1">
        <v>45975</v>
      </c>
      <c r="M67">
        <f t="shared" si="20"/>
        <v>7</v>
      </c>
    </row>
    <row r="68" spans="1:13" x14ac:dyDescent="0.25">
      <c r="A68" t="s">
        <v>134</v>
      </c>
      <c r="B68" t="s">
        <v>30</v>
      </c>
      <c r="C68" s="25" t="s">
        <v>135</v>
      </c>
      <c r="D68" s="2">
        <v>148.3219</v>
      </c>
      <c r="E68" s="57">
        <f t="shared" si="19"/>
        <v>462.8461474670969</v>
      </c>
      <c r="F68" s="3">
        <v>68650.22</v>
      </c>
      <c r="G68" s="56">
        <v>78515.009999999995</v>
      </c>
      <c r="H68" s="57">
        <f t="shared" si="16"/>
        <v>529.3554761636683</v>
      </c>
      <c r="I68" s="57">
        <f t="shared" si="17"/>
        <v>9864.7899999999936</v>
      </c>
      <c r="J68" s="6">
        <f t="shared" si="18"/>
        <v>0.14369640767356598</v>
      </c>
      <c r="K68" s="1">
        <v>45895</v>
      </c>
      <c r="L68" s="1">
        <v>45979</v>
      </c>
      <c r="M68">
        <f t="shared" si="20"/>
        <v>82</v>
      </c>
    </row>
    <row r="69" spans="1:13" x14ac:dyDescent="0.25">
      <c r="A69" t="s">
        <v>138</v>
      </c>
      <c r="B69" t="s">
        <v>30</v>
      </c>
      <c r="C69" s="25" t="s">
        <v>139</v>
      </c>
      <c r="D69" s="2">
        <v>278.13279999999997</v>
      </c>
      <c r="E69" s="57">
        <f t="shared" si="19"/>
        <v>180.33004377764865</v>
      </c>
      <c r="F69" s="3">
        <v>50155.7</v>
      </c>
      <c r="G69" s="56">
        <v>42915.85</v>
      </c>
      <c r="H69" s="57">
        <f t="shared" si="16"/>
        <v>154.29985244458763</v>
      </c>
      <c r="I69" s="57">
        <f t="shared" si="17"/>
        <v>-7239.8499999999985</v>
      </c>
      <c r="J69" s="6">
        <f t="shared" si="18"/>
        <v>-0.1443475018791483</v>
      </c>
      <c r="K69" s="1">
        <v>45981</v>
      </c>
      <c r="L69" s="1">
        <v>45982</v>
      </c>
      <c r="M69">
        <f t="shared" si="20"/>
        <v>1</v>
      </c>
    </row>
    <row r="70" spans="1:13" x14ac:dyDescent="0.25">
      <c r="A70" t="s">
        <v>140</v>
      </c>
      <c r="B70" t="s">
        <v>30</v>
      </c>
      <c r="C70" s="25" t="s">
        <v>141</v>
      </c>
      <c r="D70" s="2">
        <f>595.1582+306.9859</f>
        <v>902.14409999999998</v>
      </c>
      <c r="E70" s="57">
        <f t="shared" si="19"/>
        <v>79.475584887159386</v>
      </c>
      <c r="F70" s="3">
        <f>46827.05+24871.38</f>
        <v>71698.430000000008</v>
      </c>
      <c r="G70" s="56">
        <v>71579.09</v>
      </c>
      <c r="H70" s="57">
        <f t="shared" si="16"/>
        <v>79.343300033775094</v>
      </c>
      <c r="I70" s="57">
        <f t="shared" si="17"/>
        <v>-119.34000000001106</v>
      </c>
      <c r="J70" s="6">
        <f t="shared" si="18"/>
        <v>-1.6644715930322471E-3</v>
      </c>
      <c r="K70" s="1">
        <v>45897</v>
      </c>
      <c r="L70" s="1">
        <v>45982</v>
      </c>
      <c r="M70">
        <f t="shared" si="20"/>
        <v>83</v>
      </c>
    </row>
    <row r="71" spans="1:13" x14ac:dyDescent="0.25">
      <c r="C71" s="25"/>
      <c r="D71" s="2"/>
      <c r="E71" s="57"/>
      <c r="F71" s="3"/>
      <c r="G71" s="56"/>
      <c r="H71" s="57"/>
      <c r="I71" s="57"/>
      <c r="J71" s="6"/>
      <c r="K71" s="1"/>
      <c r="L71" s="1"/>
    </row>
    <row r="72" spans="1:13" x14ac:dyDescent="0.25">
      <c r="C72" s="25"/>
      <c r="D72" s="2"/>
      <c r="E72" s="57"/>
      <c r="F72" s="3"/>
      <c r="G72" s="56"/>
      <c r="H72" s="57"/>
      <c r="I72" s="57"/>
      <c r="J72" s="6"/>
      <c r="K72" s="1"/>
      <c r="L72" s="1"/>
    </row>
    <row r="73" spans="1:13" x14ac:dyDescent="0.25">
      <c r="C73" s="25"/>
      <c r="D73" s="2"/>
      <c r="E73" s="57"/>
      <c r="F73" s="3"/>
      <c r="G73" s="56"/>
      <c r="H73" s="57"/>
      <c r="I73" s="57"/>
      <c r="J73" s="6"/>
      <c r="K73" s="1"/>
      <c r="L73" s="1"/>
    </row>
    <row r="74" spans="1:13" x14ac:dyDescent="0.25">
      <c r="C74" s="25"/>
      <c r="D74" s="2"/>
      <c r="E74" s="57"/>
      <c r="F74" s="3"/>
      <c r="G74" s="56"/>
      <c r="H74" s="57"/>
      <c r="I74" s="57"/>
      <c r="J74" s="6"/>
      <c r="K74" s="1"/>
      <c r="L74" s="1"/>
    </row>
    <row r="75" spans="1:13" x14ac:dyDescent="0.25">
      <c r="C75" s="25"/>
      <c r="D75" s="2"/>
      <c r="E75" s="57"/>
      <c r="F75" s="3"/>
      <c r="G75" s="56"/>
      <c r="H75" s="57"/>
      <c r="I75" s="57"/>
      <c r="J75" s="6"/>
      <c r="K75" s="1"/>
      <c r="L75" s="1"/>
    </row>
    <row r="76" spans="1:13" x14ac:dyDescent="0.25">
      <c r="F76" s="56"/>
      <c r="G76" s="56"/>
      <c r="H76" s="3"/>
      <c r="I76" s="3">
        <f>SUM(I26:I64)</f>
        <v>120384.02476708277</v>
      </c>
      <c r="J76" s="13" t="s">
        <v>66</v>
      </c>
    </row>
    <row r="77" spans="1:13" x14ac:dyDescent="0.25">
      <c r="F77" s="56"/>
      <c r="G77" s="56"/>
      <c r="H77" s="3" t="s">
        <v>67</v>
      </c>
      <c r="I77" s="59">
        <v>29</v>
      </c>
      <c r="J77" s="5">
        <v>-9.5799999999999996E-2</v>
      </c>
    </row>
    <row r="78" spans="1:13" x14ac:dyDescent="0.25">
      <c r="F78" s="56"/>
      <c r="G78" s="56"/>
      <c r="H78" s="3" t="s">
        <v>68</v>
      </c>
      <c r="I78" s="59">
        <v>16</v>
      </c>
      <c r="J78" s="5">
        <v>0.37630000000000002</v>
      </c>
    </row>
    <row r="79" spans="1:13" x14ac:dyDescent="0.25">
      <c r="F79" s="56"/>
      <c r="G79" s="56"/>
      <c r="J79" s="6"/>
    </row>
    <row r="80" spans="1:13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  <c r="J86" s="6"/>
    </row>
    <row r="87" spans="6:10" x14ac:dyDescent="0.25">
      <c r="F87" s="56"/>
      <c r="G87" s="56"/>
      <c r="J87" s="6"/>
    </row>
    <row r="88" spans="6:10" x14ac:dyDescent="0.25">
      <c r="F88" s="56"/>
      <c r="G88" s="56"/>
      <c r="J88" s="6"/>
    </row>
    <row r="89" spans="6:10" x14ac:dyDescent="0.25">
      <c r="F89" s="56"/>
      <c r="G89" s="56"/>
      <c r="J89" s="6"/>
    </row>
    <row r="90" spans="6:10" x14ac:dyDescent="0.25">
      <c r="F90" s="56"/>
      <c r="G90" s="56"/>
      <c r="J90" s="6"/>
    </row>
    <row r="91" spans="6:10" x14ac:dyDescent="0.25">
      <c r="F91" s="56"/>
      <c r="G91" s="56"/>
      <c r="J91" s="6"/>
    </row>
    <row r="92" spans="6:10" x14ac:dyDescent="0.25">
      <c r="F92" s="56"/>
      <c r="G92" s="56"/>
      <c r="J92" s="6"/>
    </row>
    <row r="93" spans="6:10" x14ac:dyDescent="0.25">
      <c r="F93" s="56"/>
      <c r="G93" s="56"/>
      <c r="J93" s="6"/>
    </row>
    <row r="94" spans="6:10" x14ac:dyDescent="0.25">
      <c r="F94" s="56"/>
      <c r="G94" s="56"/>
      <c r="J94" s="6"/>
    </row>
    <row r="95" spans="6:10" x14ac:dyDescent="0.25">
      <c r="F95" s="56"/>
      <c r="G95" s="56"/>
      <c r="J95" s="6"/>
    </row>
    <row r="96" spans="6:10" x14ac:dyDescent="0.25">
      <c r="F96" s="56"/>
      <c r="G96" s="56"/>
      <c r="J96" s="6"/>
    </row>
    <row r="97" spans="6:10" x14ac:dyDescent="0.25">
      <c r="F97" s="56"/>
      <c r="G97" s="56"/>
      <c r="J97" s="6"/>
    </row>
    <row r="98" spans="6:10" x14ac:dyDescent="0.25">
      <c r="F98" s="56"/>
      <c r="G98" s="56"/>
      <c r="J98" s="6"/>
    </row>
    <row r="99" spans="6:10" x14ac:dyDescent="0.25">
      <c r="F99" s="56"/>
      <c r="G99" s="56"/>
      <c r="J99" s="6"/>
    </row>
    <row r="100" spans="6:10" x14ac:dyDescent="0.25">
      <c r="F100" s="56"/>
      <c r="G100" s="56"/>
      <c r="J100" s="6"/>
    </row>
    <row r="101" spans="6:10" x14ac:dyDescent="0.25">
      <c r="F101" s="56"/>
      <c r="G101" s="56"/>
      <c r="J101" s="6"/>
    </row>
    <row r="102" spans="6:10" x14ac:dyDescent="0.25">
      <c r="F102" s="56"/>
      <c r="G102" s="56"/>
    </row>
    <row r="103" spans="6:10" x14ac:dyDescent="0.25">
      <c r="F103" s="56"/>
      <c r="G103" s="56"/>
    </row>
    <row r="104" spans="6:10" x14ac:dyDescent="0.25">
      <c r="F104" s="56"/>
      <c r="G104" s="56"/>
    </row>
    <row r="105" spans="6:10" x14ac:dyDescent="0.25">
      <c r="F105" s="56"/>
      <c r="G105" s="56"/>
    </row>
    <row r="106" spans="6:10" x14ac:dyDescent="0.25">
      <c r="F106" s="56"/>
      <c r="G106" s="56"/>
    </row>
    <row r="107" spans="6:10" x14ac:dyDescent="0.25">
      <c r="F107" s="56"/>
      <c r="G107" s="56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96E1-E3B1-46BE-8C12-6DEE9CEC39B5}">
  <dimension ref="A1:AC107"/>
  <sheetViews>
    <sheetView tabSelected="1" workbookViewId="0">
      <selection activeCell="M22" sqref="M22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46017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63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64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4" t="s">
        <v>65</v>
      </c>
      <c r="AC5" s="9" t="s">
        <v>23</v>
      </c>
    </row>
    <row r="6" spans="1:29" x14ac:dyDescent="0.25">
      <c r="AB6" s="58"/>
      <c r="AC6" s="9"/>
    </row>
    <row r="7" spans="1:29" x14ac:dyDescent="0.25">
      <c r="A7" t="s">
        <v>150</v>
      </c>
      <c r="B7" t="s">
        <v>30</v>
      </c>
      <c r="C7" s="25" t="s">
        <v>151</v>
      </c>
      <c r="D7" s="2">
        <v>288.58530000000002</v>
      </c>
      <c r="E7" s="26">
        <v>273.39999999999998</v>
      </c>
      <c r="F7" s="3">
        <f>E7*D7</f>
        <v>78899.221019999997</v>
      </c>
      <c r="G7" s="3">
        <v>78305</v>
      </c>
      <c r="H7" s="4">
        <f>G7/D7</f>
        <v>271.34091722620656</v>
      </c>
      <c r="I7" s="3">
        <f>F7-G7</f>
        <v>594.22101999999722</v>
      </c>
      <c r="J7" s="26">
        <f>E7-H7</f>
        <v>2.0590827737934205</v>
      </c>
      <c r="K7" s="27">
        <v>45971</v>
      </c>
      <c r="L7">
        <f>DAYS360(K7,$C$1)</f>
        <v>46</v>
      </c>
      <c r="M7" s="5">
        <f>(I7/G7)</f>
        <v>7.5885450482088912E-3</v>
      </c>
      <c r="N7" s="9">
        <v>149</v>
      </c>
      <c r="O7">
        <v>79</v>
      </c>
      <c r="P7" s="63">
        <v>84</v>
      </c>
      <c r="Q7" s="28">
        <v>259.24</v>
      </c>
      <c r="R7" s="29">
        <f>Q7*0.93</f>
        <v>241.09320000000002</v>
      </c>
      <c r="S7" s="29">
        <v>255.43</v>
      </c>
      <c r="T7" s="28">
        <f>Q7*1.25</f>
        <v>324.05</v>
      </c>
      <c r="U7" s="28">
        <f>Q7*1.5</f>
        <v>388.86</v>
      </c>
      <c r="V7" s="28">
        <f>Q7*2</f>
        <v>518.48</v>
      </c>
      <c r="W7" s="28">
        <f>H7-(H7*0.07)</f>
        <v>252.3470530203721</v>
      </c>
      <c r="X7" s="29">
        <v>265</v>
      </c>
      <c r="Y7" s="5">
        <f>(X7-H7)/H7</f>
        <v>-2.3368820637251611E-2</v>
      </c>
      <c r="Z7" s="6">
        <f>F7/F$20</f>
        <v>0.12890356548975401</v>
      </c>
      <c r="AB7" s="58">
        <v>46051</v>
      </c>
      <c r="AC7" s="63">
        <v>86</v>
      </c>
    </row>
    <row r="8" spans="1:29" x14ac:dyDescent="0.25">
      <c r="A8" t="s">
        <v>134</v>
      </c>
      <c r="B8" t="s">
        <v>30</v>
      </c>
      <c r="C8" s="25" t="s">
        <v>152</v>
      </c>
      <c r="D8" s="2">
        <v>90.343400000000003</v>
      </c>
      <c r="E8" s="26">
        <v>714.23</v>
      </c>
      <c r="F8" s="3">
        <f>E8*D8</f>
        <v>64525.966582000001</v>
      </c>
      <c r="G8" s="3">
        <v>61276.76</v>
      </c>
      <c r="H8" s="4">
        <f>G8/D8</f>
        <v>678.26493136189254</v>
      </c>
      <c r="I8" s="3">
        <f>F8-G8</f>
        <v>3249.2065819999989</v>
      </c>
      <c r="J8" s="26">
        <f>E8-H8</f>
        <v>35.965068638107482</v>
      </c>
      <c r="K8" s="27">
        <v>45995</v>
      </c>
      <c r="L8">
        <f t="shared" ref="L8:L9" si="0">DAYS360(K8,$C$1)</f>
        <v>22</v>
      </c>
      <c r="M8" s="5">
        <f>(I8/G8)</f>
        <v>5.3025104166734643E-2</v>
      </c>
      <c r="N8" s="9">
        <v>37</v>
      </c>
      <c r="O8">
        <v>96</v>
      </c>
      <c r="P8" s="33">
        <v>80</v>
      </c>
      <c r="Q8" s="28">
        <v>675</v>
      </c>
      <c r="R8" s="29">
        <f>Q8*0.93</f>
        <v>627.75</v>
      </c>
      <c r="S8" s="29">
        <v>489.3</v>
      </c>
      <c r="T8" s="28">
        <f>Q8*1.25</f>
        <v>843.75</v>
      </c>
      <c r="U8" s="28">
        <f>Q8*1.5</f>
        <v>1012.5</v>
      </c>
      <c r="V8" s="28">
        <f>Q8*2</f>
        <v>1350</v>
      </c>
      <c r="W8" s="28">
        <f>H8-(H8*0.07)</f>
        <v>630.78638616656008</v>
      </c>
      <c r="X8" s="29">
        <v>650</v>
      </c>
      <c r="Y8" s="5">
        <f>(X8-H8)/H8</f>
        <v>-4.1672405655912653E-2</v>
      </c>
      <c r="Z8" s="32">
        <f>F8/F$20</f>
        <v>0.10542090342037849</v>
      </c>
      <c r="AB8" s="58">
        <v>46071</v>
      </c>
      <c r="AC8" s="9">
        <v>99</v>
      </c>
    </row>
    <row r="9" spans="1:29" x14ac:dyDescent="0.25">
      <c r="A9" t="s">
        <v>71</v>
      </c>
      <c r="B9" t="s">
        <v>30</v>
      </c>
      <c r="C9" s="25" t="s">
        <v>72</v>
      </c>
      <c r="D9" s="2">
        <f>97.1506+30.2251</f>
        <v>127.37569999999999</v>
      </c>
      <c r="E9" s="26">
        <v>663.46</v>
      </c>
      <c r="F9" s="3">
        <f>E9*D9</f>
        <v>84508.681922000003</v>
      </c>
      <c r="G9" s="3">
        <f>61467.93+20488.3849</f>
        <v>81956.314899999998</v>
      </c>
      <c r="H9" s="4">
        <f>G9/D9</f>
        <v>643.42189993852833</v>
      </c>
      <c r="I9" s="3">
        <f>F9-G9</f>
        <v>2552.3670220000058</v>
      </c>
      <c r="J9" s="26">
        <f>E9-H9</f>
        <v>20.03810006147171</v>
      </c>
      <c r="K9" s="27">
        <v>46000</v>
      </c>
      <c r="L9">
        <f t="shared" si="0"/>
        <v>17</v>
      </c>
      <c r="M9" s="5">
        <f>(I9/G9)</f>
        <v>3.114301838869046E-2</v>
      </c>
      <c r="N9" s="9">
        <v>51</v>
      </c>
      <c r="O9">
        <v>93</v>
      </c>
      <c r="P9" s="63">
        <v>40</v>
      </c>
      <c r="Q9" s="28">
        <v>664.69</v>
      </c>
      <c r="R9" s="29">
        <f>Q9*0.93</f>
        <v>618.16170000000011</v>
      </c>
      <c r="S9" s="29">
        <v>555.84</v>
      </c>
      <c r="T9" s="28">
        <f>Q9*1.25</f>
        <v>830.86250000000007</v>
      </c>
      <c r="U9" s="28">
        <f>Q9*1.5</f>
        <v>997.03500000000008</v>
      </c>
      <c r="V9" s="28">
        <f>Q9*2</f>
        <v>1329.38</v>
      </c>
      <c r="W9" s="28">
        <f>H9-(H9*0.07)</f>
        <v>598.38236694283137</v>
      </c>
      <c r="X9" s="29">
        <v>630</v>
      </c>
      <c r="Y9" s="5">
        <f>(X9-H9)/H9</f>
        <v>-2.0860185113081537E-2</v>
      </c>
      <c r="Z9" s="6">
        <f>F9/F$20</f>
        <v>0.13806816181143228</v>
      </c>
      <c r="AB9" s="58">
        <v>46048</v>
      </c>
      <c r="AC9" s="9">
        <v>82</v>
      </c>
    </row>
    <row r="10" spans="1:29" x14ac:dyDescent="0.25">
      <c r="A10" t="s">
        <v>153</v>
      </c>
      <c r="B10" t="s">
        <v>30</v>
      </c>
      <c r="C10" s="25" t="s">
        <v>154</v>
      </c>
      <c r="D10" s="2">
        <v>129.2645</v>
      </c>
      <c r="E10" s="26">
        <v>475.19</v>
      </c>
      <c r="F10" s="3">
        <f>E10*D10</f>
        <v>61425.197755000001</v>
      </c>
      <c r="G10" s="3">
        <v>61897.919999999998</v>
      </c>
      <c r="H10" s="4">
        <f>G10/D10</f>
        <v>478.84701522846564</v>
      </c>
      <c r="I10" s="3">
        <f>F10-G10</f>
        <v>-472.7222449999972</v>
      </c>
      <c r="J10" s="26">
        <f>E10-H10</f>
        <v>-3.6570152284656388</v>
      </c>
      <c r="K10" s="27">
        <v>46006</v>
      </c>
      <c r="L10">
        <f>DAYS360(K10,$C$1)</f>
        <v>11</v>
      </c>
      <c r="M10" s="5">
        <f>(I10/G10)</f>
        <v>-7.6371264979501283E-3</v>
      </c>
      <c r="N10" s="33">
        <v>26</v>
      </c>
      <c r="O10">
        <v>88</v>
      </c>
      <c r="P10" s="64">
        <v>46</v>
      </c>
      <c r="Q10" s="28">
        <v>458.87</v>
      </c>
      <c r="R10" s="29">
        <f>Q10*0.93</f>
        <v>426.7491</v>
      </c>
      <c r="S10" s="29">
        <v>435.25</v>
      </c>
      <c r="T10" s="31">
        <f>Q10*1.25</f>
        <v>573.58749999999998</v>
      </c>
      <c r="U10" s="28">
        <f>Q10*1.5</f>
        <v>688.30500000000006</v>
      </c>
      <c r="V10" s="28">
        <f>Q10*2</f>
        <v>917.74</v>
      </c>
      <c r="W10" s="28">
        <f>H10-(H10*0.07)</f>
        <v>445.32772416247303</v>
      </c>
      <c r="X10" s="29">
        <v>445</v>
      </c>
      <c r="Y10" s="5">
        <f>(X10-H10)/H10</f>
        <v>-7.0684402642285829E-2</v>
      </c>
      <c r="Z10" s="6">
        <f>F10/F$20</f>
        <v>0.10035494519680536</v>
      </c>
      <c r="AB10" s="67">
        <v>46050</v>
      </c>
      <c r="AC10" s="33">
        <v>77</v>
      </c>
    </row>
    <row r="11" spans="1:29" x14ac:dyDescent="0.25">
      <c r="A11" t="s">
        <v>155</v>
      </c>
      <c r="B11" t="s">
        <v>30</v>
      </c>
      <c r="C11" s="25" t="s">
        <v>156</v>
      </c>
      <c r="D11" s="2">
        <v>747.35059999999999</v>
      </c>
      <c r="E11" s="26">
        <v>77.05</v>
      </c>
      <c r="F11" s="3">
        <f>E11*D11</f>
        <v>57583.363729999997</v>
      </c>
      <c r="G11" s="3">
        <v>61420</v>
      </c>
      <c r="H11" s="4">
        <f>G11/D11</f>
        <v>82.183649815762507</v>
      </c>
      <c r="I11" s="3">
        <f>F11-G11</f>
        <v>-3836.6362700000027</v>
      </c>
      <c r="J11" s="26">
        <f>E11-H11</f>
        <v>-5.1336498157625101</v>
      </c>
      <c r="K11" s="27">
        <v>46009</v>
      </c>
      <c r="L11">
        <f>DAYS360(K11,$C$1)</f>
        <v>8</v>
      </c>
      <c r="M11" s="5">
        <f>(I11/G11)</f>
        <v>-6.2465585639856769E-2</v>
      </c>
      <c r="N11" s="9">
        <v>36</v>
      </c>
      <c r="O11">
        <v>84</v>
      </c>
      <c r="P11" s="64">
        <v>94</v>
      </c>
      <c r="Q11" s="28">
        <v>79.92</v>
      </c>
      <c r="R11" s="29">
        <f>Q11*0.93</f>
        <v>74.325600000000009</v>
      </c>
      <c r="S11" s="29">
        <v>73.66</v>
      </c>
      <c r="T11" s="31">
        <f>Q11*1.25</f>
        <v>99.9</v>
      </c>
      <c r="U11" s="28">
        <f>Q11*1.5</f>
        <v>119.88</v>
      </c>
      <c r="V11" s="28">
        <f>Q11*2</f>
        <v>159.84</v>
      </c>
      <c r="W11" s="28">
        <f>H11-(H11*0.07)</f>
        <v>76.430794328659132</v>
      </c>
      <c r="X11" s="29">
        <v>77</v>
      </c>
      <c r="Y11" s="5">
        <f>(X11-H11)/H11</f>
        <v>-6.3073979159882762E-2</v>
      </c>
      <c r="Z11" s="6">
        <f>F11/F$20</f>
        <v>9.4078253267022946E-2</v>
      </c>
      <c r="AB11" s="58">
        <v>46084</v>
      </c>
      <c r="AC11" s="9">
        <v>98</v>
      </c>
    </row>
    <row r="12" spans="1:29" x14ac:dyDescent="0.25">
      <c r="C12" s="25"/>
      <c r="D12" s="2"/>
      <c r="E12" s="26"/>
      <c r="F12" s="3">
        <f t="shared" ref="F12:F17" si="1">E12*D12</f>
        <v>0</v>
      </c>
      <c r="G12" s="3"/>
      <c r="H12" s="4" t="e">
        <f t="shared" ref="H12:H17" si="2">G12/D12</f>
        <v>#DIV/0!</v>
      </c>
      <c r="I12" s="3">
        <f t="shared" ref="I12:I17" si="3">F12-G12</f>
        <v>0</v>
      </c>
      <c r="J12" s="26" t="e">
        <f t="shared" ref="J12:J17" si="4">E12-H12</f>
        <v>#DIV/0!</v>
      </c>
      <c r="K12" s="27"/>
      <c r="L12">
        <f t="shared" ref="L12:L17" si="5">DAYS360(K12,$C$1)</f>
        <v>45356</v>
      </c>
      <c r="M12" s="5" t="e">
        <f t="shared" ref="M12:M17" si="6">(I12/G12)</f>
        <v>#DIV/0!</v>
      </c>
      <c r="P12" s="63"/>
      <c r="Q12" s="28"/>
      <c r="R12" s="29">
        <f t="shared" ref="R12:R17" si="7">Q12*0.93</f>
        <v>0</v>
      </c>
      <c r="S12" s="29"/>
      <c r="T12" s="31">
        <f t="shared" ref="T12:T17" si="8">Q12*1.25</f>
        <v>0</v>
      </c>
      <c r="U12" s="28">
        <f t="shared" ref="U12:U17" si="9">Q12*1.5</f>
        <v>0</v>
      </c>
      <c r="V12" s="28">
        <f t="shared" ref="V12:V17" si="10">Q12*2</f>
        <v>0</v>
      </c>
      <c r="W12" s="28" t="e">
        <f t="shared" ref="W12:W17" si="11">H12-(H12*0.07)</f>
        <v>#DIV/0!</v>
      </c>
      <c r="X12" s="29"/>
      <c r="Y12" s="5" t="e">
        <f t="shared" ref="Y12:Y17" si="12">(X12-H12)/H12</f>
        <v>#DIV/0!</v>
      </c>
      <c r="Z12" s="6">
        <f t="shared" ref="Z12:Z17" si="13">F12/F$20</f>
        <v>0</v>
      </c>
      <c r="AB12" s="58"/>
      <c r="AC12" s="9"/>
    </row>
    <row r="13" spans="1:29" x14ac:dyDescent="0.25">
      <c r="C13" s="25"/>
      <c r="D13" s="2"/>
      <c r="E13" s="26"/>
      <c r="F13" s="3">
        <f t="shared" si="1"/>
        <v>0</v>
      </c>
      <c r="G13" s="3"/>
      <c r="H13" s="4" t="e">
        <f t="shared" si="2"/>
        <v>#DIV/0!</v>
      </c>
      <c r="I13" s="3">
        <f t="shared" si="3"/>
        <v>0</v>
      </c>
      <c r="J13" s="26" t="e">
        <f t="shared" si="4"/>
        <v>#DIV/0!</v>
      </c>
      <c r="K13" s="27"/>
      <c r="L13">
        <f t="shared" si="5"/>
        <v>45356</v>
      </c>
      <c r="M13" s="5" t="e">
        <f t="shared" si="6"/>
        <v>#DIV/0!</v>
      </c>
      <c r="P13" s="63"/>
      <c r="Q13" s="28"/>
      <c r="R13" s="29">
        <f t="shared" si="7"/>
        <v>0</v>
      </c>
      <c r="S13" s="29"/>
      <c r="T13" s="31">
        <f t="shared" si="8"/>
        <v>0</v>
      </c>
      <c r="U13" s="28">
        <f t="shared" si="9"/>
        <v>0</v>
      </c>
      <c r="V13" s="28">
        <f t="shared" si="10"/>
        <v>0</v>
      </c>
      <c r="W13" s="28" t="e">
        <f t="shared" si="11"/>
        <v>#DIV/0!</v>
      </c>
      <c r="X13" s="29"/>
      <c r="Y13" s="5" t="e">
        <f t="shared" si="12"/>
        <v>#DIV/0!</v>
      </c>
      <c r="Z13" s="32">
        <f t="shared" si="13"/>
        <v>0</v>
      </c>
      <c r="AB13" s="58"/>
      <c r="AC13" s="9"/>
    </row>
    <row r="14" spans="1:29" x14ac:dyDescent="0.25">
      <c r="C14" s="25"/>
      <c r="D14" s="2"/>
      <c r="E14" s="26"/>
      <c r="F14" s="3">
        <f t="shared" si="1"/>
        <v>0</v>
      </c>
      <c r="G14" s="3"/>
      <c r="H14" s="4" t="e">
        <f t="shared" si="2"/>
        <v>#DIV/0!</v>
      </c>
      <c r="I14" s="3">
        <f t="shared" si="3"/>
        <v>0</v>
      </c>
      <c r="J14" s="26" t="e">
        <f t="shared" si="4"/>
        <v>#DIV/0!</v>
      </c>
      <c r="K14" s="27"/>
      <c r="L14">
        <f t="shared" si="5"/>
        <v>45356</v>
      </c>
      <c r="M14" s="5" t="e">
        <f t="shared" si="6"/>
        <v>#DIV/0!</v>
      </c>
      <c r="P14" s="63"/>
      <c r="Q14" s="28"/>
      <c r="R14" s="29">
        <f t="shared" si="7"/>
        <v>0</v>
      </c>
      <c r="S14" s="29"/>
      <c r="T14" s="28">
        <f t="shared" si="8"/>
        <v>0</v>
      </c>
      <c r="U14" s="28">
        <f t="shared" si="9"/>
        <v>0</v>
      </c>
      <c r="V14" s="28">
        <f t="shared" si="10"/>
        <v>0</v>
      </c>
      <c r="W14" s="28" t="e">
        <f t="shared" si="11"/>
        <v>#DIV/0!</v>
      </c>
      <c r="X14" s="29"/>
      <c r="Y14" s="5" t="e">
        <f t="shared" si="12"/>
        <v>#DIV/0!</v>
      </c>
      <c r="Z14" s="6">
        <f t="shared" si="13"/>
        <v>0</v>
      </c>
      <c r="AB14" s="58"/>
      <c r="AC14" s="9"/>
    </row>
    <row r="15" spans="1:29" x14ac:dyDescent="0.25">
      <c r="C15" s="25"/>
      <c r="D15" s="2"/>
      <c r="E15" s="26"/>
      <c r="F15" s="3">
        <f t="shared" si="1"/>
        <v>0</v>
      </c>
      <c r="G15" s="3"/>
      <c r="H15" s="4" t="e">
        <f t="shared" si="2"/>
        <v>#DIV/0!</v>
      </c>
      <c r="I15" s="3">
        <f t="shared" si="3"/>
        <v>0</v>
      </c>
      <c r="J15" s="26" t="e">
        <f t="shared" si="4"/>
        <v>#DIV/0!</v>
      </c>
      <c r="K15" s="27"/>
      <c r="L15">
        <f t="shared" si="5"/>
        <v>45356</v>
      </c>
      <c r="M15" s="5" t="e">
        <f t="shared" si="6"/>
        <v>#DIV/0!</v>
      </c>
      <c r="P15" s="63"/>
      <c r="Q15" s="28"/>
      <c r="R15" s="29">
        <f t="shared" si="7"/>
        <v>0</v>
      </c>
      <c r="S15" s="29"/>
      <c r="T15" s="28">
        <f t="shared" si="8"/>
        <v>0</v>
      </c>
      <c r="U15" s="28">
        <f t="shared" si="9"/>
        <v>0</v>
      </c>
      <c r="V15" s="28">
        <f t="shared" si="10"/>
        <v>0</v>
      </c>
      <c r="W15" s="28" t="e">
        <f t="shared" si="11"/>
        <v>#DIV/0!</v>
      </c>
      <c r="X15" s="29"/>
      <c r="Y15" s="5" t="e">
        <f t="shared" si="12"/>
        <v>#DIV/0!</v>
      </c>
      <c r="Z15" s="32">
        <f t="shared" si="13"/>
        <v>0</v>
      </c>
      <c r="AB15" s="58"/>
      <c r="AC15" s="9"/>
    </row>
    <row r="16" spans="1:29" x14ac:dyDescent="0.25">
      <c r="C16" s="25"/>
      <c r="D16" s="2"/>
      <c r="E16" s="26"/>
      <c r="F16" s="3">
        <f t="shared" si="1"/>
        <v>0</v>
      </c>
      <c r="G16" s="3"/>
      <c r="H16" s="4" t="e">
        <f t="shared" si="2"/>
        <v>#DIV/0!</v>
      </c>
      <c r="I16" s="3">
        <f t="shared" si="3"/>
        <v>0</v>
      </c>
      <c r="J16" s="26" t="e">
        <f t="shared" si="4"/>
        <v>#DIV/0!</v>
      </c>
      <c r="K16" s="27"/>
      <c r="L16">
        <f t="shared" si="5"/>
        <v>45356</v>
      </c>
      <c r="M16" s="5" t="e">
        <f t="shared" si="6"/>
        <v>#DIV/0!</v>
      </c>
      <c r="P16" s="63"/>
      <c r="Q16" s="28"/>
      <c r="R16" s="29">
        <f t="shared" si="7"/>
        <v>0</v>
      </c>
      <c r="S16" s="29"/>
      <c r="T16" s="28">
        <f t="shared" si="8"/>
        <v>0</v>
      </c>
      <c r="U16" s="28">
        <f t="shared" si="9"/>
        <v>0</v>
      </c>
      <c r="V16" s="28">
        <f t="shared" si="10"/>
        <v>0</v>
      </c>
      <c r="W16" s="28" t="e">
        <f t="shared" si="11"/>
        <v>#DIV/0!</v>
      </c>
      <c r="X16" s="29"/>
      <c r="Y16" s="5" t="e">
        <f t="shared" si="12"/>
        <v>#DIV/0!</v>
      </c>
      <c r="Z16" s="32">
        <f t="shared" si="13"/>
        <v>0</v>
      </c>
      <c r="AB16" s="58"/>
      <c r="AC16" s="9"/>
    </row>
    <row r="17" spans="1:29" x14ac:dyDescent="0.25">
      <c r="A17" s="35"/>
      <c r="B17" s="35"/>
      <c r="C17" s="36"/>
      <c r="D17" s="37"/>
      <c r="E17" s="38"/>
      <c r="F17" s="39">
        <f t="shared" si="1"/>
        <v>0</v>
      </c>
      <c r="G17" s="39"/>
      <c r="H17" s="40" t="e">
        <f t="shared" si="2"/>
        <v>#DIV/0!</v>
      </c>
      <c r="I17" s="39">
        <f t="shared" si="3"/>
        <v>0</v>
      </c>
      <c r="J17" s="38" t="e">
        <f t="shared" si="4"/>
        <v>#DIV/0!</v>
      </c>
      <c r="K17" s="41"/>
      <c r="L17" s="35">
        <f t="shared" si="5"/>
        <v>45356</v>
      </c>
      <c r="M17" s="42" t="e">
        <f t="shared" si="6"/>
        <v>#DIV/0!</v>
      </c>
      <c r="N17" s="35"/>
      <c r="O17" s="35"/>
      <c r="P17" s="65"/>
      <c r="Q17" s="44"/>
      <c r="R17" s="45">
        <f t="shared" si="7"/>
        <v>0</v>
      </c>
      <c r="S17" s="45"/>
      <c r="T17" s="46">
        <f t="shared" si="8"/>
        <v>0</v>
      </c>
      <c r="U17" s="44">
        <f t="shared" si="9"/>
        <v>0</v>
      </c>
      <c r="V17" s="44">
        <f t="shared" si="10"/>
        <v>0</v>
      </c>
      <c r="W17" s="44" t="e">
        <f t="shared" si="11"/>
        <v>#DIV/0!</v>
      </c>
      <c r="X17" s="45"/>
      <c r="Y17" s="42" t="e">
        <f t="shared" si="12"/>
        <v>#DIV/0!</v>
      </c>
      <c r="Z17" s="47">
        <f t="shared" si="13"/>
        <v>0</v>
      </c>
      <c r="AB17" s="60"/>
      <c r="AC17" s="9"/>
    </row>
    <row r="18" spans="1:29" x14ac:dyDescent="0.25">
      <c r="A18" t="s">
        <v>43</v>
      </c>
      <c r="D18" s="2"/>
      <c r="F18" s="3">
        <f>SUM(F6:F17)</f>
        <v>346942.43100899993</v>
      </c>
      <c r="G18" s="3">
        <f>SUM(G6:G17)</f>
        <v>344855.99489999999</v>
      </c>
      <c r="H18" s="4"/>
      <c r="I18" s="3">
        <f>SUM(I6:I17)</f>
        <v>2086.436109000002</v>
      </c>
      <c r="M18" s="5"/>
      <c r="Z18" s="6"/>
    </row>
    <row r="19" spans="1:29" x14ac:dyDescent="0.25">
      <c r="D19" s="2" t="s">
        <v>44</v>
      </c>
      <c r="F19" s="3">
        <v>265137</v>
      </c>
      <c r="G19" s="6">
        <f>F19/F20</f>
        <v>0.43317417081460702</v>
      </c>
      <c r="H19" s="4"/>
      <c r="I19" s="3"/>
      <c r="M19" s="5"/>
      <c r="Z19" s="6"/>
    </row>
    <row r="20" spans="1:29" x14ac:dyDescent="0.25">
      <c r="D20" s="2" t="s">
        <v>45</v>
      </c>
      <c r="F20" s="3">
        <f>SUM(F18:F19)</f>
        <v>612079.43100899993</v>
      </c>
      <c r="G20" s="3"/>
      <c r="H20" s="48"/>
      <c r="I20" s="49"/>
      <c r="K20" t="s">
        <v>46</v>
      </c>
      <c r="M20" s="13" t="s">
        <v>47</v>
      </c>
      <c r="Z20" s="6"/>
    </row>
    <row r="21" spans="1:29" x14ac:dyDescent="0.25">
      <c r="D21" s="2"/>
      <c r="F21" s="4"/>
      <c r="G21" s="3"/>
      <c r="H21" s="4" t="s">
        <v>48</v>
      </c>
      <c r="I21" s="50">
        <f>'12-19-25'!F20</f>
        <v>616118.13500300003</v>
      </c>
      <c r="K21" s="1">
        <v>45657</v>
      </c>
      <c r="L21" s="50">
        <v>170762</v>
      </c>
      <c r="M21" s="50">
        <v>211687</v>
      </c>
      <c r="Z21" s="6"/>
    </row>
    <row r="22" spans="1:29" x14ac:dyDescent="0.25">
      <c r="D22" s="2"/>
      <c r="F22" s="3"/>
      <c r="G22" s="51"/>
      <c r="H22" s="4" t="s">
        <v>49</v>
      </c>
      <c r="I22" s="6">
        <f>(F20-I21)/I21</f>
        <v>-6.5550805349698597E-3</v>
      </c>
      <c r="K22" s="9" t="s">
        <v>123</v>
      </c>
      <c r="L22" s="6">
        <f>(M21-L21)/L21</f>
        <v>0.23966104871107155</v>
      </c>
      <c r="Z22" s="6"/>
    </row>
    <row r="24" spans="1:29" x14ac:dyDescent="0.25">
      <c r="D24" s="9"/>
      <c r="E24" s="9"/>
      <c r="F24" s="52"/>
      <c r="G24" s="3"/>
      <c r="H24" s="3"/>
      <c r="I24" s="12"/>
      <c r="J24" s="9"/>
      <c r="K24" s="9"/>
      <c r="L24" s="9"/>
      <c r="M24" s="13" t="s">
        <v>51</v>
      </c>
    </row>
    <row r="25" spans="1:29" x14ac:dyDescent="0.25">
      <c r="A25" s="53" t="s">
        <v>60</v>
      </c>
      <c r="D25" s="54" t="s">
        <v>15</v>
      </c>
      <c r="E25" s="54" t="s">
        <v>52</v>
      </c>
      <c r="F25" s="55" t="s">
        <v>53</v>
      </c>
      <c r="G25" s="55" t="s">
        <v>54</v>
      </c>
      <c r="H25" s="55" t="s">
        <v>55</v>
      </c>
      <c r="I25" s="55" t="s">
        <v>56</v>
      </c>
      <c r="J25" s="54" t="s">
        <v>11</v>
      </c>
      <c r="K25" s="54" t="s">
        <v>20</v>
      </c>
      <c r="L25" s="54" t="s">
        <v>57</v>
      </c>
      <c r="M25" s="54" t="s">
        <v>58</v>
      </c>
      <c r="N25" s="1"/>
    </row>
    <row r="26" spans="1:29" x14ac:dyDescent="0.25">
      <c r="A26" t="s">
        <v>39</v>
      </c>
      <c r="B26" t="s">
        <v>30</v>
      </c>
      <c r="C26" s="25" t="s">
        <v>40</v>
      </c>
      <c r="D26" s="2">
        <v>935.03689999999995</v>
      </c>
      <c r="E26" s="57">
        <f>F26/D26</f>
        <v>72.335006244138597</v>
      </c>
      <c r="F26" s="56">
        <v>67635.899999999994</v>
      </c>
      <c r="G26" s="56">
        <v>64699.88</v>
      </c>
      <c r="H26" s="57">
        <f>G26/D26</f>
        <v>69.195001822922706</v>
      </c>
      <c r="I26" s="57">
        <f>G26-F26</f>
        <v>-2936.0199999999968</v>
      </c>
      <c r="J26" s="6">
        <f>I26/F26</f>
        <v>-4.340919541249539E-2</v>
      </c>
      <c r="K26" s="1">
        <v>45609</v>
      </c>
      <c r="L26" s="1">
        <v>45659</v>
      </c>
      <c r="M26">
        <f t="shared" ref="M26:M38" si="14">DAYS360(K26,L26)</f>
        <v>49</v>
      </c>
      <c r="Q26" s="28"/>
      <c r="S26" s="62"/>
    </row>
    <row r="27" spans="1:29" x14ac:dyDescent="0.25">
      <c r="A27" t="s">
        <v>61</v>
      </c>
      <c r="B27" t="s">
        <v>30</v>
      </c>
      <c r="C27" s="25" t="s">
        <v>62</v>
      </c>
      <c r="D27" s="2">
        <v>653.82380000000001</v>
      </c>
      <c r="E27" s="57">
        <f>F27/D27</f>
        <v>90.119203369470497</v>
      </c>
      <c r="F27" s="3">
        <v>58922.080000000002</v>
      </c>
      <c r="G27" s="56">
        <v>54094.080000000002</v>
      </c>
      <c r="H27" s="57">
        <f>G27/D27</f>
        <v>82.734950914910101</v>
      </c>
      <c r="I27" s="57">
        <f>G27-F27</f>
        <v>-4828</v>
      </c>
      <c r="J27" s="6">
        <f>I27/F27</f>
        <v>-8.1938723140798822E-2</v>
      </c>
      <c r="K27" s="1">
        <v>45660</v>
      </c>
      <c r="L27" s="1">
        <v>45667</v>
      </c>
      <c r="M27">
        <f t="shared" si="14"/>
        <v>7</v>
      </c>
      <c r="Q27" s="28"/>
      <c r="S27" s="62"/>
    </row>
    <row r="28" spans="1:29" x14ac:dyDescent="0.25">
      <c r="A28" t="s">
        <v>29</v>
      </c>
      <c r="B28" t="s">
        <v>30</v>
      </c>
      <c r="C28" s="25" t="s">
        <v>31</v>
      </c>
      <c r="D28" s="2">
        <v>1263.7796000000001</v>
      </c>
      <c r="E28" s="57">
        <f t="shared" ref="E28:E37" si="15">F28/D28</f>
        <v>44.698790833464948</v>
      </c>
      <c r="F28" s="3">
        <v>56489.42</v>
      </c>
      <c r="G28" s="56">
        <v>75501.87</v>
      </c>
      <c r="H28" s="57">
        <f t="shared" ref="H28:H70" si="16">G28/D28</f>
        <v>59.742909285764696</v>
      </c>
      <c r="I28" s="57">
        <f t="shared" ref="I28:I70" si="17">G28-F28</f>
        <v>19012.449999999997</v>
      </c>
      <c r="J28" s="6">
        <f t="shared" ref="J28:J70" si="18">I28/F28</f>
        <v>0.33656656414599401</v>
      </c>
      <c r="K28" s="1">
        <v>45527</v>
      </c>
      <c r="L28" s="1">
        <v>45688</v>
      </c>
      <c r="M28">
        <f t="shared" si="14"/>
        <v>158</v>
      </c>
      <c r="Q28" s="28"/>
      <c r="S28" s="62"/>
    </row>
    <row r="29" spans="1:29" x14ac:dyDescent="0.25">
      <c r="A29" t="s">
        <v>73</v>
      </c>
      <c r="B29" t="s">
        <v>30</v>
      </c>
      <c r="C29" s="25" t="s">
        <v>74</v>
      </c>
      <c r="D29" s="2">
        <f>347.7531+131.6951</f>
        <v>479.44820000000004</v>
      </c>
      <c r="E29" s="57">
        <f t="shared" si="15"/>
        <v>169.90901206845703</v>
      </c>
      <c r="F29" s="3">
        <f>59492.79+21969.78</f>
        <v>81462.570000000007</v>
      </c>
      <c r="G29" s="56">
        <v>65047.58</v>
      </c>
      <c r="H29" s="57">
        <f t="shared" si="16"/>
        <v>135.67175765807443</v>
      </c>
      <c r="I29" s="57">
        <f t="shared" si="17"/>
        <v>-16414.990000000005</v>
      </c>
      <c r="J29" s="6">
        <f t="shared" si="18"/>
        <v>-0.20150346349249729</v>
      </c>
      <c r="K29" s="1">
        <v>45671</v>
      </c>
      <c r="L29" s="1">
        <v>45688</v>
      </c>
      <c r="M29">
        <f t="shared" si="14"/>
        <v>17</v>
      </c>
      <c r="Q29" s="28"/>
      <c r="S29" s="62"/>
    </row>
    <row r="30" spans="1:29" x14ac:dyDescent="0.25">
      <c r="A30" t="s">
        <v>32</v>
      </c>
      <c r="B30" t="s">
        <v>30</v>
      </c>
      <c r="C30" s="25" t="s">
        <v>33</v>
      </c>
      <c r="D30" s="2">
        <v>3020.3485999999998</v>
      </c>
      <c r="E30" s="57">
        <f t="shared" si="15"/>
        <v>18.702010092477405</v>
      </c>
      <c r="F30" s="3">
        <v>56486.59</v>
      </c>
      <c r="G30" s="56">
        <v>71124.88</v>
      </c>
      <c r="H30" s="57">
        <f t="shared" si="16"/>
        <v>23.548566546258936</v>
      </c>
      <c r="I30" s="57">
        <f t="shared" si="17"/>
        <v>14638.290000000008</v>
      </c>
      <c r="J30" s="6">
        <f t="shared" si="18"/>
        <v>0.25914628587068206</v>
      </c>
      <c r="K30" s="1">
        <v>45527</v>
      </c>
      <c r="L30" s="1">
        <v>45691</v>
      </c>
      <c r="M30">
        <f t="shared" si="14"/>
        <v>160</v>
      </c>
      <c r="Q30" s="28"/>
      <c r="S30" s="62"/>
    </row>
    <row r="31" spans="1:29" x14ac:dyDescent="0.25">
      <c r="A31" t="s">
        <v>85</v>
      </c>
      <c r="B31" t="s">
        <v>30</v>
      </c>
      <c r="C31" s="25" t="s">
        <v>86</v>
      </c>
      <c r="D31" s="2">
        <v>1436.8459</v>
      </c>
      <c r="E31" s="57">
        <f t="shared" si="15"/>
        <v>42.502491599999999</v>
      </c>
      <c r="F31" s="3">
        <f>1436.8459*42.5024916</f>
        <v>61069.530795244442</v>
      </c>
      <c r="G31" s="56">
        <f>1436.8459*38.249853</f>
        <v>54959.144458652707</v>
      </c>
      <c r="H31" s="57">
        <f t="shared" si="16"/>
        <v>38.249853000000002</v>
      </c>
      <c r="I31" s="57">
        <f t="shared" si="17"/>
        <v>-6110.386336591735</v>
      </c>
      <c r="J31" s="6">
        <f t="shared" si="18"/>
        <v>-0.10005621882176895</v>
      </c>
      <c r="K31" s="1">
        <v>45706</v>
      </c>
      <c r="L31" s="1">
        <v>45708</v>
      </c>
      <c r="M31">
        <f t="shared" si="14"/>
        <v>2</v>
      </c>
      <c r="Q31" s="28"/>
      <c r="S31" s="62"/>
    </row>
    <row r="32" spans="1:29" x14ac:dyDescent="0.25">
      <c r="A32" t="s">
        <v>83</v>
      </c>
      <c r="B32" t="s">
        <v>30</v>
      </c>
      <c r="C32" s="25" t="s">
        <v>84</v>
      </c>
      <c r="D32" s="2">
        <v>130.69069999999999</v>
      </c>
      <c r="E32" s="57">
        <f t="shared" si="15"/>
        <v>701.32489299999997</v>
      </c>
      <c r="F32" s="3">
        <f>130.6907*701.324893</f>
        <v>91656.641193595089</v>
      </c>
      <c r="G32" s="56">
        <f>130.6907*531.6399528</f>
        <v>69480.397579398952</v>
      </c>
      <c r="H32" s="57">
        <f t="shared" si="16"/>
        <v>531.63995279999995</v>
      </c>
      <c r="I32" s="57">
        <f t="shared" si="17"/>
        <v>-22176.243614196137</v>
      </c>
      <c r="J32" s="6">
        <f t="shared" si="18"/>
        <v>-0.24194911929355969</v>
      </c>
      <c r="K32" s="1">
        <v>45706</v>
      </c>
      <c r="L32" s="1">
        <v>45708</v>
      </c>
      <c r="M32">
        <f t="shared" si="14"/>
        <v>2</v>
      </c>
      <c r="Q32" s="28"/>
      <c r="S32" s="62"/>
    </row>
    <row r="33" spans="1:19" x14ac:dyDescent="0.25">
      <c r="A33" t="s">
        <v>71</v>
      </c>
      <c r="B33" t="s">
        <v>30</v>
      </c>
      <c r="C33" s="25" t="s">
        <v>72</v>
      </c>
      <c r="D33" s="2">
        <v>201.9693</v>
      </c>
      <c r="E33" s="57">
        <f t="shared" si="15"/>
        <v>368.56522253629635</v>
      </c>
      <c r="F33" s="3">
        <v>74438.86</v>
      </c>
      <c r="G33" s="56">
        <f>201.9693*360.5332483</f>
        <v>72816.647785877198</v>
      </c>
      <c r="H33" s="57">
        <f t="shared" si="16"/>
        <v>360.53324830000003</v>
      </c>
      <c r="I33" s="57">
        <f t="shared" si="17"/>
        <v>-1622.2122141228028</v>
      </c>
      <c r="J33" s="6">
        <f t="shared" si="18"/>
        <v>-2.1792545105107773E-2</v>
      </c>
      <c r="K33" s="1">
        <v>45664</v>
      </c>
      <c r="L33" s="1">
        <v>45708</v>
      </c>
      <c r="M33">
        <f t="shared" si="14"/>
        <v>43</v>
      </c>
      <c r="Q33" s="28"/>
      <c r="S33" s="62"/>
    </row>
    <row r="34" spans="1:19" x14ac:dyDescent="0.25">
      <c r="A34" t="s">
        <v>69</v>
      </c>
      <c r="B34" t="s">
        <v>30</v>
      </c>
      <c r="C34" s="25" t="s">
        <v>70</v>
      </c>
      <c r="D34" s="2">
        <v>1255.3625</v>
      </c>
      <c r="E34" s="57">
        <f t="shared" si="15"/>
        <v>30.17825528482809</v>
      </c>
      <c r="F34" s="3">
        <v>37884.65</v>
      </c>
      <c r="G34" s="56">
        <f>1255.3625*39.762296</f>
        <v>49916.0953123</v>
      </c>
      <c r="H34" s="57">
        <f t="shared" si="16"/>
        <v>39.762295999999999</v>
      </c>
      <c r="I34" s="57">
        <f t="shared" si="17"/>
        <v>12031.445312299998</v>
      </c>
      <c r="J34" s="6">
        <f t="shared" si="18"/>
        <v>0.31758100740801348</v>
      </c>
      <c r="K34" s="1">
        <v>45663</v>
      </c>
      <c r="L34" s="1">
        <v>45709</v>
      </c>
      <c r="M34">
        <f t="shared" si="14"/>
        <v>45</v>
      </c>
      <c r="Q34" s="28"/>
      <c r="S34" s="62"/>
    </row>
    <row r="35" spans="1:19" x14ac:dyDescent="0.25">
      <c r="A35" t="s">
        <v>81</v>
      </c>
      <c r="B35" t="s">
        <v>30</v>
      </c>
      <c r="C35" s="25" t="s">
        <v>82</v>
      </c>
      <c r="D35" s="2">
        <v>252.7011</v>
      </c>
      <c r="E35" s="57">
        <f t="shared" si="15"/>
        <v>242.26930551548847</v>
      </c>
      <c r="F35" s="3">
        <v>61221.72</v>
      </c>
      <c r="G35" s="56">
        <f>252.7011*226.6146532</f>
        <v>57265.772139758519</v>
      </c>
      <c r="H35" s="57">
        <f t="shared" si="16"/>
        <v>226.61465319999999</v>
      </c>
      <c r="I35" s="57">
        <f t="shared" si="17"/>
        <v>-3955.947860241482</v>
      </c>
      <c r="J35" s="6">
        <f t="shared" si="18"/>
        <v>-6.4616738311852093E-2</v>
      </c>
      <c r="K35" s="1">
        <v>45699</v>
      </c>
      <c r="L35" s="1">
        <v>45709</v>
      </c>
      <c r="M35">
        <f t="shared" si="14"/>
        <v>10</v>
      </c>
      <c r="Q35" s="28"/>
      <c r="S35" s="62"/>
    </row>
    <row r="36" spans="1:19" x14ac:dyDescent="0.25">
      <c r="A36" t="s">
        <v>34</v>
      </c>
      <c r="B36" t="s">
        <v>30</v>
      </c>
      <c r="C36" s="25" t="s">
        <v>35</v>
      </c>
      <c r="D36" s="2">
        <f>341.2204-83.2121</f>
        <v>258.00829999999996</v>
      </c>
      <c r="E36" s="57">
        <f t="shared" si="15"/>
        <v>208.11481646133089</v>
      </c>
      <c r="F36" s="3">
        <f>71012.62-17317.27</f>
        <v>53695.349999999991</v>
      </c>
      <c r="G36" s="56">
        <f>258.0083*283.9399945</f>
        <v>73258.875282954352</v>
      </c>
      <c r="H36" s="57">
        <f t="shared" si="16"/>
        <v>283.93999450000007</v>
      </c>
      <c r="I36" s="57">
        <f t="shared" si="17"/>
        <v>19563.525282954361</v>
      </c>
      <c r="J36" s="6">
        <f t="shared" si="18"/>
        <v>0.36434300703793465</v>
      </c>
      <c r="K36" s="1">
        <v>45580</v>
      </c>
      <c r="L36" s="1">
        <v>45712</v>
      </c>
      <c r="M36">
        <f t="shared" si="14"/>
        <v>129</v>
      </c>
      <c r="Q36" s="28"/>
      <c r="S36" s="62"/>
    </row>
    <row r="37" spans="1:19" x14ac:dyDescent="0.25">
      <c r="A37" t="s">
        <v>75</v>
      </c>
      <c r="B37" t="s">
        <v>30</v>
      </c>
      <c r="C37" s="25" t="s">
        <v>76</v>
      </c>
      <c r="D37" s="2">
        <f>675.2982+456.8207</f>
        <v>1132.1188999999999</v>
      </c>
      <c r="E37" s="57">
        <f t="shared" si="15"/>
        <v>67.38398237146292</v>
      </c>
      <c r="F37" s="3">
        <f>45046.15+31240.53</f>
        <v>76286.679999999993</v>
      </c>
      <c r="G37" s="56">
        <f>1132.1189*63.3653309</f>
        <v>71737.088716644008</v>
      </c>
      <c r="H37" s="57">
        <f t="shared" si="16"/>
        <v>63.365330900000004</v>
      </c>
      <c r="I37" s="57">
        <f t="shared" si="17"/>
        <v>-4549.5912833559851</v>
      </c>
      <c r="J37" s="6">
        <f t="shared" si="18"/>
        <v>-5.9638082078758516E-2</v>
      </c>
      <c r="K37" s="1">
        <v>45673</v>
      </c>
      <c r="L37" s="1">
        <v>45712</v>
      </c>
      <c r="M37">
        <f t="shared" si="14"/>
        <v>38</v>
      </c>
      <c r="Q37" s="28"/>
      <c r="S37" s="62"/>
    </row>
    <row r="38" spans="1:19" x14ac:dyDescent="0.25">
      <c r="A38" t="s">
        <v>36</v>
      </c>
      <c r="B38" t="s">
        <v>30</v>
      </c>
      <c r="C38" t="s">
        <v>37</v>
      </c>
      <c r="D38" s="2">
        <f>939.2424+388.9544</f>
        <v>1328.1967999999999</v>
      </c>
      <c r="E38" s="57">
        <f>F38/D38</f>
        <v>45.483432876814639</v>
      </c>
      <c r="F38" s="3">
        <f>36992.18+23418.77</f>
        <v>60410.95</v>
      </c>
      <c r="G38" s="56">
        <f>1328.1968*50.0213805</f>
        <v>66438.237511682397</v>
      </c>
      <c r="H38" s="57">
        <f t="shared" si="16"/>
        <v>50.021380499999999</v>
      </c>
      <c r="I38" s="57">
        <f t="shared" si="17"/>
        <v>6027.2875116823998</v>
      </c>
      <c r="J38" s="6">
        <f t="shared" si="18"/>
        <v>9.9771440635884723E-2</v>
      </c>
      <c r="K38" s="1">
        <v>45593</v>
      </c>
      <c r="L38" s="1">
        <v>45713</v>
      </c>
      <c r="M38">
        <f t="shared" si="14"/>
        <v>117</v>
      </c>
      <c r="Q38" s="28"/>
      <c r="S38" s="62"/>
    </row>
    <row r="39" spans="1:19" x14ac:dyDescent="0.25">
      <c r="A39" t="s">
        <v>77</v>
      </c>
      <c r="B39" t="s">
        <v>30</v>
      </c>
      <c r="C39" s="25" t="s">
        <v>78</v>
      </c>
      <c r="D39" s="2">
        <v>1628.6374000000001</v>
      </c>
      <c r="E39" s="57">
        <f>F39/D39</f>
        <v>13.889635593533589</v>
      </c>
      <c r="F39" s="3">
        <v>22621.18</v>
      </c>
      <c r="G39" s="56">
        <f>1628.6374*12.519992</f>
        <v>20390.527218900803</v>
      </c>
      <c r="H39" s="57">
        <f t="shared" si="16"/>
        <v>12.519992000000002</v>
      </c>
      <c r="I39" s="57">
        <f t="shared" si="17"/>
        <v>-2230.6527810991975</v>
      </c>
      <c r="J39" s="6">
        <f t="shared" si="18"/>
        <v>-9.8609037242937694E-2</v>
      </c>
      <c r="K39" s="1">
        <v>45692</v>
      </c>
      <c r="L39" s="1">
        <v>45715</v>
      </c>
      <c r="M39">
        <f>DAYS360(K39,L39)</f>
        <v>23</v>
      </c>
      <c r="Q39" s="28"/>
      <c r="S39" s="62"/>
    </row>
    <row r="40" spans="1:19" x14ac:dyDescent="0.25">
      <c r="A40" t="s">
        <v>79</v>
      </c>
      <c r="B40" t="s">
        <v>30</v>
      </c>
      <c r="C40" s="25" t="s">
        <v>80</v>
      </c>
      <c r="D40" s="2">
        <v>440.02980000000002</v>
      </c>
      <c r="E40" s="57">
        <f>F40/D40</f>
        <v>105.47628819684485</v>
      </c>
      <c r="F40" s="3">
        <v>46412.71</v>
      </c>
      <c r="G40" s="56">
        <f>440.0298*94.6799953</f>
        <v>41662.019395859941</v>
      </c>
      <c r="H40" s="57">
        <f t="shared" si="16"/>
        <v>94.679995300000002</v>
      </c>
      <c r="I40" s="57">
        <f t="shared" si="17"/>
        <v>-4750.690604140058</v>
      </c>
      <c r="J40" s="6">
        <f t="shared" si="18"/>
        <v>-0.10235753534193669</v>
      </c>
      <c r="K40" s="1">
        <v>45695</v>
      </c>
      <c r="L40" s="1">
        <v>45729</v>
      </c>
      <c r="M40">
        <f>DAYS360(K40,L40)</f>
        <v>36</v>
      </c>
      <c r="Q40" s="28"/>
      <c r="S40" s="62"/>
    </row>
    <row r="41" spans="1:19" x14ac:dyDescent="0.25">
      <c r="A41" t="s">
        <v>98</v>
      </c>
      <c r="B41" t="s">
        <v>30</v>
      </c>
      <c r="C41" t="s">
        <v>99</v>
      </c>
      <c r="D41" s="2">
        <v>1312.6138000000001</v>
      </c>
      <c r="E41" s="57">
        <f t="shared" ref="E41:E70" si="19">F41/D41</f>
        <v>20.657667</v>
      </c>
      <c r="F41" s="3">
        <f>1312.6138*20.657667</f>
        <v>27115.538780004601</v>
      </c>
      <c r="G41" s="56">
        <f>1312.6138*18.9477051</f>
        <v>24871.019192590382</v>
      </c>
      <c r="H41" s="57">
        <f t="shared" si="16"/>
        <v>18.9477051</v>
      </c>
      <c r="I41" s="57">
        <f t="shared" si="17"/>
        <v>-2244.5195874142191</v>
      </c>
      <c r="J41" s="6">
        <f t="shared" si="18"/>
        <v>-8.2776138273503941E-2</v>
      </c>
      <c r="K41" s="1">
        <v>45761</v>
      </c>
      <c r="L41" s="1">
        <v>45768</v>
      </c>
      <c r="M41">
        <f t="shared" ref="M41:M70" si="20">DAYS360(K41,L41)</f>
        <v>7</v>
      </c>
      <c r="Q41" s="28"/>
      <c r="S41" s="62"/>
    </row>
    <row r="42" spans="1:19" x14ac:dyDescent="0.25">
      <c r="A42" t="s">
        <v>100</v>
      </c>
      <c r="B42" t="s">
        <v>30</v>
      </c>
      <c r="C42" s="25" t="s">
        <v>101</v>
      </c>
      <c r="D42" s="2">
        <v>352.97579999999999</v>
      </c>
      <c r="E42" s="57">
        <f t="shared" si="19"/>
        <v>96.336406065231671</v>
      </c>
      <c r="F42" s="3">
        <v>34004.42</v>
      </c>
      <c r="G42" s="56">
        <f>352.9758*89.7849585</f>
        <v>31691.9175545043</v>
      </c>
      <c r="H42" s="57">
        <f t="shared" si="16"/>
        <v>89.784958500000002</v>
      </c>
      <c r="I42" s="57">
        <f t="shared" si="17"/>
        <v>-2312.5024454956983</v>
      </c>
      <c r="J42" s="6">
        <f t="shared" si="18"/>
        <v>-6.8005937036882222E-2</v>
      </c>
      <c r="K42" s="1">
        <v>45762</v>
      </c>
      <c r="L42" s="1">
        <v>45768</v>
      </c>
      <c r="M42">
        <f t="shared" si="20"/>
        <v>6</v>
      </c>
      <c r="Q42" s="28"/>
      <c r="S42" s="62"/>
    </row>
    <row r="43" spans="1:19" x14ac:dyDescent="0.25">
      <c r="A43" t="s">
        <v>41</v>
      </c>
      <c r="B43" t="s">
        <v>30</v>
      </c>
      <c r="C43" s="25" t="s">
        <v>42</v>
      </c>
      <c r="D43" s="2">
        <v>2234.6064999999999</v>
      </c>
      <c r="E43" s="57">
        <f t="shared" si="19"/>
        <v>16.992624876012847</v>
      </c>
      <c r="F43" s="3">
        <v>37971.83</v>
      </c>
      <c r="G43" s="56">
        <f>2234.6065*13.3067232</f>
        <v>29735.2901564208</v>
      </c>
      <c r="H43" s="57">
        <f t="shared" si="16"/>
        <v>13.3067232</v>
      </c>
      <c r="I43" s="57">
        <f t="shared" si="17"/>
        <v>-8236.5398435792013</v>
      </c>
      <c r="J43" s="6">
        <f t="shared" si="18"/>
        <v>-0.21691184869360261</v>
      </c>
      <c r="K43" s="1">
        <v>45652</v>
      </c>
      <c r="L43" s="1">
        <v>45785</v>
      </c>
      <c r="M43">
        <f t="shared" si="20"/>
        <v>132</v>
      </c>
      <c r="Q43" s="28"/>
      <c r="S43" s="62"/>
    </row>
    <row r="44" spans="1:19" x14ac:dyDescent="0.25">
      <c r="A44" t="s">
        <v>96</v>
      </c>
      <c r="B44" t="s">
        <v>30</v>
      </c>
      <c r="C44" s="25" t="s">
        <v>97</v>
      </c>
      <c r="D44" s="2">
        <v>575.84820000000002</v>
      </c>
      <c r="E44" s="57">
        <f t="shared" si="19"/>
        <v>38.101812248436303</v>
      </c>
      <c r="F44" s="3">
        <v>21940.86</v>
      </c>
      <c r="G44" s="56">
        <f>575.8482*32.7857042</f>
        <v>18879.588749302438</v>
      </c>
      <c r="H44" s="57">
        <f t="shared" si="16"/>
        <v>32.785704199999998</v>
      </c>
      <c r="I44" s="57">
        <f t="shared" si="17"/>
        <v>-3061.2712506975622</v>
      </c>
      <c r="J44" s="6">
        <f t="shared" si="18"/>
        <v>-0.13952375844417958</v>
      </c>
      <c r="K44" s="1">
        <v>45761</v>
      </c>
      <c r="L44" s="1">
        <v>45790</v>
      </c>
      <c r="M44">
        <f t="shared" si="20"/>
        <v>29</v>
      </c>
      <c r="Q44" s="28"/>
      <c r="S44" s="62"/>
    </row>
    <row r="45" spans="1:19" x14ac:dyDescent="0.25">
      <c r="A45" t="s">
        <v>104</v>
      </c>
      <c r="B45" t="s">
        <v>30</v>
      </c>
      <c r="C45" s="25" t="s">
        <v>99</v>
      </c>
      <c r="D45" s="2">
        <v>960.15710000000001</v>
      </c>
      <c r="E45" s="57">
        <f t="shared" si="19"/>
        <v>24.570291674143743</v>
      </c>
      <c r="F45" s="3">
        <v>23591.34</v>
      </c>
      <c r="G45" s="56">
        <v>19396.37</v>
      </c>
      <c r="H45" s="57">
        <f t="shared" si="16"/>
        <v>20.201246233559068</v>
      </c>
      <c r="I45" s="57">
        <f t="shared" si="17"/>
        <v>-4194.9700000000012</v>
      </c>
      <c r="J45" s="6">
        <f t="shared" si="18"/>
        <v>-0.17781821634548953</v>
      </c>
      <c r="K45" s="1">
        <v>45776</v>
      </c>
      <c r="L45" s="1">
        <v>45812</v>
      </c>
      <c r="M45">
        <f t="shared" si="20"/>
        <v>35</v>
      </c>
    </row>
    <row r="46" spans="1:19" x14ac:dyDescent="0.25">
      <c r="A46" t="s">
        <v>106</v>
      </c>
      <c r="B46" t="s">
        <v>30</v>
      </c>
      <c r="C46" s="25" t="s">
        <v>108</v>
      </c>
      <c r="D46" s="2">
        <v>279.89909999999998</v>
      </c>
      <c r="E46" s="57">
        <f t="shared" si="19"/>
        <v>98.000410900000006</v>
      </c>
      <c r="F46" s="3">
        <f>279.8991*98.0004109</f>
        <v>27430.226810540189</v>
      </c>
      <c r="G46" s="56">
        <f>279.8991*84.0389078</f>
        <v>23522.414658202979</v>
      </c>
      <c r="H46" s="57">
        <f t="shared" si="16"/>
        <v>84.038907800000004</v>
      </c>
      <c r="I46" s="57">
        <f t="shared" si="17"/>
        <v>-3907.8121523372101</v>
      </c>
      <c r="J46" s="6">
        <f t="shared" si="18"/>
        <v>-0.14246372001691271</v>
      </c>
      <c r="K46" s="1">
        <v>45782</v>
      </c>
      <c r="L46" s="1">
        <v>45818</v>
      </c>
      <c r="M46">
        <f t="shared" si="20"/>
        <v>35</v>
      </c>
    </row>
    <row r="47" spans="1:19" x14ac:dyDescent="0.25">
      <c r="A47" t="s">
        <v>107</v>
      </c>
      <c r="B47" t="s">
        <v>30</v>
      </c>
      <c r="C47" s="25" t="s">
        <v>109</v>
      </c>
      <c r="D47" s="2">
        <f>553.2061+364.8063</f>
        <v>918.01240000000007</v>
      </c>
      <c r="E47" s="57">
        <f t="shared" si="19"/>
        <v>40.437100849618155</v>
      </c>
      <c r="F47" s="3">
        <f>22877.09+14244.67</f>
        <v>37121.760000000002</v>
      </c>
      <c r="G47" s="56">
        <v>34659.56</v>
      </c>
      <c r="H47" s="57">
        <f t="shared" si="16"/>
        <v>37.755002002151599</v>
      </c>
      <c r="I47" s="57">
        <f t="shared" si="17"/>
        <v>-2462.2000000000044</v>
      </c>
      <c r="J47" s="6">
        <f t="shared" si="18"/>
        <v>-6.6327674118899643E-2</v>
      </c>
      <c r="K47" s="1">
        <v>45782</v>
      </c>
      <c r="L47" s="1">
        <v>45828</v>
      </c>
      <c r="M47">
        <f t="shared" si="20"/>
        <v>45</v>
      </c>
    </row>
    <row r="48" spans="1:19" x14ac:dyDescent="0.25">
      <c r="A48" t="s">
        <v>100</v>
      </c>
      <c r="B48" t="s">
        <v>30</v>
      </c>
      <c r="C48" s="25" t="s">
        <v>101</v>
      </c>
      <c r="D48" s="2">
        <f>183.4831+120.5473+115.3915</f>
        <v>419.42189999999999</v>
      </c>
      <c r="E48" s="57">
        <f t="shared" si="19"/>
        <v>123.70183817297092</v>
      </c>
      <c r="F48" s="3">
        <f>22876.67+14197.82+14808.77</f>
        <v>51883.259999999995</v>
      </c>
      <c r="G48" s="56">
        <v>55156.07</v>
      </c>
      <c r="H48" s="57">
        <f t="shared" si="16"/>
        <v>131.50498340692272</v>
      </c>
      <c r="I48" s="57">
        <f t="shared" si="17"/>
        <v>3272.8100000000049</v>
      </c>
      <c r="J48" s="6">
        <f t="shared" si="18"/>
        <v>6.3080269050171583E-2</v>
      </c>
      <c r="K48" s="1">
        <v>45782</v>
      </c>
      <c r="L48" s="1">
        <v>45839</v>
      </c>
      <c r="M48">
        <f t="shared" si="20"/>
        <v>56</v>
      </c>
    </row>
    <row r="49" spans="1:13" x14ac:dyDescent="0.25">
      <c r="A49" t="s">
        <v>116</v>
      </c>
      <c r="B49" t="s">
        <v>30</v>
      </c>
      <c r="C49" s="25" t="s">
        <v>117</v>
      </c>
      <c r="D49" s="2">
        <v>570.81209999999999</v>
      </c>
      <c r="E49" s="57">
        <f t="shared" si="19"/>
        <v>63.194998844628557</v>
      </c>
      <c r="F49" s="3">
        <v>36072.47</v>
      </c>
      <c r="G49" s="56">
        <v>51786.91</v>
      </c>
      <c r="H49" s="57">
        <f t="shared" si="16"/>
        <v>90.724968864535285</v>
      </c>
      <c r="I49" s="57">
        <f t="shared" si="17"/>
        <v>15714.440000000002</v>
      </c>
      <c r="J49" s="6">
        <f t="shared" si="18"/>
        <v>0.43563526423336141</v>
      </c>
      <c r="K49" s="1">
        <v>45796</v>
      </c>
      <c r="L49" s="1">
        <v>45839</v>
      </c>
      <c r="M49">
        <f t="shared" si="20"/>
        <v>42</v>
      </c>
    </row>
    <row r="50" spans="1:13" x14ac:dyDescent="0.25">
      <c r="A50" t="s">
        <v>113</v>
      </c>
      <c r="B50" t="s">
        <v>30</v>
      </c>
      <c r="C50" s="25" t="s">
        <v>114</v>
      </c>
      <c r="D50" s="2">
        <f>392.3916+221.1479</f>
        <v>613.53949999999998</v>
      </c>
      <c r="E50" s="57">
        <f t="shared" si="19"/>
        <v>90.254808370121239</v>
      </c>
      <c r="F50" s="3">
        <f>35895.15+19479.74</f>
        <v>55374.89</v>
      </c>
      <c r="G50" s="56">
        <v>55236.959999999999</v>
      </c>
      <c r="H50" s="57">
        <f t="shared" si="16"/>
        <v>90.029998068584007</v>
      </c>
      <c r="I50" s="57">
        <f t="shared" si="17"/>
        <v>-137.93000000000029</v>
      </c>
      <c r="J50" s="6">
        <f t="shared" si="18"/>
        <v>-2.4908401623912986E-3</v>
      </c>
      <c r="K50" s="1">
        <v>45789</v>
      </c>
      <c r="L50" s="1">
        <v>45855</v>
      </c>
      <c r="M50">
        <f t="shared" si="20"/>
        <v>65</v>
      </c>
    </row>
    <row r="51" spans="1:13" x14ac:dyDescent="0.25">
      <c r="A51" t="s">
        <v>130</v>
      </c>
      <c r="B51" t="s">
        <v>30</v>
      </c>
      <c r="C51" s="25" t="s">
        <v>131</v>
      </c>
      <c r="D51" s="2">
        <v>401.66629999999998</v>
      </c>
      <c r="E51" s="57">
        <f t="shared" si="19"/>
        <v>113.05354718581073</v>
      </c>
      <c r="F51" s="3">
        <v>45409.8</v>
      </c>
      <c r="G51" s="56">
        <v>41051.0026</v>
      </c>
      <c r="H51" s="57">
        <f t="shared" si="16"/>
        <v>102.2017595202784</v>
      </c>
      <c r="I51" s="57">
        <f t="shared" si="17"/>
        <v>-4358.7974000000031</v>
      </c>
      <c r="J51" s="6">
        <f t="shared" si="18"/>
        <v>-9.5988033420098803E-2</v>
      </c>
      <c r="K51" s="1">
        <v>45855</v>
      </c>
      <c r="L51" s="1">
        <v>45860</v>
      </c>
      <c r="M51">
        <f t="shared" si="20"/>
        <v>5</v>
      </c>
    </row>
    <row r="52" spans="1:13" x14ac:dyDescent="0.25">
      <c r="A52" t="s">
        <v>132</v>
      </c>
      <c r="B52" t="s">
        <v>30</v>
      </c>
      <c r="C52" s="25" t="s">
        <v>133</v>
      </c>
      <c r="D52" s="2">
        <v>1314.7320999999999</v>
      </c>
      <c r="E52" s="57">
        <f t="shared" si="19"/>
        <v>17.339829156069133</v>
      </c>
      <c r="F52" s="3">
        <v>22797.23</v>
      </c>
      <c r="G52" s="56">
        <v>18655.11</v>
      </c>
      <c r="H52" s="57">
        <f t="shared" si="16"/>
        <v>14.189286167121043</v>
      </c>
      <c r="I52" s="57">
        <f t="shared" si="17"/>
        <v>-4142.119999999999</v>
      </c>
      <c r="J52" s="6">
        <f t="shared" si="18"/>
        <v>-0.18169400405224664</v>
      </c>
      <c r="K52" s="1">
        <v>45861</v>
      </c>
      <c r="L52" s="1">
        <v>45870</v>
      </c>
      <c r="M52">
        <f t="shared" si="20"/>
        <v>8</v>
      </c>
    </row>
    <row r="53" spans="1:13" x14ac:dyDescent="0.25">
      <c r="A53" t="s">
        <v>111</v>
      </c>
      <c r="B53" t="s">
        <v>30</v>
      </c>
      <c r="C53" s="25" t="s">
        <v>112</v>
      </c>
      <c r="D53" s="2">
        <f>362.8226+163.9908</f>
        <v>526.8134</v>
      </c>
      <c r="E53" s="57">
        <f t="shared" si="19"/>
        <v>74.757798491837917</v>
      </c>
      <c r="F53" s="3">
        <f>26856.13+12527.28</f>
        <v>39383.410000000003</v>
      </c>
      <c r="G53" s="56">
        <v>67176.488400000002</v>
      </c>
      <c r="H53" s="57">
        <f t="shared" si="16"/>
        <v>127.51476784759082</v>
      </c>
      <c r="I53" s="57">
        <f t="shared" si="17"/>
        <v>27793.078399999999</v>
      </c>
      <c r="J53" s="6">
        <f t="shared" si="18"/>
        <v>0.7057052296893539</v>
      </c>
      <c r="K53" s="1">
        <v>45789</v>
      </c>
      <c r="L53" s="1">
        <v>45870</v>
      </c>
      <c r="M53">
        <f t="shared" si="20"/>
        <v>79</v>
      </c>
    </row>
    <row r="54" spans="1:13" x14ac:dyDescent="0.25">
      <c r="A54" t="s">
        <v>121</v>
      </c>
      <c r="B54" t="s">
        <v>30</v>
      </c>
      <c r="C54" s="25" t="s">
        <v>122</v>
      </c>
      <c r="D54" s="2">
        <f>1070.2094+395.2675+756.7021</f>
        <v>2222.1790000000001</v>
      </c>
      <c r="E54" s="57">
        <f t="shared" si="19"/>
        <v>22.651928580010882</v>
      </c>
      <c r="F54" s="3">
        <f>18821.97+11334.33+20180.34</f>
        <v>50336.639999999999</v>
      </c>
      <c r="G54" s="56">
        <v>42713.83</v>
      </c>
      <c r="H54" s="57">
        <f t="shared" si="16"/>
        <v>19.221597360068653</v>
      </c>
      <c r="I54" s="57">
        <f t="shared" si="17"/>
        <v>-7622.8099999999977</v>
      </c>
      <c r="J54" s="6">
        <f t="shared" si="18"/>
        <v>-0.15143660760829483</v>
      </c>
      <c r="K54" s="1">
        <v>45814</v>
      </c>
      <c r="L54" s="1">
        <v>45880</v>
      </c>
      <c r="M54">
        <f t="shared" si="20"/>
        <v>65</v>
      </c>
    </row>
    <row r="55" spans="1:13" x14ac:dyDescent="0.25">
      <c r="A55" t="s">
        <v>118</v>
      </c>
      <c r="B55" t="s">
        <v>30</v>
      </c>
      <c r="C55" s="25" t="s">
        <v>119</v>
      </c>
      <c r="D55" s="2">
        <f>605.0016+550.0434</f>
        <v>1155.0450000000001</v>
      </c>
      <c r="E55" s="57">
        <f t="shared" si="19"/>
        <v>30.926801697408081</v>
      </c>
      <c r="F55" s="3">
        <f>(605.0016*29.7738017)+17708.65</f>
        <v>35721.847666582718</v>
      </c>
      <c r="G55" s="56">
        <v>42554.27</v>
      </c>
      <c r="H55" s="57">
        <f t="shared" si="16"/>
        <v>36.842088403482109</v>
      </c>
      <c r="I55" s="57">
        <f t="shared" si="17"/>
        <v>6832.4223334172784</v>
      </c>
      <c r="J55" s="6">
        <f t="shared" si="18"/>
        <v>0.1912673274123195</v>
      </c>
      <c r="K55" s="1">
        <v>45800</v>
      </c>
      <c r="L55" s="1">
        <v>45881</v>
      </c>
      <c r="M55">
        <f t="shared" si="20"/>
        <v>79</v>
      </c>
    </row>
    <row r="56" spans="1:13" x14ac:dyDescent="0.25">
      <c r="A56" t="s">
        <v>71</v>
      </c>
      <c r="B56" t="s">
        <v>30</v>
      </c>
      <c r="C56" t="s">
        <v>72</v>
      </c>
      <c r="D56" s="2">
        <f>98.1877+35.2566</f>
        <v>133.4443</v>
      </c>
      <c r="E56" s="57">
        <f t="shared" si="19"/>
        <v>377.42204050678822</v>
      </c>
      <c r="F56" s="3">
        <f>34962.9+15401.92</f>
        <v>50364.82</v>
      </c>
      <c r="G56" s="56">
        <v>81517.961800000005</v>
      </c>
      <c r="H56" s="57">
        <f t="shared" si="16"/>
        <v>610.87631168959638</v>
      </c>
      <c r="I56" s="57">
        <f t="shared" si="17"/>
        <v>31153.141800000005</v>
      </c>
      <c r="J56" s="6">
        <f t="shared" si="18"/>
        <v>0.61854965033132259</v>
      </c>
      <c r="K56" s="1">
        <v>45771</v>
      </c>
      <c r="L56" s="1">
        <v>45884</v>
      </c>
      <c r="M56">
        <f t="shared" si="20"/>
        <v>111</v>
      </c>
    </row>
    <row r="57" spans="1:13" x14ac:dyDescent="0.25">
      <c r="A57" t="s">
        <v>138</v>
      </c>
      <c r="B57" t="s">
        <v>30</v>
      </c>
      <c r="C57" s="25" t="s">
        <v>139</v>
      </c>
      <c r="D57" s="2">
        <v>345.54309999999998</v>
      </c>
      <c r="E57" s="57">
        <f t="shared" si="19"/>
        <v>133.9832570813887</v>
      </c>
      <c r="F57" s="3">
        <v>46296.99</v>
      </c>
      <c r="G57" s="56">
        <v>42812.79</v>
      </c>
      <c r="H57" s="57">
        <f t="shared" si="16"/>
        <v>123.89999973954046</v>
      </c>
      <c r="I57" s="57">
        <f t="shared" si="17"/>
        <v>-3484.1999999999971</v>
      </c>
      <c r="J57" s="6">
        <f t="shared" si="18"/>
        <v>-7.525759234023631E-2</v>
      </c>
      <c r="K57" s="1">
        <v>45897</v>
      </c>
      <c r="L57" s="1">
        <v>45904</v>
      </c>
      <c r="M57">
        <f t="shared" si="20"/>
        <v>6</v>
      </c>
    </row>
    <row r="58" spans="1:13" x14ac:dyDescent="0.25">
      <c r="A58" t="s">
        <v>136</v>
      </c>
      <c r="B58" t="s">
        <v>30</v>
      </c>
      <c r="C58" s="25" t="s">
        <v>137</v>
      </c>
      <c r="D58" s="2">
        <v>287.49</v>
      </c>
      <c r="E58" s="57">
        <f t="shared" si="19"/>
        <v>198.81999373891267</v>
      </c>
      <c r="F58" s="3">
        <v>57158.76</v>
      </c>
      <c r="G58" s="56">
        <v>56889.83</v>
      </c>
      <c r="H58" s="57">
        <f t="shared" si="16"/>
        <v>197.88455250617412</v>
      </c>
      <c r="I58" s="57">
        <f t="shared" si="17"/>
        <v>-268.93000000000029</v>
      </c>
      <c r="J58" s="6">
        <f t="shared" si="18"/>
        <v>-4.7049656080712784E-3</v>
      </c>
      <c r="K58" s="1">
        <v>45895</v>
      </c>
      <c r="L58" s="1">
        <v>45936</v>
      </c>
      <c r="M58">
        <f t="shared" si="20"/>
        <v>40</v>
      </c>
    </row>
    <row r="59" spans="1:13" x14ac:dyDescent="0.25">
      <c r="A59" t="s">
        <v>142</v>
      </c>
      <c r="B59" t="s">
        <v>30</v>
      </c>
      <c r="C59" s="25" t="s">
        <v>143</v>
      </c>
      <c r="D59" s="2">
        <v>502.0591</v>
      </c>
      <c r="E59" s="57">
        <f t="shared" si="19"/>
        <v>141.49505506423449</v>
      </c>
      <c r="F59" s="3">
        <v>71038.880000000005</v>
      </c>
      <c r="G59" s="56">
        <v>69446.240000000005</v>
      </c>
      <c r="H59" s="57">
        <f t="shared" si="16"/>
        <v>138.3228388849042</v>
      </c>
      <c r="I59" s="57">
        <f t="shared" si="17"/>
        <v>-1592.6399999999994</v>
      </c>
      <c r="J59" s="6">
        <f t="shared" si="18"/>
        <v>-2.2419272375915827E-2</v>
      </c>
      <c r="K59" s="1">
        <v>45909</v>
      </c>
      <c r="L59" s="1">
        <v>45944</v>
      </c>
      <c r="M59">
        <f t="shared" si="20"/>
        <v>35</v>
      </c>
    </row>
    <row r="60" spans="1:13" x14ac:dyDescent="0.25">
      <c r="A60" t="s">
        <v>69</v>
      </c>
      <c r="B60" t="s">
        <v>30</v>
      </c>
      <c r="C60" s="25" t="s">
        <v>70</v>
      </c>
      <c r="D60" s="2">
        <f>143.2704+538.7851</f>
        <v>682.05550000000005</v>
      </c>
      <c r="E60" s="57">
        <f t="shared" si="19"/>
        <v>63.85874756526411</v>
      </c>
      <c r="F60" s="3">
        <f>9149.25+34405.96</f>
        <v>43555.21</v>
      </c>
      <c r="G60" s="56">
        <f>25648.23+78191</f>
        <v>103839.23</v>
      </c>
      <c r="H60" s="57">
        <f t="shared" si="16"/>
        <v>152.2445460816605</v>
      </c>
      <c r="I60" s="57">
        <f t="shared" si="17"/>
        <v>60284.02</v>
      </c>
      <c r="J60" s="6">
        <f t="shared" si="18"/>
        <v>1.3840828686166362</v>
      </c>
      <c r="K60" s="1">
        <v>45854</v>
      </c>
      <c r="L60" s="1">
        <v>45945</v>
      </c>
      <c r="M60">
        <f t="shared" si="20"/>
        <v>89</v>
      </c>
    </row>
    <row r="61" spans="1:13" x14ac:dyDescent="0.25">
      <c r="A61" t="s">
        <v>138</v>
      </c>
      <c r="B61" t="s">
        <v>30</v>
      </c>
      <c r="C61" s="25" t="s">
        <v>139</v>
      </c>
      <c r="D61" s="2">
        <v>337.18810000000002</v>
      </c>
      <c r="E61" s="57">
        <f t="shared" si="19"/>
        <v>164.72274673987604</v>
      </c>
      <c r="F61" s="3">
        <v>55542.55</v>
      </c>
      <c r="G61" s="56">
        <v>56222.05</v>
      </c>
      <c r="H61" s="57">
        <f t="shared" si="16"/>
        <v>166.73794241255845</v>
      </c>
      <c r="I61" s="57">
        <f t="shared" si="17"/>
        <v>679.5</v>
      </c>
      <c r="J61" s="6">
        <f t="shared" si="18"/>
        <v>1.2233863947550121E-2</v>
      </c>
      <c r="K61" s="1">
        <v>45938</v>
      </c>
      <c r="L61" s="1">
        <v>45953</v>
      </c>
      <c r="M61">
        <f t="shared" si="20"/>
        <v>15</v>
      </c>
    </row>
    <row r="62" spans="1:13" x14ac:dyDescent="0.25">
      <c r="A62" t="s">
        <v>126</v>
      </c>
      <c r="B62" t="s">
        <v>30</v>
      </c>
      <c r="C62" s="25" t="s">
        <v>127</v>
      </c>
      <c r="D62" s="2">
        <f>344.4515+240</f>
        <v>584.45150000000001</v>
      </c>
      <c r="E62" s="57">
        <f t="shared" si="19"/>
        <v>92.249194330068448</v>
      </c>
      <c r="F62" s="3">
        <f>30563.18+23352</f>
        <v>53915.18</v>
      </c>
      <c r="G62" s="56">
        <v>79663.16</v>
      </c>
      <c r="H62" s="57">
        <f t="shared" si="16"/>
        <v>136.30414157547719</v>
      </c>
      <c r="I62" s="57">
        <f t="shared" si="17"/>
        <v>25747.980000000003</v>
      </c>
      <c r="J62" s="6">
        <f t="shared" si="18"/>
        <v>0.47756457457806878</v>
      </c>
      <c r="K62" s="1">
        <v>45840</v>
      </c>
      <c r="L62" s="1">
        <v>45953</v>
      </c>
      <c r="M62">
        <f t="shared" si="20"/>
        <v>111</v>
      </c>
    </row>
    <row r="63" spans="1:13" x14ac:dyDescent="0.25">
      <c r="A63" t="s">
        <v>144</v>
      </c>
      <c r="B63" t="s">
        <v>30</v>
      </c>
      <c r="C63" s="25" t="s">
        <v>145</v>
      </c>
      <c r="D63" s="2">
        <v>1679.5722000000001</v>
      </c>
      <c r="E63" s="57">
        <f t="shared" si="19"/>
        <v>33.115236129771617</v>
      </c>
      <c r="F63" s="3">
        <v>55619.43</v>
      </c>
      <c r="G63" s="56">
        <v>50133.94</v>
      </c>
      <c r="H63" s="57">
        <f t="shared" si="16"/>
        <v>29.849231846061752</v>
      </c>
      <c r="I63" s="57">
        <f t="shared" si="17"/>
        <v>-5485.489999999998</v>
      </c>
      <c r="J63" s="6">
        <f t="shared" si="18"/>
        <v>-9.8625426402248237E-2</v>
      </c>
      <c r="K63" s="1">
        <v>45954</v>
      </c>
      <c r="L63" s="1">
        <v>45965</v>
      </c>
      <c r="M63">
        <f t="shared" si="20"/>
        <v>10</v>
      </c>
    </row>
    <row r="64" spans="1:13" x14ac:dyDescent="0.25">
      <c r="A64" t="s">
        <v>128</v>
      </c>
      <c r="B64" t="s">
        <v>30</v>
      </c>
      <c r="C64" s="25" t="s">
        <v>129</v>
      </c>
      <c r="D64" s="2">
        <f>786.7766+525.5828</f>
        <v>1312.3594000000001</v>
      </c>
      <c r="E64" s="57">
        <f t="shared" si="19"/>
        <v>39.768046771334134</v>
      </c>
      <c r="F64" s="3">
        <f>30514.1+21675.87</f>
        <v>52189.97</v>
      </c>
      <c r="G64" s="56">
        <v>52911.071499999998</v>
      </c>
      <c r="H64" s="57">
        <f t="shared" si="16"/>
        <v>40.317516299269847</v>
      </c>
      <c r="I64" s="57">
        <f t="shared" si="17"/>
        <v>721.10149999999703</v>
      </c>
      <c r="J64" s="6">
        <f t="shared" si="18"/>
        <v>1.3816859829580225E-2</v>
      </c>
      <c r="K64" s="1">
        <v>45840</v>
      </c>
      <c r="L64" s="1">
        <v>45967</v>
      </c>
      <c r="M64">
        <f t="shared" si="20"/>
        <v>124</v>
      </c>
    </row>
    <row r="65" spans="1:13" x14ac:dyDescent="0.25">
      <c r="A65" t="s">
        <v>124</v>
      </c>
      <c r="B65" t="s">
        <v>30</v>
      </c>
      <c r="C65" s="25" t="s">
        <v>125</v>
      </c>
      <c r="D65" s="2">
        <f>915.359+608.2121</f>
        <v>1523.5711000000001</v>
      </c>
      <c r="E65" s="57">
        <f t="shared" si="19"/>
        <v>32.025317426932027</v>
      </c>
      <c r="F65" s="3">
        <f>28630.6+20162.2481</f>
        <v>48792.848100000003</v>
      </c>
      <c r="G65" s="56">
        <v>77936.641799999998</v>
      </c>
      <c r="H65" s="57">
        <f t="shared" si="16"/>
        <v>51.153925012098213</v>
      </c>
      <c r="I65" s="57">
        <f t="shared" si="17"/>
        <v>29143.793699999995</v>
      </c>
      <c r="J65" s="6">
        <f t="shared" si="18"/>
        <v>0.59729642426837537</v>
      </c>
      <c r="K65" s="1">
        <v>45817</v>
      </c>
      <c r="L65" s="1">
        <v>45967</v>
      </c>
      <c r="M65">
        <f t="shared" si="20"/>
        <v>147</v>
      </c>
    </row>
    <row r="66" spans="1:13" x14ac:dyDescent="0.25">
      <c r="A66" t="s">
        <v>146</v>
      </c>
      <c r="B66" t="s">
        <v>30</v>
      </c>
      <c r="C66" s="25" t="s">
        <v>147</v>
      </c>
      <c r="D66" s="2">
        <v>776.60839999999996</v>
      </c>
      <c r="E66" s="57">
        <f t="shared" si="19"/>
        <v>71.667432389348349</v>
      </c>
      <c r="F66" s="3">
        <v>55657.53</v>
      </c>
      <c r="G66" s="56">
        <v>51251.39</v>
      </c>
      <c r="H66" s="57">
        <f t="shared" si="16"/>
        <v>65.993865119151437</v>
      </c>
      <c r="I66" s="57">
        <f t="shared" si="17"/>
        <v>-4406.1399999999994</v>
      </c>
      <c r="J66" s="6">
        <f t="shared" si="18"/>
        <v>-7.9165209092103075E-2</v>
      </c>
      <c r="K66" s="1">
        <v>45957</v>
      </c>
      <c r="L66" s="1">
        <v>45968</v>
      </c>
      <c r="M66">
        <f t="shared" si="20"/>
        <v>10</v>
      </c>
    </row>
    <row r="67" spans="1:13" x14ac:dyDescent="0.25">
      <c r="A67" t="s">
        <v>148</v>
      </c>
      <c r="B67" t="s">
        <v>30</v>
      </c>
      <c r="C67" s="25" t="s">
        <v>149</v>
      </c>
      <c r="D67" s="2">
        <v>364.21120000000002</v>
      </c>
      <c r="E67" s="57">
        <f t="shared" si="19"/>
        <v>104.6290998190061</v>
      </c>
      <c r="F67" s="3">
        <v>38107.089999999997</v>
      </c>
      <c r="G67" s="56">
        <v>36324.28</v>
      </c>
      <c r="H67" s="57">
        <f t="shared" si="16"/>
        <v>99.734110318408653</v>
      </c>
      <c r="I67" s="57">
        <f t="shared" si="17"/>
        <v>-1782.8099999999977</v>
      </c>
      <c r="J67" s="6">
        <f t="shared" si="18"/>
        <v>-4.67842073482913E-2</v>
      </c>
      <c r="K67" s="1">
        <v>45968</v>
      </c>
      <c r="L67" s="1">
        <v>45975</v>
      </c>
      <c r="M67">
        <f t="shared" si="20"/>
        <v>7</v>
      </c>
    </row>
    <row r="68" spans="1:13" x14ac:dyDescent="0.25">
      <c r="A68" t="s">
        <v>134</v>
      </c>
      <c r="B68" t="s">
        <v>30</v>
      </c>
      <c r="C68" s="25" t="s">
        <v>135</v>
      </c>
      <c r="D68" s="2">
        <v>148.3219</v>
      </c>
      <c r="E68" s="57">
        <f t="shared" si="19"/>
        <v>462.8461474670969</v>
      </c>
      <c r="F68" s="3">
        <v>68650.22</v>
      </c>
      <c r="G68" s="56">
        <v>78515.009999999995</v>
      </c>
      <c r="H68" s="57">
        <f t="shared" si="16"/>
        <v>529.3554761636683</v>
      </c>
      <c r="I68" s="57">
        <f t="shared" si="17"/>
        <v>9864.7899999999936</v>
      </c>
      <c r="J68" s="6">
        <f t="shared" si="18"/>
        <v>0.14369640767356598</v>
      </c>
      <c r="K68" s="1">
        <v>45895</v>
      </c>
      <c r="L68" s="1">
        <v>45979</v>
      </c>
      <c r="M68">
        <f t="shared" si="20"/>
        <v>82</v>
      </c>
    </row>
    <row r="69" spans="1:13" x14ac:dyDescent="0.25">
      <c r="A69" t="s">
        <v>138</v>
      </c>
      <c r="B69" t="s">
        <v>30</v>
      </c>
      <c r="C69" s="25" t="s">
        <v>139</v>
      </c>
      <c r="D69" s="2">
        <v>278.13279999999997</v>
      </c>
      <c r="E69" s="57">
        <f t="shared" si="19"/>
        <v>180.33004377764865</v>
      </c>
      <c r="F69" s="3">
        <v>50155.7</v>
      </c>
      <c r="G69" s="56">
        <v>42915.85</v>
      </c>
      <c r="H69" s="57">
        <f t="shared" si="16"/>
        <v>154.29985244458763</v>
      </c>
      <c r="I69" s="57">
        <f t="shared" si="17"/>
        <v>-7239.8499999999985</v>
      </c>
      <c r="J69" s="6">
        <f t="shared" si="18"/>
        <v>-0.1443475018791483</v>
      </c>
      <c r="K69" s="1">
        <v>45981</v>
      </c>
      <c r="L69" s="1">
        <v>45982</v>
      </c>
      <c r="M69">
        <f t="shared" si="20"/>
        <v>1</v>
      </c>
    </row>
    <row r="70" spans="1:13" x14ac:dyDescent="0.25">
      <c r="A70" t="s">
        <v>140</v>
      </c>
      <c r="B70" t="s">
        <v>30</v>
      </c>
      <c r="C70" s="25" t="s">
        <v>141</v>
      </c>
      <c r="D70" s="2">
        <f>595.1582+306.9859</f>
        <v>902.14409999999998</v>
      </c>
      <c r="E70" s="57">
        <f t="shared" si="19"/>
        <v>79.475584887159386</v>
      </c>
      <c r="F70" s="3">
        <f>46827.05+24871.38</f>
        <v>71698.430000000008</v>
      </c>
      <c r="G70" s="56">
        <v>71579.09</v>
      </c>
      <c r="H70" s="57">
        <f t="shared" si="16"/>
        <v>79.343300033775094</v>
      </c>
      <c r="I70" s="57">
        <f t="shared" si="17"/>
        <v>-119.34000000001106</v>
      </c>
      <c r="J70" s="6">
        <f t="shared" si="18"/>
        <v>-1.6644715930322471E-3</v>
      </c>
      <c r="K70" s="1">
        <v>45897</v>
      </c>
      <c r="L70" s="1">
        <v>45982</v>
      </c>
      <c r="M70">
        <f t="shared" si="20"/>
        <v>83</v>
      </c>
    </row>
    <row r="71" spans="1:13" x14ac:dyDescent="0.25">
      <c r="C71" s="25"/>
      <c r="D71" s="2"/>
      <c r="E71" s="57"/>
      <c r="F71" s="3"/>
      <c r="G71" s="56"/>
      <c r="H71" s="57"/>
      <c r="I71" s="57"/>
      <c r="J71" s="6"/>
      <c r="K71" s="1"/>
      <c r="L71" s="1"/>
    </row>
    <row r="72" spans="1:13" x14ac:dyDescent="0.25">
      <c r="C72" s="25"/>
      <c r="D72" s="2"/>
      <c r="E72" s="57"/>
      <c r="F72" s="3"/>
      <c r="G72" s="56"/>
      <c r="H72" s="57"/>
      <c r="I72" s="57"/>
      <c r="J72" s="6"/>
      <c r="K72" s="1"/>
      <c r="L72" s="1"/>
    </row>
    <row r="73" spans="1:13" x14ac:dyDescent="0.25">
      <c r="C73" s="25"/>
      <c r="D73" s="2"/>
      <c r="E73" s="57"/>
      <c r="F73" s="3"/>
      <c r="G73" s="56"/>
      <c r="H73" s="57"/>
      <c r="I73" s="57"/>
      <c r="J73" s="6"/>
      <c r="K73" s="1"/>
      <c r="L73" s="1"/>
    </row>
    <row r="74" spans="1:13" x14ac:dyDescent="0.25">
      <c r="C74" s="25"/>
      <c r="D74" s="2"/>
      <c r="E74" s="57"/>
      <c r="F74" s="3"/>
      <c r="G74" s="56"/>
      <c r="H74" s="57"/>
      <c r="I74" s="57"/>
      <c r="J74" s="6"/>
      <c r="K74" s="1"/>
      <c r="L74" s="1"/>
    </row>
    <row r="75" spans="1:13" x14ac:dyDescent="0.25">
      <c r="C75" s="25"/>
      <c r="D75" s="2"/>
      <c r="E75" s="57"/>
      <c r="F75" s="3"/>
      <c r="G75" s="56"/>
      <c r="H75" s="57"/>
      <c r="I75" s="57"/>
      <c r="J75" s="6"/>
      <c r="K75" s="1"/>
      <c r="L75" s="1"/>
    </row>
    <row r="76" spans="1:13" x14ac:dyDescent="0.25">
      <c r="F76" s="56"/>
      <c r="G76" s="56"/>
      <c r="H76" s="3"/>
      <c r="I76" s="3">
        <f>SUM(I26:I64)</f>
        <v>120384.02476708277</v>
      </c>
      <c r="J76" s="13" t="s">
        <v>66</v>
      </c>
    </row>
    <row r="77" spans="1:13" x14ac:dyDescent="0.25">
      <c r="F77" s="56"/>
      <c r="G77" s="56"/>
      <c r="H77" s="3" t="s">
        <v>67</v>
      </c>
      <c r="I77" s="59">
        <v>29</v>
      </c>
      <c r="J77" s="5">
        <v>-9.5799999999999996E-2</v>
      </c>
    </row>
    <row r="78" spans="1:13" x14ac:dyDescent="0.25">
      <c r="F78" s="56"/>
      <c r="G78" s="56"/>
      <c r="H78" s="3" t="s">
        <v>68</v>
      </c>
      <c r="I78" s="59">
        <v>16</v>
      </c>
      <c r="J78" s="5">
        <v>0.37630000000000002</v>
      </c>
    </row>
    <row r="79" spans="1:13" x14ac:dyDescent="0.25">
      <c r="F79" s="56"/>
      <c r="G79" s="56"/>
      <c r="J79" s="6"/>
    </row>
    <row r="80" spans="1:13" x14ac:dyDescent="0.25">
      <c r="F80" s="56"/>
      <c r="G80" s="56"/>
      <c r="J80" s="6"/>
    </row>
    <row r="81" spans="6:10" x14ac:dyDescent="0.25">
      <c r="F81" s="56"/>
      <c r="G81" s="56"/>
      <c r="J81" s="6"/>
    </row>
    <row r="82" spans="6:10" x14ac:dyDescent="0.25">
      <c r="F82" s="56"/>
      <c r="G82" s="56"/>
      <c r="J82" s="6"/>
    </row>
    <row r="83" spans="6:10" x14ac:dyDescent="0.25">
      <c r="F83" s="56"/>
      <c r="G83" s="56"/>
      <c r="J83" s="6"/>
    </row>
    <row r="84" spans="6:10" x14ac:dyDescent="0.25">
      <c r="F84" s="56"/>
      <c r="G84" s="56"/>
      <c r="J84" s="6"/>
    </row>
    <row r="85" spans="6:10" x14ac:dyDescent="0.25">
      <c r="F85" s="56"/>
      <c r="G85" s="56"/>
      <c r="J85" s="6"/>
    </row>
    <row r="86" spans="6:10" x14ac:dyDescent="0.25">
      <c r="F86" s="56"/>
      <c r="G86" s="56"/>
      <c r="J86" s="6"/>
    </row>
    <row r="87" spans="6:10" x14ac:dyDescent="0.25">
      <c r="F87" s="56"/>
      <c r="G87" s="56"/>
      <c r="J87" s="6"/>
    </row>
    <row r="88" spans="6:10" x14ac:dyDescent="0.25">
      <c r="F88" s="56"/>
      <c r="G88" s="56"/>
      <c r="J88" s="6"/>
    </row>
    <row r="89" spans="6:10" x14ac:dyDescent="0.25">
      <c r="F89" s="56"/>
      <c r="G89" s="56"/>
      <c r="J89" s="6"/>
    </row>
    <row r="90" spans="6:10" x14ac:dyDescent="0.25">
      <c r="F90" s="56"/>
      <c r="G90" s="56"/>
      <c r="J90" s="6"/>
    </row>
    <row r="91" spans="6:10" x14ac:dyDescent="0.25">
      <c r="F91" s="56"/>
      <c r="G91" s="56"/>
      <c r="J91" s="6"/>
    </row>
    <row r="92" spans="6:10" x14ac:dyDescent="0.25">
      <c r="F92" s="56"/>
      <c r="G92" s="56"/>
      <c r="J92" s="6"/>
    </row>
    <row r="93" spans="6:10" x14ac:dyDescent="0.25">
      <c r="F93" s="56"/>
      <c r="G93" s="56"/>
      <c r="J93" s="6"/>
    </row>
    <row r="94" spans="6:10" x14ac:dyDescent="0.25">
      <c r="F94" s="56"/>
      <c r="G94" s="56"/>
      <c r="J94" s="6"/>
    </row>
    <row r="95" spans="6:10" x14ac:dyDescent="0.25">
      <c r="F95" s="56"/>
      <c r="G95" s="56"/>
      <c r="J95" s="6"/>
    </row>
    <row r="96" spans="6:10" x14ac:dyDescent="0.25">
      <c r="F96" s="56"/>
      <c r="G96" s="56"/>
      <c r="J96" s="6"/>
    </row>
    <row r="97" spans="6:10" x14ac:dyDescent="0.25">
      <c r="F97" s="56"/>
      <c r="G97" s="56"/>
      <c r="J97" s="6"/>
    </row>
    <row r="98" spans="6:10" x14ac:dyDescent="0.25">
      <c r="F98" s="56"/>
      <c r="G98" s="56"/>
      <c r="J98" s="6"/>
    </row>
    <row r="99" spans="6:10" x14ac:dyDescent="0.25">
      <c r="F99" s="56"/>
      <c r="G99" s="56"/>
      <c r="J99" s="6"/>
    </row>
    <row r="100" spans="6:10" x14ac:dyDescent="0.25">
      <c r="F100" s="56"/>
      <c r="G100" s="56"/>
      <c r="J100" s="6"/>
    </row>
    <row r="101" spans="6:10" x14ac:dyDescent="0.25">
      <c r="F101" s="56"/>
      <c r="G101" s="56"/>
      <c r="J101" s="6"/>
    </row>
    <row r="102" spans="6:10" x14ac:dyDescent="0.25">
      <c r="F102" s="56"/>
      <c r="G102" s="56"/>
    </row>
    <row r="103" spans="6:10" x14ac:dyDescent="0.25">
      <c r="F103" s="56"/>
      <c r="G103" s="56"/>
    </row>
    <row r="104" spans="6:10" x14ac:dyDescent="0.25">
      <c r="F104" s="56"/>
      <c r="G104" s="56"/>
    </row>
    <row r="105" spans="6:10" x14ac:dyDescent="0.25">
      <c r="F105" s="56"/>
      <c r="G105" s="56"/>
    </row>
    <row r="106" spans="6:10" x14ac:dyDescent="0.25">
      <c r="F106" s="56"/>
      <c r="G106" s="56"/>
    </row>
    <row r="107" spans="6:10" x14ac:dyDescent="0.25">
      <c r="F107" s="56"/>
      <c r="G107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01-03-25</vt:lpstr>
      <vt:lpstr>01-10-25</vt:lpstr>
      <vt:lpstr>01-17-25</vt:lpstr>
      <vt:lpstr>01-24-25</vt:lpstr>
      <vt:lpstr>01-31-25</vt:lpstr>
      <vt:lpstr>02-07-25</vt:lpstr>
      <vt:lpstr>02-14-25</vt:lpstr>
      <vt:lpstr>02-21-25</vt:lpstr>
      <vt:lpstr>02-28-25</vt:lpstr>
      <vt:lpstr>03-07-25</vt:lpstr>
      <vt:lpstr>03-14-25</vt:lpstr>
      <vt:lpstr>03-21-25</vt:lpstr>
      <vt:lpstr>03-28-25</vt:lpstr>
      <vt:lpstr>04-04-25</vt:lpstr>
      <vt:lpstr>04-11-25</vt:lpstr>
      <vt:lpstr>04-18-25</vt:lpstr>
      <vt:lpstr>04-25-25</vt:lpstr>
      <vt:lpstr>05-02-25</vt:lpstr>
      <vt:lpstr>05-09-25</vt:lpstr>
      <vt:lpstr>05-16-25</vt:lpstr>
      <vt:lpstr>05-23-25</vt:lpstr>
      <vt:lpstr>05-30-25</vt:lpstr>
      <vt:lpstr>06-07-25</vt:lpstr>
      <vt:lpstr>06-13-25</vt:lpstr>
      <vt:lpstr>06-20-25</vt:lpstr>
      <vt:lpstr>06-27-25</vt:lpstr>
      <vt:lpstr>07-04-25</vt:lpstr>
      <vt:lpstr>07-11-25</vt:lpstr>
      <vt:lpstr>07-18-25</vt:lpstr>
      <vt:lpstr>07-25-25</vt:lpstr>
      <vt:lpstr>08-01-25</vt:lpstr>
      <vt:lpstr>08-08-25</vt:lpstr>
      <vt:lpstr>08-15-25</vt:lpstr>
      <vt:lpstr>08-22-25</vt:lpstr>
      <vt:lpstr>08-29-25</vt:lpstr>
      <vt:lpstr>09-05-25</vt:lpstr>
      <vt:lpstr>09-12-25</vt:lpstr>
      <vt:lpstr>09-19-25</vt:lpstr>
      <vt:lpstr>09-26-25</vt:lpstr>
      <vt:lpstr>10-03-25</vt:lpstr>
      <vt:lpstr>10-10-24</vt:lpstr>
      <vt:lpstr>10-17-25</vt:lpstr>
      <vt:lpstr>10-24-25</vt:lpstr>
      <vt:lpstr>10-31-25</vt:lpstr>
      <vt:lpstr>11-07-25</vt:lpstr>
      <vt:lpstr>11-14-25</vt:lpstr>
      <vt:lpstr>11-21-25</vt:lpstr>
      <vt:lpstr>11-28-25</vt:lpstr>
      <vt:lpstr>12-05-25</vt:lpstr>
      <vt:lpstr>12-12-25</vt:lpstr>
      <vt:lpstr>12-19-25</vt:lpstr>
      <vt:lpstr>12-26-25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doug@apsvllc.com</dc:creator>
  <cp:lastModifiedBy>doug@apsvllc.com</cp:lastModifiedBy>
  <cp:lastPrinted>2025-05-10T13:52:05Z</cp:lastPrinted>
  <dcterms:created xsi:type="dcterms:W3CDTF">2025-01-03T21:27:53Z</dcterms:created>
  <dcterms:modified xsi:type="dcterms:W3CDTF">2025-12-27T18:52:55Z</dcterms:modified>
</cp:coreProperties>
</file>