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\Documents\"/>
    </mc:Choice>
  </mc:AlternateContent>
  <xr:revisionPtr revIDLastSave="0" documentId="13_ncr:1_{B0E0BCA5-8138-4814-86C3-B7F6E85ED4D9}" xr6:coauthVersionLast="47" xr6:coauthVersionMax="47" xr10:uidLastSave="{00000000-0000-0000-0000-000000000000}"/>
  <bookViews>
    <workbookView xWindow="-120" yWindow="-120" windowWidth="29040" windowHeight="15840" firstSheet="39" activeTab="50" xr2:uid="{737000CA-C651-4A6C-9A58-5529562A809E}"/>
  </bookViews>
  <sheets>
    <sheet name="01-05-24" sheetId="1" r:id="rId1"/>
    <sheet name="01-12-24" sheetId="2" r:id="rId2"/>
    <sheet name="01-19-24" sheetId="3" r:id="rId3"/>
    <sheet name="01-26-24" sheetId="4" r:id="rId4"/>
    <sheet name="02-02-24" sheetId="5" r:id="rId5"/>
    <sheet name="02-09-24" sheetId="6" r:id="rId6"/>
    <sheet name="02-16-24" sheetId="7" r:id="rId7"/>
    <sheet name="02-23-24" sheetId="8" r:id="rId8"/>
    <sheet name="03-01-24" sheetId="9" r:id="rId9"/>
    <sheet name="03-08-24" sheetId="10" r:id="rId10"/>
    <sheet name="03-15-24" sheetId="11" r:id="rId11"/>
    <sheet name="03-22-24" sheetId="12" r:id="rId12"/>
    <sheet name="03-29-24" sheetId="13" r:id="rId13"/>
    <sheet name="04-05-24" sheetId="14" r:id="rId14"/>
    <sheet name="04-12-24" sheetId="15" r:id="rId15"/>
    <sheet name="04-19-24" sheetId="16" r:id="rId16"/>
    <sheet name="05-03-24" sheetId="17" r:id="rId17"/>
    <sheet name="05-10-24" sheetId="18" r:id="rId18"/>
    <sheet name="05-17-24" sheetId="19" r:id="rId19"/>
    <sheet name="05-24-24" sheetId="20" r:id="rId20"/>
    <sheet name="05-31-24" sheetId="21" r:id="rId21"/>
    <sheet name="06-07-24" sheetId="22" r:id="rId22"/>
    <sheet name="06-14-24" sheetId="23" r:id="rId23"/>
    <sheet name="06-21-24" sheetId="24" r:id="rId24"/>
    <sheet name="06-28-24" sheetId="25" r:id="rId25"/>
    <sheet name="07-05-24" sheetId="26" r:id="rId26"/>
    <sheet name="07-12-24" sheetId="27" r:id="rId27"/>
    <sheet name="07-19-24" sheetId="28" r:id="rId28"/>
    <sheet name="07-26-24" sheetId="29" r:id="rId29"/>
    <sheet name="08-02-24" sheetId="30" r:id="rId30"/>
    <sheet name="08-09-24" sheetId="31" r:id="rId31"/>
    <sheet name="08-16-24" sheetId="32" r:id="rId32"/>
    <sheet name="08-23-24" sheetId="33" r:id="rId33"/>
    <sheet name="08-30-24" sheetId="34" r:id="rId34"/>
    <sheet name="09-06-24" sheetId="35" r:id="rId35"/>
    <sheet name="09-13-24" sheetId="36" r:id="rId36"/>
    <sheet name="09-20-24" sheetId="37" r:id="rId37"/>
    <sheet name="09-27-24" sheetId="38" r:id="rId38"/>
    <sheet name="10-04-24" sheetId="39" r:id="rId39"/>
    <sheet name="10-11-24" sheetId="40" r:id="rId40"/>
    <sheet name="10-18-24" sheetId="41" r:id="rId41"/>
    <sheet name="10-25-24" sheetId="42" r:id="rId42"/>
    <sheet name="11-01-24" sheetId="43" r:id="rId43"/>
    <sheet name="11-08-24" sheetId="44" r:id="rId44"/>
    <sheet name="11-15-24" sheetId="45" r:id="rId45"/>
    <sheet name="11-22-24" sheetId="46" r:id="rId46"/>
    <sheet name="11-29-24" sheetId="47" r:id="rId47"/>
    <sheet name="12-06-24" sheetId="48" r:id="rId48"/>
    <sheet name="12-13-24" sheetId="49" r:id="rId49"/>
    <sheet name="12-20-24" sheetId="51" r:id="rId50"/>
    <sheet name="12-27-24" sheetId="50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0" l="1"/>
  <c r="M64" i="50"/>
  <c r="J64" i="50"/>
  <c r="I64" i="50"/>
  <c r="H64" i="50"/>
  <c r="E64" i="50"/>
  <c r="M63" i="50"/>
  <c r="J63" i="50"/>
  <c r="I63" i="50"/>
  <c r="E63" i="50"/>
  <c r="D63" i="50"/>
  <c r="H63" i="50" s="1"/>
  <c r="M62" i="50"/>
  <c r="J62" i="50"/>
  <c r="I62" i="50"/>
  <c r="H62" i="50"/>
  <c r="E62" i="50"/>
  <c r="D62" i="50"/>
  <c r="M61" i="50"/>
  <c r="J61" i="50"/>
  <c r="I61" i="50"/>
  <c r="H61" i="50"/>
  <c r="E61" i="50"/>
  <c r="M60" i="50"/>
  <c r="J60" i="50"/>
  <c r="I60" i="50"/>
  <c r="H60" i="50"/>
  <c r="E60" i="50"/>
  <c r="M59" i="50"/>
  <c r="I59" i="50"/>
  <c r="J59" i="50" s="1"/>
  <c r="D59" i="50"/>
  <c r="H59" i="50" s="1"/>
  <c r="M58" i="50"/>
  <c r="J58" i="50"/>
  <c r="I58" i="50"/>
  <c r="H58" i="50"/>
  <c r="E58" i="50"/>
  <c r="M57" i="50"/>
  <c r="I57" i="50"/>
  <c r="J57" i="50" s="1"/>
  <c r="H57" i="50"/>
  <c r="F57" i="50"/>
  <c r="E57" i="50"/>
  <c r="D57" i="50"/>
  <c r="M56" i="50"/>
  <c r="J56" i="50"/>
  <c r="I56" i="50"/>
  <c r="H56" i="50"/>
  <c r="E56" i="50"/>
  <c r="M55" i="50"/>
  <c r="J55" i="50"/>
  <c r="I55" i="50"/>
  <c r="H55" i="50"/>
  <c r="E55" i="50"/>
  <c r="M54" i="50"/>
  <c r="I54" i="50"/>
  <c r="J54" i="50" s="1"/>
  <c r="H54" i="50"/>
  <c r="E54" i="50"/>
  <c r="M53" i="50"/>
  <c r="J53" i="50"/>
  <c r="I53" i="50"/>
  <c r="H53" i="50"/>
  <c r="E53" i="50"/>
  <c r="M52" i="50"/>
  <c r="I52" i="50"/>
  <c r="J52" i="50" s="1"/>
  <c r="H52" i="50"/>
  <c r="M51" i="50"/>
  <c r="F51" i="50"/>
  <c r="I51" i="50" s="1"/>
  <c r="J51" i="50" s="1"/>
  <c r="D51" i="50"/>
  <c r="H51" i="50" s="1"/>
  <c r="M50" i="50"/>
  <c r="J50" i="50"/>
  <c r="I50" i="50"/>
  <c r="H50" i="50"/>
  <c r="E50" i="50"/>
  <c r="M49" i="50"/>
  <c r="J49" i="50"/>
  <c r="I49" i="50"/>
  <c r="H49" i="50"/>
  <c r="E49" i="50"/>
  <c r="M48" i="50"/>
  <c r="J48" i="50"/>
  <c r="I48" i="50"/>
  <c r="H48" i="50"/>
  <c r="E48" i="50"/>
  <c r="M47" i="50"/>
  <c r="I47" i="50"/>
  <c r="J47" i="50" s="1"/>
  <c r="H47" i="50"/>
  <c r="E47" i="50"/>
  <c r="M46" i="50"/>
  <c r="J46" i="50"/>
  <c r="I46" i="50"/>
  <c r="H46" i="50"/>
  <c r="E46" i="50"/>
  <c r="M45" i="50"/>
  <c r="I45" i="50"/>
  <c r="J45" i="50" s="1"/>
  <c r="E45" i="50"/>
  <c r="D45" i="50"/>
  <c r="H45" i="50" s="1"/>
  <c r="M44" i="50"/>
  <c r="I44" i="50"/>
  <c r="J44" i="50" s="1"/>
  <c r="H44" i="50"/>
  <c r="E44" i="50"/>
  <c r="M43" i="50"/>
  <c r="F43" i="50"/>
  <c r="I43" i="50" s="1"/>
  <c r="J43" i="50" s="1"/>
  <c r="E43" i="50"/>
  <c r="D43" i="50"/>
  <c r="H43" i="50" s="1"/>
  <c r="M42" i="50"/>
  <c r="F42" i="50"/>
  <c r="I42" i="50" s="1"/>
  <c r="J42" i="50" s="1"/>
  <c r="D42" i="50"/>
  <c r="H42" i="50" s="1"/>
  <c r="M41" i="50"/>
  <c r="H41" i="50"/>
  <c r="F41" i="50"/>
  <c r="E41" i="50" s="1"/>
  <c r="D41" i="50"/>
  <c r="M40" i="50"/>
  <c r="I40" i="50"/>
  <c r="J40" i="50" s="1"/>
  <c r="H40" i="50"/>
  <c r="E40" i="50"/>
  <c r="M39" i="50"/>
  <c r="J39" i="50"/>
  <c r="I39" i="50"/>
  <c r="H39" i="50"/>
  <c r="E39" i="50"/>
  <c r="D39" i="50"/>
  <c r="M38" i="50"/>
  <c r="J38" i="50"/>
  <c r="I38" i="50"/>
  <c r="H38" i="50"/>
  <c r="E38" i="50"/>
  <c r="M37" i="50"/>
  <c r="I37" i="50"/>
  <c r="J37" i="50" s="1"/>
  <c r="H37" i="50"/>
  <c r="E37" i="50"/>
  <c r="M36" i="50"/>
  <c r="J36" i="50"/>
  <c r="I36" i="50"/>
  <c r="H36" i="50"/>
  <c r="E36" i="50"/>
  <c r="M35" i="50"/>
  <c r="J35" i="50"/>
  <c r="I35" i="50"/>
  <c r="E35" i="50"/>
  <c r="D35" i="50"/>
  <c r="H35" i="50" s="1"/>
  <c r="M34" i="50"/>
  <c r="F34" i="50"/>
  <c r="I34" i="50" s="1"/>
  <c r="J34" i="50" s="1"/>
  <c r="D34" i="50"/>
  <c r="H34" i="50" s="1"/>
  <c r="M33" i="50"/>
  <c r="H33" i="50"/>
  <c r="F33" i="50"/>
  <c r="I33" i="50" s="1"/>
  <c r="J33" i="50" s="1"/>
  <c r="E33" i="50"/>
  <c r="D33" i="50"/>
  <c r="M32" i="50"/>
  <c r="I32" i="50"/>
  <c r="J32" i="50" s="1"/>
  <c r="E32" i="50"/>
  <c r="D32" i="50"/>
  <c r="H32" i="50" s="1"/>
  <c r="M31" i="50"/>
  <c r="I31" i="50"/>
  <c r="J31" i="50" s="1"/>
  <c r="E31" i="50"/>
  <c r="D31" i="50"/>
  <c r="H31" i="50" s="1"/>
  <c r="M30" i="50"/>
  <c r="I30" i="50"/>
  <c r="J30" i="50" s="1"/>
  <c r="H30" i="50"/>
  <c r="E30" i="50"/>
  <c r="M29" i="50"/>
  <c r="J29" i="50"/>
  <c r="I29" i="50"/>
  <c r="H29" i="50"/>
  <c r="E29" i="50"/>
  <c r="M28" i="50"/>
  <c r="F28" i="50"/>
  <c r="I28" i="50" s="1"/>
  <c r="J28" i="50" s="1"/>
  <c r="D28" i="50"/>
  <c r="H28" i="50" s="1"/>
  <c r="M27" i="50"/>
  <c r="J27" i="50"/>
  <c r="I27" i="50"/>
  <c r="D27" i="50"/>
  <c r="H27" i="50" s="1"/>
  <c r="M26" i="50"/>
  <c r="J26" i="50"/>
  <c r="I26" i="50"/>
  <c r="H26" i="50"/>
  <c r="E26" i="50"/>
  <c r="M25" i="50"/>
  <c r="J25" i="50"/>
  <c r="I25" i="50"/>
  <c r="H25" i="50"/>
  <c r="E25" i="50"/>
  <c r="L21" i="50"/>
  <c r="V16" i="50"/>
  <c r="U16" i="50"/>
  <c r="T16" i="50"/>
  <c r="R16" i="50"/>
  <c r="L16" i="50"/>
  <c r="H16" i="50"/>
  <c r="Y16" i="50" s="1"/>
  <c r="F16" i="50"/>
  <c r="I16" i="50" s="1"/>
  <c r="M16" i="50" s="1"/>
  <c r="V15" i="50"/>
  <c r="U15" i="50"/>
  <c r="T15" i="50"/>
  <c r="R15" i="50"/>
  <c r="L15" i="50"/>
  <c r="I15" i="50"/>
  <c r="M15" i="50" s="1"/>
  <c r="H15" i="50"/>
  <c r="Y15" i="50" s="1"/>
  <c r="F15" i="50"/>
  <c r="Y14" i="50"/>
  <c r="V14" i="50"/>
  <c r="U14" i="50"/>
  <c r="T14" i="50"/>
  <c r="R14" i="50"/>
  <c r="L14" i="50"/>
  <c r="J14" i="50"/>
  <c r="I14" i="50"/>
  <c r="M14" i="50" s="1"/>
  <c r="H14" i="50"/>
  <c r="W14" i="50" s="1"/>
  <c r="F14" i="50"/>
  <c r="V13" i="50"/>
  <c r="U13" i="50"/>
  <c r="T13" i="50"/>
  <c r="R13" i="50"/>
  <c r="L13" i="50"/>
  <c r="H13" i="50"/>
  <c r="Y13" i="50" s="1"/>
  <c r="F13" i="50"/>
  <c r="I13" i="50" s="1"/>
  <c r="M13" i="50" s="1"/>
  <c r="Y12" i="50"/>
  <c r="W12" i="50"/>
  <c r="V12" i="50"/>
  <c r="U12" i="50"/>
  <c r="T12" i="50"/>
  <c r="R12" i="50"/>
  <c r="L12" i="50"/>
  <c r="I12" i="50"/>
  <c r="M12" i="50" s="1"/>
  <c r="H12" i="50"/>
  <c r="J12" i="50" s="1"/>
  <c r="F12" i="50"/>
  <c r="Y11" i="50"/>
  <c r="W11" i="50"/>
  <c r="V11" i="50"/>
  <c r="U11" i="50"/>
  <c r="T11" i="50"/>
  <c r="R11" i="50"/>
  <c r="L11" i="50"/>
  <c r="J11" i="50"/>
  <c r="H11" i="50"/>
  <c r="F11" i="50"/>
  <c r="I11" i="50" s="1"/>
  <c r="M11" i="50" s="1"/>
  <c r="V10" i="50"/>
  <c r="U10" i="50"/>
  <c r="T10" i="50"/>
  <c r="R10" i="50"/>
  <c r="L10" i="50"/>
  <c r="H10" i="50"/>
  <c r="Y10" i="50" s="1"/>
  <c r="F10" i="50"/>
  <c r="I10" i="50" s="1"/>
  <c r="M10" i="50" s="1"/>
  <c r="V9" i="50"/>
  <c r="U9" i="50"/>
  <c r="T9" i="50"/>
  <c r="R9" i="50"/>
  <c r="L9" i="50"/>
  <c r="H9" i="50"/>
  <c r="Y9" i="50" s="1"/>
  <c r="G9" i="50"/>
  <c r="G17" i="50" s="1"/>
  <c r="D9" i="50"/>
  <c r="F9" i="50" s="1"/>
  <c r="Y8" i="50"/>
  <c r="W8" i="50"/>
  <c r="V8" i="50"/>
  <c r="U8" i="50"/>
  <c r="T8" i="50"/>
  <c r="R8" i="50"/>
  <c r="L8" i="50"/>
  <c r="H8" i="50"/>
  <c r="J8" i="50" s="1"/>
  <c r="F8" i="50"/>
  <c r="I8" i="50" s="1"/>
  <c r="M8" i="50" s="1"/>
  <c r="Y7" i="50"/>
  <c r="W7" i="50"/>
  <c r="V7" i="50"/>
  <c r="U7" i="50"/>
  <c r="T7" i="50"/>
  <c r="R7" i="50"/>
  <c r="L7" i="50"/>
  <c r="J7" i="50"/>
  <c r="H7" i="50"/>
  <c r="F7" i="50"/>
  <c r="I7" i="50" s="1"/>
  <c r="M63" i="51"/>
  <c r="M64" i="51"/>
  <c r="H63" i="51"/>
  <c r="I63" i="51"/>
  <c r="J63" i="51" s="1"/>
  <c r="H64" i="51"/>
  <c r="I64" i="51"/>
  <c r="J64" i="51"/>
  <c r="E63" i="51"/>
  <c r="E64" i="51"/>
  <c r="D63" i="51"/>
  <c r="I20" i="51"/>
  <c r="M62" i="51"/>
  <c r="J62" i="51"/>
  <c r="I62" i="51"/>
  <c r="D62" i="51"/>
  <c r="H62" i="51" s="1"/>
  <c r="M61" i="51"/>
  <c r="J61" i="51"/>
  <c r="I61" i="51"/>
  <c r="H61" i="51"/>
  <c r="E61" i="51"/>
  <c r="M60" i="51"/>
  <c r="J60" i="51"/>
  <c r="I60" i="51"/>
  <c r="H60" i="51"/>
  <c r="E60" i="51"/>
  <c r="M59" i="51"/>
  <c r="J59" i="51"/>
  <c r="I59" i="51"/>
  <c r="D59" i="51"/>
  <c r="H59" i="51" s="1"/>
  <c r="M58" i="51"/>
  <c r="J58" i="51"/>
  <c r="I58" i="51"/>
  <c r="H58" i="51"/>
  <c r="E58" i="51"/>
  <c r="M57" i="51"/>
  <c r="I57" i="51"/>
  <c r="J57" i="51" s="1"/>
  <c r="F57" i="51"/>
  <c r="D57" i="51"/>
  <c r="H57" i="51" s="1"/>
  <c r="M56" i="51"/>
  <c r="J56" i="51"/>
  <c r="I56" i="51"/>
  <c r="H56" i="51"/>
  <c r="E56" i="51"/>
  <c r="M55" i="51"/>
  <c r="I55" i="51"/>
  <c r="J55" i="51" s="1"/>
  <c r="H55" i="51"/>
  <c r="E55" i="51"/>
  <c r="M54" i="51"/>
  <c r="J54" i="51"/>
  <c r="I54" i="51"/>
  <c r="H54" i="51"/>
  <c r="E54" i="51"/>
  <c r="M53" i="51"/>
  <c r="I53" i="51"/>
  <c r="J53" i="51" s="1"/>
  <c r="H53" i="51"/>
  <c r="E53" i="51"/>
  <c r="M52" i="51"/>
  <c r="I52" i="51"/>
  <c r="J52" i="51" s="1"/>
  <c r="H52" i="51"/>
  <c r="M51" i="51"/>
  <c r="F51" i="51"/>
  <c r="I51" i="51" s="1"/>
  <c r="J51" i="51" s="1"/>
  <c r="E51" i="51"/>
  <c r="D51" i="51"/>
  <c r="H51" i="51" s="1"/>
  <c r="M50" i="51"/>
  <c r="J50" i="51"/>
  <c r="I50" i="51"/>
  <c r="H50" i="51"/>
  <c r="E50" i="51"/>
  <c r="M49" i="51"/>
  <c r="J49" i="51"/>
  <c r="I49" i="51"/>
  <c r="H49" i="51"/>
  <c r="E49" i="51"/>
  <c r="M48" i="51"/>
  <c r="I48" i="51"/>
  <c r="J48" i="51" s="1"/>
  <c r="H48" i="51"/>
  <c r="E48" i="51"/>
  <c r="M47" i="51"/>
  <c r="J47" i="51"/>
  <c r="I47" i="51"/>
  <c r="H47" i="51"/>
  <c r="E47" i="51"/>
  <c r="M46" i="51"/>
  <c r="I46" i="51"/>
  <c r="J46" i="51" s="1"/>
  <c r="H46" i="51"/>
  <c r="E46" i="51"/>
  <c r="M45" i="51"/>
  <c r="I45" i="51"/>
  <c r="J45" i="51" s="1"/>
  <c r="D45" i="51"/>
  <c r="H45" i="51" s="1"/>
  <c r="M44" i="51"/>
  <c r="I44" i="51"/>
  <c r="J44" i="51" s="1"/>
  <c r="H44" i="51"/>
  <c r="E44" i="51"/>
  <c r="M43" i="51"/>
  <c r="F43" i="51"/>
  <c r="I43" i="51" s="1"/>
  <c r="J43" i="51" s="1"/>
  <c r="D43" i="51"/>
  <c r="H43" i="51" s="1"/>
  <c r="M42" i="51"/>
  <c r="H42" i="51"/>
  <c r="F42" i="51"/>
  <c r="I42" i="51" s="1"/>
  <c r="J42" i="51" s="1"/>
  <c r="E42" i="51"/>
  <c r="D42" i="51"/>
  <c r="M41" i="51"/>
  <c r="H41" i="51"/>
  <c r="F41" i="51"/>
  <c r="E41" i="51" s="1"/>
  <c r="D41" i="51"/>
  <c r="M40" i="51"/>
  <c r="J40" i="51"/>
  <c r="I40" i="51"/>
  <c r="H40" i="51"/>
  <c r="E40" i="51"/>
  <c r="M39" i="51"/>
  <c r="I39" i="51"/>
  <c r="J39" i="51" s="1"/>
  <c r="H39" i="51"/>
  <c r="E39" i="51"/>
  <c r="D39" i="51"/>
  <c r="M38" i="51"/>
  <c r="I38" i="51"/>
  <c r="J38" i="51" s="1"/>
  <c r="H38" i="51"/>
  <c r="E38" i="51"/>
  <c r="M37" i="51"/>
  <c r="I37" i="51"/>
  <c r="J37" i="51" s="1"/>
  <c r="H37" i="51"/>
  <c r="E37" i="51"/>
  <c r="M36" i="51"/>
  <c r="J36" i="51"/>
  <c r="I36" i="51"/>
  <c r="H36" i="51"/>
  <c r="E36" i="51"/>
  <c r="M35" i="51"/>
  <c r="J35" i="51"/>
  <c r="I35" i="51"/>
  <c r="D35" i="51"/>
  <c r="H35" i="51" s="1"/>
  <c r="M34" i="51"/>
  <c r="F34" i="51"/>
  <c r="I34" i="51" s="1"/>
  <c r="J34" i="51" s="1"/>
  <c r="E34" i="51"/>
  <c r="D34" i="51"/>
  <c r="H34" i="51" s="1"/>
  <c r="M33" i="51"/>
  <c r="F33" i="51"/>
  <c r="I33" i="51" s="1"/>
  <c r="J33" i="51" s="1"/>
  <c r="D33" i="51"/>
  <c r="H33" i="51" s="1"/>
  <c r="M32" i="51"/>
  <c r="I32" i="51"/>
  <c r="J32" i="51" s="1"/>
  <c r="D32" i="51"/>
  <c r="H32" i="51" s="1"/>
  <c r="M31" i="51"/>
  <c r="I31" i="51"/>
  <c r="J31" i="51" s="1"/>
  <c r="D31" i="51"/>
  <c r="H31" i="51" s="1"/>
  <c r="M30" i="51"/>
  <c r="I30" i="51"/>
  <c r="J30" i="51" s="1"/>
  <c r="H30" i="51"/>
  <c r="E30" i="51"/>
  <c r="M29" i="51"/>
  <c r="J29" i="51"/>
  <c r="I29" i="51"/>
  <c r="H29" i="51"/>
  <c r="E29" i="51"/>
  <c r="M28" i="51"/>
  <c r="F28" i="51"/>
  <c r="I28" i="51" s="1"/>
  <c r="J28" i="51" s="1"/>
  <c r="E28" i="51"/>
  <c r="D28" i="51"/>
  <c r="H28" i="51" s="1"/>
  <c r="M27" i="51"/>
  <c r="J27" i="51"/>
  <c r="I27" i="51"/>
  <c r="E27" i="51"/>
  <c r="D27" i="51"/>
  <c r="H27" i="51" s="1"/>
  <c r="M26" i="51"/>
  <c r="J26" i="51"/>
  <c r="I26" i="51"/>
  <c r="H26" i="51"/>
  <c r="E26" i="51"/>
  <c r="M25" i="51"/>
  <c r="J25" i="51"/>
  <c r="I25" i="51"/>
  <c r="H25" i="51"/>
  <c r="E25" i="51"/>
  <c r="L21" i="51"/>
  <c r="V16" i="51"/>
  <c r="U16" i="51"/>
  <c r="T16" i="51"/>
  <c r="R16" i="51"/>
  <c r="L16" i="51"/>
  <c r="H16" i="51"/>
  <c r="Y16" i="51" s="1"/>
  <c r="F16" i="51"/>
  <c r="V15" i="51"/>
  <c r="U15" i="51"/>
  <c r="T15" i="51"/>
  <c r="R15" i="51"/>
  <c r="L15" i="51"/>
  <c r="I15" i="51"/>
  <c r="M15" i="51" s="1"/>
  <c r="H15" i="51"/>
  <c r="Y15" i="51" s="1"/>
  <c r="F15" i="51"/>
  <c r="V12" i="51"/>
  <c r="U12" i="51"/>
  <c r="T12" i="51"/>
  <c r="R12" i="51"/>
  <c r="L12" i="51"/>
  <c r="H12" i="51"/>
  <c r="Y12" i="51" s="1"/>
  <c r="F12" i="51"/>
  <c r="I12" i="51" s="1"/>
  <c r="M12" i="51" s="1"/>
  <c r="V11" i="51"/>
  <c r="U11" i="51"/>
  <c r="T11" i="51"/>
  <c r="R11" i="51"/>
  <c r="L11" i="51"/>
  <c r="H11" i="51"/>
  <c r="Y11" i="51" s="1"/>
  <c r="F11" i="51"/>
  <c r="I11" i="51" s="1"/>
  <c r="M11" i="51" s="1"/>
  <c r="V10" i="51"/>
  <c r="U10" i="51"/>
  <c r="T10" i="51"/>
  <c r="R10" i="51"/>
  <c r="L10" i="51"/>
  <c r="H10" i="51"/>
  <c r="J10" i="51" s="1"/>
  <c r="F10" i="51"/>
  <c r="I10" i="51" s="1"/>
  <c r="M10" i="51" s="1"/>
  <c r="V9" i="51"/>
  <c r="U9" i="51"/>
  <c r="T9" i="51"/>
  <c r="R9" i="51"/>
  <c r="L9" i="51"/>
  <c r="G9" i="51"/>
  <c r="H9" i="51" s="1"/>
  <c r="F9" i="51"/>
  <c r="I9" i="51" s="1"/>
  <c r="M9" i="51" s="1"/>
  <c r="D9" i="51"/>
  <c r="V14" i="51"/>
  <c r="U14" i="51"/>
  <c r="T14" i="51"/>
  <c r="R14" i="51"/>
  <c r="L14" i="51"/>
  <c r="H14" i="51"/>
  <c r="Y14" i="51" s="1"/>
  <c r="F14" i="51"/>
  <c r="I14" i="51" s="1"/>
  <c r="M14" i="51" s="1"/>
  <c r="V8" i="51"/>
  <c r="U8" i="51"/>
  <c r="T8" i="51"/>
  <c r="R8" i="51"/>
  <c r="L8" i="51"/>
  <c r="H8" i="51"/>
  <c r="W8" i="51" s="1"/>
  <c r="F8" i="51"/>
  <c r="I8" i="51" s="1"/>
  <c r="M8" i="51" s="1"/>
  <c r="V7" i="51"/>
  <c r="U7" i="51"/>
  <c r="T7" i="51"/>
  <c r="R7" i="51"/>
  <c r="L7" i="51"/>
  <c r="H7" i="51"/>
  <c r="J7" i="51" s="1"/>
  <c r="F7" i="51"/>
  <c r="I7" i="51" s="1"/>
  <c r="M7" i="51" s="1"/>
  <c r="V13" i="51"/>
  <c r="U13" i="51"/>
  <c r="T13" i="51"/>
  <c r="R13" i="51"/>
  <c r="L13" i="51"/>
  <c r="H13" i="51"/>
  <c r="W13" i="51" s="1"/>
  <c r="G17" i="51"/>
  <c r="F13" i="51"/>
  <c r="I13" i="51" s="1"/>
  <c r="M62" i="49"/>
  <c r="H62" i="49"/>
  <c r="I62" i="49"/>
  <c r="J62" i="49" s="1"/>
  <c r="E62" i="49"/>
  <c r="D62" i="49"/>
  <c r="M61" i="49"/>
  <c r="J61" i="49"/>
  <c r="I61" i="49"/>
  <c r="H61" i="49"/>
  <c r="E61" i="49"/>
  <c r="M60" i="49"/>
  <c r="J60" i="49"/>
  <c r="I60" i="49"/>
  <c r="H60" i="49"/>
  <c r="E60" i="49"/>
  <c r="M59" i="49"/>
  <c r="J59" i="49"/>
  <c r="I59" i="49"/>
  <c r="D59" i="49"/>
  <c r="H59" i="49" s="1"/>
  <c r="M58" i="49"/>
  <c r="J58" i="49"/>
  <c r="I58" i="49"/>
  <c r="H58" i="49"/>
  <c r="E58" i="49"/>
  <c r="M57" i="49"/>
  <c r="I57" i="49"/>
  <c r="J57" i="49" s="1"/>
  <c r="H57" i="49"/>
  <c r="F57" i="49"/>
  <c r="E57" i="49"/>
  <c r="D57" i="49"/>
  <c r="M56" i="49"/>
  <c r="J56" i="49"/>
  <c r="I56" i="49"/>
  <c r="H56" i="49"/>
  <c r="E56" i="49"/>
  <c r="M55" i="49"/>
  <c r="I55" i="49"/>
  <c r="J55" i="49" s="1"/>
  <c r="H55" i="49"/>
  <c r="E55" i="49"/>
  <c r="M54" i="49"/>
  <c r="I54" i="49"/>
  <c r="J54" i="49" s="1"/>
  <c r="H54" i="49"/>
  <c r="E54" i="49"/>
  <c r="M53" i="49"/>
  <c r="I53" i="49"/>
  <c r="J53" i="49" s="1"/>
  <c r="H53" i="49"/>
  <c r="E53" i="49"/>
  <c r="M52" i="49"/>
  <c r="I52" i="49"/>
  <c r="J52" i="49" s="1"/>
  <c r="H52" i="49"/>
  <c r="M51" i="49"/>
  <c r="F51" i="49"/>
  <c r="I51" i="49" s="1"/>
  <c r="J51" i="49" s="1"/>
  <c r="E51" i="49"/>
  <c r="D51" i="49"/>
  <c r="H51" i="49" s="1"/>
  <c r="M50" i="49"/>
  <c r="J50" i="49"/>
  <c r="I50" i="49"/>
  <c r="H50" i="49"/>
  <c r="E50" i="49"/>
  <c r="M49" i="49"/>
  <c r="J49" i="49"/>
  <c r="I49" i="49"/>
  <c r="H49" i="49"/>
  <c r="E49" i="49"/>
  <c r="M48" i="49"/>
  <c r="I48" i="49"/>
  <c r="J48" i="49" s="1"/>
  <c r="H48" i="49"/>
  <c r="E48" i="49"/>
  <c r="M47" i="49"/>
  <c r="J47" i="49"/>
  <c r="I47" i="49"/>
  <c r="H47" i="49"/>
  <c r="E47" i="49"/>
  <c r="M46" i="49"/>
  <c r="I46" i="49"/>
  <c r="J46" i="49" s="1"/>
  <c r="H46" i="49"/>
  <c r="E46" i="49"/>
  <c r="M45" i="49"/>
  <c r="I45" i="49"/>
  <c r="J45" i="49" s="1"/>
  <c r="D45" i="49"/>
  <c r="H45" i="49" s="1"/>
  <c r="M44" i="49"/>
  <c r="I44" i="49"/>
  <c r="J44" i="49" s="1"/>
  <c r="H44" i="49"/>
  <c r="E44" i="49"/>
  <c r="M43" i="49"/>
  <c r="F43" i="49"/>
  <c r="I43" i="49" s="1"/>
  <c r="J43" i="49" s="1"/>
  <c r="D43" i="49"/>
  <c r="H43" i="49" s="1"/>
  <c r="M42" i="49"/>
  <c r="I42" i="49"/>
  <c r="J42" i="49" s="1"/>
  <c r="F42" i="49"/>
  <c r="E42" i="49"/>
  <c r="D42" i="49"/>
  <c r="H42" i="49" s="1"/>
  <c r="M41" i="49"/>
  <c r="H41" i="49"/>
  <c r="F41" i="49"/>
  <c r="E41" i="49" s="1"/>
  <c r="D41" i="49"/>
  <c r="M40" i="49"/>
  <c r="J40" i="49"/>
  <c r="I40" i="49"/>
  <c r="H40" i="49"/>
  <c r="E40" i="49"/>
  <c r="M39" i="49"/>
  <c r="I39" i="49"/>
  <c r="J39" i="49" s="1"/>
  <c r="E39" i="49"/>
  <c r="D39" i="49"/>
  <c r="H39" i="49" s="1"/>
  <c r="M38" i="49"/>
  <c r="I38" i="49"/>
  <c r="J38" i="49" s="1"/>
  <c r="H38" i="49"/>
  <c r="E38" i="49"/>
  <c r="M37" i="49"/>
  <c r="I37" i="49"/>
  <c r="J37" i="49" s="1"/>
  <c r="H37" i="49"/>
  <c r="E37" i="49"/>
  <c r="M36" i="49"/>
  <c r="J36" i="49"/>
  <c r="I36" i="49"/>
  <c r="H36" i="49"/>
  <c r="E36" i="49"/>
  <c r="M35" i="49"/>
  <c r="J35" i="49"/>
  <c r="I35" i="49"/>
  <c r="D35" i="49"/>
  <c r="H35" i="49" s="1"/>
  <c r="M34" i="49"/>
  <c r="J34" i="49"/>
  <c r="I34" i="49"/>
  <c r="F34" i="49"/>
  <c r="E34" i="49"/>
  <c r="D34" i="49"/>
  <c r="H34" i="49" s="1"/>
  <c r="M33" i="49"/>
  <c r="F33" i="49"/>
  <c r="I33" i="49" s="1"/>
  <c r="J33" i="49" s="1"/>
  <c r="D33" i="49"/>
  <c r="H33" i="49" s="1"/>
  <c r="M32" i="49"/>
  <c r="I32" i="49"/>
  <c r="J32" i="49" s="1"/>
  <c r="D32" i="49"/>
  <c r="H32" i="49" s="1"/>
  <c r="M31" i="49"/>
  <c r="I31" i="49"/>
  <c r="J31" i="49" s="1"/>
  <c r="D31" i="49"/>
  <c r="H31" i="49" s="1"/>
  <c r="M30" i="49"/>
  <c r="I30" i="49"/>
  <c r="J30" i="49" s="1"/>
  <c r="H30" i="49"/>
  <c r="E30" i="49"/>
  <c r="M29" i="49"/>
  <c r="J29" i="49"/>
  <c r="I29" i="49"/>
  <c r="H29" i="49"/>
  <c r="E29" i="49"/>
  <c r="M28" i="49"/>
  <c r="J28" i="49"/>
  <c r="I28" i="49"/>
  <c r="F28" i="49"/>
  <c r="E28" i="49"/>
  <c r="D28" i="49"/>
  <c r="H28" i="49" s="1"/>
  <c r="M27" i="49"/>
  <c r="J27" i="49"/>
  <c r="I27" i="49"/>
  <c r="H27" i="49"/>
  <c r="E27" i="49"/>
  <c r="D27" i="49"/>
  <c r="M26" i="49"/>
  <c r="J26" i="49"/>
  <c r="I26" i="49"/>
  <c r="H26" i="49"/>
  <c r="E26" i="49"/>
  <c r="M25" i="49"/>
  <c r="J25" i="49"/>
  <c r="I25" i="49"/>
  <c r="H25" i="49"/>
  <c r="E25" i="49"/>
  <c r="L21" i="49"/>
  <c r="I20" i="49"/>
  <c r="Y16" i="49"/>
  <c r="V16" i="49"/>
  <c r="U16" i="49"/>
  <c r="T16" i="49"/>
  <c r="R16" i="49"/>
  <c r="L16" i="49"/>
  <c r="H16" i="49"/>
  <c r="W16" i="49" s="1"/>
  <c r="F16" i="49"/>
  <c r="I16" i="49" s="1"/>
  <c r="M16" i="49" s="1"/>
  <c r="V15" i="49"/>
  <c r="U15" i="49"/>
  <c r="T15" i="49"/>
  <c r="R15" i="49"/>
  <c r="L15" i="49"/>
  <c r="H15" i="49"/>
  <c r="F15" i="49"/>
  <c r="Y14" i="49"/>
  <c r="W14" i="49"/>
  <c r="V14" i="49"/>
  <c r="U14" i="49"/>
  <c r="T14" i="49"/>
  <c r="R14" i="49"/>
  <c r="L14" i="49"/>
  <c r="J14" i="49"/>
  <c r="H14" i="49"/>
  <c r="F14" i="49"/>
  <c r="I14" i="49" s="1"/>
  <c r="M14" i="49" s="1"/>
  <c r="Y13" i="49"/>
  <c r="W13" i="49"/>
  <c r="V13" i="49"/>
  <c r="U13" i="49"/>
  <c r="T13" i="49"/>
  <c r="R13" i="49"/>
  <c r="L13" i="49"/>
  <c r="H13" i="49"/>
  <c r="J13" i="49" s="1"/>
  <c r="F13" i="49"/>
  <c r="I13" i="49" s="1"/>
  <c r="M13" i="49" s="1"/>
  <c r="Y12" i="49"/>
  <c r="V12" i="49"/>
  <c r="U12" i="49"/>
  <c r="T12" i="49"/>
  <c r="R12" i="49"/>
  <c r="L12" i="49"/>
  <c r="H12" i="49"/>
  <c r="W12" i="49" s="1"/>
  <c r="F12" i="49"/>
  <c r="I12" i="49" s="1"/>
  <c r="M12" i="49" s="1"/>
  <c r="V11" i="49"/>
  <c r="U11" i="49"/>
  <c r="T11" i="49"/>
  <c r="R11" i="49"/>
  <c r="L11" i="49"/>
  <c r="G11" i="49"/>
  <c r="H11" i="49" s="1"/>
  <c r="D11" i="49"/>
  <c r="F11" i="49" s="1"/>
  <c r="Y10" i="49"/>
  <c r="W10" i="49"/>
  <c r="V10" i="49"/>
  <c r="U10" i="49"/>
  <c r="T10" i="49"/>
  <c r="R10" i="49"/>
  <c r="L10" i="49"/>
  <c r="J10" i="49"/>
  <c r="H10" i="49"/>
  <c r="F10" i="49"/>
  <c r="I10" i="49" s="1"/>
  <c r="M10" i="49" s="1"/>
  <c r="Y9" i="49"/>
  <c r="W9" i="49"/>
  <c r="V9" i="49"/>
  <c r="U9" i="49"/>
  <c r="T9" i="49"/>
  <c r="R9" i="49"/>
  <c r="L9" i="49"/>
  <c r="H9" i="49"/>
  <c r="J9" i="49" s="1"/>
  <c r="F9" i="49"/>
  <c r="I9" i="49" s="1"/>
  <c r="M9" i="49" s="1"/>
  <c r="Y8" i="49"/>
  <c r="V8" i="49"/>
  <c r="U8" i="49"/>
  <c r="T8" i="49"/>
  <c r="R8" i="49"/>
  <c r="L8" i="49"/>
  <c r="H8" i="49"/>
  <c r="W8" i="49" s="1"/>
  <c r="F8" i="49"/>
  <c r="I8" i="49" s="1"/>
  <c r="M8" i="49" s="1"/>
  <c r="V7" i="49"/>
  <c r="U7" i="49"/>
  <c r="T7" i="49"/>
  <c r="R7" i="49"/>
  <c r="L7" i="49"/>
  <c r="G7" i="49"/>
  <c r="G17" i="49" s="1"/>
  <c r="D7" i="49"/>
  <c r="F7" i="49" s="1"/>
  <c r="G15" i="48"/>
  <c r="D15" i="48"/>
  <c r="M61" i="48"/>
  <c r="H61" i="48"/>
  <c r="I61" i="48"/>
  <c r="J61" i="48" s="1"/>
  <c r="E61" i="48"/>
  <c r="I20" i="48"/>
  <c r="M60" i="48"/>
  <c r="I60" i="48"/>
  <c r="J60" i="48" s="1"/>
  <c r="H60" i="48"/>
  <c r="E60" i="48"/>
  <c r="M59" i="48"/>
  <c r="J59" i="48"/>
  <c r="I59" i="48"/>
  <c r="D59" i="48"/>
  <c r="H59" i="48" s="1"/>
  <c r="M58" i="48"/>
  <c r="J58" i="48"/>
  <c r="I58" i="48"/>
  <c r="H58" i="48"/>
  <c r="E58" i="48"/>
  <c r="M57" i="48"/>
  <c r="I57" i="48"/>
  <c r="J57" i="48" s="1"/>
  <c r="F57" i="48"/>
  <c r="E57" i="48" s="1"/>
  <c r="D57" i="48"/>
  <c r="H57" i="48" s="1"/>
  <c r="M56" i="48"/>
  <c r="J56" i="48"/>
  <c r="I56" i="48"/>
  <c r="H56" i="48"/>
  <c r="E56" i="48"/>
  <c r="M55" i="48"/>
  <c r="I55" i="48"/>
  <c r="J55" i="48" s="1"/>
  <c r="H55" i="48"/>
  <c r="E55" i="48"/>
  <c r="M54" i="48"/>
  <c r="J54" i="48"/>
  <c r="I54" i="48"/>
  <c r="H54" i="48"/>
  <c r="E54" i="48"/>
  <c r="M53" i="48"/>
  <c r="I53" i="48"/>
  <c r="J53" i="48" s="1"/>
  <c r="H53" i="48"/>
  <c r="E53" i="48"/>
  <c r="M52" i="48"/>
  <c r="I52" i="48"/>
  <c r="J52" i="48" s="1"/>
  <c r="H52" i="48"/>
  <c r="M51" i="48"/>
  <c r="J51" i="48"/>
  <c r="I51" i="48"/>
  <c r="F51" i="48"/>
  <c r="E51" i="48"/>
  <c r="D51" i="48"/>
  <c r="H51" i="48" s="1"/>
  <c r="M50" i="48"/>
  <c r="J50" i="48"/>
  <c r="I50" i="48"/>
  <c r="H50" i="48"/>
  <c r="E50" i="48"/>
  <c r="M49" i="48"/>
  <c r="J49" i="48"/>
  <c r="I49" i="48"/>
  <c r="H49" i="48"/>
  <c r="E49" i="48"/>
  <c r="M48" i="48"/>
  <c r="I48" i="48"/>
  <c r="J48" i="48" s="1"/>
  <c r="H48" i="48"/>
  <c r="E48" i="48"/>
  <c r="M47" i="48"/>
  <c r="J47" i="48"/>
  <c r="I47" i="48"/>
  <c r="H47" i="48"/>
  <c r="E47" i="48"/>
  <c r="M46" i="48"/>
  <c r="I46" i="48"/>
  <c r="J46" i="48" s="1"/>
  <c r="H46" i="48"/>
  <c r="E46" i="48"/>
  <c r="M45" i="48"/>
  <c r="J45" i="48"/>
  <c r="I45" i="48"/>
  <c r="D45" i="48"/>
  <c r="E45" i="48" s="1"/>
  <c r="M44" i="48"/>
  <c r="J44" i="48"/>
  <c r="I44" i="48"/>
  <c r="H44" i="48"/>
  <c r="E44" i="48"/>
  <c r="M43" i="48"/>
  <c r="F43" i="48"/>
  <c r="E43" i="48" s="1"/>
  <c r="D43" i="48"/>
  <c r="H43" i="48" s="1"/>
  <c r="M42" i="48"/>
  <c r="H42" i="48"/>
  <c r="F42" i="48"/>
  <c r="I42" i="48" s="1"/>
  <c r="J42" i="48" s="1"/>
  <c r="E42" i="48"/>
  <c r="D42" i="48"/>
  <c r="M41" i="48"/>
  <c r="H41" i="48"/>
  <c r="F41" i="48"/>
  <c r="E41" i="48" s="1"/>
  <c r="D41" i="48"/>
  <c r="M40" i="48"/>
  <c r="J40" i="48"/>
  <c r="I40" i="48"/>
  <c r="H40" i="48"/>
  <c r="E40" i="48"/>
  <c r="M39" i="48"/>
  <c r="I39" i="48"/>
  <c r="J39" i="48" s="1"/>
  <c r="E39" i="48"/>
  <c r="D39" i="48"/>
  <c r="H39" i="48" s="1"/>
  <c r="M38" i="48"/>
  <c r="I38" i="48"/>
  <c r="J38" i="48" s="1"/>
  <c r="H38" i="48"/>
  <c r="E38" i="48"/>
  <c r="M37" i="48"/>
  <c r="J37" i="48"/>
  <c r="I37" i="48"/>
  <c r="H37" i="48"/>
  <c r="E37" i="48"/>
  <c r="M36" i="48"/>
  <c r="J36" i="48"/>
  <c r="I36" i="48"/>
  <c r="H36" i="48"/>
  <c r="E36" i="48"/>
  <c r="M35" i="48"/>
  <c r="J35" i="48"/>
  <c r="I35" i="48"/>
  <c r="D35" i="48"/>
  <c r="H35" i="48" s="1"/>
  <c r="M34" i="48"/>
  <c r="J34" i="48"/>
  <c r="I34" i="48"/>
  <c r="F34" i="48"/>
  <c r="E34" i="48"/>
  <c r="D34" i="48"/>
  <c r="H34" i="48" s="1"/>
  <c r="M33" i="48"/>
  <c r="F33" i="48"/>
  <c r="E33" i="48" s="1"/>
  <c r="D33" i="48"/>
  <c r="H33" i="48" s="1"/>
  <c r="M32" i="48"/>
  <c r="J32" i="48"/>
  <c r="I32" i="48"/>
  <c r="D32" i="48"/>
  <c r="E32" i="48" s="1"/>
  <c r="M31" i="48"/>
  <c r="J31" i="48"/>
  <c r="I31" i="48"/>
  <c r="D31" i="48"/>
  <c r="E31" i="48" s="1"/>
  <c r="M30" i="48"/>
  <c r="J30" i="48"/>
  <c r="I30" i="48"/>
  <c r="H30" i="48"/>
  <c r="E30" i="48"/>
  <c r="M29" i="48"/>
  <c r="J29" i="48"/>
  <c r="I29" i="48"/>
  <c r="H29" i="48"/>
  <c r="E29" i="48"/>
  <c r="M28" i="48"/>
  <c r="J28" i="48"/>
  <c r="I28" i="48"/>
  <c r="F28" i="48"/>
  <c r="E28" i="48"/>
  <c r="D28" i="48"/>
  <c r="H28" i="48" s="1"/>
  <c r="M27" i="48"/>
  <c r="J27" i="48"/>
  <c r="I27" i="48"/>
  <c r="E27" i="48"/>
  <c r="D27" i="48"/>
  <c r="H27" i="48" s="1"/>
  <c r="M26" i="48"/>
  <c r="J26" i="48"/>
  <c r="I26" i="48"/>
  <c r="H26" i="48"/>
  <c r="E26" i="48"/>
  <c r="M25" i="48"/>
  <c r="J25" i="48"/>
  <c r="I25" i="48"/>
  <c r="H25" i="48"/>
  <c r="E25" i="48"/>
  <c r="L21" i="48"/>
  <c r="V16" i="48"/>
  <c r="U16" i="48"/>
  <c r="T16" i="48"/>
  <c r="R16" i="48"/>
  <c r="L16" i="48"/>
  <c r="H16" i="48"/>
  <c r="Y16" i="48" s="1"/>
  <c r="F16" i="48"/>
  <c r="I16" i="48" s="1"/>
  <c r="M16" i="48" s="1"/>
  <c r="V14" i="48"/>
  <c r="U14" i="48"/>
  <c r="T14" i="48"/>
  <c r="R14" i="48"/>
  <c r="L14" i="48"/>
  <c r="H14" i="48"/>
  <c r="Y14" i="48" s="1"/>
  <c r="F14" i="48"/>
  <c r="I14" i="48" s="1"/>
  <c r="M14" i="48" s="1"/>
  <c r="V13" i="48"/>
  <c r="U13" i="48"/>
  <c r="T13" i="48"/>
  <c r="R13" i="48"/>
  <c r="L13" i="48"/>
  <c r="H13" i="48"/>
  <c r="Y13" i="48" s="1"/>
  <c r="F13" i="48"/>
  <c r="I13" i="48" s="1"/>
  <c r="M13" i="48" s="1"/>
  <c r="V12" i="48"/>
  <c r="U12" i="48"/>
  <c r="T12" i="48"/>
  <c r="R12" i="48"/>
  <c r="L12" i="48"/>
  <c r="H12" i="48"/>
  <c r="Y12" i="48" s="1"/>
  <c r="F12" i="48"/>
  <c r="I12" i="48" s="1"/>
  <c r="M12" i="48" s="1"/>
  <c r="V11" i="48"/>
  <c r="U11" i="48"/>
  <c r="T11" i="48"/>
  <c r="R11" i="48"/>
  <c r="L11" i="48"/>
  <c r="G11" i="48"/>
  <c r="H11" i="48" s="1"/>
  <c r="D11" i="48"/>
  <c r="F11" i="48" s="1"/>
  <c r="V15" i="48"/>
  <c r="U15" i="48"/>
  <c r="T15" i="48"/>
  <c r="R15" i="48"/>
  <c r="L15" i="48"/>
  <c r="H15" i="48"/>
  <c r="J15" i="48" s="1"/>
  <c r="F15" i="48"/>
  <c r="I15" i="48" s="1"/>
  <c r="M15" i="48" s="1"/>
  <c r="V10" i="48"/>
  <c r="U10" i="48"/>
  <c r="T10" i="48"/>
  <c r="R10" i="48"/>
  <c r="L10" i="48"/>
  <c r="H10" i="48"/>
  <c r="Y10" i="48" s="1"/>
  <c r="F10" i="48"/>
  <c r="I10" i="48" s="1"/>
  <c r="M10" i="48" s="1"/>
  <c r="V9" i="48"/>
  <c r="U9" i="48"/>
  <c r="T9" i="48"/>
  <c r="R9" i="48"/>
  <c r="L9" i="48"/>
  <c r="H9" i="48"/>
  <c r="W9" i="48" s="1"/>
  <c r="F9" i="48"/>
  <c r="I9" i="48" s="1"/>
  <c r="M9" i="48" s="1"/>
  <c r="Y8" i="48"/>
  <c r="W8" i="48"/>
  <c r="V8" i="48"/>
  <c r="U8" i="48"/>
  <c r="T8" i="48"/>
  <c r="R8" i="48"/>
  <c r="L8" i="48"/>
  <c r="J8" i="48"/>
  <c r="H8" i="48"/>
  <c r="F8" i="48"/>
  <c r="V7" i="48"/>
  <c r="U7" i="48"/>
  <c r="T7" i="48"/>
  <c r="R7" i="48"/>
  <c r="L7" i="48"/>
  <c r="H7" i="48"/>
  <c r="W7" i="48" s="1"/>
  <c r="G7" i="48"/>
  <c r="F7" i="48"/>
  <c r="D7" i="48"/>
  <c r="I20" i="47"/>
  <c r="M60" i="47"/>
  <c r="I60" i="47"/>
  <c r="J60" i="47" s="1"/>
  <c r="H60" i="47"/>
  <c r="E60" i="47"/>
  <c r="M59" i="47"/>
  <c r="I59" i="47"/>
  <c r="J59" i="47" s="1"/>
  <c r="H59" i="47"/>
  <c r="D59" i="47"/>
  <c r="E59" i="47" s="1"/>
  <c r="M58" i="47"/>
  <c r="I58" i="47"/>
  <c r="J58" i="47" s="1"/>
  <c r="H58" i="47"/>
  <c r="E58" i="47"/>
  <c r="M57" i="47"/>
  <c r="H57" i="47"/>
  <c r="F57" i="47"/>
  <c r="I57" i="47" s="1"/>
  <c r="J57" i="47" s="1"/>
  <c r="D57" i="47"/>
  <c r="M56" i="47"/>
  <c r="I56" i="47"/>
  <c r="J56" i="47" s="1"/>
  <c r="H56" i="47"/>
  <c r="E56" i="47"/>
  <c r="M55" i="47"/>
  <c r="J55" i="47"/>
  <c r="I55" i="47"/>
  <c r="H55" i="47"/>
  <c r="E55" i="47"/>
  <c r="M54" i="47"/>
  <c r="I54" i="47"/>
  <c r="J54" i="47" s="1"/>
  <c r="H54" i="47"/>
  <c r="E54" i="47"/>
  <c r="M53" i="47"/>
  <c r="I53" i="47"/>
  <c r="J53" i="47" s="1"/>
  <c r="H53" i="47"/>
  <c r="E53" i="47"/>
  <c r="M52" i="47"/>
  <c r="I52" i="47"/>
  <c r="J52" i="47" s="1"/>
  <c r="H52" i="47"/>
  <c r="M51" i="47"/>
  <c r="F51" i="47"/>
  <c r="I51" i="47" s="1"/>
  <c r="J51" i="47" s="1"/>
  <c r="D51" i="47"/>
  <c r="H51" i="47" s="1"/>
  <c r="M50" i="47"/>
  <c r="I50" i="47"/>
  <c r="J50" i="47" s="1"/>
  <c r="H50" i="47"/>
  <c r="E50" i="47"/>
  <c r="M49" i="47"/>
  <c r="I49" i="47"/>
  <c r="J49" i="47" s="1"/>
  <c r="H49" i="47"/>
  <c r="E49" i="47"/>
  <c r="M48" i="47"/>
  <c r="J48" i="47"/>
  <c r="I48" i="47"/>
  <c r="H48" i="47"/>
  <c r="E48" i="47"/>
  <c r="M47" i="47"/>
  <c r="I47" i="47"/>
  <c r="J47" i="47" s="1"/>
  <c r="H47" i="47"/>
  <c r="E47" i="47"/>
  <c r="M46" i="47"/>
  <c r="J46" i="47"/>
  <c r="I46" i="47"/>
  <c r="H46" i="47"/>
  <c r="E46" i="47"/>
  <c r="M45" i="47"/>
  <c r="I45" i="47"/>
  <c r="J45" i="47" s="1"/>
  <c r="H45" i="47"/>
  <c r="E45" i="47"/>
  <c r="D45" i="47"/>
  <c r="M44" i="47"/>
  <c r="I44" i="47"/>
  <c r="J44" i="47" s="1"/>
  <c r="H44" i="47"/>
  <c r="E44" i="47"/>
  <c r="M43" i="47"/>
  <c r="I43" i="47"/>
  <c r="J43" i="47" s="1"/>
  <c r="H43" i="47"/>
  <c r="F43" i="47"/>
  <c r="E43" i="47"/>
  <c r="D43" i="47"/>
  <c r="M42" i="47"/>
  <c r="I42" i="47"/>
  <c r="J42" i="47" s="1"/>
  <c r="F42" i="47"/>
  <c r="E42" i="47" s="1"/>
  <c r="D42" i="47"/>
  <c r="H42" i="47" s="1"/>
  <c r="M41" i="47"/>
  <c r="J41" i="47"/>
  <c r="I41" i="47"/>
  <c r="H41" i="47"/>
  <c r="F41" i="47"/>
  <c r="D41" i="47"/>
  <c r="E41" i="47" s="1"/>
  <c r="M40" i="47"/>
  <c r="I40" i="47"/>
  <c r="J40" i="47" s="1"/>
  <c r="H40" i="47"/>
  <c r="E40" i="47"/>
  <c r="M39" i="47"/>
  <c r="J39" i="47"/>
  <c r="I39" i="47"/>
  <c r="H39" i="47"/>
  <c r="D39" i="47"/>
  <c r="E39" i="47" s="1"/>
  <c r="M38" i="47"/>
  <c r="J38" i="47"/>
  <c r="I38" i="47"/>
  <c r="H38" i="47"/>
  <c r="E38" i="47"/>
  <c r="M37" i="47"/>
  <c r="I37" i="47"/>
  <c r="J37" i="47" s="1"/>
  <c r="H37" i="47"/>
  <c r="E37" i="47"/>
  <c r="M36" i="47"/>
  <c r="I36" i="47"/>
  <c r="J36" i="47" s="1"/>
  <c r="H36" i="47"/>
  <c r="E36" i="47"/>
  <c r="M35" i="47"/>
  <c r="I35" i="47"/>
  <c r="J35" i="47" s="1"/>
  <c r="H35" i="47"/>
  <c r="E35" i="47"/>
  <c r="D35" i="47"/>
  <c r="M34" i="47"/>
  <c r="F34" i="47"/>
  <c r="I34" i="47" s="1"/>
  <c r="J34" i="47" s="1"/>
  <c r="D34" i="47"/>
  <c r="H34" i="47" s="1"/>
  <c r="M33" i="47"/>
  <c r="I33" i="47"/>
  <c r="J33" i="47" s="1"/>
  <c r="H33" i="47"/>
  <c r="F33" i="47"/>
  <c r="E33" i="47"/>
  <c r="D33" i="47"/>
  <c r="M32" i="47"/>
  <c r="I32" i="47"/>
  <c r="J32" i="47" s="1"/>
  <c r="H32" i="47"/>
  <c r="E32" i="47"/>
  <c r="D32" i="47"/>
  <c r="M31" i="47"/>
  <c r="I31" i="47"/>
  <c r="J31" i="47" s="1"/>
  <c r="H31" i="47"/>
  <c r="E31" i="47"/>
  <c r="D31" i="47"/>
  <c r="M30" i="47"/>
  <c r="I30" i="47"/>
  <c r="J30" i="47" s="1"/>
  <c r="H30" i="47"/>
  <c r="E30" i="47"/>
  <c r="M29" i="47"/>
  <c r="I29" i="47"/>
  <c r="J29" i="47" s="1"/>
  <c r="H29" i="47"/>
  <c r="E29" i="47"/>
  <c r="M28" i="47"/>
  <c r="F28" i="47"/>
  <c r="I28" i="47" s="1"/>
  <c r="J28" i="47" s="1"/>
  <c r="D28" i="47"/>
  <c r="H28" i="47" s="1"/>
  <c r="M27" i="47"/>
  <c r="I27" i="47"/>
  <c r="J27" i="47" s="1"/>
  <c r="H27" i="47"/>
  <c r="D27" i="47"/>
  <c r="E27" i="47" s="1"/>
  <c r="M26" i="47"/>
  <c r="I26" i="47"/>
  <c r="J26" i="47" s="1"/>
  <c r="H26" i="47"/>
  <c r="E26" i="47"/>
  <c r="M25" i="47"/>
  <c r="I25" i="47"/>
  <c r="H25" i="47"/>
  <c r="E25" i="47"/>
  <c r="L21" i="47"/>
  <c r="V16" i="47"/>
  <c r="U16" i="47"/>
  <c r="T16" i="47"/>
  <c r="R16" i="47"/>
  <c r="L16" i="47"/>
  <c r="J16" i="47"/>
  <c r="H16" i="47"/>
  <c r="W16" i="47" s="1"/>
  <c r="F16" i="47"/>
  <c r="Y15" i="47"/>
  <c r="W15" i="47"/>
  <c r="V15" i="47"/>
  <c r="U15" i="47"/>
  <c r="T15" i="47"/>
  <c r="R15" i="47"/>
  <c r="L15" i="47"/>
  <c r="H15" i="47"/>
  <c r="J15" i="47" s="1"/>
  <c r="F15" i="47"/>
  <c r="I15" i="47" s="1"/>
  <c r="M15" i="47" s="1"/>
  <c r="Y14" i="47"/>
  <c r="V14" i="47"/>
  <c r="U14" i="47"/>
  <c r="T14" i="47"/>
  <c r="R14" i="47"/>
  <c r="L14" i="47"/>
  <c r="J14" i="47"/>
  <c r="H14" i="47"/>
  <c r="W14" i="47" s="1"/>
  <c r="F14" i="47"/>
  <c r="I14" i="47" s="1"/>
  <c r="M14" i="47" s="1"/>
  <c r="W13" i="47"/>
  <c r="V13" i="47"/>
  <c r="U13" i="47"/>
  <c r="T13" i="47"/>
  <c r="R13" i="47"/>
  <c r="L13" i="47"/>
  <c r="H13" i="47"/>
  <c r="J13" i="47" s="1"/>
  <c r="F13" i="47"/>
  <c r="I13" i="47" s="1"/>
  <c r="M13" i="47" s="1"/>
  <c r="V12" i="47"/>
  <c r="U12" i="47"/>
  <c r="T12" i="47"/>
  <c r="R12" i="47"/>
  <c r="L12" i="47"/>
  <c r="H12" i="47"/>
  <c r="W12" i="47" s="1"/>
  <c r="G12" i="47"/>
  <c r="F12" i="47"/>
  <c r="I12" i="47" s="1"/>
  <c r="M12" i="47" s="1"/>
  <c r="D12" i="47"/>
  <c r="Y11" i="47"/>
  <c r="W11" i="47"/>
  <c r="V11" i="47"/>
  <c r="U11" i="47"/>
  <c r="T11" i="47"/>
  <c r="R11" i="47"/>
  <c r="L11" i="47"/>
  <c r="H11" i="47"/>
  <c r="J11" i="47" s="1"/>
  <c r="F11" i="47"/>
  <c r="I11" i="47" s="1"/>
  <c r="M11" i="47" s="1"/>
  <c r="Y10" i="47"/>
  <c r="W10" i="47"/>
  <c r="V10" i="47"/>
  <c r="U10" i="47"/>
  <c r="T10" i="47"/>
  <c r="R10" i="47"/>
  <c r="L10" i="47"/>
  <c r="J10" i="47"/>
  <c r="H10" i="47"/>
  <c r="F10" i="47"/>
  <c r="I10" i="47" s="1"/>
  <c r="M10" i="47" s="1"/>
  <c r="W9" i="47"/>
  <c r="V9" i="47"/>
  <c r="U9" i="47"/>
  <c r="T9" i="47"/>
  <c r="R9" i="47"/>
  <c r="L9" i="47"/>
  <c r="H9" i="47"/>
  <c r="J9" i="47" s="1"/>
  <c r="F9" i="47"/>
  <c r="I9" i="47" s="1"/>
  <c r="M9" i="47" s="1"/>
  <c r="V8" i="47"/>
  <c r="U8" i="47"/>
  <c r="T8" i="47"/>
  <c r="R8" i="47"/>
  <c r="L8" i="47"/>
  <c r="H8" i="47"/>
  <c r="W8" i="47" s="1"/>
  <c r="F8" i="47"/>
  <c r="I8" i="47" s="1"/>
  <c r="M8" i="47" s="1"/>
  <c r="V7" i="47"/>
  <c r="U7" i="47"/>
  <c r="T7" i="47"/>
  <c r="R7" i="47"/>
  <c r="L7" i="47"/>
  <c r="G7" i="47"/>
  <c r="G17" i="47" s="1"/>
  <c r="F7" i="47"/>
  <c r="I7" i="47" s="1"/>
  <c r="M7" i="47" s="1"/>
  <c r="D7" i="47"/>
  <c r="G12" i="46"/>
  <c r="D12" i="46"/>
  <c r="M60" i="46"/>
  <c r="H60" i="46"/>
  <c r="I60" i="46"/>
  <c r="J60" i="46" s="1"/>
  <c r="E60" i="46"/>
  <c r="I20" i="46"/>
  <c r="M59" i="46"/>
  <c r="I59" i="46"/>
  <c r="J59" i="46" s="1"/>
  <c r="D59" i="46"/>
  <c r="H59" i="46" s="1"/>
  <c r="M58" i="46"/>
  <c r="I58" i="46"/>
  <c r="J58" i="46" s="1"/>
  <c r="H58" i="46"/>
  <c r="E58" i="46"/>
  <c r="M57" i="46"/>
  <c r="F57" i="46"/>
  <c r="I57" i="46" s="1"/>
  <c r="J57" i="46" s="1"/>
  <c r="D57" i="46"/>
  <c r="H57" i="46" s="1"/>
  <c r="M56" i="46"/>
  <c r="I56" i="46"/>
  <c r="J56" i="46" s="1"/>
  <c r="H56" i="46"/>
  <c r="E56" i="46"/>
  <c r="M55" i="46"/>
  <c r="J55" i="46"/>
  <c r="I55" i="46"/>
  <c r="H55" i="46"/>
  <c r="E55" i="46"/>
  <c r="M54" i="46"/>
  <c r="I54" i="46"/>
  <c r="J54" i="46" s="1"/>
  <c r="H54" i="46"/>
  <c r="E54" i="46"/>
  <c r="M53" i="46"/>
  <c r="I53" i="46"/>
  <c r="J53" i="46" s="1"/>
  <c r="H53" i="46"/>
  <c r="E53" i="46"/>
  <c r="M52" i="46"/>
  <c r="I52" i="46"/>
  <c r="J52" i="46" s="1"/>
  <c r="H52" i="46"/>
  <c r="M51" i="46"/>
  <c r="F51" i="46"/>
  <c r="D51" i="46"/>
  <c r="H51" i="46" s="1"/>
  <c r="M50" i="46"/>
  <c r="I50" i="46"/>
  <c r="J50" i="46" s="1"/>
  <c r="H50" i="46"/>
  <c r="E50" i="46"/>
  <c r="M49" i="46"/>
  <c r="J49" i="46"/>
  <c r="I49" i="46"/>
  <c r="H49" i="46"/>
  <c r="E49" i="46"/>
  <c r="M48" i="46"/>
  <c r="I48" i="46"/>
  <c r="J48" i="46" s="1"/>
  <c r="H48" i="46"/>
  <c r="E48" i="46"/>
  <c r="M47" i="46"/>
  <c r="I47" i="46"/>
  <c r="J47" i="46" s="1"/>
  <c r="H47" i="46"/>
  <c r="E47" i="46"/>
  <c r="M46" i="46"/>
  <c r="J46" i="46"/>
  <c r="I46" i="46"/>
  <c r="H46" i="46"/>
  <c r="E46" i="46"/>
  <c r="M45" i="46"/>
  <c r="I45" i="46"/>
  <c r="J45" i="46" s="1"/>
  <c r="E45" i="46"/>
  <c r="D45" i="46"/>
  <c r="H45" i="46" s="1"/>
  <c r="M44" i="46"/>
  <c r="I44" i="46"/>
  <c r="J44" i="46" s="1"/>
  <c r="H44" i="46"/>
  <c r="E44" i="46"/>
  <c r="M43" i="46"/>
  <c r="F43" i="46"/>
  <c r="I43" i="46" s="1"/>
  <c r="J43" i="46" s="1"/>
  <c r="D43" i="46"/>
  <c r="H43" i="46" s="1"/>
  <c r="M42" i="46"/>
  <c r="I42" i="46"/>
  <c r="J42" i="46" s="1"/>
  <c r="F42" i="46"/>
  <c r="D42" i="46"/>
  <c r="H42" i="46" s="1"/>
  <c r="M41" i="46"/>
  <c r="H41" i="46"/>
  <c r="F41" i="46"/>
  <c r="I41" i="46" s="1"/>
  <c r="J41" i="46" s="1"/>
  <c r="D41" i="46"/>
  <c r="M40" i="46"/>
  <c r="I40" i="46"/>
  <c r="J40" i="46" s="1"/>
  <c r="H40" i="46"/>
  <c r="E40" i="46"/>
  <c r="M39" i="46"/>
  <c r="I39" i="46"/>
  <c r="J39" i="46" s="1"/>
  <c r="H39" i="46"/>
  <c r="E39" i="46"/>
  <c r="D39" i="46"/>
  <c r="M38" i="46"/>
  <c r="I38" i="46"/>
  <c r="J38" i="46" s="1"/>
  <c r="H38" i="46"/>
  <c r="E38" i="46"/>
  <c r="M37" i="46"/>
  <c r="I37" i="46"/>
  <c r="J37" i="46" s="1"/>
  <c r="H37" i="46"/>
  <c r="E37" i="46"/>
  <c r="M36" i="46"/>
  <c r="I36" i="46"/>
  <c r="J36" i="46" s="1"/>
  <c r="H36" i="46"/>
  <c r="E36" i="46"/>
  <c r="M35" i="46"/>
  <c r="I35" i="46"/>
  <c r="J35" i="46" s="1"/>
  <c r="E35" i="46"/>
  <c r="D35" i="46"/>
  <c r="H35" i="46" s="1"/>
  <c r="M34" i="46"/>
  <c r="F34" i="46"/>
  <c r="D34" i="46"/>
  <c r="H34" i="46" s="1"/>
  <c r="M33" i="46"/>
  <c r="H33" i="46"/>
  <c r="F33" i="46"/>
  <c r="I33" i="46" s="1"/>
  <c r="J33" i="46" s="1"/>
  <c r="E33" i="46"/>
  <c r="D33" i="46"/>
  <c r="M32" i="46"/>
  <c r="I32" i="46"/>
  <c r="J32" i="46" s="1"/>
  <c r="E32" i="46"/>
  <c r="D32" i="46"/>
  <c r="H32" i="46" s="1"/>
  <c r="M31" i="46"/>
  <c r="I31" i="46"/>
  <c r="J31" i="46" s="1"/>
  <c r="D31" i="46"/>
  <c r="H31" i="46" s="1"/>
  <c r="M30" i="46"/>
  <c r="I30" i="46"/>
  <c r="J30" i="46" s="1"/>
  <c r="H30" i="46"/>
  <c r="E30" i="46"/>
  <c r="M29" i="46"/>
  <c r="I29" i="46"/>
  <c r="J29" i="46" s="1"/>
  <c r="H29" i="46"/>
  <c r="E29" i="46"/>
  <c r="M28" i="46"/>
  <c r="F28" i="46"/>
  <c r="D28" i="46"/>
  <c r="H28" i="46" s="1"/>
  <c r="M27" i="46"/>
  <c r="I27" i="46"/>
  <c r="J27" i="46" s="1"/>
  <c r="D27" i="46"/>
  <c r="E27" i="46" s="1"/>
  <c r="M26" i="46"/>
  <c r="J26" i="46"/>
  <c r="I26" i="46"/>
  <c r="H26" i="46"/>
  <c r="E26" i="46"/>
  <c r="M25" i="46"/>
  <c r="I25" i="46"/>
  <c r="J25" i="46" s="1"/>
  <c r="H25" i="46"/>
  <c r="E25" i="46"/>
  <c r="L21" i="46"/>
  <c r="V16" i="46"/>
  <c r="U16" i="46"/>
  <c r="T16" i="46"/>
  <c r="R16" i="46"/>
  <c r="L16" i="46"/>
  <c r="H16" i="46"/>
  <c r="Y16" i="46" s="1"/>
  <c r="F16" i="46"/>
  <c r="I16" i="46" s="1"/>
  <c r="M16" i="46" s="1"/>
  <c r="V15" i="46"/>
  <c r="U15" i="46"/>
  <c r="T15" i="46"/>
  <c r="R15" i="46"/>
  <c r="L15" i="46"/>
  <c r="H15" i="46"/>
  <c r="J15" i="46" s="1"/>
  <c r="F15" i="46"/>
  <c r="I15" i="46" s="1"/>
  <c r="M15" i="46" s="1"/>
  <c r="Y14" i="46"/>
  <c r="V14" i="46"/>
  <c r="U14" i="46"/>
  <c r="T14" i="46"/>
  <c r="R14" i="46"/>
  <c r="L14" i="46"/>
  <c r="H14" i="46"/>
  <c r="W14" i="46" s="1"/>
  <c r="F14" i="46"/>
  <c r="I14" i="46" s="1"/>
  <c r="M14" i="46" s="1"/>
  <c r="V13" i="46"/>
  <c r="U13" i="46"/>
  <c r="T13" i="46"/>
  <c r="R13" i="46"/>
  <c r="L13" i="46"/>
  <c r="H13" i="46"/>
  <c r="Y13" i="46" s="1"/>
  <c r="F13" i="46"/>
  <c r="I13" i="46" s="1"/>
  <c r="M13" i="46" s="1"/>
  <c r="V12" i="46"/>
  <c r="U12" i="46"/>
  <c r="T12" i="46"/>
  <c r="R12" i="46"/>
  <c r="L12" i="46"/>
  <c r="V11" i="46"/>
  <c r="U11" i="46"/>
  <c r="T11" i="46"/>
  <c r="R11" i="46"/>
  <c r="L11" i="46"/>
  <c r="H11" i="46"/>
  <c r="W11" i="46" s="1"/>
  <c r="F11" i="46"/>
  <c r="I11" i="46" s="1"/>
  <c r="M11" i="46" s="1"/>
  <c r="V10" i="46"/>
  <c r="U10" i="46"/>
  <c r="T10" i="46"/>
  <c r="R10" i="46"/>
  <c r="L10" i="46"/>
  <c r="H10" i="46"/>
  <c r="Y10" i="46" s="1"/>
  <c r="F10" i="46"/>
  <c r="I10" i="46" s="1"/>
  <c r="M10" i="46" s="1"/>
  <c r="V9" i="46"/>
  <c r="U9" i="46"/>
  <c r="T9" i="46"/>
  <c r="R9" i="46"/>
  <c r="L9" i="46"/>
  <c r="H9" i="46"/>
  <c r="J9" i="46" s="1"/>
  <c r="F9" i="46"/>
  <c r="I9" i="46" s="1"/>
  <c r="M9" i="46" s="1"/>
  <c r="V8" i="46"/>
  <c r="U8" i="46"/>
  <c r="T8" i="46"/>
  <c r="R8" i="46"/>
  <c r="L8" i="46"/>
  <c r="H8" i="46"/>
  <c r="Y8" i="46" s="1"/>
  <c r="F8" i="46"/>
  <c r="I8" i="46" s="1"/>
  <c r="M8" i="46" s="1"/>
  <c r="V7" i="46"/>
  <c r="U7" i="46"/>
  <c r="T7" i="46"/>
  <c r="R7" i="46"/>
  <c r="L7" i="46"/>
  <c r="G7" i="46"/>
  <c r="G17" i="46" s="1"/>
  <c r="D7" i="46"/>
  <c r="F7" i="46" s="1"/>
  <c r="M59" i="45"/>
  <c r="H59" i="45"/>
  <c r="I59" i="45"/>
  <c r="J59" i="45" s="1"/>
  <c r="D59" i="45"/>
  <c r="E59" i="45" s="1"/>
  <c r="M58" i="45"/>
  <c r="H58" i="45"/>
  <c r="I58" i="45"/>
  <c r="J58" i="45" s="1"/>
  <c r="E58" i="45"/>
  <c r="J13" i="50" l="1"/>
  <c r="W13" i="50"/>
  <c r="M7" i="50"/>
  <c r="I9" i="50"/>
  <c r="M9" i="50" s="1"/>
  <c r="E42" i="50"/>
  <c r="F17" i="50"/>
  <c r="F19" i="50" s="1"/>
  <c r="Z10" i="50" s="1"/>
  <c r="J9" i="50"/>
  <c r="J15" i="50"/>
  <c r="E27" i="50"/>
  <c r="E28" i="50"/>
  <c r="E34" i="50"/>
  <c r="I41" i="50"/>
  <c r="J41" i="50" s="1"/>
  <c r="E51" i="50"/>
  <c r="W9" i="50"/>
  <c r="J10" i="50"/>
  <c r="W15" i="50"/>
  <c r="J16" i="50"/>
  <c r="E59" i="50"/>
  <c r="W10" i="50"/>
  <c r="W16" i="50"/>
  <c r="J8" i="51"/>
  <c r="Y8" i="51"/>
  <c r="Y7" i="51"/>
  <c r="Y10" i="51"/>
  <c r="W7" i="51"/>
  <c r="J12" i="51"/>
  <c r="W12" i="51"/>
  <c r="W10" i="51"/>
  <c r="J11" i="51"/>
  <c r="W11" i="51"/>
  <c r="J14" i="51"/>
  <c r="W14" i="51"/>
  <c r="Y13" i="51"/>
  <c r="Y9" i="51"/>
  <c r="W9" i="51"/>
  <c r="J9" i="51"/>
  <c r="M13" i="51"/>
  <c r="I17" i="51"/>
  <c r="F17" i="51"/>
  <c r="F19" i="51" s="1"/>
  <c r="Z7" i="51" s="1"/>
  <c r="E31" i="51"/>
  <c r="E32" i="51"/>
  <c r="E33" i="51"/>
  <c r="E43" i="51"/>
  <c r="E45" i="51"/>
  <c r="E62" i="51"/>
  <c r="J15" i="51"/>
  <c r="I16" i="51"/>
  <c r="M16" i="51" s="1"/>
  <c r="I41" i="51"/>
  <c r="J41" i="51" s="1"/>
  <c r="W15" i="51"/>
  <c r="J16" i="51"/>
  <c r="E35" i="51"/>
  <c r="E57" i="51"/>
  <c r="E59" i="51"/>
  <c r="J13" i="51"/>
  <c r="W16" i="51"/>
  <c r="Y15" i="49"/>
  <c r="W15" i="49"/>
  <c r="J15" i="49"/>
  <c r="I15" i="49"/>
  <c r="M15" i="49" s="1"/>
  <c r="I11" i="49"/>
  <c r="M11" i="49" s="1"/>
  <c r="Y11" i="49"/>
  <c r="W11" i="49"/>
  <c r="J11" i="49"/>
  <c r="I7" i="49"/>
  <c r="F17" i="49"/>
  <c r="F19" i="49" s="1"/>
  <c r="Z16" i="49" s="1"/>
  <c r="E31" i="49"/>
  <c r="E32" i="49"/>
  <c r="E33" i="49"/>
  <c r="E43" i="49"/>
  <c r="E45" i="49"/>
  <c r="H7" i="49"/>
  <c r="I41" i="49"/>
  <c r="J41" i="49" s="1"/>
  <c r="J8" i="49"/>
  <c r="J12" i="49"/>
  <c r="J16" i="49"/>
  <c r="E59" i="49"/>
  <c r="E35" i="49"/>
  <c r="Y9" i="48"/>
  <c r="J13" i="48"/>
  <c r="W13" i="48"/>
  <c r="Y7" i="48"/>
  <c r="J10" i="48"/>
  <c r="W10" i="48"/>
  <c r="J12" i="48"/>
  <c r="W12" i="48"/>
  <c r="J9" i="48"/>
  <c r="F17" i="48"/>
  <c r="F19" i="48" s="1"/>
  <c r="I21" i="48" s="1"/>
  <c r="I11" i="48"/>
  <c r="M11" i="48" s="1"/>
  <c r="Y11" i="48"/>
  <c r="W11" i="48"/>
  <c r="J11" i="48"/>
  <c r="G17" i="48"/>
  <c r="I7" i="48"/>
  <c r="W15" i="48"/>
  <c r="W14" i="48"/>
  <c r="J16" i="48"/>
  <c r="E35" i="48"/>
  <c r="E59" i="48"/>
  <c r="J14" i="48"/>
  <c r="H31" i="48"/>
  <c r="H32" i="48"/>
  <c r="I41" i="48"/>
  <c r="J41" i="48" s="1"/>
  <c r="J7" i="48"/>
  <c r="I8" i="48"/>
  <c r="M8" i="48" s="1"/>
  <c r="Y15" i="48"/>
  <c r="W16" i="48"/>
  <c r="I33" i="48"/>
  <c r="J33" i="48" s="1"/>
  <c r="I43" i="48"/>
  <c r="J43" i="48" s="1"/>
  <c r="H45" i="48"/>
  <c r="I69" i="47"/>
  <c r="Y8" i="47"/>
  <c r="Y12" i="47"/>
  <c r="F17" i="47"/>
  <c r="F19" i="47" s="1"/>
  <c r="Z16" i="47" s="1"/>
  <c r="H7" i="47"/>
  <c r="Y9" i="47"/>
  <c r="Y13" i="47"/>
  <c r="I16" i="47"/>
  <c r="M16" i="47" s="1"/>
  <c r="E28" i="47"/>
  <c r="E34" i="47"/>
  <c r="E51" i="47"/>
  <c r="E57" i="47"/>
  <c r="I17" i="47"/>
  <c r="J8" i="47"/>
  <c r="J12" i="47"/>
  <c r="Y16" i="47"/>
  <c r="J25" i="47"/>
  <c r="H12" i="46"/>
  <c r="Y12" i="46" s="1"/>
  <c r="F12" i="46"/>
  <c r="I12" i="46" s="1"/>
  <c r="M12" i="46" s="1"/>
  <c r="J13" i="46"/>
  <c r="W13" i="46"/>
  <c r="E43" i="46"/>
  <c r="E51" i="46"/>
  <c r="E28" i="46"/>
  <c r="E31" i="46"/>
  <c r="E42" i="46"/>
  <c r="J10" i="46"/>
  <c r="H27" i="46"/>
  <c r="E34" i="46"/>
  <c r="J8" i="46"/>
  <c r="W8" i="46"/>
  <c r="Y11" i="46"/>
  <c r="J14" i="46"/>
  <c r="I7" i="46"/>
  <c r="E57" i="46"/>
  <c r="E59" i="46"/>
  <c r="W9" i="46"/>
  <c r="W15" i="46"/>
  <c r="H7" i="46"/>
  <c r="Y9" i="46"/>
  <c r="W10" i="46"/>
  <c r="J11" i="46"/>
  <c r="Y15" i="46"/>
  <c r="W16" i="46"/>
  <c r="J16" i="46"/>
  <c r="J12" i="46"/>
  <c r="I28" i="46"/>
  <c r="J28" i="46" s="1"/>
  <c r="I34" i="46"/>
  <c r="J34" i="46" s="1"/>
  <c r="E41" i="46"/>
  <c r="I51" i="46"/>
  <c r="J51" i="46" s="1"/>
  <c r="W12" i="46"/>
  <c r="I20" i="45"/>
  <c r="M57" i="45"/>
  <c r="I57" i="45"/>
  <c r="J57" i="45" s="1"/>
  <c r="F57" i="45"/>
  <c r="D57" i="45"/>
  <c r="H57" i="45" s="1"/>
  <c r="M56" i="45"/>
  <c r="I56" i="45"/>
  <c r="J56" i="45" s="1"/>
  <c r="H56" i="45"/>
  <c r="E56" i="45"/>
  <c r="M55" i="45"/>
  <c r="I55" i="45"/>
  <c r="J55" i="45" s="1"/>
  <c r="H55" i="45"/>
  <c r="E55" i="45"/>
  <c r="M54" i="45"/>
  <c r="I54" i="45"/>
  <c r="J54" i="45" s="1"/>
  <c r="H54" i="45"/>
  <c r="E54" i="45"/>
  <c r="M53" i="45"/>
  <c r="I53" i="45"/>
  <c r="J53" i="45" s="1"/>
  <c r="H53" i="45"/>
  <c r="E53" i="45"/>
  <c r="M52" i="45"/>
  <c r="I52" i="45"/>
  <c r="J52" i="45" s="1"/>
  <c r="H52" i="45"/>
  <c r="M51" i="45"/>
  <c r="F51" i="45"/>
  <c r="D51" i="45"/>
  <c r="H51" i="45" s="1"/>
  <c r="M50" i="45"/>
  <c r="J50" i="45"/>
  <c r="I50" i="45"/>
  <c r="H50" i="45"/>
  <c r="E50" i="45"/>
  <c r="M49" i="45"/>
  <c r="I49" i="45"/>
  <c r="J49" i="45" s="1"/>
  <c r="H49" i="45"/>
  <c r="E49" i="45"/>
  <c r="M48" i="45"/>
  <c r="I48" i="45"/>
  <c r="J48" i="45" s="1"/>
  <c r="H48" i="45"/>
  <c r="E48" i="45"/>
  <c r="M47" i="45"/>
  <c r="I47" i="45"/>
  <c r="J47" i="45" s="1"/>
  <c r="H47" i="45"/>
  <c r="E47" i="45"/>
  <c r="M46" i="45"/>
  <c r="J46" i="45"/>
  <c r="I46" i="45"/>
  <c r="H46" i="45"/>
  <c r="E46" i="45"/>
  <c r="M45" i="45"/>
  <c r="I45" i="45"/>
  <c r="J45" i="45" s="1"/>
  <c r="H45" i="45"/>
  <c r="E45" i="45"/>
  <c r="D45" i="45"/>
  <c r="M44" i="45"/>
  <c r="I44" i="45"/>
  <c r="J44" i="45" s="1"/>
  <c r="H44" i="45"/>
  <c r="E44" i="45"/>
  <c r="M43" i="45"/>
  <c r="H43" i="45"/>
  <c r="F43" i="45"/>
  <c r="I43" i="45" s="1"/>
  <c r="J43" i="45" s="1"/>
  <c r="E43" i="45"/>
  <c r="D43" i="45"/>
  <c r="M42" i="45"/>
  <c r="I42" i="45"/>
  <c r="J42" i="45" s="1"/>
  <c r="F42" i="45"/>
  <c r="D42" i="45"/>
  <c r="H42" i="45" s="1"/>
  <c r="M41" i="45"/>
  <c r="F41" i="45"/>
  <c r="E41" i="45" s="1"/>
  <c r="D41" i="45"/>
  <c r="H41" i="45" s="1"/>
  <c r="M40" i="45"/>
  <c r="I40" i="45"/>
  <c r="J40" i="45" s="1"/>
  <c r="H40" i="45"/>
  <c r="E40" i="45"/>
  <c r="M39" i="45"/>
  <c r="J39" i="45"/>
  <c r="I39" i="45"/>
  <c r="D39" i="45"/>
  <c r="H39" i="45" s="1"/>
  <c r="M38" i="45"/>
  <c r="J38" i="45"/>
  <c r="I38" i="45"/>
  <c r="H38" i="45"/>
  <c r="E38" i="45"/>
  <c r="M37" i="45"/>
  <c r="I37" i="45"/>
  <c r="J37" i="45" s="1"/>
  <c r="H37" i="45"/>
  <c r="E37" i="45"/>
  <c r="M36" i="45"/>
  <c r="J36" i="45"/>
  <c r="I36" i="45"/>
  <c r="H36" i="45"/>
  <c r="E36" i="45"/>
  <c r="M35" i="45"/>
  <c r="I35" i="45"/>
  <c r="J35" i="45" s="1"/>
  <c r="D35" i="45"/>
  <c r="H35" i="45" s="1"/>
  <c r="M34" i="45"/>
  <c r="H34" i="45"/>
  <c r="F34" i="45"/>
  <c r="E34" i="45" s="1"/>
  <c r="D34" i="45"/>
  <c r="M33" i="45"/>
  <c r="F33" i="45"/>
  <c r="I33" i="45" s="1"/>
  <c r="J33" i="45" s="1"/>
  <c r="D33" i="45"/>
  <c r="H33" i="45" s="1"/>
  <c r="M32" i="45"/>
  <c r="J32" i="45"/>
  <c r="I32" i="45"/>
  <c r="D32" i="45"/>
  <c r="H32" i="45" s="1"/>
  <c r="M31" i="45"/>
  <c r="J31" i="45"/>
  <c r="I31" i="45"/>
  <c r="D31" i="45"/>
  <c r="H31" i="45" s="1"/>
  <c r="M30" i="45"/>
  <c r="J30" i="45"/>
  <c r="I30" i="45"/>
  <c r="H30" i="45"/>
  <c r="E30" i="45"/>
  <c r="M29" i="45"/>
  <c r="I29" i="45"/>
  <c r="J29" i="45" s="1"/>
  <c r="H29" i="45"/>
  <c r="E29" i="45"/>
  <c r="M28" i="45"/>
  <c r="I28" i="45"/>
  <c r="J28" i="45" s="1"/>
  <c r="H28" i="45"/>
  <c r="F28" i="45"/>
  <c r="E28" i="45" s="1"/>
  <c r="D28" i="45"/>
  <c r="M27" i="45"/>
  <c r="I27" i="45"/>
  <c r="J27" i="45" s="1"/>
  <c r="D27" i="45"/>
  <c r="E27" i="45" s="1"/>
  <c r="M26" i="45"/>
  <c r="I26" i="45"/>
  <c r="J26" i="45" s="1"/>
  <c r="H26" i="45"/>
  <c r="E26" i="45"/>
  <c r="M25" i="45"/>
  <c r="I25" i="45"/>
  <c r="H25" i="45"/>
  <c r="E25" i="45"/>
  <c r="L21" i="45"/>
  <c r="V13" i="45"/>
  <c r="U13" i="45"/>
  <c r="T13" i="45"/>
  <c r="R13" i="45"/>
  <c r="L13" i="45"/>
  <c r="H13" i="45"/>
  <c r="W13" i="45" s="1"/>
  <c r="F13" i="45"/>
  <c r="I13" i="45" s="1"/>
  <c r="M13" i="45" s="1"/>
  <c r="V16" i="45"/>
  <c r="U16" i="45"/>
  <c r="T16" i="45"/>
  <c r="R16" i="45"/>
  <c r="L16" i="45"/>
  <c r="H16" i="45"/>
  <c r="J16" i="45" s="1"/>
  <c r="F16" i="45"/>
  <c r="V12" i="45"/>
  <c r="U12" i="45"/>
  <c r="T12" i="45"/>
  <c r="R12" i="45"/>
  <c r="L12" i="45"/>
  <c r="H12" i="45"/>
  <c r="Y12" i="45" s="1"/>
  <c r="F12" i="45"/>
  <c r="I12" i="45" s="1"/>
  <c r="M12" i="45" s="1"/>
  <c r="V11" i="45"/>
  <c r="U11" i="45"/>
  <c r="T11" i="45"/>
  <c r="R11" i="45"/>
  <c r="L11" i="45"/>
  <c r="H11" i="45"/>
  <c r="Y11" i="45" s="1"/>
  <c r="F11" i="45"/>
  <c r="V10" i="45"/>
  <c r="U10" i="45"/>
  <c r="T10" i="45"/>
  <c r="R10" i="45"/>
  <c r="L10" i="45"/>
  <c r="H10" i="45"/>
  <c r="W10" i="45" s="1"/>
  <c r="F10" i="45"/>
  <c r="I10" i="45" s="1"/>
  <c r="M10" i="45" s="1"/>
  <c r="V9" i="45"/>
  <c r="U9" i="45"/>
  <c r="T9" i="45"/>
  <c r="R9" i="45"/>
  <c r="L9" i="45"/>
  <c r="H9" i="45"/>
  <c r="J9" i="45" s="1"/>
  <c r="F9" i="45"/>
  <c r="I9" i="45" s="1"/>
  <c r="M9" i="45" s="1"/>
  <c r="V8" i="45"/>
  <c r="U8" i="45"/>
  <c r="T8" i="45"/>
  <c r="R8" i="45"/>
  <c r="L8" i="45"/>
  <c r="H8" i="45"/>
  <c r="W8" i="45" s="1"/>
  <c r="F8" i="45"/>
  <c r="I8" i="45" s="1"/>
  <c r="M8" i="45" s="1"/>
  <c r="V7" i="45"/>
  <c r="U7" i="45"/>
  <c r="T7" i="45"/>
  <c r="R7" i="45"/>
  <c r="L7" i="45"/>
  <c r="G7" i="45"/>
  <c r="D7" i="45"/>
  <c r="F7" i="45" s="1"/>
  <c r="V15" i="45"/>
  <c r="U15" i="45"/>
  <c r="T15" i="45"/>
  <c r="R15" i="45"/>
  <c r="L15" i="45"/>
  <c r="H15" i="45"/>
  <c r="W15" i="45" s="1"/>
  <c r="F15" i="45"/>
  <c r="I15" i="45" s="1"/>
  <c r="M15" i="45" s="1"/>
  <c r="V14" i="45"/>
  <c r="U14" i="45"/>
  <c r="T14" i="45"/>
  <c r="R14" i="45"/>
  <c r="L14" i="45"/>
  <c r="H14" i="45"/>
  <c r="J14" i="45" s="1"/>
  <c r="G17" i="45"/>
  <c r="F14" i="45"/>
  <c r="G15" i="44"/>
  <c r="D15" i="44"/>
  <c r="I20" i="44"/>
  <c r="M56" i="44"/>
  <c r="I56" i="44"/>
  <c r="J56" i="44" s="1"/>
  <c r="H56" i="44"/>
  <c r="E56" i="44"/>
  <c r="M55" i="44"/>
  <c r="I55" i="44"/>
  <c r="J55" i="44" s="1"/>
  <c r="H55" i="44"/>
  <c r="E55" i="44"/>
  <c r="M54" i="44"/>
  <c r="J54" i="44"/>
  <c r="I54" i="44"/>
  <c r="H54" i="44"/>
  <c r="E54" i="44"/>
  <c r="M53" i="44"/>
  <c r="I53" i="44"/>
  <c r="J53" i="44" s="1"/>
  <c r="H53" i="44"/>
  <c r="E53" i="44"/>
  <c r="M52" i="44"/>
  <c r="I52" i="44"/>
  <c r="J52" i="44" s="1"/>
  <c r="H52" i="44"/>
  <c r="M51" i="44"/>
  <c r="F51" i="44"/>
  <c r="I51" i="44" s="1"/>
  <c r="J51" i="44" s="1"/>
  <c r="E51" i="44"/>
  <c r="D51" i="44"/>
  <c r="H51" i="44" s="1"/>
  <c r="M50" i="44"/>
  <c r="J50" i="44"/>
  <c r="I50" i="44"/>
  <c r="H50" i="44"/>
  <c r="E50" i="44"/>
  <c r="M49" i="44"/>
  <c r="I49" i="44"/>
  <c r="J49" i="44" s="1"/>
  <c r="H49" i="44"/>
  <c r="E49" i="44"/>
  <c r="M48" i="44"/>
  <c r="J48" i="44"/>
  <c r="I48" i="44"/>
  <c r="H48" i="44"/>
  <c r="E48" i="44"/>
  <c r="M47" i="44"/>
  <c r="J47" i="44"/>
  <c r="I47" i="44"/>
  <c r="H47" i="44"/>
  <c r="E47" i="44"/>
  <c r="M46" i="44"/>
  <c r="I46" i="44"/>
  <c r="J46" i="44" s="1"/>
  <c r="H46" i="44"/>
  <c r="E46" i="44"/>
  <c r="M45" i="44"/>
  <c r="I45" i="44"/>
  <c r="J45" i="44" s="1"/>
  <c r="H45" i="44"/>
  <c r="E45" i="44"/>
  <c r="D45" i="44"/>
  <c r="M44" i="44"/>
  <c r="I44" i="44"/>
  <c r="J44" i="44" s="1"/>
  <c r="H44" i="44"/>
  <c r="E44" i="44"/>
  <c r="M43" i="44"/>
  <c r="F43" i="44"/>
  <c r="E43" i="44" s="1"/>
  <c r="D43" i="44"/>
  <c r="H43" i="44" s="1"/>
  <c r="M42" i="44"/>
  <c r="H42" i="44"/>
  <c r="F42" i="44"/>
  <c r="E42" i="44" s="1"/>
  <c r="D42" i="44"/>
  <c r="M41" i="44"/>
  <c r="I41" i="44"/>
  <c r="J41" i="44" s="1"/>
  <c r="H41" i="44"/>
  <c r="F41" i="44"/>
  <c r="E41" i="44"/>
  <c r="D41" i="44"/>
  <c r="M40" i="44"/>
  <c r="J40" i="44"/>
  <c r="I40" i="44"/>
  <c r="H40" i="44"/>
  <c r="E40" i="44"/>
  <c r="M39" i="44"/>
  <c r="I39" i="44"/>
  <c r="J39" i="44" s="1"/>
  <c r="H39" i="44"/>
  <c r="D39" i="44"/>
  <c r="E39" i="44" s="1"/>
  <c r="M38" i="44"/>
  <c r="I38" i="44"/>
  <c r="J38" i="44" s="1"/>
  <c r="H38" i="44"/>
  <c r="E38" i="44"/>
  <c r="M37" i="44"/>
  <c r="I37" i="44"/>
  <c r="J37" i="44" s="1"/>
  <c r="H37" i="44"/>
  <c r="E37" i="44"/>
  <c r="M36" i="44"/>
  <c r="J36" i="44"/>
  <c r="I36" i="44"/>
  <c r="H36" i="44"/>
  <c r="E36" i="44"/>
  <c r="M35" i="44"/>
  <c r="I35" i="44"/>
  <c r="J35" i="44" s="1"/>
  <c r="D35" i="44"/>
  <c r="H35" i="44" s="1"/>
  <c r="M34" i="44"/>
  <c r="I34" i="44"/>
  <c r="J34" i="44" s="1"/>
  <c r="F34" i="44"/>
  <c r="E34" i="44"/>
  <c r="D34" i="44"/>
  <c r="H34" i="44" s="1"/>
  <c r="M33" i="44"/>
  <c r="F33" i="44"/>
  <c r="E33" i="44" s="1"/>
  <c r="D33" i="44"/>
  <c r="H33" i="44" s="1"/>
  <c r="M32" i="44"/>
  <c r="I32" i="44"/>
  <c r="J32" i="44" s="1"/>
  <c r="D32" i="44"/>
  <c r="H32" i="44" s="1"/>
  <c r="M31" i="44"/>
  <c r="I31" i="44"/>
  <c r="J31" i="44" s="1"/>
  <c r="D31" i="44"/>
  <c r="H31" i="44" s="1"/>
  <c r="M30" i="44"/>
  <c r="I30" i="44"/>
  <c r="J30" i="44" s="1"/>
  <c r="H30" i="44"/>
  <c r="E30" i="44"/>
  <c r="M29" i="44"/>
  <c r="J29" i="44"/>
  <c r="I29" i="44"/>
  <c r="H29" i="44"/>
  <c r="E29" i="44"/>
  <c r="M28" i="44"/>
  <c r="J28" i="44"/>
  <c r="I28" i="44"/>
  <c r="F28" i="44"/>
  <c r="E28" i="44"/>
  <c r="D28" i="44"/>
  <c r="H28" i="44" s="1"/>
  <c r="M27" i="44"/>
  <c r="J27" i="44"/>
  <c r="I27" i="44"/>
  <c r="E27" i="44"/>
  <c r="D27" i="44"/>
  <c r="H27" i="44" s="1"/>
  <c r="M26" i="44"/>
  <c r="J26" i="44"/>
  <c r="I26" i="44"/>
  <c r="H26" i="44"/>
  <c r="E26" i="44"/>
  <c r="M25" i="44"/>
  <c r="J25" i="44"/>
  <c r="I25" i="44"/>
  <c r="H25" i="44"/>
  <c r="E25" i="44"/>
  <c r="L21" i="44"/>
  <c r="G17" i="44"/>
  <c r="V16" i="44"/>
  <c r="U16" i="44"/>
  <c r="T16" i="44"/>
  <c r="R16" i="44"/>
  <c r="L16" i="44"/>
  <c r="J16" i="44"/>
  <c r="H16" i="44"/>
  <c r="Y16" i="44" s="1"/>
  <c r="F16" i="44"/>
  <c r="I16" i="44" s="1"/>
  <c r="M16" i="44" s="1"/>
  <c r="V15" i="44"/>
  <c r="U15" i="44"/>
  <c r="T15" i="44"/>
  <c r="R15" i="44"/>
  <c r="L15" i="44"/>
  <c r="H15" i="44"/>
  <c r="J15" i="44" s="1"/>
  <c r="F15" i="44"/>
  <c r="Y14" i="44"/>
  <c r="W14" i="44"/>
  <c r="V14" i="44"/>
  <c r="U14" i="44"/>
  <c r="T14" i="44"/>
  <c r="R14" i="44"/>
  <c r="L14" i="44"/>
  <c r="J14" i="44"/>
  <c r="H14" i="44"/>
  <c r="F14" i="44"/>
  <c r="I14" i="44" s="1"/>
  <c r="M14" i="44" s="1"/>
  <c r="Y13" i="44"/>
  <c r="W13" i="44"/>
  <c r="V13" i="44"/>
  <c r="U13" i="44"/>
  <c r="T13" i="44"/>
  <c r="R13" i="44"/>
  <c r="L13" i="44"/>
  <c r="J13" i="44"/>
  <c r="H13" i="44"/>
  <c r="F13" i="44"/>
  <c r="I13" i="44" s="1"/>
  <c r="M13" i="44" s="1"/>
  <c r="V12" i="44"/>
  <c r="U12" i="44"/>
  <c r="T12" i="44"/>
  <c r="R12" i="44"/>
  <c r="L12" i="44"/>
  <c r="H12" i="44"/>
  <c r="W12" i="44" s="1"/>
  <c r="F12" i="44"/>
  <c r="Y11" i="44"/>
  <c r="V11" i="44"/>
  <c r="U11" i="44"/>
  <c r="T11" i="44"/>
  <c r="R11" i="44"/>
  <c r="L11" i="44"/>
  <c r="H11" i="44"/>
  <c r="W11" i="44" s="1"/>
  <c r="F11" i="44"/>
  <c r="I11" i="44" s="1"/>
  <c r="M11" i="44" s="1"/>
  <c r="V10" i="44"/>
  <c r="U10" i="44"/>
  <c r="T10" i="44"/>
  <c r="R10" i="44"/>
  <c r="L10" i="44"/>
  <c r="J10" i="44"/>
  <c r="H10" i="44"/>
  <c r="Y10" i="44" s="1"/>
  <c r="F10" i="44"/>
  <c r="I10" i="44" s="1"/>
  <c r="M10" i="44" s="1"/>
  <c r="V9" i="44"/>
  <c r="U9" i="44"/>
  <c r="T9" i="44"/>
  <c r="R9" i="44"/>
  <c r="L9" i="44"/>
  <c r="H9" i="44"/>
  <c r="J9" i="44" s="1"/>
  <c r="G9" i="44"/>
  <c r="D9" i="44"/>
  <c r="F9" i="44" s="1"/>
  <c r="W8" i="44"/>
  <c r="V8" i="44"/>
  <c r="U8" i="44"/>
  <c r="T8" i="44"/>
  <c r="R8" i="44"/>
  <c r="L8" i="44"/>
  <c r="H8" i="44"/>
  <c r="Y8" i="44" s="1"/>
  <c r="F8" i="44"/>
  <c r="Y7" i="44"/>
  <c r="V7" i="44"/>
  <c r="U7" i="44"/>
  <c r="T7" i="44"/>
  <c r="R7" i="44"/>
  <c r="L7" i="44"/>
  <c r="H7" i="44"/>
  <c r="W7" i="44" s="1"/>
  <c r="G7" i="44"/>
  <c r="F7" i="44"/>
  <c r="D7" i="44"/>
  <c r="I20" i="43"/>
  <c r="L16" i="43"/>
  <c r="M56" i="43"/>
  <c r="I56" i="43"/>
  <c r="J56" i="43" s="1"/>
  <c r="H56" i="43"/>
  <c r="E56" i="43"/>
  <c r="M55" i="43"/>
  <c r="I55" i="43"/>
  <c r="J55" i="43" s="1"/>
  <c r="H55" i="43"/>
  <c r="E55" i="43"/>
  <c r="M54" i="43"/>
  <c r="I54" i="43"/>
  <c r="J54" i="43" s="1"/>
  <c r="H54" i="43"/>
  <c r="E54" i="43"/>
  <c r="M53" i="43"/>
  <c r="I53" i="43"/>
  <c r="J53" i="43" s="1"/>
  <c r="H53" i="43"/>
  <c r="E53" i="43"/>
  <c r="M52" i="43"/>
  <c r="I52" i="43"/>
  <c r="J52" i="43" s="1"/>
  <c r="H52" i="43"/>
  <c r="M51" i="43"/>
  <c r="F51" i="43"/>
  <c r="I51" i="43" s="1"/>
  <c r="J51" i="43" s="1"/>
  <c r="D51" i="43"/>
  <c r="H51" i="43" s="1"/>
  <c r="M50" i="43"/>
  <c r="I50" i="43"/>
  <c r="J50" i="43" s="1"/>
  <c r="H50" i="43"/>
  <c r="E50" i="43"/>
  <c r="M49" i="43"/>
  <c r="I49" i="43"/>
  <c r="J49" i="43" s="1"/>
  <c r="H49" i="43"/>
  <c r="E49" i="43"/>
  <c r="M48" i="43"/>
  <c r="I48" i="43"/>
  <c r="J48" i="43" s="1"/>
  <c r="H48" i="43"/>
  <c r="E48" i="43"/>
  <c r="M47" i="43"/>
  <c r="I47" i="43"/>
  <c r="J47" i="43" s="1"/>
  <c r="H47" i="43"/>
  <c r="E47" i="43"/>
  <c r="M46" i="43"/>
  <c r="I46" i="43"/>
  <c r="J46" i="43" s="1"/>
  <c r="H46" i="43"/>
  <c r="E46" i="43"/>
  <c r="M45" i="43"/>
  <c r="I45" i="43"/>
  <c r="J45" i="43" s="1"/>
  <c r="D45" i="43"/>
  <c r="E45" i="43" s="1"/>
  <c r="M44" i="43"/>
  <c r="I44" i="43"/>
  <c r="J44" i="43" s="1"/>
  <c r="H44" i="43"/>
  <c r="E44" i="43"/>
  <c r="M43" i="43"/>
  <c r="F43" i="43"/>
  <c r="D43" i="43"/>
  <c r="H43" i="43" s="1"/>
  <c r="M42" i="43"/>
  <c r="I42" i="43"/>
  <c r="J42" i="43" s="1"/>
  <c r="F42" i="43"/>
  <c r="D42" i="43"/>
  <c r="H42" i="43" s="1"/>
  <c r="M41" i="43"/>
  <c r="I41" i="43"/>
  <c r="J41" i="43" s="1"/>
  <c r="F41" i="43"/>
  <c r="D41" i="43"/>
  <c r="H41" i="43" s="1"/>
  <c r="M40" i="43"/>
  <c r="I40" i="43"/>
  <c r="J40" i="43" s="1"/>
  <c r="H40" i="43"/>
  <c r="E40" i="43"/>
  <c r="M39" i="43"/>
  <c r="I39" i="43"/>
  <c r="J39" i="43" s="1"/>
  <c r="D39" i="43"/>
  <c r="H39" i="43" s="1"/>
  <c r="M38" i="43"/>
  <c r="I38" i="43"/>
  <c r="J38" i="43" s="1"/>
  <c r="H38" i="43"/>
  <c r="E38" i="43"/>
  <c r="M37" i="43"/>
  <c r="I37" i="43"/>
  <c r="J37" i="43" s="1"/>
  <c r="H37" i="43"/>
  <c r="E37" i="43"/>
  <c r="M36" i="43"/>
  <c r="I36" i="43"/>
  <c r="J36" i="43" s="1"/>
  <c r="H36" i="43"/>
  <c r="E36" i="43"/>
  <c r="M35" i="43"/>
  <c r="J35" i="43"/>
  <c r="I35" i="43"/>
  <c r="D35" i="43"/>
  <c r="H35" i="43" s="1"/>
  <c r="M34" i="43"/>
  <c r="H34" i="43"/>
  <c r="F34" i="43"/>
  <c r="I34" i="43" s="1"/>
  <c r="J34" i="43" s="1"/>
  <c r="D34" i="43"/>
  <c r="M33" i="43"/>
  <c r="F33" i="43"/>
  <c r="D33" i="43"/>
  <c r="H33" i="43" s="1"/>
  <c r="M32" i="43"/>
  <c r="I32" i="43"/>
  <c r="J32" i="43" s="1"/>
  <c r="D32" i="43"/>
  <c r="E32" i="43" s="1"/>
  <c r="M31" i="43"/>
  <c r="I31" i="43"/>
  <c r="J31" i="43" s="1"/>
  <c r="H31" i="43"/>
  <c r="D31" i="43"/>
  <c r="E31" i="43" s="1"/>
  <c r="M30" i="43"/>
  <c r="I30" i="43"/>
  <c r="J30" i="43" s="1"/>
  <c r="H30" i="43"/>
  <c r="E30" i="43"/>
  <c r="M29" i="43"/>
  <c r="I29" i="43"/>
  <c r="J29" i="43" s="1"/>
  <c r="H29" i="43"/>
  <c r="E29" i="43"/>
  <c r="M28" i="43"/>
  <c r="F28" i="43"/>
  <c r="I28" i="43" s="1"/>
  <c r="J28" i="43" s="1"/>
  <c r="D28" i="43"/>
  <c r="H28" i="43" s="1"/>
  <c r="M27" i="43"/>
  <c r="I27" i="43"/>
  <c r="J27" i="43" s="1"/>
  <c r="D27" i="43"/>
  <c r="H27" i="43" s="1"/>
  <c r="M26" i="43"/>
  <c r="I26" i="43"/>
  <c r="J26" i="43" s="1"/>
  <c r="H26" i="43"/>
  <c r="E26" i="43"/>
  <c r="M25" i="43"/>
  <c r="I25" i="43"/>
  <c r="J25" i="43" s="1"/>
  <c r="H25" i="43"/>
  <c r="E25" i="43"/>
  <c r="L21" i="43"/>
  <c r="V16" i="43"/>
  <c r="U16" i="43"/>
  <c r="T16" i="43"/>
  <c r="R16" i="43"/>
  <c r="H16" i="43"/>
  <c r="Y16" i="43" s="1"/>
  <c r="F16" i="43"/>
  <c r="I16" i="43" s="1"/>
  <c r="M16" i="43" s="1"/>
  <c r="V15" i="43"/>
  <c r="U15" i="43"/>
  <c r="T15" i="43"/>
  <c r="R15" i="43"/>
  <c r="L15" i="43"/>
  <c r="H15" i="43"/>
  <c r="Y15" i="43" s="1"/>
  <c r="F15" i="43"/>
  <c r="I15" i="43" s="1"/>
  <c r="M15" i="43" s="1"/>
  <c r="V14" i="43"/>
  <c r="U14" i="43"/>
  <c r="T14" i="43"/>
  <c r="R14" i="43"/>
  <c r="L14" i="43"/>
  <c r="J14" i="43"/>
  <c r="H14" i="43"/>
  <c r="Y14" i="43" s="1"/>
  <c r="F14" i="43"/>
  <c r="I14" i="43" s="1"/>
  <c r="M14" i="43" s="1"/>
  <c r="V13" i="43"/>
  <c r="U13" i="43"/>
  <c r="T13" i="43"/>
  <c r="R13" i="43"/>
  <c r="L13" i="43"/>
  <c r="H13" i="43"/>
  <c r="Y13" i="43" s="1"/>
  <c r="F13" i="43"/>
  <c r="I13" i="43" s="1"/>
  <c r="M13" i="43" s="1"/>
  <c r="V12" i="43"/>
  <c r="U12" i="43"/>
  <c r="T12" i="43"/>
  <c r="R12" i="43"/>
  <c r="L12" i="43"/>
  <c r="H12" i="43"/>
  <c r="W12" i="43" s="1"/>
  <c r="F12" i="43"/>
  <c r="V11" i="43"/>
  <c r="U11" i="43"/>
  <c r="T11" i="43"/>
  <c r="R11" i="43"/>
  <c r="L11" i="43"/>
  <c r="H11" i="43"/>
  <c r="Y11" i="43" s="1"/>
  <c r="F11" i="43"/>
  <c r="I11" i="43" s="1"/>
  <c r="M11" i="43" s="1"/>
  <c r="V10" i="43"/>
  <c r="U10" i="43"/>
  <c r="T10" i="43"/>
  <c r="R10" i="43"/>
  <c r="L10" i="43"/>
  <c r="H10" i="43"/>
  <c r="Y10" i="43" s="1"/>
  <c r="F10" i="43"/>
  <c r="I10" i="43" s="1"/>
  <c r="M10" i="43" s="1"/>
  <c r="V9" i="43"/>
  <c r="U9" i="43"/>
  <c r="T9" i="43"/>
  <c r="R9" i="43"/>
  <c r="L9" i="43"/>
  <c r="G9" i="43"/>
  <c r="D9" i="43"/>
  <c r="F9" i="43" s="1"/>
  <c r="V8" i="43"/>
  <c r="U8" i="43"/>
  <c r="T8" i="43"/>
  <c r="R8" i="43"/>
  <c r="L8" i="43"/>
  <c r="H8" i="43"/>
  <c r="W8" i="43" s="1"/>
  <c r="F8" i="43"/>
  <c r="I8" i="43" s="1"/>
  <c r="M8" i="43" s="1"/>
  <c r="V7" i="43"/>
  <c r="U7" i="43"/>
  <c r="T7" i="43"/>
  <c r="R7" i="43"/>
  <c r="L7" i="43"/>
  <c r="G7" i="43"/>
  <c r="D7" i="43"/>
  <c r="F7" i="43" s="1"/>
  <c r="M56" i="42"/>
  <c r="E56" i="42"/>
  <c r="H56" i="42"/>
  <c r="I56" i="42"/>
  <c r="J56" i="42" s="1"/>
  <c r="I20" i="42"/>
  <c r="M55" i="42"/>
  <c r="I55" i="42"/>
  <c r="J55" i="42" s="1"/>
  <c r="H55" i="42"/>
  <c r="E55" i="42"/>
  <c r="M54" i="42"/>
  <c r="J54" i="42"/>
  <c r="I54" i="42"/>
  <c r="H54" i="42"/>
  <c r="E54" i="42"/>
  <c r="M53" i="42"/>
  <c r="I53" i="42"/>
  <c r="J53" i="42" s="1"/>
  <c r="H53" i="42"/>
  <c r="E53" i="42"/>
  <c r="M52" i="42"/>
  <c r="I52" i="42"/>
  <c r="J52" i="42" s="1"/>
  <c r="H52" i="42"/>
  <c r="M51" i="42"/>
  <c r="I51" i="42"/>
  <c r="J51" i="42" s="1"/>
  <c r="F51" i="42"/>
  <c r="D51" i="42"/>
  <c r="E51" i="42" s="1"/>
  <c r="M50" i="42"/>
  <c r="J50" i="42"/>
  <c r="I50" i="42"/>
  <c r="H50" i="42"/>
  <c r="E50" i="42"/>
  <c r="M49" i="42"/>
  <c r="I49" i="42"/>
  <c r="J49" i="42" s="1"/>
  <c r="H49" i="42"/>
  <c r="E49" i="42"/>
  <c r="M48" i="42"/>
  <c r="J48" i="42"/>
  <c r="I48" i="42"/>
  <c r="H48" i="42"/>
  <c r="E48" i="42"/>
  <c r="M47" i="42"/>
  <c r="I47" i="42"/>
  <c r="J47" i="42" s="1"/>
  <c r="H47" i="42"/>
  <c r="E47" i="42"/>
  <c r="M46" i="42"/>
  <c r="I46" i="42"/>
  <c r="J46" i="42" s="1"/>
  <c r="H46" i="42"/>
  <c r="E46" i="42"/>
  <c r="M45" i="42"/>
  <c r="I45" i="42"/>
  <c r="J45" i="42" s="1"/>
  <c r="H45" i="42"/>
  <c r="E45" i="42"/>
  <c r="D45" i="42"/>
  <c r="M44" i="42"/>
  <c r="I44" i="42"/>
  <c r="J44" i="42" s="1"/>
  <c r="H44" i="42"/>
  <c r="E44" i="42"/>
  <c r="M43" i="42"/>
  <c r="H43" i="42"/>
  <c r="F43" i="42"/>
  <c r="I43" i="42" s="1"/>
  <c r="J43" i="42" s="1"/>
  <c r="E43" i="42"/>
  <c r="D43" i="42"/>
  <c r="M42" i="42"/>
  <c r="H42" i="42"/>
  <c r="F42" i="42"/>
  <c r="I42" i="42" s="1"/>
  <c r="J42" i="42" s="1"/>
  <c r="D42" i="42"/>
  <c r="M41" i="42"/>
  <c r="I41" i="42"/>
  <c r="J41" i="42" s="1"/>
  <c r="H41" i="42"/>
  <c r="F41" i="42"/>
  <c r="E41" i="42"/>
  <c r="D41" i="42"/>
  <c r="M40" i="42"/>
  <c r="I40" i="42"/>
  <c r="J40" i="42" s="1"/>
  <c r="H40" i="42"/>
  <c r="E40" i="42"/>
  <c r="M39" i="42"/>
  <c r="I39" i="42"/>
  <c r="J39" i="42" s="1"/>
  <c r="H39" i="42"/>
  <c r="D39" i="42"/>
  <c r="E39" i="42" s="1"/>
  <c r="M38" i="42"/>
  <c r="I38" i="42"/>
  <c r="J38" i="42" s="1"/>
  <c r="H38" i="42"/>
  <c r="E38" i="42"/>
  <c r="M37" i="42"/>
  <c r="I37" i="42"/>
  <c r="J37" i="42" s="1"/>
  <c r="H37" i="42"/>
  <c r="E37" i="42"/>
  <c r="M36" i="42"/>
  <c r="J36" i="42"/>
  <c r="I36" i="42"/>
  <c r="H36" i="42"/>
  <c r="E36" i="42"/>
  <c r="M35" i="42"/>
  <c r="I35" i="42"/>
  <c r="J35" i="42" s="1"/>
  <c r="D35" i="42"/>
  <c r="E35" i="42" s="1"/>
  <c r="M34" i="42"/>
  <c r="I34" i="42"/>
  <c r="J34" i="42" s="1"/>
  <c r="F34" i="42"/>
  <c r="D34" i="42"/>
  <c r="E34" i="42" s="1"/>
  <c r="M33" i="42"/>
  <c r="H33" i="42"/>
  <c r="F33" i="42"/>
  <c r="I33" i="42" s="1"/>
  <c r="J33" i="42" s="1"/>
  <c r="E33" i="42"/>
  <c r="D33" i="42"/>
  <c r="M32" i="42"/>
  <c r="I32" i="42"/>
  <c r="J32" i="42" s="1"/>
  <c r="H32" i="42"/>
  <c r="E32" i="42"/>
  <c r="D32" i="42"/>
  <c r="M31" i="42"/>
  <c r="I31" i="42"/>
  <c r="J31" i="42" s="1"/>
  <c r="H31" i="42"/>
  <c r="E31" i="42"/>
  <c r="D31" i="42"/>
  <c r="M30" i="42"/>
  <c r="I30" i="42"/>
  <c r="J30" i="42" s="1"/>
  <c r="H30" i="42"/>
  <c r="E30" i="42"/>
  <c r="M29" i="42"/>
  <c r="J29" i="42"/>
  <c r="I29" i="42"/>
  <c r="H29" i="42"/>
  <c r="E29" i="42"/>
  <c r="M28" i="42"/>
  <c r="I28" i="42"/>
  <c r="J28" i="42" s="1"/>
  <c r="F28" i="42"/>
  <c r="D28" i="42"/>
  <c r="E28" i="42" s="1"/>
  <c r="M27" i="42"/>
  <c r="J27" i="42"/>
  <c r="I27" i="42"/>
  <c r="D27" i="42"/>
  <c r="H27" i="42" s="1"/>
  <c r="M26" i="42"/>
  <c r="J26" i="42"/>
  <c r="I26" i="42"/>
  <c r="H26" i="42"/>
  <c r="E26" i="42"/>
  <c r="M25" i="42"/>
  <c r="I25" i="42"/>
  <c r="H25" i="42"/>
  <c r="E25" i="42"/>
  <c r="L21" i="42"/>
  <c r="V16" i="42"/>
  <c r="U16" i="42"/>
  <c r="T16" i="42"/>
  <c r="R16" i="42"/>
  <c r="H16" i="42"/>
  <c r="Y16" i="42" s="1"/>
  <c r="F16" i="42"/>
  <c r="I16" i="42" s="1"/>
  <c r="M16" i="42" s="1"/>
  <c r="V14" i="42"/>
  <c r="U14" i="42"/>
  <c r="T14" i="42"/>
  <c r="R14" i="42"/>
  <c r="L14" i="42"/>
  <c r="H14" i="42"/>
  <c r="J14" i="42" s="1"/>
  <c r="F14" i="42"/>
  <c r="I14" i="42" s="1"/>
  <c r="M14" i="42" s="1"/>
  <c r="V13" i="42"/>
  <c r="U13" i="42"/>
  <c r="T13" i="42"/>
  <c r="R13" i="42"/>
  <c r="L13" i="42"/>
  <c r="H13" i="42"/>
  <c r="W13" i="42" s="1"/>
  <c r="F13" i="42"/>
  <c r="I13" i="42" s="1"/>
  <c r="M13" i="42" s="1"/>
  <c r="V15" i="42"/>
  <c r="U15" i="42"/>
  <c r="T15" i="42"/>
  <c r="R15" i="42"/>
  <c r="L15" i="42"/>
  <c r="H15" i="42"/>
  <c r="Y15" i="42" s="1"/>
  <c r="F15" i="42"/>
  <c r="I15" i="42" s="1"/>
  <c r="M15" i="42" s="1"/>
  <c r="Y12" i="42"/>
  <c r="W12" i="42"/>
  <c r="V12" i="42"/>
  <c r="U12" i="42"/>
  <c r="T12" i="42"/>
  <c r="R12" i="42"/>
  <c r="L12" i="42"/>
  <c r="J12" i="42"/>
  <c r="H12" i="42"/>
  <c r="F12" i="42"/>
  <c r="I12" i="42" s="1"/>
  <c r="M12" i="42" s="1"/>
  <c r="Y11" i="42"/>
  <c r="W11" i="42"/>
  <c r="V11" i="42"/>
  <c r="U11" i="42"/>
  <c r="T11" i="42"/>
  <c r="R11" i="42"/>
  <c r="L11" i="42"/>
  <c r="J11" i="42"/>
  <c r="H11" i="42"/>
  <c r="F11" i="42"/>
  <c r="Y10" i="42"/>
  <c r="V10" i="42"/>
  <c r="U10" i="42"/>
  <c r="T10" i="42"/>
  <c r="R10" i="42"/>
  <c r="L10" i="42"/>
  <c r="H10" i="42"/>
  <c r="W10" i="42" s="1"/>
  <c r="F10" i="42"/>
  <c r="I10" i="42" s="1"/>
  <c r="M10" i="42" s="1"/>
  <c r="V9" i="42"/>
  <c r="U9" i="42"/>
  <c r="T9" i="42"/>
  <c r="R9" i="42"/>
  <c r="L9" i="42"/>
  <c r="H9" i="42"/>
  <c r="J9" i="42" s="1"/>
  <c r="G9" i="42"/>
  <c r="F9" i="42"/>
  <c r="D9" i="42"/>
  <c r="Y8" i="42"/>
  <c r="W8" i="42"/>
  <c r="V8" i="42"/>
  <c r="U8" i="42"/>
  <c r="T8" i="42"/>
  <c r="R8" i="42"/>
  <c r="L8" i="42"/>
  <c r="J8" i="42"/>
  <c r="I8" i="42"/>
  <c r="M8" i="42" s="1"/>
  <c r="H8" i="42"/>
  <c r="F8" i="42"/>
  <c r="V7" i="42"/>
  <c r="U7" i="42"/>
  <c r="T7" i="42"/>
  <c r="R7" i="42"/>
  <c r="L7" i="42"/>
  <c r="G7" i="42"/>
  <c r="H7" i="42" s="1"/>
  <c r="F7" i="42"/>
  <c r="D7" i="42"/>
  <c r="I20" i="41"/>
  <c r="M55" i="41"/>
  <c r="J55" i="41"/>
  <c r="I55" i="41"/>
  <c r="H55" i="41"/>
  <c r="E55" i="41"/>
  <c r="M54" i="41"/>
  <c r="J54" i="41"/>
  <c r="I54" i="41"/>
  <c r="H54" i="41"/>
  <c r="E54" i="41"/>
  <c r="M53" i="41"/>
  <c r="J53" i="41"/>
  <c r="I53" i="41"/>
  <c r="H53" i="41"/>
  <c r="E53" i="41"/>
  <c r="M52" i="41"/>
  <c r="I52" i="41"/>
  <c r="J52" i="41" s="1"/>
  <c r="H52" i="41"/>
  <c r="M51" i="41"/>
  <c r="I51" i="41"/>
  <c r="J51" i="41" s="1"/>
  <c r="F51" i="41"/>
  <c r="E51" i="41" s="1"/>
  <c r="D51" i="41"/>
  <c r="H51" i="41" s="1"/>
  <c r="M50" i="41"/>
  <c r="J50" i="41"/>
  <c r="I50" i="41"/>
  <c r="H50" i="41"/>
  <c r="E50" i="41"/>
  <c r="M49" i="41"/>
  <c r="I49" i="41"/>
  <c r="J49" i="41" s="1"/>
  <c r="H49" i="41"/>
  <c r="E49" i="41"/>
  <c r="M48" i="41"/>
  <c r="J48" i="41"/>
  <c r="I48" i="41"/>
  <c r="H48" i="41"/>
  <c r="E48" i="41"/>
  <c r="M47" i="41"/>
  <c r="I47" i="41"/>
  <c r="J47" i="41" s="1"/>
  <c r="H47" i="41"/>
  <c r="E47" i="41"/>
  <c r="M46" i="41"/>
  <c r="J46" i="41"/>
  <c r="I46" i="41"/>
  <c r="H46" i="41"/>
  <c r="E46" i="41"/>
  <c r="M45" i="41"/>
  <c r="I45" i="41"/>
  <c r="J45" i="41" s="1"/>
  <c r="H45" i="41"/>
  <c r="E45" i="41"/>
  <c r="D45" i="41"/>
  <c r="M44" i="41"/>
  <c r="I44" i="41"/>
  <c r="J44" i="41" s="1"/>
  <c r="H44" i="41"/>
  <c r="E44" i="41"/>
  <c r="M43" i="41"/>
  <c r="H43" i="41"/>
  <c r="F43" i="41"/>
  <c r="I43" i="41" s="1"/>
  <c r="J43" i="41" s="1"/>
  <c r="E43" i="41"/>
  <c r="D43" i="41"/>
  <c r="M42" i="41"/>
  <c r="F42" i="41"/>
  <c r="I42" i="41" s="1"/>
  <c r="J42" i="41" s="1"/>
  <c r="D42" i="41"/>
  <c r="H42" i="41" s="1"/>
  <c r="M41" i="41"/>
  <c r="J41" i="41"/>
  <c r="I41" i="41"/>
  <c r="H41" i="41"/>
  <c r="F41" i="41"/>
  <c r="E41" i="41"/>
  <c r="D41" i="41"/>
  <c r="M40" i="41"/>
  <c r="I40" i="41"/>
  <c r="J40" i="41" s="1"/>
  <c r="H40" i="41"/>
  <c r="E40" i="41"/>
  <c r="M39" i="41"/>
  <c r="J39" i="41"/>
  <c r="I39" i="41"/>
  <c r="D39" i="41"/>
  <c r="H39" i="41" s="1"/>
  <c r="M38" i="41"/>
  <c r="J38" i="41"/>
  <c r="I38" i="41"/>
  <c r="H38" i="41"/>
  <c r="E38" i="41"/>
  <c r="M37" i="41"/>
  <c r="I37" i="41"/>
  <c r="J37" i="41" s="1"/>
  <c r="H37" i="41"/>
  <c r="E37" i="41"/>
  <c r="M36" i="41"/>
  <c r="J36" i="41"/>
  <c r="I36" i="41"/>
  <c r="H36" i="41"/>
  <c r="E36" i="41"/>
  <c r="M35" i="41"/>
  <c r="I35" i="41"/>
  <c r="J35" i="41" s="1"/>
  <c r="E35" i="41"/>
  <c r="D35" i="41"/>
  <c r="H35" i="41" s="1"/>
  <c r="M34" i="41"/>
  <c r="I34" i="41"/>
  <c r="J34" i="41" s="1"/>
  <c r="F34" i="41"/>
  <c r="E34" i="41" s="1"/>
  <c r="D34" i="41"/>
  <c r="H34" i="41" s="1"/>
  <c r="M33" i="41"/>
  <c r="H33" i="41"/>
  <c r="F33" i="41"/>
  <c r="I33" i="41" s="1"/>
  <c r="J33" i="41" s="1"/>
  <c r="E33" i="41"/>
  <c r="D33" i="41"/>
  <c r="M32" i="41"/>
  <c r="I32" i="41"/>
  <c r="J32" i="41" s="1"/>
  <c r="E32" i="41"/>
  <c r="D32" i="41"/>
  <c r="H32" i="41" s="1"/>
  <c r="M31" i="41"/>
  <c r="I31" i="41"/>
  <c r="J31" i="41" s="1"/>
  <c r="E31" i="41"/>
  <c r="D31" i="41"/>
  <c r="H31" i="41" s="1"/>
  <c r="M30" i="41"/>
  <c r="I30" i="41"/>
  <c r="J30" i="41" s="1"/>
  <c r="H30" i="41"/>
  <c r="E30" i="41"/>
  <c r="M29" i="41"/>
  <c r="J29" i="41"/>
  <c r="I29" i="41"/>
  <c r="H29" i="41"/>
  <c r="E29" i="41"/>
  <c r="M28" i="41"/>
  <c r="I28" i="41"/>
  <c r="J28" i="41" s="1"/>
  <c r="F28" i="41"/>
  <c r="E28" i="41" s="1"/>
  <c r="D28" i="41"/>
  <c r="H28" i="41" s="1"/>
  <c r="M27" i="41"/>
  <c r="J27" i="41"/>
  <c r="I27" i="41"/>
  <c r="D27" i="41"/>
  <c r="H27" i="41" s="1"/>
  <c r="M26" i="41"/>
  <c r="J26" i="41"/>
  <c r="I26" i="41"/>
  <c r="H26" i="41"/>
  <c r="E26" i="41"/>
  <c r="M25" i="41"/>
  <c r="I25" i="41"/>
  <c r="H25" i="41"/>
  <c r="E25" i="41"/>
  <c r="L21" i="41"/>
  <c r="Y16" i="41"/>
  <c r="V16" i="41"/>
  <c r="U16" i="41"/>
  <c r="T16" i="41"/>
  <c r="R16" i="41"/>
  <c r="H16" i="41"/>
  <c r="W16" i="41" s="1"/>
  <c r="F16" i="41"/>
  <c r="I16" i="41" s="1"/>
  <c r="M16" i="41" s="1"/>
  <c r="V15" i="41"/>
  <c r="U15" i="41"/>
  <c r="T15" i="41"/>
  <c r="R15" i="41"/>
  <c r="L15" i="41"/>
  <c r="H15" i="41"/>
  <c r="J15" i="41" s="1"/>
  <c r="F15" i="41"/>
  <c r="I15" i="41" s="1"/>
  <c r="M15" i="41" s="1"/>
  <c r="V14" i="41"/>
  <c r="U14" i="41"/>
  <c r="T14" i="41"/>
  <c r="R14" i="41"/>
  <c r="L14" i="41"/>
  <c r="H14" i="41"/>
  <c r="W14" i="41" s="1"/>
  <c r="F14" i="41"/>
  <c r="I14" i="41" s="1"/>
  <c r="M14" i="41" s="1"/>
  <c r="V13" i="41"/>
  <c r="U13" i="41"/>
  <c r="T13" i="41"/>
  <c r="R13" i="41"/>
  <c r="L13" i="41"/>
  <c r="H13" i="41"/>
  <c r="Y13" i="41" s="1"/>
  <c r="F13" i="41"/>
  <c r="I13" i="41" s="1"/>
  <c r="M13" i="41" s="1"/>
  <c r="W12" i="41"/>
  <c r="V12" i="41"/>
  <c r="U12" i="41"/>
  <c r="T12" i="41"/>
  <c r="R12" i="41"/>
  <c r="L12" i="41"/>
  <c r="J12" i="41"/>
  <c r="H12" i="41"/>
  <c r="Y12" i="41" s="1"/>
  <c r="F12" i="41"/>
  <c r="I12" i="41" s="1"/>
  <c r="M12" i="41" s="1"/>
  <c r="Y11" i="41"/>
  <c r="W11" i="41"/>
  <c r="V11" i="41"/>
  <c r="U11" i="41"/>
  <c r="T11" i="41"/>
  <c r="R11" i="41"/>
  <c r="L11" i="41"/>
  <c r="J11" i="41"/>
  <c r="H11" i="41"/>
  <c r="F11" i="41"/>
  <c r="Y10" i="41"/>
  <c r="W10" i="41"/>
  <c r="V10" i="41"/>
  <c r="U10" i="41"/>
  <c r="T10" i="41"/>
  <c r="R10" i="41"/>
  <c r="L10" i="41"/>
  <c r="H10" i="41"/>
  <c r="J10" i="41" s="1"/>
  <c r="F10" i="41"/>
  <c r="I10" i="41" s="1"/>
  <c r="M10" i="41" s="1"/>
  <c r="Y9" i="41"/>
  <c r="V9" i="41"/>
  <c r="U9" i="41"/>
  <c r="T9" i="41"/>
  <c r="R9" i="41"/>
  <c r="L9" i="41"/>
  <c r="H9" i="41"/>
  <c r="J9" i="41" s="1"/>
  <c r="G9" i="41"/>
  <c r="F9" i="41"/>
  <c r="I9" i="41" s="1"/>
  <c r="M9" i="41" s="1"/>
  <c r="D9" i="41"/>
  <c r="W8" i="41"/>
  <c r="V8" i="41"/>
  <c r="U8" i="41"/>
  <c r="T8" i="41"/>
  <c r="R8" i="41"/>
  <c r="L8" i="41"/>
  <c r="J8" i="41"/>
  <c r="H8" i="41"/>
  <c r="Y8" i="41" s="1"/>
  <c r="F8" i="41"/>
  <c r="I8" i="41" s="1"/>
  <c r="M8" i="41" s="1"/>
  <c r="V7" i="41"/>
  <c r="U7" i="41"/>
  <c r="T7" i="41"/>
  <c r="R7" i="41"/>
  <c r="L7" i="41"/>
  <c r="G7" i="41"/>
  <c r="G17" i="41" s="1"/>
  <c r="F7" i="41"/>
  <c r="D7" i="41"/>
  <c r="H7" i="41" s="1"/>
  <c r="I20" i="40"/>
  <c r="M55" i="40"/>
  <c r="I55" i="40"/>
  <c r="J55" i="40" s="1"/>
  <c r="H55" i="40"/>
  <c r="E55" i="40"/>
  <c r="M54" i="40"/>
  <c r="J54" i="40"/>
  <c r="I54" i="40"/>
  <c r="H54" i="40"/>
  <c r="E54" i="40"/>
  <c r="M53" i="40"/>
  <c r="I53" i="40"/>
  <c r="J53" i="40" s="1"/>
  <c r="H53" i="40"/>
  <c r="E53" i="40"/>
  <c r="M52" i="40"/>
  <c r="J52" i="40"/>
  <c r="I52" i="40"/>
  <c r="H52" i="40"/>
  <c r="M51" i="40"/>
  <c r="H51" i="40"/>
  <c r="F51" i="40"/>
  <c r="I51" i="40" s="1"/>
  <c r="J51" i="40" s="1"/>
  <c r="E51" i="40"/>
  <c r="D51" i="40"/>
  <c r="M50" i="40"/>
  <c r="I50" i="40"/>
  <c r="J50" i="40" s="1"/>
  <c r="H50" i="40"/>
  <c r="E50" i="40"/>
  <c r="M49" i="40"/>
  <c r="I49" i="40"/>
  <c r="J49" i="40" s="1"/>
  <c r="H49" i="40"/>
  <c r="E49" i="40"/>
  <c r="M48" i="40"/>
  <c r="J48" i="40"/>
  <c r="I48" i="40"/>
  <c r="H48" i="40"/>
  <c r="E48" i="40"/>
  <c r="M47" i="40"/>
  <c r="J47" i="40"/>
  <c r="I47" i="40"/>
  <c r="H47" i="40"/>
  <c r="E47" i="40"/>
  <c r="M46" i="40"/>
  <c r="I46" i="40"/>
  <c r="J46" i="40" s="1"/>
  <c r="H46" i="40"/>
  <c r="E46" i="40"/>
  <c r="M45" i="40"/>
  <c r="J45" i="40"/>
  <c r="I45" i="40"/>
  <c r="H45" i="40"/>
  <c r="E45" i="40"/>
  <c r="D45" i="40"/>
  <c r="M44" i="40"/>
  <c r="J44" i="40"/>
  <c r="I44" i="40"/>
  <c r="H44" i="40"/>
  <c r="E44" i="40"/>
  <c r="M43" i="40"/>
  <c r="I43" i="40"/>
  <c r="J43" i="40" s="1"/>
  <c r="H43" i="40"/>
  <c r="F43" i="40"/>
  <c r="E43" i="40" s="1"/>
  <c r="D43" i="40"/>
  <c r="M42" i="40"/>
  <c r="J42" i="40"/>
  <c r="I42" i="40"/>
  <c r="H42" i="40"/>
  <c r="F42" i="40"/>
  <c r="E42" i="40" s="1"/>
  <c r="D42" i="40"/>
  <c r="M41" i="40"/>
  <c r="I41" i="40"/>
  <c r="J41" i="40" s="1"/>
  <c r="F41" i="40"/>
  <c r="D41" i="40"/>
  <c r="H41" i="40" s="1"/>
  <c r="M40" i="40"/>
  <c r="J40" i="40"/>
  <c r="I40" i="40"/>
  <c r="H40" i="40"/>
  <c r="E40" i="40"/>
  <c r="M39" i="40"/>
  <c r="I39" i="40"/>
  <c r="J39" i="40" s="1"/>
  <c r="D39" i="40"/>
  <c r="H39" i="40" s="1"/>
  <c r="M38" i="40"/>
  <c r="I38" i="40"/>
  <c r="J38" i="40" s="1"/>
  <c r="H38" i="40"/>
  <c r="E38" i="40"/>
  <c r="M37" i="40"/>
  <c r="J37" i="40"/>
  <c r="I37" i="40"/>
  <c r="H37" i="40"/>
  <c r="E37" i="40"/>
  <c r="M36" i="40"/>
  <c r="I36" i="40"/>
  <c r="J36" i="40" s="1"/>
  <c r="H36" i="40"/>
  <c r="E36" i="40"/>
  <c r="M35" i="40"/>
  <c r="I35" i="40"/>
  <c r="J35" i="40" s="1"/>
  <c r="H35" i="40"/>
  <c r="D35" i="40"/>
  <c r="E35" i="40" s="1"/>
  <c r="M34" i="40"/>
  <c r="I34" i="40"/>
  <c r="J34" i="40" s="1"/>
  <c r="H34" i="40"/>
  <c r="F34" i="40"/>
  <c r="E34" i="40"/>
  <c r="D34" i="40"/>
  <c r="M33" i="40"/>
  <c r="I33" i="40"/>
  <c r="J33" i="40" s="1"/>
  <c r="H33" i="40"/>
  <c r="F33" i="40"/>
  <c r="E33" i="40" s="1"/>
  <c r="D33" i="40"/>
  <c r="M32" i="40"/>
  <c r="J32" i="40"/>
  <c r="I32" i="40"/>
  <c r="H32" i="40"/>
  <c r="E32" i="40"/>
  <c r="D32" i="40"/>
  <c r="M31" i="40"/>
  <c r="J31" i="40"/>
  <c r="I31" i="40"/>
  <c r="H31" i="40"/>
  <c r="E31" i="40"/>
  <c r="D31" i="40"/>
  <c r="M30" i="40"/>
  <c r="J30" i="40"/>
  <c r="I30" i="40"/>
  <c r="H30" i="40"/>
  <c r="E30" i="40"/>
  <c r="M29" i="40"/>
  <c r="I29" i="40"/>
  <c r="J29" i="40" s="1"/>
  <c r="H29" i="40"/>
  <c r="E29" i="40"/>
  <c r="M28" i="40"/>
  <c r="I28" i="40"/>
  <c r="J28" i="40" s="1"/>
  <c r="H28" i="40"/>
  <c r="F28" i="40"/>
  <c r="E28" i="40"/>
  <c r="D28" i="40"/>
  <c r="M27" i="40"/>
  <c r="I27" i="40"/>
  <c r="J27" i="40" s="1"/>
  <c r="H27" i="40"/>
  <c r="E27" i="40"/>
  <c r="D27" i="40"/>
  <c r="M26" i="40"/>
  <c r="I26" i="40"/>
  <c r="J26" i="40" s="1"/>
  <c r="H26" i="40"/>
  <c r="E26" i="40"/>
  <c r="M25" i="40"/>
  <c r="I25" i="40"/>
  <c r="I61" i="40" s="1"/>
  <c r="H25" i="40"/>
  <c r="E25" i="40"/>
  <c r="L21" i="40"/>
  <c r="W16" i="40"/>
  <c r="V16" i="40"/>
  <c r="U16" i="40"/>
  <c r="T16" i="40"/>
  <c r="R16" i="40"/>
  <c r="J16" i="40"/>
  <c r="H16" i="40"/>
  <c r="Y16" i="40" s="1"/>
  <c r="F16" i="40"/>
  <c r="I16" i="40" s="1"/>
  <c r="M16" i="40" s="1"/>
  <c r="W15" i="40"/>
  <c r="V15" i="40"/>
  <c r="U15" i="40"/>
  <c r="T15" i="40"/>
  <c r="R15" i="40"/>
  <c r="L15" i="40"/>
  <c r="H15" i="40"/>
  <c r="J15" i="40" s="1"/>
  <c r="F15" i="40"/>
  <c r="I15" i="40" s="1"/>
  <c r="M15" i="40" s="1"/>
  <c r="Y14" i="40"/>
  <c r="V14" i="40"/>
  <c r="U14" i="40"/>
  <c r="T14" i="40"/>
  <c r="R14" i="40"/>
  <c r="L14" i="40"/>
  <c r="H14" i="40"/>
  <c r="W14" i="40" s="1"/>
  <c r="F14" i="40"/>
  <c r="I14" i="40" s="1"/>
  <c r="M14" i="40" s="1"/>
  <c r="V13" i="40"/>
  <c r="U13" i="40"/>
  <c r="T13" i="40"/>
  <c r="R13" i="40"/>
  <c r="L13" i="40"/>
  <c r="J13" i="40"/>
  <c r="H13" i="40"/>
  <c r="Y13" i="40" s="1"/>
  <c r="F13" i="40"/>
  <c r="V12" i="40"/>
  <c r="U12" i="40"/>
  <c r="T12" i="40"/>
  <c r="R12" i="40"/>
  <c r="L12" i="40"/>
  <c r="H12" i="40"/>
  <c r="Y12" i="40" s="1"/>
  <c r="F12" i="40"/>
  <c r="Y11" i="40"/>
  <c r="W11" i="40"/>
  <c r="V11" i="40"/>
  <c r="U11" i="40"/>
  <c r="T11" i="40"/>
  <c r="R11" i="40"/>
  <c r="L11" i="40"/>
  <c r="H11" i="40"/>
  <c r="J11" i="40" s="1"/>
  <c r="F11" i="40"/>
  <c r="I11" i="40" s="1"/>
  <c r="M11" i="40" s="1"/>
  <c r="Y10" i="40"/>
  <c r="V10" i="40"/>
  <c r="U10" i="40"/>
  <c r="T10" i="40"/>
  <c r="R10" i="40"/>
  <c r="L10" i="40"/>
  <c r="J10" i="40"/>
  <c r="H10" i="40"/>
  <c r="W10" i="40" s="1"/>
  <c r="F10" i="40"/>
  <c r="I10" i="40" s="1"/>
  <c r="M10" i="40" s="1"/>
  <c r="V9" i="40"/>
  <c r="U9" i="40"/>
  <c r="T9" i="40"/>
  <c r="R9" i="40"/>
  <c r="L9" i="40"/>
  <c r="G9" i="40"/>
  <c r="D9" i="40"/>
  <c r="H9" i="40" s="1"/>
  <c r="V8" i="40"/>
  <c r="U8" i="40"/>
  <c r="T8" i="40"/>
  <c r="R8" i="40"/>
  <c r="L8" i="40"/>
  <c r="H8" i="40"/>
  <c r="Y8" i="40" s="1"/>
  <c r="F8" i="40"/>
  <c r="V7" i="40"/>
  <c r="U7" i="40"/>
  <c r="T7" i="40"/>
  <c r="R7" i="40"/>
  <c r="L7" i="40"/>
  <c r="I7" i="40"/>
  <c r="G7" i="40"/>
  <c r="H7" i="40" s="1"/>
  <c r="F7" i="40"/>
  <c r="D7" i="40"/>
  <c r="I20" i="39"/>
  <c r="M55" i="39"/>
  <c r="J55" i="39"/>
  <c r="I55" i="39"/>
  <c r="H55" i="39"/>
  <c r="E55" i="39"/>
  <c r="M54" i="39"/>
  <c r="J54" i="39"/>
  <c r="I54" i="39"/>
  <c r="H54" i="39"/>
  <c r="E54" i="39"/>
  <c r="M53" i="39"/>
  <c r="I53" i="39"/>
  <c r="J53" i="39" s="1"/>
  <c r="H53" i="39"/>
  <c r="E53" i="39"/>
  <c r="M52" i="39"/>
  <c r="J52" i="39"/>
  <c r="I52" i="39"/>
  <c r="H52" i="39"/>
  <c r="M51" i="39"/>
  <c r="I51" i="39"/>
  <c r="J51" i="39" s="1"/>
  <c r="H51" i="39"/>
  <c r="F51" i="39"/>
  <c r="E51" i="39"/>
  <c r="D51" i="39"/>
  <c r="M50" i="39"/>
  <c r="I50" i="39"/>
  <c r="J50" i="39" s="1"/>
  <c r="H50" i="39"/>
  <c r="E50" i="39"/>
  <c r="M49" i="39"/>
  <c r="I49" i="39"/>
  <c r="J49" i="39" s="1"/>
  <c r="H49" i="39"/>
  <c r="E49" i="39"/>
  <c r="M48" i="39"/>
  <c r="J48" i="39"/>
  <c r="I48" i="39"/>
  <c r="H48" i="39"/>
  <c r="E48" i="39"/>
  <c r="M47" i="39"/>
  <c r="J47" i="39"/>
  <c r="I47" i="39"/>
  <c r="H47" i="39"/>
  <c r="E47" i="39"/>
  <c r="M46" i="39"/>
  <c r="I46" i="39"/>
  <c r="J46" i="39" s="1"/>
  <c r="H46" i="39"/>
  <c r="E46" i="39"/>
  <c r="M45" i="39"/>
  <c r="J45" i="39"/>
  <c r="I45" i="39"/>
  <c r="H45" i="39"/>
  <c r="E45" i="39"/>
  <c r="D45" i="39"/>
  <c r="M44" i="39"/>
  <c r="J44" i="39"/>
  <c r="I44" i="39"/>
  <c r="H44" i="39"/>
  <c r="E44" i="39"/>
  <c r="M43" i="39"/>
  <c r="I43" i="39"/>
  <c r="J43" i="39" s="1"/>
  <c r="H43" i="39"/>
  <c r="F43" i="39"/>
  <c r="E43" i="39" s="1"/>
  <c r="D43" i="39"/>
  <c r="M42" i="39"/>
  <c r="F42" i="39"/>
  <c r="I42" i="39" s="1"/>
  <c r="J42" i="39" s="1"/>
  <c r="D42" i="39"/>
  <c r="H42" i="39" s="1"/>
  <c r="M41" i="39"/>
  <c r="I41" i="39"/>
  <c r="J41" i="39" s="1"/>
  <c r="F41" i="39"/>
  <c r="D41" i="39"/>
  <c r="H41" i="39" s="1"/>
  <c r="M40" i="39"/>
  <c r="J40" i="39"/>
  <c r="I40" i="39"/>
  <c r="H40" i="39"/>
  <c r="E40" i="39"/>
  <c r="M39" i="39"/>
  <c r="I39" i="39"/>
  <c r="J39" i="39" s="1"/>
  <c r="D39" i="39"/>
  <c r="H39" i="39" s="1"/>
  <c r="M38" i="39"/>
  <c r="I38" i="39"/>
  <c r="J38" i="39" s="1"/>
  <c r="H38" i="39"/>
  <c r="E38" i="39"/>
  <c r="M37" i="39"/>
  <c r="J37" i="39"/>
  <c r="I37" i="39"/>
  <c r="H37" i="39"/>
  <c r="E37" i="39"/>
  <c r="M36" i="39"/>
  <c r="I36" i="39"/>
  <c r="J36" i="39" s="1"/>
  <c r="H36" i="39"/>
  <c r="E36" i="39"/>
  <c r="M35" i="39"/>
  <c r="I35" i="39"/>
  <c r="J35" i="39" s="1"/>
  <c r="H35" i="39"/>
  <c r="D35" i="39"/>
  <c r="E35" i="39" s="1"/>
  <c r="M34" i="39"/>
  <c r="I34" i="39"/>
  <c r="J34" i="39" s="1"/>
  <c r="H34" i="39"/>
  <c r="F34" i="39"/>
  <c r="D34" i="39"/>
  <c r="E34" i="39" s="1"/>
  <c r="M33" i="39"/>
  <c r="I33" i="39"/>
  <c r="J33" i="39" s="1"/>
  <c r="F33" i="39"/>
  <c r="E33" i="39" s="1"/>
  <c r="D33" i="39"/>
  <c r="H33" i="39" s="1"/>
  <c r="M32" i="39"/>
  <c r="J32" i="39"/>
  <c r="I32" i="39"/>
  <c r="D32" i="39"/>
  <c r="H32" i="39" s="1"/>
  <c r="M31" i="39"/>
  <c r="J31" i="39"/>
  <c r="I31" i="39"/>
  <c r="D31" i="39"/>
  <c r="H31" i="39" s="1"/>
  <c r="M30" i="39"/>
  <c r="J30" i="39"/>
  <c r="I30" i="39"/>
  <c r="H30" i="39"/>
  <c r="E30" i="39"/>
  <c r="M29" i="39"/>
  <c r="I29" i="39"/>
  <c r="J29" i="39" s="1"/>
  <c r="H29" i="39"/>
  <c r="E29" i="39"/>
  <c r="M28" i="39"/>
  <c r="I28" i="39"/>
  <c r="J28" i="39" s="1"/>
  <c r="H28" i="39"/>
  <c r="F28" i="39"/>
  <c r="E28" i="39" s="1"/>
  <c r="D28" i="39"/>
  <c r="M27" i="39"/>
  <c r="I27" i="39"/>
  <c r="J27" i="39" s="1"/>
  <c r="D27" i="39"/>
  <c r="H27" i="39" s="1"/>
  <c r="M26" i="39"/>
  <c r="I26" i="39"/>
  <c r="J26" i="39" s="1"/>
  <c r="H26" i="39"/>
  <c r="E26" i="39"/>
  <c r="M25" i="39"/>
  <c r="I25" i="39"/>
  <c r="I61" i="39" s="1"/>
  <c r="H25" i="39"/>
  <c r="E25" i="39"/>
  <c r="L21" i="39"/>
  <c r="Y16" i="39"/>
  <c r="W16" i="39"/>
  <c r="V16" i="39"/>
  <c r="U16" i="39"/>
  <c r="T16" i="39"/>
  <c r="R16" i="39"/>
  <c r="J16" i="39"/>
  <c r="H16" i="39"/>
  <c r="F16" i="39"/>
  <c r="I16" i="39" s="1"/>
  <c r="M16" i="39" s="1"/>
  <c r="Y15" i="39"/>
  <c r="W15" i="39"/>
  <c r="V15" i="39"/>
  <c r="U15" i="39"/>
  <c r="T15" i="39"/>
  <c r="R15" i="39"/>
  <c r="L15" i="39"/>
  <c r="H15" i="39"/>
  <c r="J15" i="39" s="1"/>
  <c r="F15" i="39"/>
  <c r="I15" i="39" s="1"/>
  <c r="M15" i="39" s="1"/>
  <c r="Y14" i="39"/>
  <c r="V14" i="39"/>
  <c r="U14" i="39"/>
  <c r="T14" i="39"/>
  <c r="R14" i="39"/>
  <c r="L14" i="39"/>
  <c r="H14" i="39"/>
  <c r="W14" i="39" s="1"/>
  <c r="F14" i="39"/>
  <c r="V13" i="39"/>
  <c r="U13" i="39"/>
  <c r="T13" i="39"/>
  <c r="R13" i="39"/>
  <c r="L13" i="39"/>
  <c r="H13" i="39"/>
  <c r="Y13" i="39" s="1"/>
  <c r="F13" i="39"/>
  <c r="V12" i="39"/>
  <c r="U12" i="39"/>
  <c r="T12" i="39"/>
  <c r="R12" i="39"/>
  <c r="L12" i="39"/>
  <c r="H12" i="39"/>
  <c r="Y12" i="39" s="1"/>
  <c r="F12" i="39"/>
  <c r="I12" i="39" s="1"/>
  <c r="M12" i="39" s="1"/>
  <c r="W11" i="39"/>
  <c r="V11" i="39"/>
  <c r="U11" i="39"/>
  <c r="T11" i="39"/>
  <c r="R11" i="39"/>
  <c r="L11" i="39"/>
  <c r="J11" i="39"/>
  <c r="H11" i="39"/>
  <c r="Y11" i="39" s="1"/>
  <c r="F11" i="39"/>
  <c r="I11" i="39" s="1"/>
  <c r="M11" i="39" s="1"/>
  <c r="Y10" i="39"/>
  <c r="W10" i="39"/>
  <c r="V10" i="39"/>
  <c r="U10" i="39"/>
  <c r="T10" i="39"/>
  <c r="R10" i="39"/>
  <c r="L10" i="39"/>
  <c r="J10" i="39"/>
  <c r="H10" i="39"/>
  <c r="F10" i="39"/>
  <c r="I10" i="39" s="1"/>
  <c r="M10" i="39" s="1"/>
  <c r="V9" i="39"/>
  <c r="U9" i="39"/>
  <c r="T9" i="39"/>
  <c r="R9" i="39"/>
  <c r="L9" i="39"/>
  <c r="G9" i="39"/>
  <c r="H9" i="39" s="1"/>
  <c r="D9" i="39"/>
  <c r="F9" i="39" s="1"/>
  <c r="V8" i="39"/>
  <c r="U8" i="39"/>
  <c r="T8" i="39"/>
  <c r="R8" i="39"/>
  <c r="L8" i="39"/>
  <c r="H8" i="39"/>
  <c r="Y8" i="39" s="1"/>
  <c r="F8" i="39"/>
  <c r="I8" i="39" s="1"/>
  <c r="M8" i="39" s="1"/>
  <c r="V7" i="39"/>
  <c r="U7" i="39"/>
  <c r="T7" i="39"/>
  <c r="R7" i="39"/>
  <c r="L7" i="39"/>
  <c r="G7" i="39"/>
  <c r="H7" i="39" s="1"/>
  <c r="D7" i="39"/>
  <c r="F7" i="39" s="1"/>
  <c r="I20" i="38"/>
  <c r="M55" i="38"/>
  <c r="I55" i="38"/>
  <c r="J55" i="38" s="1"/>
  <c r="H55" i="38"/>
  <c r="E55" i="38"/>
  <c r="M54" i="38"/>
  <c r="I54" i="38"/>
  <c r="J54" i="38" s="1"/>
  <c r="H54" i="38"/>
  <c r="E54" i="38"/>
  <c r="M53" i="38"/>
  <c r="J53" i="38"/>
  <c r="I53" i="38"/>
  <c r="H53" i="38"/>
  <c r="E53" i="38"/>
  <c r="M52" i="38"/>
  <c r="I52" i="38"/>
  <c r="J52" i="38" s="1"/>
  <c r="H52" i="38"/>
  <c r="M51" i="38"/>
  <c r="F51" i="38"/>
  <c r="E51" i="38" s="1"/>
  <c r="D51" i="38"/>
  <c r="H51" i="38" s="1"/>
  <c r="M50" i="38"/>
  <c r="I50" i="38"/>
  <c r="J50" i="38" s="1"/>
  <c r="H50" i="38"/>
  <c r="E50" i="38"/>
  <c r="M49" i="38"/>
  <c r="J49" i="38"/>
  <c r="I49" i="38"/>
  <c r="H49" i="38"/>
  <c r="E49" i="38"/>
  <c r="M48" i="38"/>
  <c r="I48" i="38"/>
  <c r="J48" i="38" s="1"/>
  <c r="H48" i="38"/>
  <c r="E48" i="38"/>
  <c r="M47" i="38"/>
  <c r="J47" i="38"/>
  <c r="I47" i="38"/>
  <c r="H47" i="38"/>
  <c r="E47" i="38"/>
  <c r="M46" i="38"/>
  <c r="J46" i="38"/>
  <c r="I46" i="38"/>
  <c r="H46" i="38"/>
  <c r="E46" i="38"/>
  <c r="M45" i="38"/>
  <c r="I45" i="38"/>
  <c r="J45" i="38" s="1"/>
  <c r="H45" i="38"/>
  <c r="D45" i="38"/>
  <c r="E45" i="38" s="1"/>
  <c r="M44" i="38"/>
  <c r="I44" i="38"/>
  <c r="J44" i="38" s="1"/>
  <c r="H44" i="38"/>
  <c r="E44" i="38"/>
  <c r="M43" i="38"/>
  <c r="H43" i="38"/>
  <c r="F43" i="38"/>
  <c r="E43" i="38" s="1"/>
  <c r="D43" i="38"/>
  <c r="M42" i="38"/>
  <c r="I42" i="38"/>
  <c r="J42" i="38" s="1"/>
  <c r="H42" i="38"/>
  <c r="F42" i="38"/>
  <c r="E42" i="38"/>
  <c r="D42" i="38"/>
  <c r="M41" i="38"/>
  <c r="J41" i="38"/>
  <c r="I41" i="38"/>
  <c r="H41" i="38"/>
  <c r="F41" i="38"/>
  <c r="E41" i="38" s="1"/>
  <c r="D41" i="38"/>
  <c r="M40" i="38"/>
  <c r="J40" i="38"/>
  <c r="I40" i="38"/>
  <c r="H40" i="38"/>
  <c r="E40" i="38"/>
  <c r="M39" i="38"/>
  <c r="J39" i="38"/>
  <c r="I39" i="38"/>
  <c r="E39" i="38"/>
  <c r="D39" i="38"/>
  <c r="H39" i="38" s="1"/>
  <c r="M38" i="38"/>
  <c r="J38" i="38"/>
  <c r="I38" i="38"/>
  <c r="H38" i="38"/>
  <c r="E38" i="38"/>
  <c r="M37" i="38"/>
  <c r="I37" i="38"/>
  <c r="J37" i="38" s="1"/>
  <c r="H37" i="38"/>
  <c r="E37" i="38"/>
  <c r="M36" i="38"/>
  <c r="J36" i="38"/>
  <c r="I36" i="38"/>
  <c r="H36" i="38"/>
  <c r="E36" i="38"/>
  <c r="M35" i="38"/>
  <c r="J35" i="38"/>
  <c r="I35" i="38"/>
  <c r="E35" i="38"/>
  <c r="D35" i="38"/>
  <c r="H35" i="38" s="1"/>
  <c r="M34" i="38"/>
  <c r="F34" i="38"/>
  <c r="E34" i="38" s="1"/>
  <c r="D34" i="38"/>
  <c r="H34" i="38" s="1"/>
  <c r="M33" i="38"/>
  <c r="H33" i="38"/>
  <c r="F33" i="38"/>
  <c r="E33" i="38" s="1"/>
  <c r="D33" i="38"/>
  <c r="M32" i="38"/>
  <c r="I32" i="38"/>
  <c r="J32" i="38" s="1"/>
  <c r="D32" i="38"/>
  <c r="H32" i="38" s="1"/>
  <c r="M31" i="38"/>
  <c r="I31" i="38"/>
  <c r="J31" i="38" s="1"/>
  <c r="D31" i="38"/>
  <c r="H31" i="38" s="1"/>
  <c r="M30" i="38"/>
  <c r="I30" i="38"/>
  <c r="J30" i="38" s="1"/>
  <c r="H30" i="38"/>
  <c r="E30" i="38"/>
  <c r="M29" i="38"/>
  <c r="J29" i="38"/>
  <c r="I29" i="38"/>
  <c r="H29" i="38"/>
  <c r="E29" i="38"/>
  <c r="M28" i="38"/>
  <c r="F28" i="38"/>
  <c r="E28" i="38" s="1"/>
  <c r="D28" i="38"/>
  <c r="H28" i="38" s="1"/>
  <c r="M27" i="38"/>
  <c r="J27" i="38"/>
  <c r="I27" i="38"/>
  <c r="H27" i="38"/>
  <c r="E27" i="38"/>
  <c r="D27" i="38"/>
  <c r="M26" i="38"/>
  <c r="J26" i="38"/>
  <c r="I26" i="38"/>
  <c r="H26" i="38"/>
  <c r="E26" i="38"/>
  <c r="M25" i="38"/>
  <c r="J25" i="38"/>
  <c r="I25" i="38"/>
  <c r="H25" i="38"/>
  <c r="E25" i="38"/>
  <c r="L21" i="38"/>
  <c r="V16" i="38"/>
  <c r="U16" i="38"/>
  <c r="T16" i="38"/>
  <c r="R16" i="38"/>
  <c r="H16" i="38"/>
  <c r="Y16" i="38" s="1"/>
  <c r="F16" i="38"/>
  <c r="I16" i="38" s="1"/>
  <c r="M16" i="38" s="1"/>
  <c r="V15" i="38"/>
  <c r="U15" i="38"/>
  <c r="T15" i="38"/>
  <c r="R15" i="38"/>
  <c r="L15" i="38"/>
  <c r="J15" i="38"/>
  <c r="H15" i="38"/>
  <c r="Y15" i="38" s="1"/>
  <c r="F15" i="38"/>
  <c r="I15" i="38" s="1"/>
  <c r="M15" i="38" s="1"/>
  <c r="W14" i="38"/>
  <c r="V14" i="38"/>
  <c r="U14" i="38"/>
  <c r="T14" i="38"/>
  <c r="R14" i="38"/>
  <c r="L14" i="38"/>
  <c r="H14" i="38"/>
  <c r="J14" i="38" s="1"/>
  <c r="F14" i="38"/>
  <c r="I14" i="38" s="1"/>
  <c r="M14" i="38" s="1"/>
  <c r="Y13" i="38"/>
  <c r="V13" i="38"/>
  <c r="U13" i="38"/>
  <c r="T13" i="38"/>
  <c r="R13" i="38"/>
  <c r="L13" i="38"/>
  <c r="J13" i="38"/>
  <c r="I13" i="38"/>
  <c r="M13" i="38" s="1"/>
  <c r="H13" i="38"/>
  <c r="W13" i="38" s="1"/>
  <c r="F13" i="38"/>
  <c r="Y12" i="38"/>
  <c r="W12" i="38"/>
  <c r="V12" i="38"/>
  <c r="U12" i="38"/>
  <c r="T12" i="38"/>
  <c r="R12" i="38"/>
  <c r="L12" i="38"/>
  <c r="J12" i="38"/>
  <c r="H12" i="38"/>
  <c r="F12" i="38"/>
  <c r="I12" i="38" s="1"/>
  <c r="M12" i="38" s="1"/>
  <c r="V11" i="38"/>
  <c r="U11" i="38"/>
  <c r="T11" i="38"/>
  <c r="R11" i="38"/>
  <c r="L11" i="38"/>
  <c r="H11" i="38"/>
  <c r="Y11" i="38" s="1"/>
  <c r="F11" i="38"/>
  <c r="Y10" i="38"/>
  <c r="V10" i="38"/>
  <c r="U10" i="38"/>
  <c r="T10" i="38"/>
  <c r="R10" i="38"/>
  <c r="L10" i="38"/>
  <c r="H10" i="38"/>
  <c r="W10" i="38" s="1"/>
  <c r="F10" i="38"/>
  <c r="I10" i="38" s="1"/>
  <c r="M10" i="38" s="1"/>
  <c r="V9" i="38"/>
  <c r="U9" i="38"/>
  <c r="T9" i="38"/>
  <c r="R9" i="38"/>
  <c r="L9" i="38"/>
  <c r="J9" i="38"/>
  <c r="H9" i="38"/>
  <c r="Y9" i="38" s="1"/>
  <c r="G9" i="38"/>
  <c r="F9" i="38"/>
  <c r="D9" i="38"/>
  <c r="Y8" i="38"/>
  <c r="W8" i="38"/>
  <c r="V8" i="38"/>
  <c r="U8" i="38"/>
  <c r="T8" i="38"/>
  <c r="R8" i="38"/>
  <c r="L8" i="38"/>
  <c r="J8" i="38"/>
  <c r="H8" i="38"/>
  <c r="F8" i="38"/>
  <c r="I8" i="38" s="1"/>
  <c r="M8" i="38" s="1"/>
  <c r="V7" i="38"/>
  <c r="U7" i="38"/>
  <c r="T7" i="38"/>
  <c r="R7" i="38"/>
  <c r="L7" i="38"/>
  <c r="H7" i="38"/>
  <c r="Y7" i="38" s="1"/>
  <c r="G7" i="38"/>
  <c r="G17" i="38" s="1"/>
  <c r="F7" i="38"/>
  <c r="D7" i="38"/>
  <c r="I20" i="37"/>
  <c r="M55" i="37"/>
  <c r="I55" i="37"/>
  <c r="J55" i="37" s="1"/>
  <c r="H55" i="37"/>
  <c r="E55" i="37"/>
  <c r="M54" i="37"/>
  <c r="J54" i="37"/>
  <c r="I54" i="37"/>
  <c r="H54" i="37"/>
  <c r="E54" i="37"/>
  <c r="M53" i="37"/>
  <c r="I53" i="37"/>
  <c r="J53" i="37" s="1"/>
  <c r="H53" i="37"/>
  <c r="E53" i="37"/>
  <c r="M52" i="37"/>
  <c r="I52" i="37"/>
  <c r="J52" i="37" s="1"/>
  <c r="H52" i="37"/>
  <c r="M51" i="37"/>
  <c r="I51" i="37"/>
  <c r="J51" i="37" s="1"/>
  <c r="H51" i="37"/>
  <c r="F51" i="37"/>
  <c r="E51" i="37"/>
  <c r="D51" i="37"/>
  <c r="M50" i="37"/>
  <c r="J50" i="37"/>
  <c r="I50" i="37"/>
  <c r="H50" i="37"/>
  <c r="E50" i="37"/>
  <c r="M49" i="37"/>
  <c r="I49" i="37"/>
  <c r="J49" i="37" s="1"/>
  <c r="H49" i="37"/>
  <c r="E49" i="37"/>
  <c r="M48" i="37"/>
  <c r="I48" i="37"/>
  <c r="J48" i="37" s="1"/>
  <c r="H48" i="37"/>
  <c r="E48" i="37"/>
  <c r="M47" i="37"/>
  <c r="J47" i="37"/>
  <c r="I47" i="37"/>
  <c r="H47" i="37"/>
  <c r="E47" i="37"/>
  <c r="M46" i="37"/>
  <c r="I46" i="37"/>
  <c r="J46" i="37" s="1"/>
  <c r="H46" i="37"/>
  <c r="E46" i="37"/>
  <c r="M45" i="37"/>
  <c r="I45" i="37"/>
  <c r="J45" i="37" s="1"/>
  <c r="H45" i="37"/>
  <c r="D45" i="37"/>
  <c r="E45" i="37" s="1"/>
  <c r="M44" i="37"/>
  <c r="I44" i="37"/>
  <c r="J44" i="37" s="1"/>
  <c r="H44" i="37"/>
  <c r="E44" i="37"/>
  <c r="M43" i="37"/>
  <c r="F43" i="37"/>
  <c r="E43" i="37" s="1"/>
  <c r="D43" i="37"/>
  <c r="H43" i="37" s="1"/>
  <c r="M42" i="37"/>
  <c r="I42" i="37"/>
  <c r="J42" i="37" s="1"/>
  <c r="H42" i="37"/>
  <c r="F42" i="37"/>
  <c r="D42" i="37"/>
  <c r="E42" i="37" s="1"/>
  <c r="M41" i="37"/>
  <c r="I41" i="37"/>
  <c r="J41" i="37" s="1"/>
  <c r="F41" i="37"/>
  <c r="E41" i="37"/>
  <c r="D41" i="37"/>
  <c r="H41" i="37" s="1"/>
  <c r="M40" i="37"/>
  <c r="J40" i="37"/>
  <c r="I40" i="37"/>
  <c r="H40" i="37"/>
  <c r="E40" i="37"/>
  <c r="M39" i="37"/>
  <c r="I39" i="37"/>
  <c r="J39" i="37" s="1"/>
  <c r="D39" i="37"/>
  <c r="H39" i="37" s="1"/>
  <c r="M38" i="37"/>
  <c r="I38" i="37"/>
  <c r="J38" i="37" s="1"/>
  <c r="H38" i="37"/>
  <c r="E38" i="37"/>
  <c r="M37" i="37"/>
  <c r="I37" i="37"/>
  <c r="J37" i="37" s="1"/>
  <c r="H37" i="37"/>
  <c r="E37" i="37"/>
  <c r="M36" i="37"/>
  <c r="J36" i="37"/>
  <c r="I36" i="37"/>
  <c r="H36" i="37"/>
  <c r="E36" i="37"/>
  <c r="M35" i="37"/>
  <c r="I35" i="37"/>
  <c r="J35" i="37" s="1"/>
  <c r="D35" i="37"/>
  <c r="E35" i="37" s="1"/>
  <c r="M34" i="37"/>
  <c r="I34" i="37"/>
  <c r="J34" i="37" s="1"/>
  <c r="F34" i="37"/>
  <c r="E34" i="37"/>
  <c r="D34" i="37"/>
  <c r="H34" i="37" s="1"/>
  <c r="M33" i="37"/>
  <c r="F33" i="37"/>
  <c r="E33" i="37" s="1"/>
  <c r="D33" i="37"/>
  <c r="H33" i="37" s="1"/>
  <c r="M32" i="37"/>
  <c r="I32" i="37"/>
  <c r="J32" i="37" s="1"/>
  <c r="H32" i="37"/>
  <c r="D32" i="37"/>
  <c r="E32" i="37" s="1"/>
  <c r="M31" i="37"/>
  <c r="I31" i="37"/>
  <c r="J31" i="37" s="1"/>
  <c r="H31" i="37"/>
  <c r="D31" i="37"/>
  <c r="E31" i="37" s="1"/>
  <c r="M30" i="37"/>
  <c r="I30" i="37"/>
  <c r="J30" i="37" s="1"/>
  <c r="H30" i="37"/>
  <c r="E30" i="37"/>
  <c r="M29" i="37"/>
  <c r="J29" i="37"/>
  <c r="I29" i="37"/>
  <c r="H29" i="37"/>
  <c r="E29" i="37"/>
  <c r="M28" i="37"/>
  <c r="I28" i="37"/>
  <c r="J28" i="37" s="1"/>
  <c r="F28" i="37"/>
  <c r="E28" i="37"/>
  <c r="D28" i="37"/>
  <c r="H28" i="37" s="1"/>
  <c r="M27" i="37"/>
  <c r="J27" i="37"/>
  <c r="I27" i="37"/>
  <c r="H27" i="37"/>
  <c r="E27" i="37"/>
  <c r="D27" i="37"/>
  <c r="M26" i="37"/>
  <c r="J26" i="37"/>
  <c r="I26" i="37"/>
  <c r="H26" i="37"/>
  <c r="E26" i="37"/>
  <c r="M25" i="37"/>
  <c r="I25" i="37"/>
  <c r="H25" i="37"/>
  <c r="E25" i="37"/>
  <c r="L21" i="37"/>
  <c r="Y16" i="37"/>
  <c r="V16" i="37"/>
  <c r="U16" i="37"/>
  <c r="T16" i="37"/>
  <c r="R16" i="37"/>
  <c r="I16" i="37"/>
  <c r="M16" i="37" s="1"/>
  <c r="H16" i="37"/>
  <c r="W16" i="37" s="1"/>
  <c r="F16" i="37"/>
  <c r="Y15" i="37"/>
  <c r="V15" i="37"/>
  <c r="U15" i="37"/>
  <c r="T15" i="37"/>
  <c r="R15" i="37"/>
  <c r="M15" i="37"/>
  <c r="L15" i="37"/>
  <c r="J15" i="37"/>
  <c r="I15" i="37"/>
  <c r="H15" i="37"/>
  <c r="W15" i="37" s="1"/>
  <c r="F15" i="37"/>
  <c r="V14" i="37"/>
  <c r="U14" i="37"/>
  <c r="T14" i="37"/>
  <c r="R14" i="37"/>
  <c r="L14" i="37"/>
  <c r="H14" i="37"/>
  <c r="W14" i="37" s="1"/>
  <c r="F14" i="37"/>
  <c r="I14" i="37" s="1"/>
  <c r="M14" i="37" s="1"/>
  <c r="V13" i="37"/>
  <c r="U13" i="37"/>
  <c r="T13" i="37"/>
  <c r="R13" i="37"/>
  <c r="L13" i="37"/>
  <c r="H13" i="37"/>
  <c r="Y13" i="37" s="1"/>
  <c r="F13" i="37"/>
  <c r="I13" i="37" s="1"/>
  <c r="M13" i="37" s="1"/>
  <c r="Y12" i="37"/>
  <c r="W12" i="37"/>
  <c r="V12" i="37"/>
  <c r="U12" i="37"/>
  <c r="T12" i="37"/>
  <c r="R12" i="37"/>
  <c r="L12" i="37"/>
  <c r="J12" i="37"/>
  <c r="H12" i="37"/>
  <c r="F12" i="37"/>
  <c r="I12" i="37" s="1"/>
  <c r="M12" i="37" s="1"/>
  <c r="W11" i="37"/>
  <c r="V11" i="37"/>
  <c r="U11" i="37"/>
  <c r="T11" i="37"/>
  <c r="R11" i="37"/>
  <c r="L11" i="37"/>
  <c r="J11" i="37"/>
  <c r="H11" i="37"/>
  <c r="Y11" i="37" s="1"/>
  <c r="F11" i="37"/>
  <c r="I11" i="37" s="1"/>
  <c r="M11" i="37" s="1"/>
  <c r="W10" i="37"/>
  <c r="V10" i="37"/>
  <c r="U10" i="37"/>
  <c r="T10" i="37"/>
  <c r="R10" i="37"/>
  <c r="L10" i="37"/>
  <c r="H10" i="37"/>
  <c r="Y10" i="37" s="1"/>
  <c r="F10" i="37"/>
  <c r="I10" i="37" s="1"/>
  <c r="M10" i="37" s="1"/>
  <c r="V9" i="37"/>
  <c r="U9" i="37"/>
  <c r="T9" i="37"/>
  <c r="R9" i="37"/>
  <c r="L9" i="37"/>
  <c r="G9" i="37"/>
  <c r="H9" i="37" s="1"/>
  <c r="F9" i="37"/>
  <c r="I9" i="37" s="1"/>
  <c r="M9" i="37" s="1"/>
  <c r="D9" i="37"/>
  <c r="Y8" i="37"/>
  <c r="W8" i="37"/>
  <c r="V8" i="37"/>
  <c r="U8" i="37"/>
  <c r="T8" i="37"/>
  <c r="R8" i="37"/>
  <c r="L8" i="37"/>
  <c r="J8" i="37"/>
  <c r="H8" i="37"/>
  <c r="F8" i="37"/>
  <c r="I8" i="37" s="1"/>
  <c r="M8" i="37" s="1"/>
  <c r="V7" i="37"/>
  <c r="U7" i="37"/>
  <c r="T7" i="37"/>
  <c r="R7" i="37"/>
  <c r="L7" i="37"/>
  <c r="G7" i="37"/>
  <c r="H7" i="37" s="1"/>
  <c r="D7" i="37"/>
  <c r="F7" i="37" s="1"/>
  <c r="I61" i="36"/>
  <c r="M55" i="36"/>
  <c r="H55" i="36"/>
  <c r="I55" i="36"/>
  <c r="J55" i="36" s="1"/>
  <c r="E55" i="36"/>
  <c r="I20" i="36"/>
  <c r="M54" i="36"/>
  <c r="J54" i="36"/>
  <c r="I54" i="36"/>
  <c r="H54" i="36"/>
  <c r="E54" i="36"/>
  <c r="M53" i="36"/>
  <c r="J53" i="36"/>
  <c r="I53" i="36"/>
  <c r="H53" i="36"/>
  <c r="E53" i="36"/>
  <c r="M52" i="36"/>
  <c r="J52" i="36"/>
  <c r="I52" i="36"/>
  <c r="H52" i="36"/>
  <c r="M51" i="36"/>
  <c r="F51" i="36"/>
  <c r="D51" i="36"/>
  <c r="H51" i="36" s="1"/>
  <c r="M50" i="36"/>
  <c r="I50" i="36"/>
  <c r="J50" i="36" s="1"/>
  <c r="H50" i="36"/>
  <c r="E50" i="36"/>
  <c r="M49" i="36"/>
  <c r="J49" i="36"/>
  <c r="I49" i="36"/>
  <c r="H49" i="36"/>
  <c r="E49" i="36"/>
  <c r="M48" i="36"/>
  <c r="I48" i="36"/>
  <c r="J48" i="36" s="1"/>
  <c r="H48" i="36"/>
  <c r="E48" i="36"/>
  <c r="M47" i="36"/>
  <c r="I47" i="36"/>
  <c r="J47" i="36" s="1"/>
  <c r="H47" i="36"/>
  <c r="E47" i="36"/>
  <c r="M46" i="36"/>
  <c r="J46" i="36"/>
  <c r="I46" i="36"/>
  <c r="H46" i="36"/>
  <c r="E46" i="36"/>
  <c r="M45" i="36"/>
  <c r="J45" i="36"/>
  <c r="I45" i="36"/>
  <c r="D45" i="36"/>
  <c r="H45" i="36" s="1"/>
  <c r="M44" i="36"/>
  <c r="J44" i="36"/>
  <c r="I44" i="36"/>
  <c r="H44" i="36"/>
  <c r="E44" i="36"/>
  <c r="M43" i="36"/>
  <c r="I43" i="36"/>
  <c r="J43" i="36" s="1"/>
  <c r="H43" i="36"/>
  <c r="F43" i="36"/>
  <c r="D43" i="36"/>
  <c r="M42" i="36"/>
  <c r="I42" i="36"/>
  <c r="J42" i="36" s="1"/>
  <c r="H42" i="36"/>
  <c r="F42" i="36"/>
  <c r="E42" i="36" s="1"/>
  <c r="D42" i="36"/>
  <c r="M41" i="36"/>
  <c r="F41" i="36"/>
  <c r="I41" i="36" s="1"/>
  <c r="J41" i="36" s="1"/>
  <c r="D41" i="36"/>
  <c r="H41" i="36" s="1"/>
  <c r="M40" i="36"/>
  <c r="I40" i="36"/>
  <c r="J40" i="36" s="1"/>
  <c r="H40" i="36"/>
  <c r="E40" i="36"/>
  <c r="M39" i="36"/>
  <c r="I39" i="36"/>
  <c r="J39" i="36" s="1"/>
  <c r="H39" i="36"/>
  <c r="E39" i="36"/>
  <c r="D39" i="36"/>
  <c r="M38" i="36"/>
  <c r="I38" i="36"/>
  <c r="J38" i="36" s="1"/>
  <c r="H38" i="36"/>
  <c r="E38" i="36"/>
  <c r="M37" i="36"/>
  <c r="I37" i="36"/>
  <c r="J37" i="36" s="1"/>
  <c r="H37" i="36"/>
  <c r="E37" i="36"/>
  <c r="M36" i="36"/>
  <c r="I36" i="36"/>
  <c r="J36" i="36" s="1"/>
  <c r="H36" i="36"/>
  <c r="E36" i="36"/>
  <c r="M35" i="36"/>
  <c r="J35" i="36"/>
  <c r="I35" i="36"/>
  <c r="D35" i="36"/>
  <c r="H35" i="36" s="1"/>
  <c r="M34" i="36"/>
  <c r="H34" i="36"/>
  <c r="F34" i="36"/>
  <c r="E34" i="36" s="1"/>
  <c r="D34" i="36"/>
  <c r="M33" i="36"/>
  <c r="I33" i="36"/>
  <c r="J33" i="36" s="1"/>
  <c r="H33" i="36"/>
  <c r="F33" i="36"/>
  <c r="D33" i="36"/>
  <c r="M32" i="36"/>
  <c r="I32" i="36"/>
  <c r="J32" i="36" s="1"/>
  <c r="E32" i="36"/>
  <c r="D32" i="36"/>
  <c r="H32" i="36" s="1"/>
  <c r="M31" i="36"/>
  <c r="I31" i="36"/>
  <c r="J31" i="36" s="1"/>
  <c r="D31" i="36"/>
  <c r="H31" i="36" s="1"/>
  <c r="M30" i="36"/>
  <c r="I30" i="36"/>
  <c r="J30" i="36" s="1"/>
  <c r="H30" i="36"/>
  <c r="E30" i="36"/>
  <c r="M29" i="36"/>
  <c r="I29" i="36"/>
  <c r="J29" i="36" s="1"/>
  <c r="H29" i="36"/>
  <c r="E29" i="36"/>
  <c r="M28" i="36"/>
  <c r="H28" i="36"/>
  <c r="F28" i="36"/>
  <c r="E28" i="36" s="1"/>
  <c r="D28" i="36"/>
  <c r="M27" i="36"/>
  <c r="I27" i="36"/>
  <c r="J27" i="36" s="1"/>
  <c r="D27" i="36"/>
  <c r="E27" i="36" s="1"/>
  <c r="M26" i="36"/>
  <c r="I26" i="36"/>
  <c r="J26" i="36" s="1"/>
  <c r="H26" i="36"/>
  <c r="E26" i="36"/>
  <c r="M25" i="36"/>
  <c r="I25" i="36"/>
  <c r="H25" i="36"/>
  <c r="E25" i="36"/>
  <c r="L21" i="36"/>
  <c r="V16" i="36"/>
  <c r="U16" i="36"/>
  <c r="T16" i="36"/>
  <c r="R16" i="36"/>
  <c r="H16" i="36"/>
  <c r="Y16" i="36" s="1"/>
  <c r="F16" i="36"/>
  <c r="V15" i="36"/>
  <c r="U15" i="36"/>
  <c r="T15" i="36"/>
  <c r="R15" i="36"/>
  <c r="L15" i="36"/>
  <c r="H15" i="36"/>
  <c r="Y15" i="36" s="1"/>
  <c r="F15" i="36"/>
  <c r="I15" i="36" s="1"/>
  <c r="M15" i="36" s="1"/>
  <c r="Y14" i="36"/>
  <c r="V14" i="36"/>
  <c r="U14" i="36"/>
  <c r="T14" i="36"/>
  <c r="R14" i="36"/>
  <c r="L14" i="36"/>
  <c r="H14" i="36"/>
  <c r="W14" i="36" s="1"/>
  <c r="F14" i="36"/>
  <c r="I14" i="36" s="1"/>
  <c r="M14" i="36" s="1"/>
  <c r="Y12" i="36"/>
  <c r="W12" i="36"/>
  <c r="V12" i="36"/>
  <c r="U12" i="36"/>
  <c r="T12" i="36"/>
  <c r="R12" i="36"/>
  <c r="L12" i="36"/>
  <c r="J12" i="36"/>
  <c r="H12" i="36"/>
  <c r="F12" i="36"/>
  <c r="I12" i="36" s="1"/>
  <c r="M12" i="36" s="1"/>
  <c r="V11" i="36"/>
  <c r="U11" i="36"/>
  <c r="T11" i="36"/>
  <c r="R11" i="36"/>
  <c r="L11" i="36"/>
  <c r="H11" i="36"/>
  <c r="J11" i="36" s="1"/>
  <c r="F11" i="36"/>
  <c r="I11" i="36" s="1"/>
  <c r="M11" i="36" s="1"/>
  <c r="V10" i="36"/>
  <c r="U10" i="36"/>
  <c r="T10" i="36"/>
  <c r="R10" i="36"/>
  <c r="L10" i="36"/>
  <c r="H10" i="36"/>
  <c r="W10" i="36" s="1"/>
  <c r="F10" i="36"/>
  <c r="I10" i="36" s="1"/>
  <c r="M10" i="36" s="1"/>
  <c r="V13" i="36"/>
  <c r="U13" i="36"/>
  <c r="T13" i="36"/>
  <c r="R13" i="36"/>
  <c r="L13" i="36"/>
  <c r="H13" i="36"/>
  <c r="Y13" i="36" s="1"/>
  <c r="F13" i="36"/>
  <c r="I13" i="36" s="1"/>
  <c r="M13" i="36" s="1"/>
  <c r="V9" i="36"/>
  <c r="U9" i="36"/>
  <c r="T9" i="36"/>
  <c r="R9" i="36"/>
  <c r="L9" i="36"/>
  <c r="H9" i="36"/>
  <c r="Y9" i="36" s="1"/>
  <c r="G9" i="36"/>
  <c r="D9" i="36"/>
  <c r="F9" i="36" s="1"/>
  <c r="V8" i="36"/>
  <c r="U8" i="36"/>
  <c r="T8" i="36"/>
  <c r="R8" i="36"/>
  <c r="L8" i="36"/>
  <c r="H8" i="36"/>
  <c r="J8" i="36" s="1"/>
  <c r="F8" i="36"/>
  <c r="I8" i="36" s="1"/>
  <c r="M8" i="36" s="1"/>
  <c r="V7" i="36"/>
  <c r="U7" i="36"/>
  <c r="T7" i="36"/>
  <c r="R7" i="36"/>
  <c r="L7" i="36"/>
  <c r="G7" i="36"/>
  <c r="G17" i="36" s="1"/>
  <c r="D7" i="36"/>
  <c r="F7" i="36" s="1"/>
  <c r="I7" i="36" s="1"/>
  <c r="I20" i="35"/>
  <c r="M54" i="35"/>
  <c r="I54" i="35"/>
  <c r="J54" i="35" s="1"/>
  <c r="H54" i="35"/>
  <c r="E54" i="35"/>
  <c r="M53" i="35"/>
  <c r="I53" i="35"/>
  <c r="J53" i="35" s="1"/>
  <c r="H53" i="35"/>
  <c r="E53" i="35"/>
  <c r="M52" i="35"/>
  <c r="J52" i="35"/>
  <c r="I52" i="35"/>
  <c r="H52" i="35"/>
  <c r="M51" i="35"/>
  <c r="F51" i="35"/>
  <c r="I51" i="35" s="1"/>
  <c r="J51" i="35" s="1"/>
  <c r="D51" i="35"/>
  <c r="H51" i="35" s="1"/>
  <c r="M50" i="35"/>
  <c r="I50" i="35"/>
  <c r="J50" i="35" s="1"/>
  <c r="H50" i="35"/>
  <c r="E50" i="35"/>
  <c r="M49" i="35"/>
  <c r="J49" i="35"/>
  <c r="I49" i="35"/>
  <c r="H49" i="35"/>
  <c r="E49" i="35"/>
  <c r="M48" i="35"/>
  <c r="I48" i="35"/>
  <c r="J48" i="35" s="1"/>
  <c r="H48" i="35"/>
  <c r="E48" i="35"/>
  <c r="M47" i="35"/>
  <c r="I47" i="35"/>
  <c r="J47" i="35" s="1"/>
  <c r="H47" i="35"/>
  <c r="E47" i="35"/>
  <c r="M46" i="35"/>
  <c r="I46" i="35"/>
  <c r="J46" i="35" s="1"/>
  <c r="H46" i="35"/>
  <c r="E46" i="35"/>
  <c r="M45" i="35"/>
  <c r="J45" i="35"/>
  <c r="I45" i="35"/>
  <c r="D45" i="35"/>
  <c r="E45" i="35" s="1"/>
  <c r="M44" i="35"/>
  <c r="J44" i="35"/>
  <c r="I44" i="35"/>
  <c r="H44" i="35"/>
  <c r="E44" i="35"/>
  <c r="M43" i="35"/>
  <c r="I43" i="35"/>
  <c r="J43" i="35" s="1"/>
  <c r="F43" i="35"/>
  <c r="D43" i="35"/>
  <c r="E43" i="35" s="1"/>
  <c r="M42" i="35"/>
  <c r="H42" i="35"/>
  <c r="F42" i="35"/>
  <c r="I42" i="35" s="1"/>
  <c r="J42" i="35" s="1"/>
  <c r="E42" i="35"/>
  <c r="D42" i="35"/>
  <c r="M41" i="35"/>
  <c r="H41" i="35"/>
  <c r="F41" i="35"/>
  <c r="I41" i="35" s="1"/>
  <c r="J41" i="35" s="1"/>
  <c r="D41" i="35"/>
  <c r="M40" i="35"/>
  <c r="I40" i="35"/>
  <c r="J40" i="35" s="1"/>
  <c r="H40" i="35"/>
  <c r="E40" i="35"/>
  <c r="M39" i="35"/>
  <c r="J39" i="35"/>
  <c r="I39" i="35"/>
  <c r="H39" i="35"/>
  <c r="E39" i="35"/>
  <c r="D39" i="35"/>
  <c r="M38" i="35"/>
  <c r="J38" i="35"/>
  <c r="I38" i="35"/>
  <c r="H38" i="35"/>
  <c r="E38" i="35"/>
  <c r="M37" i="35"/>
  <c r="J37" i="35"/>
  <c r="I37" i="35"/>
  <c r="H37" i="35"/>
  <c r="E37" i="35"/>
  <c r="M36" i="35"/>
  <c r="I36" i="35"/>
  <c r="J36" i="35" s="1"/>
  <c r="H36" i="35"/>
  <c r="E36" i="35"/>
  <c r="M35" i="35"/>
  <c r="J35" i="35"/>
  <c r="I35" i="35"/>
  <c r="H35" i="35"/>
  <c r="E35" i="35"/>
  <c r="D35" i="35"/>
  <c r="M34" i="35"/>
  <c r="F34" i="35"/>
  <c r="E34" i="35" s="1"/>
  <c r="D34" i="35"/>
  <c r="H34" i="35" s="1"/>
  <c r="M33" i="35"/>
  <c r="I33" i="35"/>
  <c r="J33" i="35" s="1"/>
  <c r="F33" i="35"/>
  <c r="D33" i="35"/>
  <c r="E33" i="35" s="1"/>
  <c r="M32" i="35"/>
  <c r="J32" i="35"/>
  <c r="I32" i="35"/>
  <c r="D32" i="35"/>
  <c r="E32" i="35" s="1"/>
  <c r="M31" i="35"/>
  <c r="J31" i="35"/>
  <c r="I31" i="35"/>
  <c r="D31" i="35"/>
  <c r="E31" i="35" s="1"/>
  <c r="M30" i="35"/>
  <c r="I30" i="35"/>
  <c r="J30" i="35" s="1"/>
  <c r="H30" i="35"/>
  <c r="E30" i="35"/>
  <c r="M29" i="35"/>
  <c r="J29" i="35"/>
  <c r="I29" i="35"/>
  <c r="H29" i="35"/>
  <c r="E29" i="35"/>
  <c r="M28" i="35"/>
  <c r="J28" i="35"/>
  <c r="I28" i="35"/>
  <c r="F28" i="35"/>
  <c r="E28" i="35" s="1"/>
  <c r="D28" i="35"/>
  <c r="H28" i="35" s="1"/>
  <c r="M27" i="35"/>
  <c r="I27" i="35"/>
  <c r="J27" i="35" s="1"/>
  <c r="D27" i="35"/>
  <c r="H27" i="35" s="1"/>
  <c r="M26" i="35"/>
  <c r="I26" i="35"/>
  <c r="J26" i="35" s="1"/>
  <c r="H26" i="35"/>
  <c r="E26" i="35"/>
  <c r="M25" i="35"/>
  <c r="J25" i="35"/>
  <c r="I25" i="35"/>
  <c r="H25" i="35"/>
  <c r="E25" i="35"/>
  <c r="L21" i="35"/>
  <c r="V16" i="35"/>
  <c r="U16" i="35"/>
  <c r="T16" i="35"/>
  <c r="R16" i="35"/>
  <c r="H16" i="35"/>
  <c r="W16" i="35" s="1"/>
  <c r="F16" i="35"/>
  <c r="I16" i="35" s="1"/>
  <c r="M16" i="35" s="1"/>
  <c r="V15" i="35"/>
  <c r="U15" i="35"/>
  <c r="T15" i="35"/>
  <c r="R15" i="35"/>
  <c r="L15" i="35"/>
  <c r="H15" i="35"/>
  <c r="W15" i="35" s="1"/>
  <c r="F15" i="35"/>
  <c r="V14" i="35"/>
  <c r="U14" i="35"/>
  <c r="T14" i="35"/>
  <c r="R14" i="35"/>
  <c r="L14" i="35"/>
  <c r="I14" i="35"/>
  <c r="M14" i="35" s="1"/>
  <c r="H14" i="35"/>
  <c r="Y14" i="35" s="1"/>
  <c r="F14" i="35"/>
  <c r="Y13" i="35"/>
  <c r="V13" i="35"/>
  <c r="U13" i="35"/>
  <c r="T13" i="35"/>
  <c r="R13" i="35"/>
  <c r="L13" i="35"/>
  <c r="J13" i="35"/>
  <c r="I13" i="35"/>
  <c r="M13" i="35" s="1"/>
  <c r="H13" i="35"/>
  <c r="W13" i="35" s="1"/>
  <c r="F13" i="35"/>
  <c r="W12" i="35"/>
  <c r="V12" i="35"/>
  <c r="U12" i="35"/>
  <c r="T12" i="35"/>
  <c r="R12" i="35"/>
  <c r="L12" i="35"/>
  <c r="J12" i="35"/>
  <c r="H12" i="35"/>
  <c r="Y12" i="35" s="1"/>
  <c r="F12" i="35"/>
  <c r="Y11" i="35"/>
  <c r="W11" i="35"/>
  <c r="V11" i="35"/>
  <c r="U11" i="35"/>
  <c r="T11" i="35"/>
  <c r="R11" i="35"/>
  <c r="L11" i="35"/>
  <c r="H11" i="35"/>
  <c r="J11" i="35" s="1"/>
  <c r="F11" i="35"/>
  <c r="I11" i="35" s="1"/>
  <c r="M11" i="35" s="1"/>
  <c r="Y10" i="35"/>
  <c r="V10" i="35"/>
  <c r="U10" i="35"/>
  <c r="T10" i="35"/>
  <c r="R10" i="35"/>
  <c r="L10" i="35"/>
  <c r="H10" i="35"/>
  <c r="J10" i="35" s="1"/>
  <c r="F10" i="35"/>
  <c r="I10" i="35" s="1"/>
  <c r="M10" i="35" s="1"/>
  <c r="V9" i="35"/>
  <c r="U9" i="35"/>
  <c r="T9" i="35"/>
  <c r="R9" i="35"/>
  <c r="L9" i="35"/>
  <c r="G9" i="35"/>
  <c r="H9" i="35" s="1"/>
  <c r="D9" i="35"/>
  <c r="F9" i="35" s="1"/>
  <c r="W8" i="35"/>
  <c r="V8" i="35"/>
  <c r="U8" i="35"/>
  <c r="T8" i="35"/>
  <c r="R8" i="35"/>
  <c r="L8" i="35"/>
  <c r="J8" i="35"/>
  <c r="H8" i="35"/>
  <c r="Y8" i="35" s="1"/>
  <c r="F8" i="35"/>
  <c r="V7" i="35"/>
  <c r="U7" i="35"/>
  <c r="T7" i="35"/>
  <c r="R7" i="35"/>
  <c r="L7" i="35"/>
  <c r="G7" i="35"/>
  <c r="G17" i="35" s="1"/>
  <c r="D7" i="35"/>
  <c r="F7" i="35" s="1"/>
  <c r="I20" i="34"/>
  <c r="M54" i="34"/>
  <c r="I54" i="34"/>
  <c r="J54" i="34" s="1"/>
  <c r="H54" i="34"/>
  <c r="E54" i="34"/>
  <c r="M53" i="34"/>
  <c r="I53" i="34"/>
  <c r="J53" i="34" s="1"/>
  <c r="H53" i="34"/>
  <c r="E53" i="34"/>
  <c r="M52" i="34"/>
  <c r="I52" i="34"/>
  <c r="J52" i="34" s="1"/>
  <c r="H52" i="34"/>
  <c r="M51" i="34"/>
  <c r="F51" i="34"/>
  <c r="I51" i="34" s="1"/>
  <c r="J51" i="34" s="1"/>
  <c r="E51" i="34"/>
  <c r="D51" i="34"/>
  <c r="H51" i="34" s="1"/>
  <c r="M50" i="34"/>
  <c r="I50" i="34"/>
  <c r="J50" i="34" s="1"/>
  <c r="H50" i="34"/>
  <c r="E50" i="34"/>
  <c r="M49" i="34"/>
  <c r="I49" i="34"/>
  <c r="J49" i="34" s="1"/>
  <c r="H49" i="34"/>
  <c r="E49" i="34"/>
  <c r="M48" i="34"/>
  <c r="I48" i="34"/>
  <c r="J48" i="34" s="1"/>
  <c r="H48" i="34"/>
  <c r="E48" i="34"/>
  <c r="M47" i="34"/>
  <c r="J47" i="34"/>
  <c r="I47" i="34"/>
  <c r="H47" i="34"/>
  <c r="E47" i="34"/>
  <c r="M46" i="34"/>
  <c r="I46" i="34"/>
  <c r="J46" i="34" s="1"/>
  <c r="H46" i="34"/>
  <c r="E46" i="34"/>
  <c r="M45" i="34"/>
  <c r="J45" i="34"/>
  <c r="I45" i="34"/>
  <c r="D45" i="34"/>
  <c r="H45" i="34" s="1"/>
  <c r="M44" i="34"/>
  <c r="J44" i="34"/>
  <c r="I44" i="34"/>
  <c r="H44" i="34"/>
  <c r="E44" i="34"/>
  <c r="M43" i="34"/>
  <c r="I43" i="34"/>
  <c r="J43" i="34" s="1"/>
  <c r="F43" i="34"/>
  <c r="E43" i="34" s="1"/>
  <c r="D43" i="34"/>
  <c r="H43" i="34" s="1"/>
  <c r="M42" i="34"/>
  <c r="F42" i="34"/>
  <c r="I42" i="34" s="1"/>
  <c r="J42" i="34" s="1"/>
  <c r="D42" i="34"/>
  <c r="H42" i="34" s="1"/>
  <c r="M41" i="34"/>
  <c r="F41" i="34"/>
  <c r="I41" i="34" s="1"/>
  <c r="J41" i="34" s="1"/>
  <c r="D41" i="34"/>
  <c r="H41" i="34" s="1"/>
  <c r="M40" i="34"/>
  <c r="J40" i="34"/>
  <c r="I40" i="34"/>
  <c r="H40" i="34"/>
  <c r="E40" i="34"/>
  <c r="M39" i="34"/>
  <c r="I39" i="34"/>
  <c r="J39" i="34" s="1"/>
  <c r="D39" i="34"/>
  <c r="E39" i="34" s="1"/>
  <c r="M38" i="34"/>
  <c r="I38" i="34"/>
  <c r="J38" i="34" s="1"/>
  <c r="H38" i="34"/>
  <c r="E38" i="34"/>
  <c r="M37" i="34"/>
  <c r="J37" i="34"/>
  <c r="I37" i="34"/>
  <c r="H37" i="34"/>
  <c r="E37" i="34"/>
  <c r="M36" i="34"/>
  <c r="I36" i="34"/>
  <c r="J36" i="34" s="1"/>
  <c r="H36" i="34"/>
  <c r="E36" i="34"/>
  <c r="M35" i="34"/>
  <c r="I35" i="34"/>
  <c r="J35" i="34" s="1"/>
  <c r="H35" i="34"/>
  <c r="D35" i="34"/>
  <c r="E35" i="34" s="1"/>
  <c r="M34" i="34"/>
  <c r="I34" i="34"/>
  <c r="J34" i="34" s="1"/>
  <c r="H34" i="34"/>
  <c r="F34" i="34"/>
  <c r="E34" i="34"/>
  <c r="D34" i="34"/>
  <c r="M33" i="34"/>
  <c r="I33" i="34"/>
  <c r="J33" i="34" s="1"/>
  <c r="F33" i="34"/>
  <c r="E33" i="34" s="1"/>
  <c r="D33" i="34"/>
  <c r="H33" i="34" s="1"/>
  <c r="M32" i="34"/>
  <c r="J32" i="34"/>
  <c r="I32" i="34"/>
  <c r="D32" i="34"/>
  <c r="H32" i="34" s="1"/>
  <c r="M31" i="34"/>
  <c r="J31" i="34"/>
  <c r="I31" i="34"/>
  <c r="D31" i="34"/>
  <c r="H31" i="34" s="1"/>
  <c r="M30" i="34"/>
  <c r="J30" i="34"/>
  <c r="I30" i="34"/>
  <c r="H30" i="34"/>
  <c r="E30" i="34"/>
  <c r="M29" i="34"/>
  <c r="I29" i="34"/>
  <c r="J29" i="34" s="1"/>
  <c r="H29" i="34"/>
  <c r="E29" i="34"/>
  <c r="M28" i="34"/>
  <c r="I28" i="34"/>
  <c r="J28" i="34" s="1"/>
  <c r="H28" i="34"/>
  <c r="F28" i="34"/>
  <c r="E28" i="34"/>
  <c r="D28" i="34"/>
  <c r="M27" i="34"/>
  <c r="I27" i="34"/>
  <c r="J27" i="34" s="1"/>
  <c r="E27" i="34"/>
  <c r="D27" i="34"/>
  <c r="H27" i="34" s="1"/>
  <c r="M26" i="34"/>
  <c r="I26" i="34"/>
  <c r="J26" i="34" s="1"/>
  <c r="H26" i="34"/>
  <c r="E26" i="34"/>
  <c r="M25" i="34"/>
  <c r="I25" i="34"/>
  <c r="H25" i="34"/>
  <c r="E25" i="34"/>
  <c r="L21" i="34"/>
  <c r="Y16" i="34"/>
  <c r="W16" i="34"/>
  <c r="V16" i="34"/>
  <c r="U16" i="34"/>
  <c r="T16" i="34"/>
  <c r="R16" i="34"/>
  <c r="J16" i="34"/>
  <c r="H16" i="34"/>
  <c r="F16" i="34"/>
  <c r="I16" i="34" s="1"/>
  <c r="M16" i="34" s="1"/>
  <c r="Y15" i="34"/>
  <c r="W15" i="34"/>
  <c r="V15" i="34"/>
  <c r="U15" i="34"/>
  <c r="T15" i="34"/>
  <c r="R15" i="34"/>
  <c r="L15" i="34"/>
  <c r="H15" i="34"/>
  <c r="J15" i="34" s="1"/>
  <c r="F15" i="34"/>
  <c r="I15" i="34" s="1"/>
  <c r="M15" i="34" s="1"/>
  <c r="Y14" i="34"/>
  <c r="V14" i="34"/>
  <c r="U14" i="34"/>
  <c r="T14" i="34"/>
  <c r="R14" i="34"/>
  <c r="L14" i="34"/>
  <c r="H14" i="34"/>
  <c r="W14" i="34" s="1"/>
  <c r="F14" i="34"/>
  <c r="V13" i="34"/>
  <c r="U13" i="34"/>
  <c r="T13" i="34"/>
  <c r="R13" i="34"/>
  <c r="L13" i="34"/>
  <c r="H13" i="34"/>
  <c r="Y13" i="34" s="1"/>
  <c r="F13" i="34"/>
  <c r="I13" i="34" s="1"/>
  <c r="M13" i="34" s="1"/>
  <c r="V12" i="34"/>
  <c r="U12" i="34"/>
  <c r="T12" i="34"/>
  <c r="R12" i="34"/>
  <c r="L12" i="34"/>
  <c r="H12" i="34"/>
  <c r="Y12" i="34" s="1"/>
  <c r="F12" i="34"/>
  <c r="I12" i="34" s="1"/>
  <c r="M12" i="34" s="1"/>
  <c r="Y11" i="34"/>
  <c r="W11" i="34"/>
  <c r="V11" i="34"/>
  <c r="U11" i="34"/>
  <c r="T11" i="34"/>
  <c r="R11" i="34"/>
  <c r="L11" i="34"/>
  <c r="J11" i="34"/>
  <c r="H11" i="34"/>
  <c r="F11" i="34"/>
  <c r="I11" i="34" s="1"/>
  <c r="M11" i="34" s="1"/>
  <c r="Y10" i="34"/>
  <c r="W10" i="34"/>
  <c r="V10" i="34"/>
  <c r="U10" i="34"/>
  <c r="T10" i="34"/>
  <c r="R10" i="34"/>
  <c r="L10" i="34"/>
  <c r="J10" i="34"/>
  <c r="H10" i="34"/>
  <c r="F10" i="34"/>
  <c r="I10" i="34" s="1"/>
  <c r="M10" i="34" s="1"/>
  <c r="V9" i="34"/>
  <c r="U9" i="34"/>
  <c r="T9" i="34"/>
  <c r="R9" i="34"/>
  <c r="L9" i="34"/>
  <c r="G9" i="34"/>
  <c r="H9" i="34" s="1"/>
  <c r="D9" i="34"/>
  <c r="F9" i="34" s="1"/>
  <c r="V8" i="34"/>
  <c r="U8" i="34"/>
  <c r="T8" i="34"/>
  <c r="R8" i="34"/>
  <c r="L8" i="34"/>
  <c r="H8" i="34"/>
  <c r="Y8" i="34" s="1"/>
  <c r="F8" i="34"/>
  <c r="I8" i="34" s="1"/>
  <c r="M8" i="34" s="1"/>
  <c r="V7" i="34"/>
  <c r="U7" i="34"/>
  <c r="T7" i="34"/>
  <c r="R7" i="34"/>
  <c r="L7" i="34"/>
  <c r="G7" i="34"/>
  <c r="H7" i="34" s="1"/>
  <c r="D7" i="34"/>
  <c r="F7" i="34" s="1"/>
  <c r="T12" i="33"/>
  <c r="U12" i="33"/>
  <c r="V12" i="33"/>
  <c r="Z13" i="50" l="1"/>
  <c r="Z7" i="50"/>
  <c r="Z14" i="50"/>
  <c r="Z8" i="50"/>
  <c r="Z16" i="50"/>
  <c r="I17" i="50"/>
  <c r="I69" i="50"/>
  <c r="G18" i="50"/>
  <c r="I21" i="50"/>
  <c r="Z15" i="50"/>
  <c r="Z11" i="50"/>
  <c r="Z9" i="50"/>
  <c r="Z12" i="50"/>
  <c r="Z12" i="51"/>
  <c r="Z10" i="51"/>
  <c r="Z8" i="51"/>
  <c r="Z9" i="51"/>
  <c r="Z14" i="51"/>
  <c r="Z13" i="51"/>
  <c r="Z16" i="51"/>
  <c r="I69" i="51"/>
  <c r="Z15" i="51"/>
  <c r="Z11" i="51"/>
  <c r="G18" i="51"/>
  <c r="I21" i="51"/>
  <c r="Z8" i="49"/>
  <c r="Z15" i="49"/>
  <c r="Z14" i="49"/>
  <c r="Z10" i="49"/>
  <c r="Z9" i="49"/>
  <c r="Z12" i="49"/>
  <c r="I69" i="49"/>
  <c r="M7" i="49"/>
  <c r="I17" i="49"/>
  <c r="Y7" i="49"/>
  <c r="W7" i="49"/>
  <c r="J7" i="49"/>
  <c r="G18" i="49"/>
  <c r="I21" i="49"/>
  <c r="Z11" i="49"/>
  <c r="Z13" i="49"/>
  <c r="Z7" i="49"/>
  <c r="Z13" i="48"/>
  <c r="Z10" i="48"/>
  <c r="Z12" i="48"/>
  <c r="Z15" i="48"/>
  <c r="Z9" i="48"/>
  <c r="Z8" i="48"/>
  <c r="Z14" i="48"/>
  <c r="Z7" i="48"/>
  <c r="G18" i="48"/>
  <c r="Z16" i="48"/>
  <c r="Z11" i="48"/>
  <c r="I17" i="48"/>
  <c r="M7" i="48"/>
  <c r="I69" i="48"/>
  <c r="Z14" i="47"/>
  <c r="Z13" i="47"/>
  <c r="Z10" i="47"/>
  <c r="Z15" i="47"/>
  <c r="Z11" i="47"/>
  <c r="Z9" i="47"/>
  <c r="Z12" i="47"/>
  <c r="Y7" i="47"/>
  <c r="J7" i="47"/>
  <c r="W7" i="47"/>
  <c r="G18" i="47"/>
  <c r="I21" i="47"/>
  <c r="Z7" i="47"/>
  <c r="Z8" i="47"/>
  <c r="F17" i="46"/>
  <c r="F19" i="46" s="1"/>
  <c r="Z7" i="46" s="1"/>
  <c r="Y7" i="46"/>
  <c r="W7" i="46"/>
  <c r="J7" i="46"/>
  <c r="I69" i="46"/>
  <c r="M7" i="46"/>
  <c r="I17" i="46"/>
  <c r="E31" i="45"/>
  <c r="E32" i="45"/>
  <c r="E33" i="45"/>
  <c r="E35" i="45"/>
  <c r="I41" i="45"/>
  <c r="J41" i="45" s="1"/>
  <c r="E57" i="45"/>
  <c r="E51" i="45"/>
  <c r="I34" i="45"/>
  <c r="J34" i="45" s="1"/>
  <c r="E42" i="45"/>
  <c r="J12" i="45"/>
  <c r="W12" i="45"/>
  <c r="F17" i="45"/>
  <c r="F19" i="45" s="1"/>
  <c r="I21" i="45" s="1"/>
  <c r="J11" i="45"/>
  <c r="W11" i="45"/>
  <c r="Y15" i="45"/>
  <c r="Y10" i="45"/>
  <c r="Y13" i="45"/>
  <c r="I7" i="45"/>
  <c r="M7" i="45" s="1"/>
  <c r="I16" i="45"/>
  <c r="M16" i="45" s="1"/>
  <c r="W14" i="45"/>
  <c r="J15" i="45"/>
  <c r="Y8" i="45"/>
  <c r="W9" i="45"/>
  <c r="J10" i="45"/>
  <c r="I11" i="45"/>
  <c r="M11" i="45" s="1"/>
  <c r="W16" i="45"/>
  <c r="J13" i="45"/>
  <c r="H27" i="45"/>
  <c r="Y14" i="45"/>
  <c r="H7" i="45"/>
  <c r="Y9" i="45"/>
  <c r="Y16" i="45"/>
  <c r="I51" i="45"/>
  <c r="J51" i="45" s="1"/>
  <c r="J25" i="45"/>
  <c r="E39" i="45"/>
  <c r="I14" i="45"/>
  <c r="J8" i="45"/>
  <c r="I15" i="44"/>
  <c r="M15" i="44" s="1"/>
  <c r="I9" i="44"/>
  <c r="M9" i="44" s="1"/>
  <c r="F17" i="44"/>
  <c r="F19" i="44" s="1"/>
  <c r="Z16" i="44" s="1"/>
  <c r="E35" i="44"/>
  <c r="I42" i="44"/>
  <c r="J42" i="44" s="1"/>
  <c r="W15" i="44"/>
  <c r="J7" i="44"/>
  <c r="I8" i="44"/>
  <c r="M8" i="44" s="1"/>
  <c r="Y9" i="44"/>
  <c r="W10" i="44"/>
  <c r="J11" i="44"/>
  <c r="I12" i="44"/>
  <c r="M12" i="44" s="1"/>
  <c r="Y15" i="44"/>
  <c r="W16" i="44"/>
  <c r="I33" i="44"/>
  <c r="J33" i="44" s="1"/>
  <c r="I43" i="44"/>
  <c r="J43" i="44" s="1"/>
  <c r="I7" i="44"/>
  <c r="W9" i="44"/>
  <c r="J8" i="44"/>
  <c r="J12" i="44"/>
  <c r="Y12" i="44"/>
  <c r="E31" i="44"/>
  <c r="E32" i="44"/>
  <c r="J15" i="43"/>
  <c r="W15" i="43"/>
  <c r="E33" i="43"/>
  <c r="E27" i="43"/>
  <c r="E39" i="43"/>
  <c r="E51" i="43"/>
  <c r="E42" i="43"/>
  <c r="E34" i="43"/>
  <c r="H32" i="43"/>
  <c r="J13" i="43"/>
  <c r="W13" i="43"/>
  <c r="W14" i="43"/>
  <c r="E28" i="43"/>
  <c r="E43" i="43"/>
  <c r="H9" i="43"/>
  <c r="J9" i="43" s="1"/>
  <c r="G17" i="43"/>
  <c r="E41" i="43"/>
  <c r="H45" i="43"/>
  <c r="Y8" i="43"/>
  <c r="Y12" i="43"/>
  <c r="I9" i="43"/>
  <c r="M9" i="43" s="1"/>
  <c r="F17" i="43"/>
  <c r="F19" i="43" s="1"/>
  <c r="Z11" i="43" s="1"/>
  <c r="I7" i="43"/>
  <c r="Y9" i="43"/>
  <c r="W9" i="43"/>
  <c r="E35" i="43"/>
  <c r="I33" i="43"/>
  <c r="J33" i="43" s="1"/>
  <c r="H7" i="43"/>
  <c r="J10" i="43"/>
  <c r="J16" i="43"/>
  <c r="W16" i="43"/>
  <c r="I43" i="43"/>
  <c r="J43" i="43" s="1"/>
  <c r="W10" i="43"/>
  <c r="J11" i="43"/>
  <c r="I12" i="43"/>
  <c r="M12" i="43" s="1"/>
  <c r="J8" i="43"/>
  <c r="W11" i="43"/>
  <c r="J12" i="43"/>
  <c r="J15" i="42"/>
  <c r="I61" i="42"/>
  <c r="I9" i="42"/>
  <c r="M9" i="42" s="1"/>
  <c r="W7" i="42"/>
  <c r="J7" i="42"/>
  <c r="Y7" i="42"/>
  <c r="F17" i="42"/>
  <c r="F19" i="42" s="1"/>
  <c r="Z12" i="42" s="1"/>
  <c r="I7" i="42"/>
  <c r="W9" i="42"/>
  <c r="J10" i="42"/>
  <c r="I11" i="42"/>
  <c r="M11" i="42" s="1"/>
  <c r="Y13" i="42"/>
  <c r="W14" i="42"/>
  <c r="J16" i="42"/>
  <c r="W16" i="42"/>
  <c r="H28" i="42"/>
  <c r="H34" i="42"/>
  <c r="H35" i="42"/>
  <c r="H51" i="42"/>
  <c r="Y9" i="42"/>
  <c r="Y14" i="42"/>
  <c r="J25" i="42"/>
  <c r="E42" i="42"/>
  <c r="W15" i="42"/>
  <c r="J13" i="42"/>
  <c r="G17" i="42"/>
  <c r="E27" i="42"/>
  <c r="Y15" i="41"/>
  <c r="J7" i="41"/>
  <c r="Y7" i="41"/>
  <c r="W7" i="41"/>
  <c r="I61" i="41"/>
  <c r="I7" i="41"/>
  <c r="W9" i="41"/>
  <c r="I11" i="41"/>
  <c r="M11" i="41" s="1"/>
  <c r="Y14" i="41"/>
  <c r="W15" i="41"/>
  <c r="J16" i="41"/>
  <c r="J25" i="41"/>
  <c r="E39" i="41"/>
  <c r="E42" i="41"/>
  <c r="J13" i="41"/>
  <c r="F17" i="41"/>
  <c r="F19" i="41" s="1"/>
  <c r="Z12" i="41" s="1"/>
  <c r="W13" i="41"/>
  <c r="J14" i="41"/>
  <c r="E27" i="41"/>
  <c r="J9" i="40"/>
  <c r="Y9" i="40"/>
  <c r="W9" i="40"/>
  <c r="Y7" i="40"/>
  <c r="W7" i="40"/>
  <c r="J7" i="40"/>
  <c r="I8" i="40"/>
  <c r="M8" i="40" s="1"/>
  <c r="F9" i="40"/>
  <c r="I12" i="40"/>
  <c r="M12" i="40" s="1"/>
  <c r="Y15" i="40"/>
  <c r="E41" i="40"/>
  <c r="J8" i="40"/>
  <c r="J12" i="40"/>
  <c r="I13" i="40"/>
  <c r="M13" i="40" s="1"/>
  <c r="J25" i="40"/>
  <c r="E39" i="40"/>
  <c r="M7" i="40"/>
  <c r="W8" i="40"/>
  <c r="W12" i="40"/>
  <c r="F17" i="40"/>
  <c r="F19" i="40" s="1"/>
  <c r="Z8" i="40" s="1"/>
  <c r="W13" i="40"/>
  <c r="J14" i="40"/>
  <c r="G17" i="40"/>
  <c r="I9" i="39"/>
  <c r="M9" i="39" s="1"/>
  <c r="F17" i="39"/>
  <c r="F19" i="39" s="1"/>
  <c r="Z12" i="39" s="1"/>
  <c r="I7" i="39"/>
  <c r="J7" i="39"/>
  <c r="Y7" i="39"/>
  <c r="W7" i="39"/>
  <c r="J9" i="39"/>
  <c r="Y9" i="39"/>
  <c r="W9" i="39"/>
  <c r="E41" i="39"/>
  <c r="J8" i="39"/>
  <c r="J12" i="39"/>
  <c r="I13" i="39"/>
  <c r="M13" i="39" s="1"/>
  <c r="J25" i="39"/>
  <c r="E39" i="39"/>
  <c r="E42" i="39"/>
  <c r="W8" i="39"/>
  <c r="W12" i="39"/>
  <c r="J13" i="39"/>
  <c r="I14" i="39"/>
  <c r="M14" i="39" s="1"/>
  <c r="E31" i="39"/>
  <c r="E32" i="39"/>
  <c r="W13" i="39"/>
  <c r="J14" i="39"/>
  <c r="G17" i="39"/>
  <c r="E27" i="39"/>
  <c r="I9" i="38"/>
  <c r="M9" i="38" s="1"/>
  <c r="I7" i="38"/>
  <c r="W9" i="38"/>
  <c r="J10" i="38"/>
  <c r="I11" i="38"/>
  <c r="M11" i="38" s="1"/>
  <c r="Y14" i="38"/>
  <c r="W15" i="38"/>
  <c r="J16" i="38"/>
  <c r="W16" i="38"/>
  <c r="I33" i="38"/>
  <c r="J33" i="38" s="1"/>
  <c r="I43" i="38"/>
  <c r="J43" i="38" s="1"/>
  <c r="J7" i="38"/>
  <c r="J11" i="38"/>
  <c r="I28" i="38"/>
  <c r="J28" i="38" s="1"/>
  <c r="I34" i="38"/>
  <c r="J34" i="38" s="1"/>
  <c r="I51" i="38"/>
  <c r="J51" i="38" s="1"/>
  <c r="W7" i="38"/>
  <c r="W11" i="38"/>
  <c r="F17" i="38"/>
  <c r="F19" i="38" s="1"/>
  <c r="E31" i="38"/>
  <c r="E32" i="38"/>
  <c r="J14" i="37"/>
  <c r="Y7" i="37"/>
  <c r="W7" i="37"/>
  <c r="J7" i="37"/>
  <c r="F17" i="37"/>
  <c r="F19" i="37" s="1"/>
  <c r="I7" i="37"/>
  <c r="J9" i="37"/>
  <c r="Y9" i="37"/>
  <c r="W9" i="37"/>
  <c r="J10" i="37"/>
  <c r="Y14" i="37"/>
  <c r="J16" i="37"/>
  <c r="I33" i="37"/>
  <c r="J33" i="37" s="1"/>
  <c r="H35" i="37"/>
  <c r="I43" i="37"/>
  <c r="J43" i="37" s="1"/>
  <c r="J25" i="37"/>
  <c r="E39" i="37"/>
  <c r="J13" i="37"/>
  <c r="W13" i="37"/>
  <c r="G17" i="37"/>
  <c r="J25" i="36"/>
  <c r="H27" i="36"/>
  <c r="E35" i="36"/>
  <c r="E31" i="36"/>
  <c r="E51" i="36"/>
  <c r="H7" i="36"/>
  <c r="E45" i="36"/>
  <c r="J14" i="36"/>
  <c r="E33" i="36"/>
  <c r="E43" i="36"/>
  <c r="W8" i="36"/>
  <c r="Y8" i="36"/>
  <c r="Y11" i="36"/>
  <c r="W11" i="36"/>
  <c r="Y10" i="36"/>
  <c r="M7" i="36"/>
  <c r="W7" i="36"/>
  <c r="J7" i="36"/>
  <c r="Y7" i="36"/>
  <c r="F17" i="36"/>
  <c r="F19" i="36" s="1"/>
  <c r="Z13" i="36" s="1"/>
  <c r="I9" i="36"/>
  <c r="M9" i="36" s="1"/>
  <c r="I28" i="36"/>
  <c r="I34" i="36"/>
  <c r="J34" i="36" s="1"/>
  <c r="E41" i="36"/>
  <c r="I51" i="36"/>
  <c r="J51" i="36" s="1"/>
  <c r="J9" i="36"/>
  <c r="J15" i="36"/>
  <c r="I16" i="36"/>
  <c r="M16" i="36" s="1"/>
  <c r="W9" i="36"/>
  <c r="J13" i="36"/>
  <c r="W15" i="36"/>
  <c r="J16" i="36"/>
  <c r="W16" i="36"/>
  <c r="W13" i="36"/>
  <c r="J10" i="36"/>
  <c r="I9" i="35"/>
  <c r="M9" i="35" s="1"/>
  <c r="W9" i="35"/>
  <c r="J9" i="35"/>
  <c r="Y9" i="35"/>
  <c r="Z8" i="35"/>
  <c r="I7" i="35"/>
  <c r="F17" i="35"/>
  <c r="F19" i="35" s="1"/>
  <c r="Z12" i="35" s="1"/>
  <c r="I8" i="35"/>
  <c r="M8" i="35" s="1"/>
  <c r="W10" i="35"/>
  <c r="I12" i="35"/>
  <c r="M12" i="35" s="1"/>
  <c r="Y15" i="35"/>
  <c r="Y16" i="35"/>
  <c r="I34" i="35"/>
  <c r="J34" i="35" s="1"/>
  <c r="E41" i="35"/>
  <c r="J14" i="35"/>
  <c r="I15" i="35"/>
  <c r="M15" i="35" s="1"/>
  <c r="E27" i="35"/>
  <c r="H31" i="35"/>
  <c r="H32" i="35"/>
  <c r="H45" i="35"/>
  <c r="E51" i="35"/>
  <c r="H7" i="35"/>
  <c r="W14" i="35"/>
  <c r="J15" i="35"/>
  <c r="H33" i="35"/>
  <c r="H43" i="35"/>
  <c r="J16" i="35"/>
  <c r="I7" i="34"/>
  <c r="F17" i="34"/>
  <c r="F19" i="34" s="1"/>
  <c r="Z9" i="34" s="1"/>
  <c r="J7" i="34"/>
  <c r="Y7" i="34"/>
  <c r="W7" i="34"/>
  <c r="I9" i="34"/>
  <c r="M9" i="34" s="1"/>
  <c r="J9" i="34"/>
  <c r="W9" i="34"/>
  <c r="Y9" i="34"/>
  <c r="I56" i="34"/>
  <c r="E41" i="34"/>
  <c r="J12" i="34"/>
  <c r="J25" i="34"/>
  <c r="E42" i="34"/>
  <c r="W8" i="34"/>
  <c r="W12" i="34"/>
  <c r="J13" i="34"/>
  <c r="I14" i="34"/>
  <c r="M14" i="34" s="1"/>
  <c r="E31" i="34"/>
  <c r="E32" i="34"/>
  <c r="H39" i="34"/>
  <c r="E45" i="34"/>
  <c r="J8" i="34"/>
  <c r="W13" i="34"/>
  <c r="J14" i="34"/>
  <c r="G17" i="34"/>
  <c r="I20" i="33"/>
  <c r="M54" i="33"/>
  <c r="J54" i="33"/>
  <c r="I54" i="33"/>
  <c r="H54" i="33"/>
  <c r="E54" i="33"/>
  <c r="M53" i="33"/>
  <c r="I53" i="33"/>
  <c r="J53" i="33" s="1"/>
  <c r="H53" i="33"/>
  <c r="E53" i="33"/>
  <c r="M52" i="33"/>
  <c r="J52" i="33"/>
  <c r="I52" i="33"/>
  <c r="H52" i="33"/>
  <c r="M51" i="33"/>
  <c r="J51" i="33"/>
  <c r="I51" i="33"/>
  <c r="H51" i="33"/>
  <c r="F51" i="33"/>
  <c r="E51" i="33"/>
  <c r="D51" i="33"/>
  <c r="M50" i="33"/>
  <c r="I50" i="33"/>
  <c r="J50" i="33" s="1"/>
  <c r="H50" i="33"/>
  <c r="E50" i="33"/>
  <c r="M49" i="33"/>
  <c r="J49" i="33"/>
  <c r="I49" i="33"/>
  <c r="H49" i="33"/>
  <c r="E49" i="33"/>
  <c r="M48" i="33"/>
  <c r="I48" i="33"/>
  <c r="J48" i="33" s="1"/>
  <c r="H48" i="33"/>
  <c r="E48" i="33"/>
  <c r="M47" i="33"/>
  <c r="J47" i="33"/>
  <c r="I47" i="33"/>
  <c r="H47" i="33"/>
  <c r="E47" i="33"/>
  <c r="M46" i="33"/>
  <c r="I46" i="33"/>
  <c r="J46" i="33" s="1"/>
  <c r="H46" i="33"/>
  <c r="E46" i="33"/>
  <c r="M45" i="33"/>
  <c r="J45" i="33"/>
  <c r="I45" i="33"/>
  <c r="D45" i="33"/>
  <c r="H45" i="33" s="1"/>
  <c r="M44" i="33"/>
  <c r="J44" i="33"/>
  <c r="I44" i="33"/>
  <c r="H44" i="33"/>
  <c r="E44" i="33"/>
  <c r="M43" i="33"/>
  <c r="I43" i="33"/>
  <c r="J43" i="33" s="1"/>
  <c r="F43" i="33"/>
  <c r="E43" i="33" s="1"/>
  <c r="D43" i="33"/>
  <c r="H43" i="33" s="1"/>
  <c r="M42" i="33"/>
  <c r="J42" i="33"/>
  <c r="I42" i="33"/>
  <c r="F42" i="33"/>
  <c r="E42" i="33"/>
  <c r="D42" i="33"/>
  <c r="H42" i="33" s="1"/>
  <c r="M41" i="33"/>
  <c r="F41" i="33"/>
  <c r="I41" i="33" s="1"/>
  <c r="J41" i="33" s="1"/>
  <c r="D41" i="33"/>
  <c r="H41" i="33" s="1"/>
  <c r="M40" i="33"/>
  <c r="J40" i="33"/>
  <c r="I40" i="33"/>
  <c r="H40" i="33"/>
  <c r="E40" i="33"/>
  <c r="M39" i="33"/>
  <c r="I39" i="33"/>
  <c r="J39" i="33" s="1"/>
  <c r="E39" i="33"/>
  <c r="D39" i="33"/>
  <c r="H39" i="33" s="1"/>
  <c r="M38" i="33"/>
  <c r="I38" i="33"/>
  <c r="J38" i="33" s="1"/>
  <c r="H38" i="33"/>
  <c r="E38" i="33"/>
  <c r="M37" i="33"/>
  <c r="J37" i="33"/>
  <c r="I37" i="33"/>
  <c r="H37" i="33"/>
  <c r="E37" i="33"/>
  <c r="M36" i="33"/>
  <c r="I36" i="33"/>
  <c r="J36" i="33" s="1"/>
  <c r="H36" i="33"/>
  <c r="E36" i="33"/>
  <c r="M35" i="33"/>
  <c r="J35" i="33"/>
  <c r="I35" i="33"/>
  <c r="H35" i="33"/>
  <c r="D35" i="33"/>
  <c r="E35" i="33" s="1"/>
  <c r="M34" i="33"/>
  <c r="J34" i="33"/>
  <c r="I34" i="33"/>
  <c r="H34" i="33"/>
  <c r="F34" i="33"/>
  <c r="E34" i="33"/>
  <c r="D34" i="33"/>
  <c r="M33" i="33"/>
  <c r="I33" i="33"/>
  <c r="J33" i="33" s="1"/>
  <c r="F33" i="33"/>
  <c r="E33" i="33" s="1"/>
  <c r="D33" i="33"/>
  <c r="H33" i="33" s="1"/>
  <c r="M32" i="33"/>
  <c r="J32" i="33"/>
  <c r="I32" i="33"/>
  <c r="D32" i="33"/>
  <c r="H32" i="33" s="1"/>
  <c r="M31" i="33"/>
  <c r="J31" i="33"/>
  <c r="I31" i="33"/>
  <c r="D31" i="33"/>
  <c r="H31" i="33" s="1"/>
  <c r="M30" i="33"/>
  <c r="J30" i="33"/>
  <c r="I30" i="33"/>
  <c r="H30" i="33"/>
  <c r="E30" i="33"/>
  <c r="M29" i="33"/>
  <c r="I29" i="33"/>
  <c r="J29" i="33" s="1"/>
  <c r="H29" i="33"/>
  <c r="E29" i="33"/>
  <c r="M28" i="33"/>
  <c r="J28" i="33"/>
  <c r="I28" i="33"/>
  <c r="H28" i="33"/>
  <c r="F28" i="33"/>
  <c r="E28" i="33"/>
  <c r="D28" i="33"/>
  <c r="M27" i="33"/>
  <c r="I27" i="33"/>
  <c r="J27" i="33" s="1"/>
  <c r="H27" i="33"/>
  <c r="E27" i="33"/>
  <c r="D27" i="33"/>
  <c r="M26" i="33"/>
  <c r="I26" i="33"/>
  <c r="I56" i="33" s="1"/>
  <c r="H26" i="33"/>
  <c r="E26" i="33"/>
  <c r="M25" i="33"/>
  <c r="J25" i="33"/>
  <c r="I25" i="33"/>
  <c r="H25" i="33"/>
  <c r="E25" i="33"/>
  <c r="L21" i="33"/>
  <c r="G17" i="33"/>
  <c r="V16" i="33"/>
  <c r="U16" i="33"/>
  <c r="T16" i="33"/>
  <c r="R16" i="33"/>
  <c r="H16" i="33"/>
  <c r="W16" i="33" s="1"/>
  <c r="F16" i="33"/>
  <c r="I16" i="33" s="1"/>
  <c r="M16" i="33" s="1"/>
  <c r="V15" i="33"/>
  <c r="U15" i="33"/>
  <c r="T15" i="33"/>
  <c r="R15" i="33"/>
  <c r="L15" i="33"/>
  <c r="I15" i="33"/>
  <c r="M15" i="33" s="1"/>
  <c r="H15" i="33"/>
  <c r="W15" i="33" s="1"/>
  <c r="F15" i="33"/>
  <c r="Y14" i="33"/>
  <c r="W14" i="33"/>
  <c r="V14" i="33"/>
  <c r="U14" i="33"/>
  <c r="T14" i="33"/>
  <c r="R14" i="33"/>
  <c r="L14" i="33"/>
  <c r="J14" i="33"/>
  <c r="I14" i="33"/>
  <c r="M14" i="33" s="1"/>
  <c r="H14" i="33"/>
  <c r="F14" i="33"/>
  <c r="W13" i="33"/>
  <c r="V13" i="33"/>
  <c r="U13" i="33"/>
  <c r="T13" i="33"/>
  <c r="R13" i="33"/>
  <c r="L13" i="33"/>
  <c r="J13" i="33"/>
  <c r="H13" i="33"/>
  <c r="Y13" i="33" s="1"/>
  <c r="F13" i="33"/>
  <c r="W12" i="33"/>
  <c r="R12" i="33"/>
  <c r="L12" i="33"/>
  <c r="H12" i="33"/>
  <c r="J12" i="33" s="1"/>
  <c r="F12" i="33"/>
  <c r="I12" i="33" s="1"/>
  <c r="M12" i="33" s="1"/>
  <c r="Y11" i="33"/>
  <c r="W11" i="33"/>
  <c r="V11" i="33"/>
  <c r="U11" i="33"/>
  <c r="T11" i="33"/>
  <c r="R11" i="33"/>
  <c r="L11" i="33"/>
  <c r="J11" i="33"/>
  <c r="H11" i="33"/>
  <c r="F11" i="33"/>
  <c r="I11" i="33" s="1"/>
  <c r="M11" i="33" s="1"/>
  <c r="V10" i="33"/>
  <c r="U10" i="33"/>
  <c r="T10" i="33"/>
  <c r="R10" i="33"/>
  <c r="L10" i="33"/>
  <c r="H10" i="33"/>
  <c r="Y10" i="33" s="1"/>
  <c r="F10" i="33"/>
  <c r="V9" i="33"/>
  <c r="U9" i="33"/>
  <c r="T9" i="33"/>
  <c r="R9" i="33"/>
  <c r="L9" i="33"/>
  <c r="G9" i="33"/>
  <c r="H9" i="33" s="1"/>
  <c r="D9" i="33"/>
  <c r="F9" i="33" s="1"/>
  <c r="V8" i="33"/>
  <c r="U8" i="33"/>
  <c r="T8" i="33"/>
  <c r="R8" i="33"/>
  <c r="L8" i="33"/>
  <c r="H8" i="33"/>
  <c r="W8" i="33" s="1"/>
  <c r="F8" i="33"/>
  <c r="I8" i="33" s="1"/>
  <c r="M8" i="33" s="1"/>
  <c r="V7" i="33"/>
  <c r="U7" i="33"/>
  <c r="T7" i="33"/>
  <c r="R7" i="33"/>
  <c r="L7" i="33"/>
  <c r="G7" i="33"/>
  <c r="H7" i="33" s="1"/>
  <c r="D7" i="33"/>
  <c r="F7" i="33" s="1"/>
  <c r="I20" i="32"/>
  <c r="M54" i="32"/>
  <c r="I54" i="32"/>
  <c r="J54" i="32" s="1"/>
  <c r="H54" i="32"/>
  <c r="E54" i="32"/>
  <c r="M53" i="32"/>
  <c r="J53" i="32"/>
  <c r="I53" i="32"/>
  <c r="H53" i="32"/>
  <c r="E53" i="32"/>
  <c r="M52" i="32"/>
  <c r="J52" i="32"/>
  <c r="I52" i="32"/>
  <c r="H52" i="32"/>
  <c r="M51" i="32"/>
  <c r="H51" i="32"/>
  <c r="F51" i="32"/>
  <c r="E51" i="32" s="1"/>
  <c r="D51" i="32"/>
  <c r="M50" i="32"/>
  <c r="I50" i="32"/>
  <c r="J50" i="32" s="1"/>
  <c r="H50" i="32"/>
  <c r="E50" i="32"/>
  <c r="M49" i="32"/>
  <c r="I49" i="32"/>
  <c r="J49" i="32" s="1"/>
  <c r="H49" i="32"/>
  <c r="E49" i="32"/>
  <c r="M48" i="32"/>
  <c r="J48" i="32"/>
  <c r="I48" i="32"/>
  <c r="H48" i="32"/>
  <c r="E48" i="32"/>
  <c r="M47" i="32"/>
  <c r="I47" i="32"/>
  <c r="J47" i="32" s="1"/>
  <c r="H47" i="32"/>
  <c r="E47" i="32"/>
  <c r="M46" i="32"/>
  <c r="J46" i="32"/>
  <c r="I46" i="32"/>
  <c r="H46" i="32"/>
  <c r="E46" i="32"/>
  <c r="M45" i="32"/>
  <c r="J45" i="32"/>
  <c r="I45" i="32"/>
  <c r="H45" i="32"/>
  <c r="E45" i="32"/>
  <c r="D45" i="32"/>
  <c r="M44" i="32"/>
  <c r="J44" i="32"/>
  <c r="I44" i="32"/>
  <c r="H44" i="32"/>
  <c r="E44" i="32"/>
  <c r="M43" i="32"/>
  <c r="I43" i="32"/>
  <c r="J43" i="32" s="1"/>
  <c r="H43" i="32"/>
  <c r="F43" i="32"/>
  <c r="E43" i="32"/>
  <c r="D43" i="32"/>
  <c r="M42" i="32"/>
  <c r="J42" i="32"/>
  <c r="I42" i="32"/>
  <c r="F42" i="32"/>
  <c r="E42" i="32" s="1"/>
  <c r="D42" i="32"/>
  <c r="H42" i="32" s="1"/>
  <c r="M41" i="32"/>
  <c r="J41" i="32"/>
  <c r="I41" i="32"/>
  <c r="F41" i="32"/>
  <c r="D41" i="32"/>
  <c r="H41" i="32" s="1"/>
  <c r="M40" i="32"/>
  <c r="I40" i="32"/>
  <c r="J40" i="32" s="1"/>
  <c r="H40" i="32"/>
  <c r="E40" i="32"/>
  <c r="M39" i="32"/>
  <c r="J39" i="32"/>
  <c r="I39" i="32"/>
  <c r="D39" i="32"/>
  <c r="H39" i="32" s="1"/>
  <c r="M38" i="32"/>
  <c r="J38" i="32"/>
  <c r="I38" i="32"/>
  <c r="H38" i="32"/>
  <c r="E38" i="32"/>
  <c r="M37" i="32"/>
  <c r="J37" i="32"/>
  <c r="I37" i="32"/>
  <c r="H37" i="32"/>
  <c r="E37" i="32"/>
  <c r="M36" i="32"/>
  <c r="I36" i="32"/>
  <c r="J36" i="32" s="1"/>
  <c r="H36" i="32"/>
  <c r="E36" i="32"/>
  <c r="M35" i="32"/>
  <c r="I35" i="32"/>
  <c r="J35" i="32" s="1"/>
  <c r="H35" i="32"/>
  <c r="E35" i="32"/>
  <c r="D35" i="32"/>
  <c r="M34" i="32"/>
  <c r="H34" i="32"/>
  <c r="F34" i="32"/>
  <c r="E34" i="32" s="1"/>
  <c r="D34" i="32"/>
  <c r="M33" i="32"/>
  <c r="I33" i="32"/>
  <c r="J33" i="32" s="1"/>
  <c r="H33" i="32"/>
  <c r="F33" i="32"/>
  <c r="E33" i="32"/>
  <c r="D33" i="32"/>
  <c r="M32" i="32"/>
  <c r="J32" i="32"/>
  <c r="I32" i="32"/>
  <c r="H32" i="32"/>
  <c r="E32" i="32"/>
  <c r="D32" i="32"/>
  <c r="M31" i="32"/>
  <c r="J31" i="32"/>
  <c r="I31" i="32"/>
  <c r="H31" i="32"/>
  <c r="E31" i="32"/>
  <c r="D31" i="32"/>
  <c r="M30" i="32"/>
  <c r="J30" i="32"/>
  <c r="I30" i="32"/>
  <c r="H30" i="32"/>
  <c r="E30" i="32"/>
  <c r="M29" i="32"/>
  <c r="I29" i="32"/>
  <c r="J29" i="32" s="1"/>
  <c r="H29" i="32"/>
  <c r="E29" i="32"/>
  <c r="M28" i="32"/>
  <c r="H28" i="32"/>
  <c r="F28" i="32"/>
  <c r="E28" i="32" s="1"/>
  <c r="D28" i="32"/>
  <c r="M27" i="32"/>
  <c r="I27" i="32"/>
  <c r="J27" i="32" s="1"/>
  <c r="H27" i="32"/>
  <c r="D27" i="32"/>
  <c r="E27" i="32" s="1"/>
  <c r="M26" i="32"/>
  <c r="I26" i="32"/>
  <c r="J26" i="32" s="1"/>
  <c r="H26" i="32"/>
  <c r="E26" i="32"/>
  <c r="M25" i="32"/>
  <c r="I25" i="32"/>
  <c r="H25" i="32"/>
  <c r="E25" i="32"/>
  <c r="L21" i="32"/>
  <c r="Y16" i="32"/>
  <c r="W16" i="32"/>
  <c r="V16" i="32"/>
  <c r="U16" i="32"/>
  <c r="T16" i="32"/>
  <c r="R16" i="32"/>
  <c r="J16" i="32"/>
  <c r="I16" i="32"/>
  <c r="M16" i="32" s="1"/>
  <c r="H16" i="32"/>
  <c r="F16" i="32"/>
  <c r="W15" i="32"/>
  <c r="V15" i="32"/>
  <c r="U15" i="32"/>
  <c r="T15" i="32"/>
  <c r="R15" i="32"/>
  <c r="M15" i="32"/>
  <c r="L15" i="32"/>
  <c r="J15" i="32"/>
  <c r="I15" i="32"/>
  <c r="H15" i="32"/>
  <c r="Y15" i="32" s="1"/>
  <c r="F15" i="32"/>
  <c r="Y14" i="32"/>
  <c r="W14" i="32"/>
  <c r="V14" i="32"/>
  <c r="U14" i="32"/>
  <c r="T14" i="32"/>
  <c r="R14" i="32"/>
  <c r="M14" i="32"/>
  <c r="L14" i="32"/>
  <c r="J14" i="32"/>
  <c r="I14" i="32"/>
  <c r="H14" i="32"/>
  <c r="F14" i="32"/>
  <c r="Y13" i="32"/>
  <c r="V13" i="32"/>
  <c r="U13" i="32"/>
  <c r="T13" i="32"/>
  <c r="R13" i="32"/>
  <c r="L13" i="32"/>
  <c r="J13" i="32"/>
  <c r="H13" i="32"/>
  <c r="W13" i="32" s="1"/>
  <c r="F13" i="32"/>
  <c r="R12" i="32"/>
  <c r="M12" i="32"/>
  <c r="L12" i="32"/>
  <c r="J12" i="32"/>
  <c r="I12" i="32"/>
  <c r="H12" i="32"/>
  <c r="Y12" i="32" s="1"/>
  <c r="F12" i="32"/>
  <c r="Y11" i="32"/>
  <c r="W11" i="32"/>
  <c r="V11" i="32"/>
  <c r="U11" i="32"/>
  <c r="T11" i="32"/>
  <c r="R11" i="32"/>
  <c r="M11" i="32"/>
  <c r="L11" i="32"/>
  <c r="J11" i="32"/>
  <c r="I11" i="32"/>
  <c r="H11" i="32"/>
  <c r="F11" i="32"/>
  <c r="Y10" i="32"/>
  <c r="V10" i="32"/>
  <c r="U10" i="32"/>
  <c r="T10" i="32"/>
  <c r="R10" i="32"/>
  <c r="L10" i="32"/>
  <c r="J10" i="32"/>
  <c r="H10" i="32"/>
  <c r="W10" i="32" s="1"/>
  <c r="F10" i="32"/>
  <c r="V9" i="32"/>
  <c r="U9" i="32"/>
  <c r="T9" i="32"/>
  <c r="R9" i="32"/>
  <c r="L9" i="32"/>
  <c r="H9" i="32"/>
  <c r="Y9" i="32" s="1"/>
  <c r="G9" i="32"/>
  <c r="D9" i="32"/>
  <c r="F9" i="32" s="1"/>
  <c r="W8" i="32"/>
  <c r="V8" i="32"/>
  <c r="U8" i="32"/>
  <c r="T8" i="32"/>
  <c r="R8" i="32"/>
  <c r="L8" i="32"/>
  <c r="J8" i="32"/>
  <c r="H8" i="32"/>
  <c r="Y8" i="32" s="1"/>
  <c r="F8" i="32"/>
  <c r="I8" i="32" s="1"/>
  <c r="M8" i="32" s="1"/>
  <c r="V7" i="32"/>
  <c r="U7" i="32"/>
  <c r="T7" i="32"/>
  <c r="R7" i="32"/>
  <c r="L7" i="32"/>
  <c r="G7" i="32"/>
  <c r="G17" i="32" s="1"/>
  <c r="F7" i="32"/>
  <c r="D7" i="32"/>
  <c r="I20" i="31"/>
  <c r="M54" i="31"/>
  <c r="H54" i="31"/>
  <c r="I54" i="31"/>
  <c r="I56" i="31"/>
  <c r="J54" i="31"/>
  <c r="E54" i="31"/>
  <c r="M53" i="31"/>
  <c r="I53" i="31"/>
  <c r="J53" i="31" s="1"/>
  <c r="H53" i="31"/>
  <c r="E53" i="31"/>
  <c r="M52" i="31"/>
  <c r="J52" i="31"/>
  <c r="I52" i="31"/>
  <c r="H52" i="31"/>
  <c r="M51" i="31"/>
  <c r="J51" i="31"/>
  <c r="I51" i="31"/>
  <c r="H51" i="31"/>
  <c r="F51" i="31"/>
  <c r="E51" i="31"/>
  <c r="D51" i="31"/>
  <c r="M50" i="31"/>
  <c r="I50" i="31"/>
  <c r="J50" i="31" s="1"/>
  <c r="H50" i="31"/>
  <c r="E50" i="31"/>
  <c r="M49" i="31"/>
  <c r="J49" i="31"/>
  <c r="I49" i="31"/>
  <c r="H49" i="31"/>
  <c r="E49" i="31"/>
  <c r="M48" i="31"/>
  <c r="I48" i="31"/>
  <c r="J48" i="31" s="1"/>
  <c r="H48" i="31"/>
  <c r="E48" i="31"/>
  <c r="M47" i="31"/>
  <c r="J47" i="31"/>
  <c r="I47" i="31"/>
  <c r="H47" i="31"/>
  <c r="E47" i="31"/>
  <c r="M46" i="31"/>
  <c r="I46" i="31"/>
  <c r="J46" i="31" s="1"/>
  <c r="H46" i="31"/>
  <c r="E46" i="31"/>
  <c r="M45" i="31"/>
  <c r="J45" i="31"/>
  <c r="I45" i="31"/>
  <c r="D45" i="31"/>
  <c r="H45" i="31" s="1"/>
  <c r="M44" i="31"/>
  <c r="J44" i="31"/>
  <c r="I44" i="31"/>
  <c r="H44" i="31"/>
  <c r="E44" i="31"/>
  <c r="M43" i="31"/>
  <c r="F43" i="31"/>
  <c r="I43" i="31" s="1"/>
  <c r="J43" i="31" s="1"/>
  <c r="D43" i="31"/>
  <c r="H43" i="31" s="1"/>
  <c r="M42" i="31"/>
  <c r="J42" i="31"/>
  <c r="I42" i="31"/>
  <c r="H42" i="31"/>
  <c r="F42" i="31"/>
  <c r="E42" i="31"/>
  <c r="D42" i="31"/>
  <c r="M41" i="31"/>
  <c r="F41" i="31"/>
  <c r="E41" i="31" s="1"/>
  <c r="D41" i="31"/>
  <c r="H41" i="31" s="1"/>
  <c r="M40" i="31"/>
  <c r="J40" i="31"/>
  <c r="I40" i="31"/>
  <c r="H40" i="31"/>
  <c r="E40" i="31"/>
  <c r="M39" i="31"/>
  <c r="I39" i="31"/>
  <c r="J39" i="31" s="1"/>
  <c r="E39" i="31"/>
  <c r="D39" i="31"/>
  <c r="H39" i="31" s="1"/>
  <c r="M38" i="31"/>
  <c r="I38" i="31"/>
  <c r="J38" i="31" s="1"/>
  <c r="H38" i="31"/>
  <c r="E38" i="31"/>
  <c r="M37" i="31"/>
  <c r="J37" i="31"/>
  <c r="I37" i="31"/>
  <c r="H37" i="31"/>
  <c r="E37" i="31"/>
  <c r="M36" i="31"/>
  <c r="I36" i="31"/>
  <c r="J36" i="31" s="1"/>
  <c r="H36" i="31"/>
  <c r="E36" i="31"/>
  <c r="M35" i="31"/>
  <c r="J35" i="31"/>
  <c r="I35" i="31"/>
  <c r="H35" i="31"/>
  <c r="D35" i="31"/>
  <c r="E35" i="31" s="1"/>
  <c r="M34" i="31"/>
  <c r="J34" i="31"/>
  <c r="I34" i="31"/>
  <c r="H34" i="31"/>
  <c r="F34" i="31"/>
  <c r="E34" i="31"/>
  <c r="D34" i="31"/>
  <c r="M33" i="31"/>
  <c r="F33" i="31"/>
  <c r="I33" i="31" s="1"/>
  <c r="J33" i="31" s="1"/>
  <c r="D33" i="31"/>
  <c r="H33" i="31" s="1"/>
  <c r="M32" i="31"/>
  <c r="J32" i="31"/>
  <c r="I32" i="31"/>
  <c r="D32" i="31"/>
  <c r="H32" i="31" s="1"/>
  <c r="M31" i="31"/>
  <c r="J31" i="31"/>
  <c r="I31" i="31"/>
  <c r="D31" i="31"/>
  <c r="H31" i="31" s="1"/>
  <c r="M30" i="31"/>
  <c r="J30" i="31"/>
  <c r="I30" i="31"/>
  <c r="H30" i="31"/>
  <c r="E30" i="31"/>
  <c r="M29" i="31"/>
  <c r="I29" i="31"/>
  <c r="J29" i="31" s="1"/>
  <c r="H29" i="31"/>
  <c r="E29" i="31"/>
  <c r="M28" i="31"/>
  <c r="J28" i="31"/>
  <c r="I28" i="31"/>
  <c r="H28" i="31"/>
  <c r="F28" i="31"/>
  <c r="E28" i="31"/>
  <c r="D28" i="31"/>
  <c r="M27" i="31"/>
  <c r="I27" i="31"/>
  <c r="J27" i="31" s="1"/>
  <c r="H27" i="31"/>
  <c r="E27" i="31"/>
  <c r="D27" i="31"/>
  <c r="M26" i="31"/>
  <c r="I26" i="31"/>
  <c r="J26" i="31" s="1"/>
  <c r="H26" i="31"/>
  <c r="E26" i="31"/>
  <c r="M25" i="31"/>
  <c r="J25" i="31"/>
  <c r="I25" i="31"/>
  <c r="H25" i="31"/>
  <c r="E25" i="31"/>
  <c r="L21" i="31"/>
  <c r="V16" i="31"/>
  <c r="U16" i="31"/>
  <c r="T16" i="31"/>
  <c r="R16" i="31"/>
  <c r="M16" i="31"/>
  <c r="I16" i="31"/>
  <c r="H16" i="31"/>
  <c r="Y16" i="31" s="1"/>
  <c r="F16" i="31"/>
  <c r="Y15" i="31"/>
  <c r="W15" i="31"/>
  <c r="V15" i="31"/>
  <c r="U15" i="31"/>
  <c r="T15" i="31"/>
  <c r="R15" i="31"/>
  <c r="L15" i="31"/>
  <c r="J15" i="31"/>
  <c r="H15" i="31"/>
  <c r="F15" i="31"/>
  <c r="V14" i="31"/>
  <c r="U14" i="31"/>
  <c r="T14" i="31"/>
  <c r="R14" i="31"/>
  <c r="L14" i="31"/>
  <c r="H14" i="31"/>
  <c r="Y14" i="31" s="1"/>
  <c r="F14" i="31"/>
  <c r="V13" i="31"/>
  <c r="U13" i="31"/>
  <c r="T13" i="31"/>
  <c r="R13" i="31"/>
  <c r="L13" i="31"/>
  <c r="I13" i="31"/>
  <c r="M13" i="31" s="1"/>
  <c r="H13" i="31"/>
  <c r="Y13" i="31" s="1"/>
  <c r="F13" i="31"/>
  <c r="Y12" i="31"/>
  <c r="R12" i="31"/>
  <c r="L12" i="31"/>
  <c r="J12" i="31"/>
  <c r="H12" i="31"/>
  <c r="W12" i="31" s="1"/>
  <c r="F12" i="31"/>
  <c r="V11" i="31"/>
  <c r="U11" i="31"/>
  <c r="T11" i="31"/>
  <c r="R11" i="31"/>
  <c r="L11" i="31"/>
  <c r="H11" i="31"/>
  <c r="Y11" i="31" s="1"/>
  <c r="F11" i="31"/>
  <c r="V10" i="31"/>
  <c r="U10" i="31"/>
  <c r="T10" i="31"/>
  <c r="R10" i="31"/>
  <c r="L10" i="31"/>
  <c r="H10" i="31"/>
  <c r="Y10" i="31" s="1"/>
  <c r="F10" i="31"/>
  <c r="I10" i="31" s="1"/>
  <c r="M10" i="31" s="1"/>
  <c r="Y9" i="31"/>
  <c r="V9" i="31"/>
  <c r="U9" i="31"/>
  <c r="T9" i="31"/>
  <c r="R9" i="31"/>
  <c r="L9" i="31"/>
  <c r="J9" i="31"/>
  <c r="H9" i="31"/>
  <c r="W9" i="31" s="1"/>
  <c r="G9" i="31"/>
  <c r="F9" i="31"/>
  <c r="I9" i="31" s="1"/>
  <c r="M9" i="31" s="1"/>
  <c r="D9" i="31"/>
  <c r="Y8" i="31"/>
  <c r="W8" i="31"/>
  <c r="V8" i="31"/>
  <c r="U8" i="31"/>
  <c r="T8" i="31"/>
  <c r="R8" i="31"/>
  <c r="L8" i="31"/>
  <c r="J8" i="31"/>
  <c r="H8" i="31"/>
  <c r="F8" i="31"/>
  <c r="I8" i="31" s="1"/>
  <c r="M8" i="31" s="1"/>
  <c r="V7" i="31"/>
  <c r="U7" i="31"/>
  <c r="T7" i="31"/>
  <c r="R7" i="31"/>
  <c r="L7" i="31"/>
  <c r="H7" i="31"/>
  <c r="Y7" i="31" s="1"/>
  <c r="G7" i="31"/>
  <c r="G17" i="31" s="1"/>
  <c r="F7" i="31"/>
  <c r="D7" i="31"/>
  <c r="I56" i="30"/>
  <c r="F51" i="30"/>
  <c r="I51" i="30" s="1"/>
  <c r="J51" i="30" s="1"/>
  <c r="D51" i="30"/>
  <c r="M50" i="30"/>
  <c r="M51" i="30"/>
  <c r="M52" i="30"/>
  <c r="M53" i="30"/>
  <c r="H50" i="30"/>
  <c r="I50" i="30"/>
  <c r="J50" i="30" s="1"/>
  <c r="H51" i="30"/>
  <c r="H52" i="30"/>
  <c r="I52" i="30"/>
  <c r="J52" i="30" s="1"/>
  <c r="H53" i="30"/>
  <c r="I53" i="30"/>
  <c r="J53" i="30" s="1"/>
  <c r="E50" i="30"/>
  <c r="E53" i="30"/>
  <c r="I20" i="30"/>
  <c r="M49" i="30"/>
  <c r="J49" i="30"/>
  <c r="I49" i="30"/>
  <c r="H49" i="30"/>
  <c r="E49" i="30"/>
  <c r="M48" i="30"/>
  <c r="I48" i="30"/>
  <c r="J48" i="30" s="1"/>
  <c r="H48" i="30"/>
  <c r="E48" i="30"/>
  <c r="M47" i="30"/>
  <c r="J47" i="30"/>
  <c r="I47" i="30"/>
  <c r="H47" i="30"/>
  <c r="E47" i="30"/>
  <c r="M46" i="30"/>
  <c r="I46" i="30"/>
  <c r="J46" i="30" s="1"/>
  <c r="H46" i="30"/>
  <c r="E46" i="30"/>
  <c r="M45" i="30"/>
  <c r="I45" i="30"/>
  <c r="J45" i="30" s="1"/>
  <c r="H45" i="30"/>
  <c r="E45" i="30"/>
  <c r="D45" i="30"/>
  <c r="M44" i="30"/>
  <c r="J44" i="30"/>
  <c r="I44" i="30"/>
  <c r="H44" i="30"/>
  <c r="E44" i="30"/>
  <c r="M43" i="30"/>
  <c r="I43" i="30"/>
  <c r="J43" i="30" s="1"/>
  <c r="F43" i="30"/>
  <c r="D43" i="30"/>
  <c r="H43" i="30" s="1"/>
  <c r="M42" i="30"/>
  <c r="H42" i="30"/>
  <c r="F42" i="30"/>
  <c r="E42" i="30" s="1"/>
  <c r="D42" i="30"/>
  <c r="M41" i="30"/>
  <c r="I41" i="30"/>
  <c r="J41" i="30" s="1"/>
  <c r="F41" i="30"/>
  <c r="D41" i="30"/>
  <c r="H41" i="30" s="1"/>
  <c r="M40" i="30"/>
  <c r="J40" i="30"/>
  <c r="I40" i="30"/>
  <c r="H40" i="30"/>
  <c r="E40" i="30"/>
  <c r="M39" i="30"/>
  <c r="I39" i="30"/>
  <c r="J39" i="30" s="1"/>
  <c r="D39" i="30"/>
  <c r="H39" i="30" s="1"/>
  <c r="M38" i="30"/>
  <c r="I38" i="30"/>
  <c r="J38" i="30" s="1"/>
  <c r="H38" i="30"/>
  <c r="E38" i="30"/>
  <c r="M37" i="30"/>
  <c r="J37" i="30"/>
  <c r="I37" i="30"/>
  <c r="H37" i="30"/>
  <c r="E37" i="30"/>
  <c r="M36" i="30"/>
  <c r="I36" i="30"/>
  <c r="J36" i="30" s="1"/>
  <c r="H36" i="30"/>
  <c r="E36" i="30"/>
  <c r="M35" i="30"/>
  <c r="I35" i="30"/>
  <c r="J35" i="30" s="1"/>
  <c r="H35" i="30"/>
  <c r="D35" i="30"/>
  <c r="E35" i="30" s="1"/>
  <c r="M34" i="30"/>
  <c r="H34" i="30"/>
  <c r="F34" i="30"/>
  <c r="I34" i="30" s="1"/>
  <c r="J34" i="30" s="1"/>
  <c r="E34" i="30"/>
  <c r="D34" i="30"/>
  <c r="M33" i="30"/>
  <c r="H33" i="30"/>
  <c r="F33" i="30"/>
  <c r="I33" i="30" s="1"/>
  <c r="J33" i="30" s="1"/>
  <c r="D33" i="30"/>
  <c r="M32" i="30"/>
  <c r="I32" i="30"/>
  <c r="J32" i="30" s="1"/>
  <c r="H32" i="30"/>
  <c r="D32" i="30"/>
  <c r="E32" i="30" s="1"/>
  <c r="M31" i="30"/>
  <c r="I31" i="30"/>
  <c r="J31" i="30" s="1"/>
  <c r="E31" i="30"/>
  <c r="D31" i="30"/>
  <c r="H31" i="30" s="1"/>
  <c r="M30" i="30"/>
  <c r="I30" i="30"/>
  <c r="J30" i="30" s="1"/>
  <c r="H30" i="30"/>
  <c r="E30" i="30"/>
  <c r="M29" i="30"/>
  <c r="I29" i="30"/>
  <c r="J29" i="30" s="1"/>
  <c r="H29" i="30"/>
  <c r="E29" i="30"/>
  <c r="M28" i="30"/>
  <c r="I28" i="30"/>
  <c r="J28" i="30" s="1"/>
  <c r="F28" i="30"/>
  <c r="E28" i="30" s="1"/>
  <c r="D28" i="30"/>
  <c r="H28" i="30" s="1"/>
  <c r="M27" i="30"/>
  <c r="I27" i="30"/>
  <c r="J27" i="30" s="1"/>
  <c r="H27" i="30"/>
  <c r="E27" i="30"/>
  <c r="D27" i="30"/>
  <c r="M26" i="30"/>
  <c r="I26" i="30"/>
  <c r="J26" i="30" s="1"/>
  <c r="H26" i="30"/>
  <c r="E26" i="30"/>
  <c r="M25" i="30"/>
  <c r="I25" i="30"/>
  <c r="H25" i="30"/>
  <c r="E25" i="30"/>
  <c r="L21" i="30"/>
  <c r="V16" i="30"/>
  <c r="U16" i="30"/>
  <c r="T16" i="30"/>
  <c r="R16" i="30"/>
  <c r="H16" i="30"/>
  <c r="Y16" i="30" s="1"/>
  <c r="F16" i="30"/>
  <c r="V15" i="30"/>
  <c r="U15" i="30"/>
  <c r="T15" i="30"/>
  <c r="R15" i="30"/>
  <c r="L15" i="30"/>
  <c r="I15" i="30"/>
  <c r="M15" i="30" s="1"/>
  <c r="H15" i="30"/>
  <c r="Y15" i="30" s="1"/>
  <c r="F15" i="30"/>
  <c r="V14" i="30"/>
  <c r="U14" i="30"/>
  <c r="T14" i="30"/>
  <c r="R14" i="30"/>
  <c r="L14" i="30"/>
  <c r="H14" i="30"/>
  <c r="W14" i="30" s="1"/>
  <c r="F14" i="30"/>
  <c r="I14" i="30" s="1"/>
  <c r="M14" i="30" s="1"/>
  <c r="V13" i="30"/>
  <c r="U13" i="30"/>
  <c r="T13" i="30"/>
  <c r="R13" i="30"/>
  <c r="L13" i="30"/>
  <c r="H13" i="30"/>
  <c r="W13" i="30" s="1"/>
  <c r="F13" i="30"/>
  <c r="I13" i="30" s="1"/>
  <c r="M13" i="30" s="1"/>
  <c r="V10" i="30"/>
  <c r="U10" i="30"/>
  <c r="T10" i="30"/>
  <c r="R10" i="30"/>
  <c r="L10" i="30"/>
  <c r="H10" i="30"/>
  <c r="Y10" i="30" s="1"/>
  <c r="F10" i="30"/>
  <c r="I10" i="30" s="1"/>
  <c r="M10" i="30" s="1"/>
  <c r="R12" i="30"/>
  <c r="L12" i="30"/>
  <c r="F12" i="30"/>
  <c r="V9" i="30"/>
  <c r="U9" i="30"/>
  <c r="T9" i="30"/>
  <c r="R9" i="30"/>
  <c r="L9" i="30"/>
  <c r="G9" i="30"/>
  <c r="H9" i="30" s="1"/>
  <c r="F9" i="30"/>
  <c r="D9" i="30"/>
  <c r="V11" i="30"/>
  <c r="U11" i="30"/>
  <c r="T11" i="30"/>
  <c r="R11" i="30"/>
  <c r="L11" i="30"/>
  <c r="H11" i="30"/>
  <c r="W11" i="30" s="1"/>
  <c r="F11" i="30"/>
  <c r="I11" i="30" s="1"/>
  <c r="M11" i="30" s="1"/>
  <c r="V8" i="30"/>
  <c r="U8" i="30"/>
  <c r="T8" i="30"/>
  <c r="R8" i="30"/>
  <c r="L8" i="30"/>
  <c r="H8" i="30"/>
  <c r="W8" i="30" s="1"/>
  <c r="F8" i="30"/>
  <c r="I8" i="30" s="1"/>
  <c r="M8" i="30" s="1"/>
  <c r="V7" i="30"/>
  <c r="U7" i="30"/>
  <c r="T7" i="30"/>
  <c r="R7" i="30"/>
  <c r="L7" i="30"/>
  <c r="H7" i="30"/>
  <c r="J7" i="30" s="1"/>
  <c r="G7" i="30"/>
  <c r="D7" i="30"/>
  <c r="F7" i="30" s="1"/>
  <c r="I20" i="29"/>
  <c r="M49" i="29"/>
  <c r="J49" i="29"/>
  <c r="I49" i="29"/>
  <c r="H49" i="29"/>
  <c r="E49" i="29"/>
  <c r="M48" i="29"/>
  <c r="J48" i="29"/>
  <c r="I48" i="29"/>
  <c r="H48" i="29"/>
  <c r="E48" i="29"/>
  <c r="M47" i="29"/>
  <c r="J47" i="29"/>
  <c r="I47" i="29"/>
  <c r="H47" i="29"/>
  <c r="E47" i="29"/>
  <c r="M46" i="29"/>
  <c r="I46" i="29"/>
  <c r="J46" i="29" s="1"/>
  <c r="H46" i="29"/>
  <c r="E46" i="29"/>
  <c r="M45" i="29"/>
  <c r="I45" i="29"/>
  <c r="J45" i="29" s="1"/>
  <c r="H45" i="29"/>
  <c r="E45" i="29"/>
  <c r="D45" i="29"/>
  <c r="M44" i="29"/>
  <c r="I44" i="29"/>
  <c r="J44" i="29" s="1"/>
  <c r="H44" i="29"/>
  <c r="E44" i="29"/>
  <c r="M43" i="29"/>
  <c r="H43" i="29"/>
  <c r="F43" i="29"/>
  <c r="E43" i="29" s="1"/>
  <c r="D43" i="29"/>
  <c r="M42" i="29"/>
  <c r="I42" i="29"/>
  <c r="J42" i="29" s="1"/>
  <c r="H42" i="29"/>
  <c r="F42" i="29"/>
  <c r="E42" i="29" s="1"/>
  <c r="D42" i="29"/>
  <c r="M41" i="29"/>
  <c r="I41" i="29"/>
  <c r="J41" i="29" s="1"/>
  <c r="H41" i="29"/>
  <c r="F41" i="29"/>
  <c r="D41" i="29"/>
  <c r="E41" i="29" s="1"/>
  <c r="M40" i="29"/>
  <c r="J40" i="29"/>
  <c r="I40" i="29"/>
  <c r="H40" i="29"/>
  <c r="E40" i="29"/>
  <c r="M39" i="29"/>
  <c r="I39" i="29"/>
  <c r="J39" i="29" s="1"/>
  <c r="H39" i="29"/>
  <c r="D39" i="29"/>
  <c r="E39" i="29" s="1"/>
  <c r="M38" i="29"/>
  <c r="I38" i="29"/>
  <c r="J38" i="29" s="1"/>
  <c r="H38" i="29"/>
  <c r="E38" i="29"/>
  <c r="M37" i="29"/>
  <c r="I37" i="29"/>
  <c r="J37" i="29" s="1"/>
  <c r="H37" i="29"/>
  <c r="E37" i="29"/>
  <c r="M36" i="29"/>
  <c r="J36" i="29"/>
  <c r="I36" i="29"/>
  <c r="H36" i="29"/>
  <c r="E36" i="29"/>
  <c r="M35" i="29"/>
  <c r="I35" i="29"/>
  <c r="J35" i="29" s="1"/>
  <c r="D35" i="29"/>
  <c r="H35" i="29" s="1"/>
  <c r="M34" i="29"/>
  <c r="F34" i="29"/>
  <c r="I34" i="29" s="1"/>
  <c r="J34" i="29" s="1"/>
  <c r="E34" i="29"/>
  <c r="D34" i="29"/>
  <c r="H34" i="29" s="1"/>
  <c r="M33" i="29"/>
  <c r="H33" i="29"/>
  <c r="F33" i="29"/>
  <c r="E33" i="29" s="1"/>
  <c r="D33" i="29"/>
  <c r="M32" i="29"/>
  <c r="I32" i="29"/>
  <c r="J32" i="29" s="1"/>
  <c r="H32" i="29"/>
  <c r="E32" i="29"/>
  <c r="D32" i="29"/>
  <c r="M31" i="29"/>
  <c r="I31" i="29"/>
  <c r="J31" i="29" s="1"/>
  <c r="H31" i="29"/>
  <c r="E31" i="29"/>
  <c r="D31" i="29"/>
  <c r="M30" i="29"/>
  <c r="I30" i="29"/>
  <c r="J30" i="29" s="1"/>
  <c r="H30" i="29"/>
  <c r="E30" i="29"/>
  <c r="M29" i="29"/>
  <c r="J29" i="29"/>
  <c r="I29" i="29"/>
  <c r="H29" i="29"/>
  <c r="E29" i="29"/>
  <c r="M28" i="29"/>
  <c r="F28" i="29"/>
  <c r="I28" i="29" s="1"/>
  <c r="J28" i="29" s="1"/>
  <c r="E28" i="29"/>
  <c r="D28" i="29"/>
  <c r="H28" i="29" s="1"/>
  <c r="M27" i="29"/>
  <c r="J27" i="29"/>
  <c r="I27" i="29"/>
  <c r="E27" i="29"/>
  <c r="D27" i="29"/>
  <c r="H27" i="29" s="1"/>
  <c r="M26" i="29"/>
  <c r="J26" i="29"/>
  <c r="I26" i="29"/>
  <c r="H26" i="29"/>
  <c r="E26" i="29"/>
  <c r="M25" i="29"/>
  <c r="I25" i="29"/>
  <c r="H25" i="29"/>
  <c r="E25" i="29"/>
  <c r="L21" i="29"/>
  <c r="V16" i="29"/>
  <c r="U16" i="29"/>
  <c r="T16" i="29"/>
  <c r="R16" i="29"/>
  <c r="H16" i="29"/>
  <c r="Y16" i="29" s="1"/>
  <c r="F16" i="29"/>
  <c r="V15" i="29"/>
  <c r="U15" i="29"/>
  <c r="T15" i="29"/>
  <c r="R15" i="29"/>
  <c r="L15" i="29"/>
  <c r="I15" i="29"/>
  <c r="M15" i="29" s="1"/>
  <c r="H15" i="29"/>
  <c r="Y15" i="29" s="1"/>
  <c r="F15" i="29"/>
  <c r="V14" i="29"/>
  <c r="U14" i="29"/>
  <c r="T14" i="29"/>
  <c r="R14" i="29"/>
  <c r="L14" i="29"/>
  <c r="H14" i="29"/>
  <c r="Y14" i="29" s="1"/>
  <c r="F14" i="29"/>
  <c r="I14" i="29" s="1"/>
  <c r="M14" i="29" s="1"/>
  <c r="Y13" i="29"/>
  <c r="W13" i="29"/>
  <c r="V13" i="29"/>
  <c r="U13" i="29"/>
  <c r="T13" i="29"/>
  <c r="R13" i="29"/>
  <c r="L13" i="29"/>
  <c r="J13" i="29"/>
  <c r="H13" i="29"/>
  <c r="F13" i="29"/>
  <c r="I13" i="29" s="1"/>
  <c r="M13" i="29" s="1"/>
  <c r="Y12" i="29"/>
  <c r="W12" i="29"/>
  <c r="V12" i="29"/>
  <c r="U12" i="29"/>
  <c r="T12" i="29"/>
  <c r="R12" i="29"/>
  <c r="L12" i="29"/>
  <c r="J12" i="29"/>
  <c r="H12" i="29"/>
  <c r="F12" i="29"/>
  <c r="I12" i="29" s="1"/>
  <c r="M12" i="29" s="1"/>
  <c r="R11" i="29"/>
  <c r="L11" i="29"/>
  <c r="G11" i="29"/>
  <c r="D11" i="29"/>
  <c r="H11" i="29" s="1"/>
  <c r="V10" i="29"/>
  <c r="U10" i="29"/>
  <c r="T10" i="29"/>
  <c r="R10" i="29"/>
  <c r="L10" i="29"/>
  <c r="G10" i="29"/>
  <c r="H10" i="29" s="1"/>
  <c r="F10" i="29"/>
  <c r="I10" i="29" s="1"/>
  <c r="M10" i="29" s="1"/>
  <c r="D10" i="29"/>
  <c r="W9" i="29"/>
  <c r="V9" i="29"/>
  <c r="U9" i="29"/>
  <c r="T9" i="29"/>
  <c r="R9" i="29"/>
  <c r="L9" i="29"/>
  <c r="J9" i="29"/>
  <c r="I9" i="29"/>
  <c r="M9" i="29" s="1"/>
  <c r="H9" i="29"/>
  <c r="Y9" i="29" s="1"/>
  <c r="F9" i="29"/>
  <c r="Y8" i="29"/>
  <c r="W8" i="29"/>
  <c r="V8" i="29"/>
  <c r="U8" i="29"/>
  <c r="T8" i="29"/>
  <c r="R8" i="29"/>
  <c r="L8" i="29"/>
  <c r="J8" i="29"/>
  <c r="I8" i="29"/>
  <c r="M8" i="29" s="1"/>
  <c r="H8" i="29"/>
  <c r="F8" i="29"/>
  <c r="V7" i="29"/>
  <c r="U7" i="29"/>
  <c r="T7" i="29"/>
  <c r="R7" i="29"/>
  <c r="L7" i="29"/>
  <c r="G7" i="29"/>
  <c r="H7" i="29" s="1"/>
  <c r="F7" i="29"/>
  <c r="D7" i="29"/>
  <c r="D11" i="28"/>
  <c r="F11" i="28" s="1"/>
  <c r="G11" i="28"/>
  <c r="M49" i="28"/>
  <c r="H49" i="28"/>
  <c r="I49" i="28"/>
  <c r="J49" i="28"/>
  <c r="E49" i="28"/>
  <c r="I20" i="28"/>
  <c r="M48" i="28"/>
  <c r="H48" i="28"/>
  <c r="I48" i="28"/>
  <c r="J48" i="28" s="1"/>
  <c r="E48" i="28"/>
  <c r="M47" i="28"/>
  <c r="I47" i="28"/>
  <c r="J47" i="28" s="1"/>
  <c r="H47" i="28"/>
  <c r="E47" i="28"/>
  <c r="M46" i="28"/>
  <c r="I46" i="28"/>
  <c r="J46" i="28" s="1"/>
  <c r="H46" i="28"/>
  <c r="E46" i="28"/>
  <c r="M45" i="28"/>
  <c r="I45" i="28"/>
  <c r="J45" i="28" s="1"/>
  <c r="H45" i="28"/>
  <c r="E45" i="28"/>
  <c r="D45" i="28"/>
  <c r="M44" i="28"/>
  <c r="I44" i="28"/>
  <c r="J44" i="28" s="1"/>
  <c r="H44" i="28"/>
  <c r="E44" i="28"/>
  <c r="M43" i="28"/>
  <c r="H43" i="28"/>
  <c r="F43" i="28"/>
  <c r="I43" i="28" s="1"/>
  <c r="J43" i="28" s="1"/>
  <c r="D43" i="28"/>
  <c r="M42" i="28"/>
  <c r="F42" i="28"/>
  <c r="I42" i="28" s="1"/>
  <c r="J42" i="28" s="1"/>
  <c r="D42" i="28"/>
  <c r="H42" i="28" s="1"/>
  <c r="M41" i="28"/>
  <c r="I41" i="28"/>
  <c r="J41" i="28" s="1"/>
  <c r="H41" i="28"/>
  <c r="F41" i="28"/>
  <c r="E41" i="28"/>
  <c r="D41" i="28"/>
  <c r="M40" i="28"/>
  <c r="J40" i="28"/>
  <c r="I40" i="28"/>
  <c r="H40" i="28"/>
  <c r="E40" i="28"/>
  <c r="M39" i="28"/>
  <c r="I39" i="28"/>
  <c r="J39" i="28" s="1"/>
  <c r="D39" i="28"/>
  <c r="H39" i="28" s="1"/>
  <c r="M38" i="28"/>
  <c r="I38" i="28"/>
  <c r="J38" i="28" s="1"/>
  <c r="H38" i="28"/>
  <c r="E38" i="28"/>
  <c r="M37" i="28"/>
  <c r="I37" i="28"/>
  <c r="J37" i="28" s="1"/>
  <c r="H37" i="28"/>
  <c r="E37" i="28"/>
  <c r="M36" i="28"/>
  <c r="J36" i="28"/>
  <c r="I36" i="28"/>
  <c r="H36" i="28"/>
  <c r="E36" i="28"/>
  <c r="M35" i="28"/>
  <c r="I35" i="28"/>
  <c r="J35" i="28" s="1"/>
  <c r="D35" i="28"/>
  <c r="H35" i="28" s="1"/>
  <c r="M34" i="28"/>
  <c r="I34" i="28"/>
  <c r="J34" i="28" s="1"/>
  <c r="F34" i="28"/>
  <c r="D34" i="28"/>
  <c r="H34" i="28" s="1"/>
  <c r="M33" i="28"/>
  <c r="H33" i="28"/>
  <c r="F33" i="28"/>
  <c r="I33" i="28" s="1"/>
  <c r="J33" i="28" s="1"/>
  <c r="E33" i="28"/>
  <c r="D33" i="28"/>
  <c r="M32" i="28"/>
  <c r="I32" i="28"/>
  <c r="J32" i="28" s="1"/>
  <c r="H32" i="28"/>
  <c r="E32" i="28"/>
  <c r="D32" i="28"/>
  <c r="M31" i="28"/>
  <c r="I31" i="28"/>
  <c r="J31" i="28" s="1"/>
  <c r="H31" i="28"/>
  <c r="E31" i="28"/>
  <c r="D31" i="28"/>
  <c r="M30" i="28"/>
  <c r="I30" i="28"/>
  <c r="J30" i="28" s="1"/>
  <c r="H30" i="28"/>
  <c r="E30" i="28"/>
  <c r="M29" i="28"/>
  <c r="J29" i="28"/>
  <c r="I29" i="28"/>
  <c r="H29" i="28"/>
  <c r="E29" i="28"/>
  <c r="M28" i="28"/>
  <c r="I28" i="28"/>
  <c r="J28" i="28" s="1"/>
  <c r="F28" i="28"/>
  <c r="D28" i="28"/>
  <c r="H28" i="28" s="1"/>
  <c r="M27" i="28"/>
  <c r="J27" i="28"/>
  <c r="I27" i="28"/>
  <c r="D27" i="28"/>
  <c r="H27" i="28" s="1"/>
  <c r="M26" i="28"/>
  <c r="J26" i="28"/>
  <c r="I26" i="28"/>
  <c r="H26" i="28"/>
  <c r="E26" i="28"/>
  <c r="M25" i="28"/>
  <c r="I25" i="28"/>
  <c r="H25" i="28"/>
  <c r="E25" i="28"/>
  <c r="L21" i="28"/>
  <c r="Y16" i="28"/>
  <c r="V16" i="28"/>
  <c r="U16" i="28"/>
  <c r="T16" i="28"/>
  <c r="R16" i="28"/>
  <c r="H16" i="28"/>
  <c r="W16" i="28" s="1"/>
  <c r="F16" i="28"/>
  <c r="I16" i="28" s="1"/>
  <c r="M16" i="28" s="1"/>
  <c r="Y15" i="28"/>
  <c r="V15" i="28"/>
  <c r="U15" i="28"/>
  <c r="T15" i="28"/>
  <c r="R15" i="28"/>
  <c r="M15" i="28"/>
  <c r="L15" i="28"/>
  <c r="I15" i="28"/>
  <c r="H15" i="28"/>
  <c r="W15" i="28" s="1"/>
  <c r="F15" i="28"/>
  <c r="V13" i="28"/>
  <c r="U13" i="28"/>
  <c r="T13" i="28"/>
  <c r="R13" i="28"/>
  <c r="L13" i="28"/>
  <c r="H13" i="28"/>
  <c r="Y13" i="28" s="1"/>
  <c r="F13" i="28"/>
  <c r="I13" i="28" s="1"/>
  <c r="M13" i="28" s="1"/>
  <c r="V12" i="28"/>
  <c r="U12" i="28"/>
  <c r="T12" i="28"/>
  <c r="R12" i="28"/>
  <c r="L12" i="28"/>
  <c r="H12" i="28"/>
  <c r="Y12" i="28" s="1"/>
  <c r="F12" i="28"/>
  <c r="I12" i="28" s="1"/>
  <c r="M12" i="28" s="1"/>
  <c r="V14" i="28"/>
  <c r="U14" i="28"/>
  <c r="T14" i="28"/>
  <c r="R14" i="28"/>
  <c r="L14" i="28"/>
  <c r="H14" i="28"/>
  <c r="Y14" i="28" s="1"/>
  <c r="F14" i="28"/>
  <c r="I14" i="28" s="1"/>
  <c r="M14" i="28" s="1"/>
  <c r="R11" i="28"/>
  <c r="L11" i="28"/>
  <c r="V10" i="28"/>
  <c r="U10" i="28"/>
  <c r="T10" i="28"/>
  <c r="R10" i="28"/>
  <c r="L10" i="28"/>
  <c r="H10" i="28"/>
  <c r="Y10" i="28" s="1"/>
  <c r="G10" i="28"/>
  <c r="D10" i="28"/>
  <c r="F10" i="28" s="1"/>
  <c r="V9" i="28"/>
  <c r="U9" i="28"/>
  <c r="T9" i="28"/>
  <c r="R9" i="28"/>
  <c r="L9" i="28"/>
  <c r="H9" i="28"/>
  <c r="J9" i="28" s="1"/>
  <c r="F9" i="28"/>
  <c r="I9" i="28" s="1"/>
  <c r="M9" i="28" s="1"/>
  <c r="V8" i="28"/>
  <c r="U8" i="28"/>
  <c r="T8" i="28"/>
  <c r="R8" i="28"/>
  <c r="L8" i="28"/>
  <c r="H8" i="28"/>
  <c r="W8" i="28" s="1"/>
  <c r="F8" i="28"/>
  <c r="I8" i="28" s="1"/>
  <c r="M8" i="28" s="1"/>
  <c r="V7" i="28"/>
  <c r="U7" i="28"/>
  <c r="T7" i="28"/>
  <c r="R7" i="28"/>
  <c r="L7" i="28"/>
  <c r="G7" i="28"/>
  <c r="G17" i="28" s="1"/>
  <c r="D7" i="28"/>
  <c r="F7" i="28" s="1"/>
  <c r="I51" i="27"/>
  <c r="I20" i="27"/>
  <c r="M47" i="27"/>
  <c r="I47" i="27"/>
  <c r="J47" i="27" s="1"/>
  <c r="H47" i="27"/>
  <c r="E47" i="27"/>
  <c r="M46" i="27"/>
  <c r="I46" i="27"/>
  <c r="J46" i="27" s="1"/>
  <c r="H46" i="27"/>
  <c r="E46" i="27"/>
  <c r="M45" i="27"/>
  <c r="I45" i="27"/>
  <c r="J45" i="27" s="1"/>
  <c r="H45" i="27"/>
  <c r="E45" i="27"/>
  <c r="D45" i="27"/>
  <c r="M44" i="27"/>
  <c r="I44" i="27"/>
  <c r="J44" i="27" s="1"/>
  <c r="H44" i="27"/>
  <c r="E44" i="27"/>
  <c r="M43" i="27"/>
  <c r="H43" i="27"/>
  <c r="F43" i="27"/>
  <c r="I43" i="27" s="1"/>
  <c r="J43" i="27" s="1"/>
  <c r="D43" i="27"/>
  <c r="E43" i="27" s="1"/>
  <c r="M42" i="27"/>
  <c r="F42" i="27"/>
  <c r="I42" i="27" s="1"/>
  <c r="J42" i="27" s="1"/>
  <c r="D42" i="27"/>
  <c r="H42" i="27" s="1"/>
  <c r="M41" i="27"/>
  <c r="F41" i="27"/>
  <c r="I41" i="27" s="1"/>
  <c r="J41" i="27" s="1"/>
  <c r="E41" i="27"/>
  <c r="D41" i="27"/>
  <c r="H41" i="27" s="1"/>
  <c r="M40" i="27"/>
  <c r="I40" i="27"/>
  <c r="J40" i="27" s="1"/>
  <c r="H40" i="27"/>
  <c r="E40" i="27"/>
  <c r="M39" i="27"/>
  <c r="I39" i="27"/>
  <c r="J39" i="27" s="1"/>
  <c r="D39" i="27"/>
  <c r="H39" i="27" s="1"/>
  <c r="M38" i="27"/>
  <c r="I38" i="27"/>
  <c r="J38" i="27" s="1"/>
  <c r="H38" i="27"/>
  <c r="E38" i="27"/>
  <c r="M37" i="27"/>
  <c r="I37" i="27"/>
  <c r="J37" i="27" s="1"/>
  <c r="H37" i="27"/>
  <c r="E37" i="27"/>
  <c r="M36" i="27"/>
  <c r="I36" i="27"/>
  <c r="J36" i="27" s="1"/>
  <c r="H36" i="27"/>
  <c r="E36" i="27"/>
  <c r="M35" i="27"/>
  <c r="I35" i="27"/>
  <c r="J35" i="27" s="1"/>
  <c r="E35" i="27"/>
  <c r="D35" i="27"/>
  <c r="H35" i="27" s="1"/>
  <c r="M34" i="27"/>
  <c r="I34" i="27"/>
  <c r="J34" i="27" s="1"/>
  <c r="F34" i="27"/>
  <c r="E34" i="27" s="1"/>
  <c r="D34" i="27"/>
  <c r="H34" i="27" s="1"/>
  <c r="M33" i="27"/>
  <c r="I33" i="27"/>
  <c r="J33" i="27" s="1"/>
  <c r="F33" i="27"/>
  <c r="E33" i="27" s="1"/>
  <c r="D33" i="27"/>
  <c r="H33" i="27" s="1"/>
  <c r="M32" i="27"/>
  <c r="I32" i="27"/>
  <c r="J32" i="27" s="1"/>
  <c r="E32" i="27"/>
  <c r="D32" i="27"/>
  <c r="H32" i="27" s="1"/>
  <c r="M31" i="27"/>
  <c r="I31" i="27"/>
  <c r="J31" i="27" s="1"/>
  <c r="D31" i="27"/>
  <c r="H31" i="27" s="1"/>
  <c r="M30" i="27"/>
  <c r="I30" i="27"/>
  <c r="J30" i="27" s="1"/>
  <c r="H30" i="27"/>
  <c r="E30" i="27"/>
  <c r="M29" i="27"/>
  <c r="I29" i="27"/>
  <c r="J29" i="27" s="1"/>
  <c r="H29" i="27"/>
  <c r="E29" i="27"/>
  <c r="M28" i="27"/>
  <c r="F28" i="27"/>
  <c r="D28" i="27"/>
  <c r="H28" i="27" s="1"/>
  <c r="M27" i="27"/>
  <c r="I27" i="27"/>
  <c r="J27" i="27" s="1"/>
  <c r="D27" i="27"/>
  <c r="E27" i="27" s="1"/>
  <c r="M26" i="27"/>
  <c r="I26" i="27"/>
  <c r="J26" i="27" s="1"/>
  <c r="H26" i="27"/>
  <c r="E26" i="27"/>
  <c r="M25" i="27"/>
  <c r="I25" i="27"/>
  <c r="H25" i="27"/>
  <c r="E25" i="27"/>
  <c r="L21" i="27"/>
  <c r="V16" i="27"/>
  <c r="U16" i="27"/>
  <c r="T16" i="27"/>
  <c r="R16" i="27"/>
  <c r="H16" i="27"/>
  <c r="Y16" i="27" s="1"/>
  <c r="F16" i="27"/>
  <c r="I16" i="27" s="1"/>
  <c r="M16" i="27" s="1"/>
  <c r="V14" i="27"/>
  <c r="U14" i="27"/>
  <c r="T14" i="27"/>
  <c r="R14" i="27"/>
  <c r="L14" i="27"/>
  <c r="H14" i="27"/>
  <c r="W14" i="27" s="1"/>
  <c r="F14" i="27"/>
  <c r="I14" i="27" s="1"/>
  <c r="M14" i="27" s="1"/>
  <c r="V13" i="27"/>
  <c r="U13" i="27"/>
  <c r="T13" i="27"/>
  <c r="R13" i="27"/>
  <c r="L13" i="27"/>
  <c r="H13" i="27"/>
  <c r="Y13" i="27" s="1"/>
  <c r="F13" i="27"/>
  <c r="I13" i="27" s="1"/>
  <c r="M13" i="27" s="1"/>
  <c r="V12" i="27"/>
  <c r="U12" i="27"/>
  <c r="T12" i="27"/>
  <c r="R12" i="27"/>
  <c r="L12" i="27"/>
  <c r="H12" i="27"/>
  <c r="Y12" i="27" s="1"/>
  <c r="F12" i="27"/>
  <c r="I12" i="27" s="1"/>
  <c r="M12" i="27" s="1"/>
  <c r="V15" i="27"/>
  <c r="U15" i="27"/>
  <c r="T15" i="27"/>
  <c r="R15" i="27"/>
  <c r="L15" i="27"/>
  <c r="H15" i="27"/>
  <c r="Y15" i="27" s="1"/>
  <c r="F15" i="27"/>
  <c r="R11" i="27"/>
  <c r="L11" i="27"/>
  <c r="H11" i="27"/>
  <c r="J11" i="27" s="1"/>
  <c r="F11" i="27"/>
  <c r="V10" i="27"/>
  <c r="U10" i="27"/>
  <c r="T10" i="27"/>
  <c r="R10" i="27"/>
  <c r="L10" i="27"/>
  <c r="H10" i="27"/>
  <c r="W10" i="27" s="1"/>
  <c r="G10" i="27"/>
  <c r="F10" i="27"/>
  <c r="D10" i="27"/>
  <c r="V9" i="27"/>
  <c r="U9" i="27"/>
  <c r="T9" i="27"/>
  <c r="R9" i="27"/>
  <c r="L9" i="27"/>
  <c r="H9" i="27"/>
  <c r="Y9" i="27" s="1"/>
  <c r="F9" i="27"/>
  <c r="I9" i="27" s="1"/>
  <c r="M9" i="27" s="1"/>
  <c r="V8" i="27"/>
  <c r="U8" i="27"/>
  <c r="T8" i="27"/>
  <c r="R8" i="27"/>
  <c r="L8" i="27"/>
  <c r="H8" i="27"/>
  <c r="W8" i="27" s="1"/>
  <c r="F8" i="27"/>
  <c r="I8" i="27" s="1"/>
  <c r="M8" i="27" s="1"/>
  <c r="V7" i="27"/>
  <c r="U7" i="27"/>
  <c r="T7" i="27"/>
  <c r="R7" i="27"/>
  <c r="L7" i="27"/>
  <c r="G7" i="27"/>
  <c r="G17" i="27" s="1"/>
  <c r="D7" i="27"/>
  <c r="F7" i="27" s="1"/>
  <c r="I20" i="26"/>
  <c r="M47" i="26"/>
  <c r="J47" i="26"/>
  <c r="I47" i="26"/>
  <c r="H47" i="26"/>
  <c r="E47" i="26"/>
  <c r="M46" i="26"/>
  <c r="I46" i="26"/>
  <c r="J46" i="26" s="1"/>
  <c r="H46" i="26"/>
  <c r="E46" i="26"/>
  <c r="M45" i="26"/>
  <c r="I45" i="26"/>
  <c r="J45" i="26" s="1"/>
  <c r="D45" i="26"/>
  <c r="H45" i="26" s="1"/>
  <c r="M44" i="26"/>
  <c r="I44" i="26"/>
  <c r="J44" i="26" s="1"/>
  <c r="H44" i="26"/>
  <c r="E44" i="26"/>
  <c r="M43" i="26"/>
  <c r="J43" i="26"/>
  <c r="I43" i="26"/>
  <c r="H43" i="26"/>
  <c r="F43" i="26"/>
  <c r="E43" i="26" s="1"/>
  <c r="D43" i="26"/>
  <c r="M42" i="26"/>
  <c r="I42" i="26"/>
  <c r="J42" i="26" s="1"/>
  <c r="F42" i="26"/>
  <c r="D42" i="26"/>
  <c r="H42" i="26" s="1"/>
  <c r="M41" i="26"/>
  <c r="F41" i="26"/>
  <c r="I41" i="26" s="1"/>
  <c r="J41" i="26" s="1"/>
  <c r="E41" i="26"/>
  <c r="D41" i="26"/>
  <c r="H41" i="26" s="1"/>
  <c r="M40" i="26"/>
  <c r="J40" i="26"/>
  <c r="I40" i="26"/>
  <c r="H40" i="26"/>
  <c r="E40" i="26"/>
  <c r="M39" i="26"/>
  <c r="J39" i="26"/>
  <c r="I39" i="26"/>
  <c r="D39" i="26"/>
  <c r="H39" i="26" s="1"/>
  <c r="M38" i="26"/>
  <c r="J38" i="26"/>
  <c r="I38" i="26"/>
  <c r="H38" i="26"/>
  <c r="E38" i="26"/>
  <c r="M37" i="26"/>
  <c r="I37" i="26"/>
  <c r="J37" i="26" s="1"/>
  <c r="H37" i="26"/>
  <c r="E37" i="26"/>
  <c r="M36" i="26"/>
  <c r="J36" i="26"/>
  <c r="I36" i="26"/>
  <c r="H36" i="26"/>
  <c r="E36" i="26"/>
  <c r="M35" i="26"/>
  <c r="I35" i="26"/>
  <c r="J35" i="26" s="1"/>
  <c r="H35" i="26"/>
  <c r="E35" i="26"/>
  <c r="D35" i="26"/>
  <c r="M34" i="26"/>
  <c r="H34" i="26"/>
  <c r="F34" i="26"/>
  <c r="E34" i="26" s="1"/>
  <c r="D34" i="26"/>
  <c r="M33" i="26"/>
  <c r="J33" i="26"/>
  <c r="I33" i="26"/>
  <c r="H33" i="26"/>
  <c r="F33" i="26"/>
  <c r="E33" i="26" s="1"/>
  <c r="D33" i="26"/>
  <c r="M32" i="26"/>
  <c r="I32" i="26"/>
  <c r="J32" i="26" s="1"/>
  <c r="D32" i="26"/>
  <c r="H32" i="26" s="1"/>
  <c r="M31" i="26"/>
  <c r="I31" i="26"/>
  <c r="J31" i="26" s="1"/>
  <c r="D31" i="26"/>
  <c r="H31" i="26" s="1"/>
  <c r="M30" i="26"/>
  <c r="I30" i="26"/>
  <c r="J30" i="26" s="1"/>
  <c r="H30" i="26"/>
  <c r="E30" i="26"/>
  <c r="M29" i="26"/>
  <c r="J29" i="26"/>
  <c r="I29" i="26"/>
  <c r="H29" i="26"/>
  <c r="E29" i="26"/>
  <c r="M28" i="26"/>
  <c r="H28" i="26"/>
  <c r="F28" i="26"/>
  <c r="E28" i="26" s="1"/>
  <c r="D28" i="26"/>
  <c r="M27" i="26"/>
  <c r="J27" i="26"/>
  <c r="I27" i="26"/>
  <c r="H27" i="26"/>
  <c r="E27" i="26"/>
  <c r="D27" i="26"/>
  <c r="M26" i="26"/>
  <c r="J26" i="26"/>
  <c r="I26" i="26"/>
  <c r="H26" i="26"/>
  <c r="E26" i="26"/>
  <c r="M25" i="26"/>
  <c r="I25" i="26"/>
  <c r="H25" i="26"/>
  <c r="E25" i="26"/>
  <c r="L21" i="26"/>
  <c r="Y16" i="26"/>
  <c r="W16" i="26"/>
  <c r="V16" i="26"/>
  <c r="U16" i="26"/>
  <c r="T16" i="26"/>
  <c r="R16" i="26"/>
  <c r="J16" i="26"/>
  <c r="H16" i="26"/>
  <c r="F16" i="26"/>
  <c r="I16" i="26" s="1"/>
  <c r="M16" i="26" s="1"/>
  <c r="W14" i="26"/>
  <c r="V14" i="26"/>
  <c r="U14" i="26"/>
  <c r="T14" i="26"/>
  <c r="R14" i="26"/>
  <c r="L14" i="26"/>
  <c r="J14" i="26"/>
  <c r="H14" i="26"/>
  <c r="Y14" i="26" s="1"/>
  <c r="F14" i="26"/>
  <c r="I14" i="26" s="1"/>
  <c r="M14" i="26" s="1"/>
  <c r="V15" i="26"/>
  <c r="U15" i="26"/>
  <c r="T15" i="26"/>
  <c r="R15" i="26"/>
  <c r="L15" i="26"/>
  <c r="H15" i="26"/>
  <c r="Y15" i="26" s="1"/>
  <c r="F15" i="26"/>
  <c r="I15" i="26" s="1"/>
  <c r="M15" i="26" s="1"/>
  <c r="Y13" i="26"/>
  <c r="V13" i="26"/>
  <c r="U13" i="26"/>
  <c r="T13" i="26"/>
  <c r="R13" i="26"/>
  <c r="L13" i="26"/>
  <c r="H13" i="26"/>
  <c r="W13" i="26" s="1"/>
  <c r="F13" i="26"/>
  <c r="I13" i="26" s="1"/>
  <c r="M13" i="26" s="1"/>
  <c r="V12" i="26"/>
  <c r="U12" i="26"/>
  <c r="T12" i="26"/>
  <c r="R12" i="26"/>
  <c r="L12" i="26"/>
  <c r="H12" i="26"/>
  <c r="Y12" i="26" s="1"/>
  <c r="F12" i="26"/>
  <c r="R11" i="26"/>
  <c r="L11" i="26"/>
  <c r="H11" i="26"/>
  <c r="J11" i="26" s="1"/>
  <c r="F11" i="26"/>
  <c r="V10" i="26"/>
  <c r="U10" i="26"/>
  <c r="T10" i="26"/>
  <c r="R10" i="26"/>
  <c r="L10" i="26"/>
  <c r="H10" i="26"/>
  <c r="W10" i="26" s="1"/>
  <c r="G10" i="26"/>
  <c r="F10" i="26"/>
  <c r="D10" i="26"/>
  <c r="V9" i="26"/>
  <c r="U9" i="26"/>
  <c r="T9" i="26"/>
  <c r="R9" i="26"/>
  <c r="L9" i="26"/>
  <c r="H9" i="26"/>
  <c r="J9" i="26" s="1"/>
  <c r="F9" i="26"/>
  <c r="I9" i="26" s="1"/>
  <c r="M9" i="26" s="1"/>
  <c r="V8" i="26"/>
  <c r="U8" i="26"/>
  <c r="T8" i="26"/>
  <c r="R8" i="26"/>
  <c r="L8" i="26"/>
  <c r="H8" i="26"/>
  <c r="Y8" i="26" s="1"/>
  <c r="F8" i="26"/>
  <c r="I8" i="26" s="1"/>
  <c r="M8" i="26" s="1"/>
  <c r="V7" i="26"/>
  <c r="U7" i="26"/>
  <c r="T7" i="26"/>
  <c r="R7" i="26"/>
  <c r="L7" i="26"/>
  <c r="G7" i="26"/>
  <c r="G17" i="26" s="1"/>
  <c r="D7" i="26"/>
  <c r="F7" i="26" s="1"/>
  <c r="I20" i="25"/>
  <c r="M47" i="25"/>
  <c r="I47" i="25"/>
  <c r="J47" i="25" s="1"/>
  <c r="H47" i="25"/>
  <c r="E47" i="25"/>
  <c r="M46" i="25"/>
  <c r="I46" i="25"/>
  <c r="J46" i="25" s="1"/>
  <c r="H46" i="25"/>
  <c r="E46" i="25"/>
  <c r="M45" i="25"/>
  <c r="J45" i="25"/>
  <c r="I45" i="25"/>
  <c r="D45" i="25"/>
  <c r="H45" i="25" s="1"/>
  <c r="M44" i="25"/>
  <c r="J44" i="25"/>
  <c r="I44" i="25"/>
  <c r="H44" i="25"/>
  <c r="E44" i="25"/>
  <c r="M43" i="25"/>
  <c r="I43" i="25"/>
  <c r="J43" i="25" s="1"/>
  <c r="F43" i="25"/>
  <c r="E43" i="25" s="1"/>
  <c r="D43" i="25"/>
  <c r="H43" i="25" s="1"/>
  <c r="M42" i="25"/>
  <c r="J42" i="25"/>
  <c r="I42" i="25"/>
  <c r="H42" i="25"/>
  <c r="F42" i="25"/>
  <c r="E42" i="25"/>
  <c r="D42" i="25"/>
  <c r="M41" i="25"/>
  <c r="F41" i="25"/>
  <c r="I41" i="25" s="1"/>
  <c r="J41" i="25" s="1"/>
  <c r="D41" i="25"/>
  <c r="H41" i="25" s="1"/>
  <c r="M40" i="25"/>
  <c r="J40" i="25"/>
  <c r="I40" i="25"/>
  <c r="H40" i="25"/>
  <c r="E40" i="25"/>
  <c r="M39" i="25"/>
  <c r="J39" i="25"/>
  <c r="I39" i="25"/>
  <c r="H39" i="25"/>
  <c r="E39" i="25"/>
  <c r="D39" i="25"/>
  <c r="M38" i="25"/>
  <c r="J38" i="25"/>
  <c r="I38" i="25"/>
  <c r="H38" i="25"/>
  <c r="E38" i="25"/>
  <c r="M37" i="25"/>
  <c r="J37" i="25"/>
  <c r="I37" i="25"/>
  <c r="H37" i="25"/>
  <c r="E37" i="25"/>
  <c r="M36" i="25"/>
  <c r="I36" i="25"/>
  <c r="J36" i="25" s="1"/>
  <c r="H36" i="25"/>
  <c r="E36" i="25"/>
  <c r="M35" i="25"/>
  <c r="J35" i="25"/>
  <c r="I35" i="25"/>
  <c r="H35" i="25"/>
  <c r="E35" i="25"/>
  <c r="D35" i="25"/>
  <c r="M34" i="25"/>
  <c r="H34" i="25"/>
  <c r="F34" i="25"/>
  <c r="E34" i="25" s="1"/>
  <c r="D34" i="25"/>
  <c r="M33" i="25"/>
  <c r="I33" i="25"/>
  <c r="J33" i="25" s="1"/>
  <c r="F33" i="25"/>
  <c r="D33" i="25"/>
  <c r="H33" i="25" s="1"/>
  <c r="M32" i="25"/>
  <c r="J32" i="25"/>
  <c r="I32" i="25"/>
  <c r="D32" i="25"/>
  <c r="H32" i="25" s="1"/>
  <c r="M31" i="25"/>
  <c r="J31" i="25"/>
  <c r="I31" i="25"/>
  <c r="D31" i="25"/>
  <c r="H31" i="25" s="1"/>
  <c r="M30" i="25"/>
  <c r="J30" i="25"/>
  <c r="I30" i="25"/>
  <c r="H30" i="25"/>
  <c r="E30" i="25"/>
  <c r="M29" i="25"/>
  <c r="I29" i="25"/>
  <c r="J29" i="25" s="1"/>
  <c r="H29" i="25"/>
  <c r="E29" i="25"/>
  <c r="M28" i="25"/>
  <c r="H28" i="25"/>
  <c r="F28" i="25"/>
  <c r="E28" i="25" s="1"/>
  <c r="D28" i="25"/>
  <c r="M27" i="25"/>
  <c r="I27" i="25"/>
  <c r="J27" i="25" s="1"/>
  <c r="H27" i="25"/>
  <c r="D27" i="25"/>
  <c r="E27" i="25" s="1"/>
  <c r="M26" i="25"/>
  <c r="I26" i="25"/>
  <c r="J26" i="25" s="1"/>
  <c r="H26" i="25"/>
  <c r="E26" i="25"/>
  <c r="M25" i="25"/>
  <c r="J25" i="25"/>
  <c r="I25" i="25"/>
  <c r="H25" i="25"/>
  <c r="E25" i="25"/>
  <c r="L21" i="25"/>
  <c r="W16" i="25"/>
  <c r="V16" i="25"/>
  <c r="U16" i="25"/>
  <c r="T16" i="25"/>
  <c r="R16" i="25"/>
  <c r="J16" i="25"/>
  <c r="H16" i="25"/>
  <c r="Y16" i="25" s="1"/>
  <c r="F16" i="25"/>
  <c r="I16" i="25" s="1"/>
  <c r="M16" i="25" s="1"/>
  <c r="W15" i="25"/>
  <c r="V15" i="25"/>
  <c r="U15" i="25"/>
  <c r="T15" i="25"/>
  <c r="R15" i="25"/>
  <c r="L15" i="25"/>
  <c r="J15" i="25"/>
  <c r="H15" i="25"/>
  <c r="Y15" i="25" s="1"/>
  <c r="F15" i="25"/>
  <c r="V14" i="25"/>
  <c r="U14" i="25"/>
  <c r="T14" i="25"/>
  <c r="R14" i="25"/>
  <c r="L14" i="25"/>
  <c r="H14" i="25"/>
  <c r="W14" i="25" s="1"/>
  <c r="F14" i="25"/>
  <c r="I14" i="25" s="1"/>
  <c r="M14" i="25" s="1"/>
  <c r="Y13" i="25"/>
  <c r="W13" i="25"/>
  <c r="V13" i="25"/>
  <c r="U13" i="25"/>
  <c r="T13" i="25"/>
  <c r="R13" i="25"/>
  <c r="L13" i="25"/>
  <c r="J13" i="25"/>
  <c r="H13" i="25"/>
  <c r="F13" i="25"/>
  <c r="I13" i="25" s="1"/>
  <c r="M13" i="25" s="1"/>
  <c r="V12" i="25"/>
  <c r="U12" i="25"/>
  <c r="T12" i="25"/>
  <c r="R12" i="25"/>
  <c r="L12" i="25"/>
  <c r="J12" i="25"/>
  <c r="H12" i="25"/>
  <c r="Y12" i="25" s="1"/>
  <c r="F12" i="25"/>
  <c r="R11" i="25"/>
  <c r="L11" i="25"/>
  <c r="H11" i="25"/>
  <c r="J11" i="25" s="1"/>
  <c r="F11" i="25"/>
  <c r="I11" i="25" s="1"/>
  <c r="M11" i="25" s="1"/>
  <c r="V10" i="25"/>
  <c r="U10" i="25"/>
  <c r="T10" i="25"/>
  <c r="R10" i="25"/>
  <c r="L10" i="25"/>
  <c r="G10" i="25"/>
  <c r="H10" i="25" s="1"/>
  <c r="D10" i="25"/>
  <c r="F10" i="25" s="1"/>
  <c r="Y9" i="25"/>
  <c r="V9" i="25"/>
  <c r="U9" i="25"/>
  <c r="T9" i="25"/>
  <c r="R9" i="25"/>
  <c r="L9" i="25"/>
  <c r="H9" i="25"/>
  <c r="J9" i="25" s="1"/>
  <c r="F9" i="25"/>
  <c r="I9" i="25" s="1"/>
  <c r="M9" i="25" s="1"/>
  <c r="V8" i="25"/>
  <c r="U8" i="25"/>
  <c r="T8" i="25"/>
  <c r="R8" i="25"/>
  <c r="L8" i="25"/>
  <c r="J8" i="25"/>
  <c r="H8" i="25"/>
  <c r="Y8" i="25" s="1"/>
  <c r="F8" i="25"/>
  <c r="V7" i="25"/>
  <c r="U7" i="25"/>
  <c r="T7" i="25"/>
  <c r="R7" i="25"/>
  <c r="L7" i="25"/>
  <c r="H7" i="25"/>
  <c r="Y7" i="25" s="1"/>
  <c r="G7" i="25"/>
  <c r="G17" i="25" s="1"/>
  <c r="D7" i="25"/>
  <c r="F7" i="25" s="1"/>
  <c r="M45" i="24"/>
  <c r="M46" i="24"/>
  <c r="M47" i="24"/>
  <c r="H45" i="24"/>
  <c r="I45" i="24"/>
  <c r="J45" i="24"/>
  <c r="H46" i="24"/>
  <c r="I46" i="24"/>
  <c r="J46" i="24"/>
  <c r="H47" i="24"/>
  <c r="I47" i="24"/>
  <c r="J47" i="24"/>
  <c r="E45" i="24"/>
  <c r="E46" i="24"/>
  <c r="E47" i="24"/>
  <c r="D45" i="24"/>
  <c r="I20" i="24"/>
  <c r="G18" i="46" l="1"/>
  <c r="I21" i="46"/>
  <c r="Z14" i="46"/>
  <c r="Z12" i="46"/>
  <c r="Z9" i="46"/>
  <c r="Z11" i="46"/>
  <c r="Z10" i="46"/>
  <c r="Z8" i="46"/>
  <c r="Z15" i="46"/>
  <c r="Z16" i="46"/>
  <c r="Z13" i="46"/>
  <c r="Z12" i="45"/>
  <c r="G18" i="45"/>
  <c r="Z13" i="45"/>
  <c r="Z8" i="45"/>
  <c r="Z11" i="45"/>
  <c r="Z10" i="45"/>
  <c r="Z16" i="45"/>
  <c r="Z9" i="45"/>
  <c r="Z15" i="45"/>
  <c r="Z7" i="45"/>
  <c r="Z14" i="45"/>
  <c r="Y7" i="45"/>
  <c r="W7" i="45"/>
  <c r="J7" i="45"/>
  <c r="I61" i="45"/>
  <c r="M14" i="45"/>
  <c r="I17" i="45"/>
  <c r="Z13" i="44"/>
  <c r="Z12" i="44"/>
  <c r="Z7" i="44"/>
  <c r="M7" i="44"/>
  <c r="I17" i="44"/>
  <c r="I21" i="44"/>
  <c r="G18" i="44"/>
  <c r="Z10" i="44"/>
  <c r="Z14" i="44"/>
  <c r="Z9" i="44"/>
  <c r="Z11" i="44"/>
  <c r="Z15" i="44"/>
  <c r="Z8" i="44"/>
  <c r="I61" i="44"/>
  <c r="Z14" i="43"/>
  <c r="Z12" i="43"/>
  <c r="Z13" i="43"/>
  <c r="Z10" i="43"/>
  <c r="Y7" i="43"/>
  <c r="W7" i="43"/>
  <c r="J7" i="43"/>
  <c r="M7" i="43"/>
  <c r="I17" i="43"/>
  <c r="I21" i="43"/>
  <c r="Z16" i="43"/>
  <c r="G18" i="43"/>
  <c r="I61" i="43"/>
  <c r="Z8" i="43"/>
  <c r="Z15" i="43"/>
  <c r="Z7" i="43"/>
  <c r="Z9" i="43"/>
  <c r="Z7" i="42"/>
  <c r="Z13" i="42"/>
  <c r="Z16" i="42"/>
  <c r="Z8" i="42"/>
  <c r="Z15" i="42"/>
  <c r="Z14" i="42"/>
  <c r="Z11" i="42"/>
  <c r="Z9" i="42"/>
  <c r="I21" i="42"/>
  <c r="G18" i="42"/>
  <c r="I17" i="42"/>
  <c r="M7" i="42"/>
  <c r="Z10" i="42"/>
  <c r="Z7" i="41"/>
  <c r="Z10" i="41"/>
  <c r="Z14" i="41"/>
  <c r="Z15" i="41"/>
  <c r="Z13" i="41"/>
  <c r="Z11" i="41"/>
  <c r="Z9" i="41"/>
  <c r="I17" i="41"/>
  <c r="M7" i="41"/>
  <c r="I21" i="41"/>
  <c r="G18" i="41"/>
  <c r="Z16" i="41"/>
  <c r="Z8" i="41"/>
  <c r="G18" i="40"/>
  <c r="I21" i="40"/>
  <c r="Z16" i="40"/>
  <c r="Z15" i="40"/>
  <c r="Z12" i="40"/>
  <c r="Z10" i="40"/>
  <c r="I9" i="40"/>
  <c r="M9" i="40" s="1"/>
  <c r="Z9" i="40"/>
  <c r="Z13" i="40"/>
  <c r="Z7" i="40"/>
  <c r="Z11" i="40"/>
  <c r="Z14" i="40"/>
  <c r="I17" i="40"/>
  <c r="Z15" i="39"/>
  <c r="Z8" i="39"/>
  <c r="Z14" i="39"/>
  <c r="Z11" i="39"/>
  <c r="Z7" i="39"/>
  <c r="Z10" i="39"/>
  <c r="Z9" i="39"/>
  <c r="Z13" i="39"/>
  <c r="I17" i="39"/>
  <c r="M7" i="39"/>
  <c r="G18" i="39"/>
  <c r="I21" i="39"/>
  <c r="Z16" i="39"/>
  <c r="I21" i="38"/>
  <c r="Z16" i="38"/>
  <c r="Z9" i="38"/>
  <c r="G18" i="38"/>
  <c r="Z13" i="38"/>
  <c r="Z10" i="38"/>
  <c r="I61" i="38"/>
  <c r="Z11" i="38"/>
  <c r="M7" i="38"/>
  <c r="I17" i="38"/>
  <c r="Z15" i="38"/>
  <c r="Z12" i="38"/>
  <c r="Z7" i="38"/>
  <c r="Z8" i="38"/>
  <c r="Z14" i="38"/>
  <c r="I21" i="37"/>
  <c r="Z16" i="37"/>
  <c r="G18" i="37"/>
  <c r="Z9" i="37"/>
  <c r="Z8" i="37"/>
  <c r="Z11" i="37"/>
  <c r="Z14" i="37"/>
  <c r="Z13" i="37"/>
  <c r="Z7" i="37"/>
  <c r="Z12" i="37"/>
  <c r="Z15" i="37"/>
  <c r="Z10" i="37"/>
  <c r="I17" i="37"/>
  <c r="M7" i="37"/>
  <c r="I61" i="37"/>
  <c r="Z9" i="36"/>
  <c r="Z11" i="36"/>
  <c r="Z12" i="36"/>
  <c r="Z7" i="36"/>
  <c r="Z14" i="36"/>
  <c r="I21" i="36"/>
  <c r="G18" i="36"/>
  <c r="Z10" i="36"/>
  <c r="J28" i="36"/>
  <c r="I17" i="36"/>
  <c r="Z8" i="36"/>
  <c r="Z15" i="36"/>
  <c r="Z16" i="36"/>
  <c r="Z11" i="35"/>
  <c r="Z7" i="35"/>
  <c r="Z9" i="35"/>
  <c r="Z15" i="35"/>
  <c r="I17" i="35"/>
  <c r="M7" i="35"/>
  <c r="Z10" i="35"/>
  <c r="I56" i="35"/>
  <c r="Y7" i="35"/>
  <c r="W7" i="35"/>
  <c r="J7" i="35"/>
  <c r="G18" i="35"/>
  <c r="I21" i="35"/>
  <c r="Z16" i="35"/>
  <c r="Z14" i="35"/>
  <c r="Z13" i="35"/>
  <c r="Z14" i="34"/>
  <c r="Z15" i="34"/>
  <c r="Z12" i="34"/>
  <c r="Z11" i="34"/>
  <c r="Z10" i="34"/>
  <c r="Z13" i="34"/>
  <c r="I21" i="34"/>
  <c r="Z16" i="34"/>
  <c r="G18" i="34"/>
  <c r="Z8" i="34"/>
  <c r="I17" i="34"/>
  <c r="M7" i="34"/>
  <c r="Z7" i="34"/>
  <c r="J10" i="33"/>
  <c r="W10" i="33"/>
  <c r="I9" i="33"/>
  <c r="M9" i="33" s="1"/>
  <c r="Y9" i="33"/>
  <c r="W9" i="33"/>
  <c r="J9" i="33"/>
  <c r="I7" i="33"/>
  <c r="F17" i="33"/>
  <c r="F19" i="33" s="1"/>
  <c r="Z10" i="33" s="1"/>
  <c r="Y7" i="33"/>
  <c r="W7" i="33"/>
  <c r="J7" i="33"/>
  <c r="J26" i="33"/>
  <c r="E41" i="33"/>
  <c r="Y8" i="33"/>
  <c r="Y15" i="33"/>
  <c r="Y16" i="33"/>
  <c r="I10" i="33"/>
  <c r="M10" i="33" s="1"/>
  <c r="I13" i="33"/>
  <c r="M13" i="33" s="1"/>
  <c r="E31" i="33"/>
  <c r="E32" i="33"/>
  <c r="E45" i="33"/>
  <c r="Y12" i="33"/>
  <c r="J8" i="33"/>
  <c r="J15" i="33"/>
  <c r="J16" i="33"/>
  <c r="F17" i="32"/>
  <c r="F19" i="32" s="1"/>
  <c r="Z10" i="32" s="1"/>
  <c r="Z8" i="32"/>
  <c r="Z16" i="32"/>
  <c r="Z14" i="32"/>
  <c r="Z15" i="32"/>
  <c r="Z11" i="32"/>
  <c r="Z12" i="32"/>
  <c r="G18" i="32"/>
  <c r="Z9" i="32"/>
  <c r="I9" i="32"/>
  <c r="M9" i="32" s="1"/>
  <c r="Z13" i="32"/>
  <c r="Z7" i="32"/>
  <c r="I28" i="32"/>
  <c r="J28" i="32" s="1"/>
  <c r="I34" i="32"/>
  <c r="J34" i="32" s="1"/>
  <c r="E41" i="32"/>
  <c r="I51" i="32"/>
  <c r="J51" i="32" s="1"/>
  <c r="H7" i="32"/>
  <c r="J9" i="32"/>
  <c r="I10" i="32"/>
  <c r="M10" i="32" s="1"/>
  <c r="I13" i="32"/>
  <c r="M13" i="32" s="1"/>
  <c r="J25" i="32"/>
  <c r="E39" i="32"/>
  <c r="I7" i="32"/>
  <c r="W9" i="32"/>
  <c r="W12" i="32"/>
  <c r="W10" i="31"/>
  <c r="I7" i="31"/>
  <c r="J10" i="31"/>
  <c r="I11" i="31"/>
  <c r="M11" i="31" s="1"/>
  <c r="J13" i="31"/>
  <c r="I14" i="31"/>
  <c r="M14" i="31" s="1"/>
  <c r="F17" i="31"/>
  <c r="F19" i="31" s="1"/>
  <c r="Z11" i="31" s="1"/>
  <c r="E31" i="31"/>
  <c r="E32" i="31"/>
  <c r="E33" i="31"/>
  <c r="E43" i="31"/>
  <c r="E45" i="31"/>
  <c r="J7" i="31"/>
  <c r="J11" i="31"/>
  <c r="I12" i="31"/>
  <c r="M12" i="31" s="1"/>
  <c r="W13" i="31"/>
  <c r="J14" i="31"/>
  <c r="I15" i="31"/>
  <c r="M15" i="31" s="1"/>
  <c r="I41" i="31"/>
  <c r="J41" i="31" s="1"/>
  <c r="W7" i="31"/>
  <c r="W11" i="31"/>
  <c r="W14" i="31"/>
  <c r="J16" i="31"/>
  <c r="W16" i="31"/>
  <c r="E51" i="30"/>
  <c r="I9" i="30"/>
  <c r="M9" i="30" s="1"/>
  <c r="E43" i="30"/>
  <c r="J8" i="30"/>
  <c r="H12" i="30"/>
  <c r="W12" i="30" s="1"/>
  <c r="J13" i="30"/>
  <c r="J11" i="30"/>
  <c r="Y11" i="30"/>
  <c r="W16" i="30"/>
  <c r="J14" i="30"/>
  <c r="Y14" i="30"/>
  <c r="J16" i="30"/>
  <c r="E33" i="30"/>
  <c r="I42" i="30"/>
  <c r="J42" i="30" s="1"/>
  <c r="Y9" i="30"/>
  <c r="W9" i="30"/>
  <c r="J9" i="30"/>
  <c r="F17" i="30"/>
  <c r="F19" i="30" s="1"/>
  <c r="Z9" i="30" s="1"/>
  <c r="I7" i="30"/>
  <c r="J12" i="30"/>
  <c r="W7" i="30"/>
  <c r="I12" i="30"/>
  <c r="M12" i="30" s="1"/>
  <c r="W10" i="30"/>
  <c r="Y7" i="30"/>
  <c r="G17" i="30"/>
  <c r="Y8" i="30"/>
  <c r="Y13" i="30"/>
  <c r="J15" i="30"/>
  <c r="I16" i="30"/>
  <c r="M16" i="30" s="1"/>
  <c r="W15" i="30"/>
  <c r="E41" i="30"/>
  <c r="J10" i="30"/>
  <c r="J25" i="30"/>
  <c r="E39" i="30"/>
  <c r="W14" i="29"/>
  <c r="J14" i="29"/>
  <c r="W7" i="29"/>
  <c r="J7" i="29"/>
  <c r="Y7" i="29"/>
  <c r="Y10" i="29"/>
  <c r="W10" i="29"/>
  <c r="J10" i="29"/>
  <c r="Y11" i="29"/>
  <c r="W11" i="29"/>
  <c r="J11" i="29"/>
  <c r="E35" i="29"/>
  <c r="F11" i="29"/>
  <c r="F17" i="29" s="1"/>
  <c r="F19" i="29" s="1"/>
  <c r="W15" i="29"/>
  <c r="J16" i="29"/>
  <c r="W16" i="29"/>
  <c r="I33" i="29"/>
  <c r="J33" i="29" s="1"/>
  <c r="I43" i="29"/>
  <c r="J43" i="29" s="1"/>
  <c r="G17" i="29"/>
  <c r="J15" i="29"/>
  <c r="I7" i="29"/>
  <c r="I16" i="29"/>
  <c r="M16" i="29" s="1"/>
  <c r="J25" i="29"/>
  <c r="J13" i="28"/>
  <c r="W13" i="28"/>
  <c r="Y9" i="28"/>
  <c r="Y8" i="28"/>
  <c r="W9" i="28"/>
  <c r="H11" i="28"/>
  <c r="J11" i="28" s="1"/>
  <c r="J14" i="28"/>
  <c r="W14" i="28"/>
  <c r="I7" i="28"/>
  <c r="F17" i="28"/>
  <c r="F19" i="28" s="1"/>
  <c r="Z7" i="28" s="1"/>
  <c r="I10" i="28"/>
  <c r="M10" i="28" s="1"/>
  <c r="I51" i="28"/>
  <c r="H7" i="28"/>
  <c r="J25" i="28"/>
  <c r="E39" i="28"/>
  <c r="E42" i="28"/>
  <c r="E43" i="28"/>
  <c r="J10" i="28"/>
  <c r="I11" i="28"/>
  <c r="M11" i="28" s="1"/>
  <c r="J12" i="28"/>
  <c r="W10" i="28"/>
  <c r="W12" i="28"/>
  <c r="E27" i="28"/>
  <c r="E28" i="28"/>
  <c r="E34" i="28"/>
  <c r="J8" i="28"/>
  <c r="J15" i="28"/>
  <c r="E35" i="28"/>
  <c r="J16" i="28"/>
  <c r="J8" i="27"/>
  <c r="Y8" i="27"/>
  <c r="Y10" i="27"/>
  <c r="J14" i="27"/>
  <c r="Y14" i="27"/>
  <c r="J15" i="27"/>
  <c r="W15" i="27"/>
  <c r="J9" i="27"/>
  <c r="W9" i="27"/>
  <c r="Y11" i="27"/>
  <c r="W13" i="27"/>
  <c r="W16" i="27"/>
  <c r="E28" i="27"/>
  <c r="J16" i="27"/>
  <c r="H27" i="27"/>
  <c r="I28" i="27"/>
  <c r="J28" i="27" s="1"/>
  <c r="E31" i="27"/>
  <c r="F17" i="27"/>
  <c r="F19" i="27" s="1"/>
  <c r="Z10" i="27" s="1"/>
  <c r="I7" i="27"/>
  <c r="H7" i="27"/>
  <c r="I10" i="27"/>
  <c r="M10" i="27" s="1"/>
  <c r="W11" i="27"/>
  <c r="J25" i="27"/>
  <c r="E39" i="27"/>
  <c r="E42" i="27"/>
  <c r="I15" i="27"/>
  <c r="M15" i="27" s="1"/>
  <c r="J10" i="27"/>
  <c r="I11" i="27"/>
  <c r="M11" i="27" s="1"/>
  <c r="J12" i="27"/>
  <c r="W12" i="27"/>
  <c r="J13" i="27"/>
  <c r="W9" i="26"/>
  <c r="J12" i="26"/>
  <c r="J8" i="26"/>
  <c r="W8" i="26"/>
  <c r="Y10" i="26"/>
  <c r="Y9" i="26"/>
  <c r="W15" i="26"/>
  <c r="F17" i="26"/>
  <c r="F19" i="26" s="1"/>
  <c r="Z10" i="26" s="1"/>
  <c r="I7" i="26"/>
  <c r="I48" i="26"/>
  <c r="I12" i="26"/>
  <c r="M12" i="26" s="1"/>
  <c r="I28" i="26"/>
  <c r="J28" i="26" s="1"/>
  <c r="I34" i="26"/>
  <c r="J34" i="26" s="1"/>
  <c r="H7" i="26"/>
  <c r="I10" i="26"/>
  <c r="M10" i="26" s="1"/>
  <c r="W11" i="26"/>
  <c r="J25" i="26"/>
  <c r="E39" i="26"/>
  <c r="E42" i="26"/>
  <c r="J10" i="26"/>
  <c r="I11" i="26"/>
  <c r="M11" i="26" s="1"/>
  <c r="Y11" i="26"/>
  <c r="W12" i="26"/>
  <c r="J13" i="26"/>
  <c r="E31" i="26"/>
  <c r="E32" i="26"/>
  <c r="E45" i="26"/>
  <c r="J15" i="26"/>
  <c r="I10" i="25"/>
  <c r="M10" i="25" s="1"/>
  <c r="Y10" i="25"/>
  <c r="W10" i="25"/>
  <c r="J10" i="25"/>
  <c r="F17" i="25"/>
  <c r="F19" i="25" s="1"/>
  <c r="Z8" i="25" s="1"/>
  <c r="I7" i="25"/>
  <c r="W8" i="25"/>
  <c r="Y14" i="25"/>
  <c r="W9" i="25"/>
  <c r="I12" i="25"/>
  <c r="M12" i="25" s="1"/>
  <c r="I28" i="25"/>
  <c r="J28" i="25" s="1"/>
  <c r="I34" i="25"/>
  <c r="J34" i="25" s="1"/>
  <c r="E41" i="25"/>
  <c r="Y11" i="25"/>
  <c r="W12" i="25"/>
  <c r="E31" i="25"/>
  <c r="E32" i="25"/>
  <c r="E33" i="25"/>
  <c r="E45" i="25"/>
  <c r="W11" i="25"/>
  <c r="J7" i="25"/>
  <c r="I8" i="25"/>
  <c r="M8" i="25" s="1"/>
  <c r="J14" i="25"/>
  <c r="I15" i="25"/>
  <c r="M15" i="25" s="1"/>
  <c r="W7" i="25"/>
  <c r="M44" i="24"/>
  <c r="I44" i="24"/>
  <c r="J44" i="24" s="1"/>
  <c r="H44" i="24"/>
  <c r="E44" i="24"/>
  <c r="M43" i="24"/>
  <c r="I43" i="24"/>
  <c r="J43" i="24" s="1"/>
  <c r="F43" i="24"/>
  <c r="E43" i="24" s="1"/>
  <c r="D43" i="24"/>
  <c r="H43" i="24" s="1"/>
  <c r="M42" i="24"/>
  <c r="F42" i="24"/>
  <c r="I42" i="24" s="1"/>
  <c r="J42" i="24" s="1"/>
  <c r="D42" i="24"/>
  <c r="M41" i="24"/>
  <c r="F41" i="24"/>
  <c r="I41" i="24" s="1"/>
  <c r="J41" i="24" s="1"/>
  <c r="D41" i="24"/>
  <c r="H41" i="24" s="1"/>
  <c r="M40" i="24"/>
  <c r="I40" i="24"/>
  <c r="J40" i="24" s="1"/>
  <c r="H40" i="24"/>
  <c r="E40" i="24"/>
  <c r="M39" i="24"/>
  <c r="J39" i="24"/>
  <c r="I39" i="24"/>
  <c r="D39" i="24"/>
  <c r="E39" i="24" s="1"/>
  <c r="M38" i="24"/>
  <c r="I38" i="24"/>
  <c r="J38" i="24" s="1"/>
  <c r="H38" i="24"/>
  <c r="E38" i="24"/>
  <c r="M37" i="24"/>
  <c r="I37" i="24"/>
  <c r="J37" i="24" s="1"/>
  <c r="H37" i="24"/>
  <c r="E37" i="24"/>
  <c r="M36" i="24"/>
  <c r="J36" i="24"/>
  <c r="I36" i="24"/>
  <c r="H36" i="24"/>
  <c r="E36" i="24"/>
  <c r="M35" i="24"/>
  <c r="I35" i="24"/>
  <c r="J35" i="24" s="1"/>
  <c r="H35" i="24"/>
  <c r="D35" i="24"/>
  <c r="E35" i="24" s="1"/>
  <c r="M34" i="24"/>
  <c r="I34" i="24"/>
  <c r="J34" i="24" s="1"/>
  <c r="H34" i="24"/>
  <c r="F34" i="24"/>
  <c r="E34" i="24" s="1"/>
  <c r="D34" i="24"/>
  <c r="M33" i="24"/>
  <c r="I33" i="24"/>
  <c r="J33" i="24" s="1"/>
  <c r="H33" i="24"/>
  <c r="F33" i="24"/>
  <c r="D33" i="24"/>
  <c r="M32" i="24"/>
  <c r="I32" i="24"/>
  <c r="J32" i="24" s="1"/>
  <c r="D32" i="24"/>
  <c r="H32" i="24" s="1"/>
  <c r="M31" i="24"/>
  <c r="I31" i="24"/>
  <c r="J31" i="24" s="1"/>
  <c r="D31" i="24"/>
  <c r="H31" i="24" s="1"/>
  <c r="M30" i="24"/>
  <c r="I30" i="24"/>
  <c r="J30" i="24" s="1"/>
  <c r="H30" i="24"/>
  <c r="E30" i="24"/>
  <c r="M29" i="24"/>
  <c r="J29" i="24"/>
  <c r="I29" i="24"/>
  <c r="H29" i="24"/>
  <c r="E29" i="24"/>
  <c r="M28" i="24"/>
  <c r="I28" i="24"/>
  <c r="J28" i="24" s="1"/>
  <c r="H28" i="24"/>
  <c r="F28" i="24"/>
  <c r="D28" i="24"/>
  <c r="M27" i="24"/>
  <c r="I27" i="24"/>
  <c r="J27" i="24" s="1"/>
  <c r="H27" i="24"/>
  <c r="D27" i="24"/>
  <c r="E27" i="24" s="1"/>
  <c r="M26" i="24"/>
  <c r="I26" i="24"/>
  <c r="J26" i="24" s="1"/>
  <c r="H26" i="24"/>
  <c r="E26" i="24"/>
  <c r="M25" i="24"/>
  <c r="I25" i="24"/>
  <c r="H25" i="24"/>
  <c r="E25" i="24"/>
  <c r="L21" i="24"/>
  <c r="Y16" i="24"/>
  <c r="V16" i="24"/>
  <c r="U16" i="24"/>
  <c r="T16" i="24"/>
  <c r="R16" i="24"/>
  <c r="J16" i="24"/>
  <c r="H16" i="24"/>
  <c r="W16" i="24" s="1"/>
  <c r="F16" i="24"/>
  <c r="I16" i="24" s="1"/>
  <c r="M16" i="24" s="1"/>
  <c r="V15" i="24"/>
  <c r="U15" i="24"/>
  <c r="T15" i="24"/>
  <c r="R15" i="24"/>
  <c r="L15" i="24"/>
  <c r="H15" i="24"/>
  <c r="Y15" i="24" s="1"/>
  <c r="F15" i="24"/>
  <c r="V14" i="24"/>
  <c r="U14" i="24"/>
  <c r="T14" i="24"/>
  <c r="R14" i="24"/>
  <c r="L14" i="24"/>
  <c r="H14" i="24"/>
  <c r="J14" i="24" s="1"/>
  <c r="F14" i="24"/>
  <c r="V13" i="24"/>
  <c r="U13" i="24"/>
  <c r="T13" i="24"/>
  <c r="R13" i="24"/>
  <c r="L13" i="24"/>
  <c r="F13" i="24"/>
  <c r="I13" i="24" s="1"/>
  <c r="M13" i="24" s="1"/>
  <c r="V12" i="24"/>
  <c r="U12" i="24"/>
  <c r="T12" i="24"/>
  <c r="R12" i="24"/>
  <c r="L12" i="24"/>
  <c r="H12" i="24"/>
  <c r="W12" i="24" s="1"/>
  <c r="F12" i="24"/>
  <c r="I12" i="24" s="1"/>
  <c r="M12" i="24" s="1"/>
  <c r="Y11" i="24"/>
  <c r="R11" i="24"/>
  <c r="L11" i="24"/>
  <c r="H11" i="24"/>
  <c r="W11" i="24" s="1"/>
  <c r="F11" i="24"/>
  <c r="V10" i="24"/>
  <c r="U10" i="24"/>
  <c r="T10" i="24"/>
  <c r="R10" i="24"/>
  <c r="L10" i="24"/>
  <c r="G10" i="24"/>
  <c r="H10" i="24" s="1"/>
  <c r="F10" i="24"/>
  <c r="D10" i="24"/>
  <c r="V9" i="24"/>
  <c r="U9" i="24"/>
  <c r="T9" i="24"/>
  <c r="R9" i="24"/>
  <c r="L9" i="24"/>
  <c r="H9" i="24"/>
  <c r="W9" i="24" s="1"/>
  <c r="F9" i="24"/>
  <c r="I9" i="24" s="1"/>
  <c r="M9" i="24" s="1"/>
  <c r="V8" i="24"/>
  <c r="U8" i="24"/>
  <c r="T8" i="24"/>
  <c r="R8" i="24"/>
  <c r="L8" i="24"/>
  <c r="H8" i="24"/>
  <c r="W8" i="24" s="1"/>
  <c r="F8" i="24"/>
  <c r="I8" i="24" s="1"/>
  <c r="M8" i="24" s="1"/>
  <c r="V7" i="24"/>
  <c r="U7" i="24"/>
  <c r="T7" i="24"/>
  <c r="R7" i="24"/>
  <c r="L7" i="24"/>
  <c r="G7" i="24"/>
  <c r="G17" i="24" s="1"/>
  <c r="D7" i="24"/>
  <c r="F7" i="24" s="1"/>
  <c r="M44" i="23"/>
  <c r="I44" i="23"/>
  <c r="J44" i="23"/>
  <c r="H44" i="23"/>
  <c r="E44" i="23"/>
  <c r="I20" i="23"/>
  <c r="M43" i="23"/>
  <c r="F43" i="23"/>
  <c r="I43" i="23" s="1"/>
  <c r="J43" i="23" s="1"/>
  <c r="D43" i="23"/>
  <c r="E43" i="23" s="1"/>
  <c r="M42" i="23"/>
  <c r="I42" i="23"/>
  <c r="J42" i="23" s="1"/>
  <c r="H42" i="23"/>
  <c r="F42" i="23"/>
  <c r="D42" i="23"/>
  <c r="E42" i="23" s="1"/>
  <c r="M41" i="23"/>
  <c r="I41" i="23"/>
  <c r="J41" i="23" s="1"/>
  <c r="F41" i="23"/>
  <c r="D41" i="23"/>
  <c r="H41" i="23" s="1"/>
  <c r="M40" i="23"/>
  <c r="J40" i="23"/>
  <c r="I40" i="23"/>
  <c r="H40" i="23"/>
  <c r="E40" i="23"/>
  <c r="M39" i="23"/>
  <c r="I39" i="23"/>
  <c r="J39" i="23" s="1"/>
  <c r="D39" i="23"/>
  <c r="H39" i="23" s="1"/>
  <c r="M38" i="23"/>
  <c r="I38" i="23"/>
  <c r="J38" i="23" s="1"/>
  <c r="H38" i="23"/>
  <c r="E38" i="23"/>
  <c r="M37" i="23"/>
  <c r="I37" i="23"/>
  <c r="J37" i="23" s="1"/>
  <c r="H37" i="23"/>
  <c r="E37" i="23"/>
  <c r="M36" i="23"/>
  <c r="I36" i="23"/>
  <c r="J36" i="23" s="1"/>
  <c r="H36" i="23"/>
  <c r="E36" i="23"/>
  <c r="M35" i="23"/>
  <c r="I35" i="23"/>
  <c r="J35" i="23" s="1"/>
  <c r="D35" i="23"/>
  <c r="E35" i="23" s="1"/>
  <c r="M34" i="23"/>
  <c r="H34" i="23"/>
  <c r="F34" i="23"/>
  <c r="I34" i="23" s="1"/>
  <c r="J34" i="23" s="1"/>
  <c r="E34" i="23"/>
  <c r="D34" i="23"/>
  <c r="M33" i="23"/>
  <c r="H33" i="23"/>
  <c r="F33" i="23"/>
  <c r="E33" i="23" s="1"/>
  <c r="D33" i="23"/>
  <c r="M32" i="23"/>
  <c r="I32" i="23"/>
  <c r="J32" i="23" s="1"/>
  <c r="H32" i="23"/>
  <c r="D32" i="23"/>
  <c r="E32" i="23" s="1"/>
  <c r="M31" i="23"/>
  <c r="I31" i="23"/>
  <c r="J31" i="23" s="1"/>
  <c r="H31" i="23"/>
  <c r="D31" i="23"/>
  <c r="E31" i="23" s="1"/>
  <c r="M30" i="23"/>
  <c r="I30" i="23"/>
  <c r="J30" i="23" s="1"/>
  <c r="H30" i="23"/>
  <c r="E30" i="23"/>
  <c r="M29" i="23"/>
  <c r="I29" i="23"/>
  <c r="J29" i="23" s="1"/>
  <c r="H29" i="23"/>
  <c r="E29" i="23"/>
  <c r="M28" i="23"/>
  <c r="H28" i="23"/>
  <c r="F28" i="23"/>
  <c r="I28" i="23" s="1"/>
  <c r="J28" i="23" s="1"/>
  <c r="E28" i="23"/>
  <c r="D28" i="23"/>
  <c r="M27" i="23"/>
  <c r="I27" i="23"/>
  <c r="J27" i="23" s="1"/>
  <c r="H27" i="23"/>
  <c r="E27" i="23"/>
  <c r="D27" i="23"/>
  <c r="M26" i="23"/>
  <c r="I26" i="23"/>
  <c r="J26" i="23" s="1"/>
  <c r="H26" i="23"/>
  <c r="E26" i="23"/>
  <c r="M25" i="23"/>
  <c r="I25" i="23"/>
  <c r="H25" i="23"/>
  <c r="E25" i="23"/>
  <c r="L21" i="23"/>
  <c r="G17" i="23"/>
  <c r="V16" i="23"/>
  <c r="U16" i="23"/>
  <c r="T16" i="23"/>
  <c r="R16" i="23"/>
  <c r="H16" i="23"/>
  <c r="W16" i="23" s="1"/>
  <c r="F16" i="23"/>
  <c r="I16" i="23" s="1"/>
  <c r="M16" i="23" s="1"/>
  <c r="Y15" i="23"/>
  <c r="W15" i="23"/>
  <c r="V15" i="23"/>
  <c r="U15" i="23"/>
  <c r="T15" i="23"/>
  <c r="R15" i="23"/>
  <c r="L15" i="23"/>
  <c r="J15" i="23"/>
  <c r="I15" i="23"/>
  <c r="M15" i="23" s="1"/>
  <c r="H15" i="23"/>
  <c r="F15" i="23"/>
  <c r="V13" i="23"/>
  <c r="U13" i="23"/>
  <c r="T13" i="23"/>
  <c r="R13" i="23"/>
  <c r="L13" i="23"/>
  <c r="G13" i="23"/>
  <c r="D13" i="23"/>
  <c r="H13" i="23" s="1"/>
  <c r="V12" i="23"/>
  <c r="U12" i="23"/>
  <c r="T12" i="23"/>
  <c r="R12" i="23"/>
  <c r="L12" i="23"/>
  <c r="H12" i="23"/>
  <c r="Y12" i="23" s="1"/>
  <c r="F12" i="23"/>
  <c r="I12" i="23" s="1"/>
  <c r="M12" i="23" s="1"/>
  <c r="V11" i="23"/>
  <c r="U11" i="23"/>
  <c r="T11" i="23"/>
  <c r="R11" i="23"/>
  <c r="L11" i="23"/>
  <c r="H11" i="23"/>
  <c r="Y11" i="23" s="1"/>
  <c r="F11" i="23"/>
  <c r="I11" i="23" s="1"/>
  <c r="M11" i="23" s="1"/>
  <c r="V10" i="23"/>
  <c r="U10" i="23"/>
  <c r="T10" i="23"/>
  <c r="R10" i="23"/>
  <c r="L10" i="23"/>
  <c r="G10" i="23"/>
  <c r="H10" i="23" s="1"/>
  <c r="D10" i="23"/>
  <c r="F10" i="23" s="1"/>
  <c r="V9" i="23"/>
  <c r="U9" i="23"/>
  <c r="T9" i="23"/>
  <c r="R9" i="23"/>
  <c r="L9" i="23"/>
  <c r="H9" i="23"/>
  <c r="W9" i="23" s="1"/>
  <c r="F9" i="23"/>
  <c r="I9" i="23" s="1"/>
  <c r="M9" i="23" s="1"/>
  <c r="V14" i="23"/>
  <c r="U14" i="23"/>
  <c r="T14" i="23"/>
  <c r="R14" i="23"/>
  <c r="L14" i="23"/>
  <c r="H14" i="23"/>
  <c r="Y14" i="23" s="1"/>
  <c r="F14" i="23"/>
  <c r="I14" i="23" s="1"/>
  <c r="M14" i="23" s="1"/>
  <c r="V8" i="23"/>
  <c r="U8" i="23"/>
  <c r="T8" i="23"/>
  <c r="R8" i="23"/>
  <c r="L8" i="23"/>
  <c r="H8" i="23"/>
  <c r="Y8" i="23" s="1"/>
  <c r="F8" i="23"/>
  <c r="I8" i="23" s="1"/>
  <c r="M8" i="23" s="1"/>
  <c r="V7" i="23"/>
  <c r="U7" i="23"/>
  <c r="T7" i="23"/>
  <c r="R7" i="23"/>
  <c r="L7" i="23"/>
  <c r="G7" i="23"/>
  <c r="H7" i="23" s="1"/>
  <c r="D7" i="23"/>
  <c r="F7" i="23" s="1"/>
  <c r="G14" i="22"/>
  <c r="D14" i="22"/>
  <c r="H14" i="22" s="1"/>
  <c r="W14" i="22" s="1"/>
  <c r="M43" i="22"/>
  <c r="E43" i="22"/>
  <c r="H43" i="22"/>
  <c r="I43" i="22"/>
  <c r="J43" i="22"/>
  <c r="F43" i="22"/>
  <c r="D43" i="22"/>
  <c r="I20" i="22"/>
  <c r="M42" i="22"/>
  <c r="F42" i="22"/>
  <c r="E42" i="22" s="1"/>
  <c r="D42" i="22"/>
  <c r="H42" i="22" s="1"/>
  <c r="M41" i="22"/>
  <c r="F41" i="22"/>
  <c r="I41" i="22" s="1"/>
  <c r="J41" i="22" s="1"/>
  <c r="E41" i="22"/>
  <c r="D41" i="22"/>
  <c r="H41" i="22" s="1"/>
  <c r="M40" i="22"/>
  <c r="I40" i="22"/>
  <c r="J40" i="22" s="1"/>
  <c r="H40" i="22"/>
  <c r="E40" i="22"/>
  <c r="M39" i="22"/>
  <c r="J39" i="22"/>
  <c r="I39" i="22"/>
  <c r="D39" i="22"/>
  <c r="E39" i="22" s="1"/>
  <c r="M38" i="22"/>
  <c r="J38" i="22"/>
  <c r="I38" i="22"/>
  <c r="H38" i="22"/>
  <c r="E38" i="22"/>
  <c r="M37" i="22"/>
  <c r="J37" i="22"/>
  <c r="I37" i="22"/>
  <c r="H37" i="22"/>
  <c r="E37" i="22"/>
  <c r="M36" i="22"/>
  <c r="J36" i="22"/>
  <c r="I36" i="22"/>
  <c r="H36" i="22"/>
  <c r="E36" i="22"/>
  <c r="M35" i="22"/>
  <c r="I35" i="22"/>
  <c r="J35" i="22" s="1"/>
  <c r="H35" i="22"/>
  <c r="E35" i="22"/>
  <c r="D35" i="22"/>
  <c r="M34" i="22"/>
  <c r="I34" i="22"/>
  <c r="J34" i="22" s="1"/>
  <c r="H34" i="22"/>
  <c r="F34" i="22"/>
  <c r="E34" i="22" s="1"/>
  <c r="D34" i="22"/>
  <c r="M33" i="22"/>
  <c r="J33" i="22"/>
  <c r="I33" i="22"/>
  <c r="F33" i="22"/>
  <c r="D33" i="22"/>
  <c r="H33" i="22" s="1"/>
  <c r="M32" i="22"/>
  <c r="J32" i="22"/>
  <c r="I32" i="22"/>
  <c r="D32" i="22"/>
  <c r="H32" i="22" s="1"/>
  <c r="M31" i="22"/>
  <c r="J31" i="22"/>
  <c r="I31" i="22"/>
  <c r="D31" i="22"/>
  <c r="H31" i="22" s="1"/>
  <c r="M30" i="22"/>
  <c r="J30" i="22"/>
  <c r="I30" i="22"/>
  <c r="H30" i="22"/>
  <c r="E30" i="22"/>
  <c r="M29" i="22"/>
  <c r="J29" i="22"/>
  <c r="I29" i="22"/>
  <c r="H29" i="22"/>
  <c r="E29" i="22"/>
  <c r="M28" i="22"/>
  <c r="I28" i="22"/>
  <c r="J28" i="22" s="1"/>
  <c r="H28" i="22"/>
  <c r="F28" i="22"/>
  <c r="E28" i="22" s="1"/>
  <c r="D28" i="22"/>
  <c r="M27" i="22"/>
  <c r="J27" i="22"/>
  <c r="I27" i="22"/>
  <c r="H27" i="22"/>
  <c r="D27" i="22"/>
  <c r="E27" i="22" s="1"/>
  <c r="M26" i="22"/>
  <c r="J26" i="22"/>
  <c r="I26" i="22"/>
  <c r="H26" i="22"/>
  <c r="E26" i="22"/>
  <c r="M25" i="22"/>
  <c r="I25" i="22"/>
  <c r="H25" i="22"/>
  <c r="E25" i="22"/>
  <c r="L21" i="22"/>
  <c r="V16" i="22"/>
  <c r="U16" i="22"/>
  <c r="T16" i="22"/>
  <c r="R16" i="22"/>
  <c r="H16" i="22"/>
  <c r="J16" i="22" s="1"/>
  <c r="F16" i="22"/>
  <c r="I16" i="22" s="1"/>
  <c r="M16" i="22" s="1"/>
  <c r="V14" i="22"/>
  <c r="U14" i="22"/>
  <c r="T14" i="22"/>
  <c r="R14" i="22"/>
  <c r="L14" i="22"/>
  <c r="F14" i="22"/>
  <c r="V13" i="22"/>
  <c r="U13" i="22"/>
  <c r="T13" i="22"/>
  <c r="R13" i="22"/>
  <c r="L13" i="22"/>
  <c r="H13" i="22"/>
  <c r="Y13" i="22" s="1"/>
  <c r="F13" i="22"/>
  <c r="I13" i="22" s="1"/>
  <c r="M13" i="22" s="1"/>
  <c r="V12" i="22"/>
  <c r="U12" i="22"/>
  <c r="T12" i="22"/>
  <c r="R12" i="22"/>
  <c r="L12" i="22"/>
  <c r="H12" i="22"/>
  <c r="Y12" i="22" s="1"/>
  <c r="F12" i="22"/>
  <c r="I12" i="22" s="1"/>
  <c r="M12" i="22" s="1"/>
  <c r="V11" i="22"/>
  <c r="U11" i="22"/>
  <c r="T11" i="22"/>
  <c r="R11" i="22"/>
  <c r="L11" i="22"/>
  <c r="H11" i="22"/>
  <c r="Y11" i="22" s="1"/>
  <c r="G11" i="22"/>
  <c r="D11" i="22"/>
  <c r="F11" i="22" s="1"/>
  <c r="V10" i="22"/>
  <c r="U10" i="22"/>
  <c r="T10" i="22"/>
  <c r="R10" i="22"/>
  <c r="L10" i="22"/>
  <c r="H10" i="22"/>
  <c r="J10" i="22" s="1"/>
  <c r="F10" i="22"/>
  <c r="I10" i="22" s="1"/>
  <c r="M10" i="22" s="1"/>
  <c r="V9" i="22"/>
  <c r="U9" i="22"/>
  <c r="T9" i="22"/>
  <c r="R9" i="22"/>
  <c r="L9" i="22"/>
  <c r="H9" i="22"/>
  <c r="Y9" i="22" s="1"/>
  <c r="F9" i="22"/>
  <c r="V8" i="22"/>
  <c r="U8" i="22"/>
  <c r="T8" i="22"/>
  <c r="R8" i="22"/>
  <c r="L8" i="22"/>
  <c r="H8" i="22"/>
  <c r="Y8" i="22" s="1"/>
  <c r="F8" i="22"/>
  <c r="I8" i="22" s="1"/>
  <c r="M8" i="22" s="1"/>
  <c r="V7" i="22"/>
  <c r="U7" i="22"/>
  <c r="T7" i="22"/>
  <c r="R7" i="22"/>
  <c r="L7" i="22"/>
  <c r="H7" i="22"/>
  <c r="Y7" i="22" s="1"/>
  <c r="G7" i="22"/>
  <c r="D7" i="22"/>
  <c r="F7" i="22" s="1"/>
  <c r="V15" i="22"/>
  <c r="U15" i="22"/>
  <c r="T15" i="22"/>
  <c r="R15" i="22"/>
  <c r="L15" i="22"/>
  <c r="H15" i="22"/>
  <c r="F15" i="22"/>
  <c r="I15" i="22" s="1"/>
  <c r="I45" i="21"/>
  <c r="Z8" i="33" l="1"/>
  <c r="Z15" i="33"/>
  <c r="Z7" i="33"/>
  <c r="Z11" i="33"/>
  <c r="Z13" i="33"/>
  <c r="Z9" i="33"/>
  <c r="Z16" i="33"/>
  <c r="M7" i="33"/>
  <c r="I17" i="33"/>
  <c r="G18" i="33"/>
  <c r="Z12" i="33"/>
  <c r="I21" i="33"/>
  <c r="Z14" i="33"/>
  <c r="I21" i="32"/>
  <c r="I17" i="32"/>
  <c r="M7" i="32"/>
  <c r="W7" i="32"/>
  <c r="J7" i="32"/>
  <c r="Y7" i="32"/>
  <c r="I56" i="32"/>
  <c r="Z9" i="31"/>
  <c r="Z7" i="31"/>
  <c r="Z12" i="31"/>
  <c r="Z10" i="31"/>
  <c r="M7" i="31"/>
  <c r="I17" i="31"/>
  <c r="G18" i="31"/>
  <c r="Z16" i="31"/>
  <c r="I21" i="31"/>
  <c r="Z8" i="31"/>
  <c r="Z14" i="31"/>
  <c r="Z13" i="31"/>
  <c r="Z15" i="31"/>
  <c r="Y12" i="30"/>
  <c r="Z11" i="30"/>
  <c r="Z15" i="30"/>
  <c r="I21" i="30"/>
  <c r="G18" i="30"/>
  <c r="I17" i="30"/>
  <c r="M7" i="30"/>
  <c r="Z16" i="30"/>
  <c r="Z8" i="30"/>
  <c r="Z12" i="30"/>
  <c r="Z10" i="30"/>
  <c r="Z13" i="30"/>
  <c r="Z14" i="30"/>
  <c r="Z7" i="30"/>
  <c r="I21" i="29"/>
  <c r="Z10" i="29"/>
  <c r="G18" i="29"/>
  <c r="Z13" i="29"/>
  <c r="Z9" i="29"/>
  <c r="Z7" i="29"/>
  <c r="Z12" i="29"/>
  <c r="Z14" i="29"/>
  <c r="Z8" i="29"/>
  <c r="Z15" i="29"/>
  <c r="Z16" i="29"/>
  <c r="M7" i="29"/>
  <c r="I11" i="29"/>
  <c r="M11" i="29" s="1"/>
  <c r="Z11" i="29"/>
  <c r="I51" i="29"/>
  <c r="Y11" i="28"/>
  <c r="W11" i="28"/>
  <c r="Z13" i="28"/>
  <c r="Z11" i="28"/>
  <c r="Z16" i="28"/>
  <c r="Z8" i="28"/>
  <c r="Y7" i="28"/>
  <c r="W7" i="28"/>
  <c r="J7" i="28"/>
  <c r="Z10" i="28"/>
  <c r="Z9" i="28"/>
  <c r="G18" i="28"/>
  <c r="I21" i="28"/>
  <c r="Z14" i="28"/>
  <c r="M7" i="28"/>
  <c r="I17" i="28"/>
  <c r="Z12" i="28"/>
  <c r="Z15" i="28"/>
  <c r="Z13" i="27"/>
  <c r="Z11" i="27"/>
  <c r="Z15" i="27"/>
  <c r="Z8" i="27"/>
  <c r="Z7" i="27"/>
  <c r="Z14" i="27"/>
  <c r="Z12" i="27"/>
  <c r="M7" i="27"/>
  <c r="I17" i="27"/>
  <c r="Y7" i="27"/>
  <c r="W7" i="27"/>
  <c r="J7" i="27"/>
  <c r="G18" i="27"/>
  <c r="I21" i="27"/>
  <c r="Z16" i="27"/>
  <c r="Z9" i="27"/>
  <c r="Z8" i="26"/>
  <c r="G18" i="26"/>
  <c r="I21" i="26"/>
  <c r="Z16" i="26"/>
  <c r="Y7" i="26"/>
  <c r="J7" i="26"/>
  <c r="W7" i="26"/>
  <c r="Z12" i="26"/>
  <c r="Z13" i="26"/>
  <c r="Z9" i="26"/>
  <c r="Z14" i="26"/>
  <c r="Z11" i="26"/>
  <c r="Z15" i="26"/>
  <c r="Z7" i="26"/>
  <c r="M7" i="26"/>
  <c r="I17" i="26"/>
  <c r="Z7" i="25"/>
  <c r="Z9" i="25"/>
  <c r="Z15" i="25"/>
  <c r="Z12" i="25"/>
  <c r="Z14" i="25"/>
  <c r="Z10" i="25"/>
  <c r="M7" i="25"/>
  <c r="I17" i="25"/>
  <c r="G18" i="25"/>
  <c r="Z11" i="25"/>
  <c r="Z16" i="25"/>
  <c r="I21" i="25"/>
  <c r="I48" i="25"/>
  <c r="Z13" i="25"/>
  <c r="J9" i="24"/>
  <c r="H13" i="24"/>
  <c r="Y13" i="24" s="1"/>
  <c r="E28" i="24"/>
  <c r="E41" i="24"/>
  <c r="Y8" i="24"/>
  <c r="Y12" i="24"/>
  <c r="J15" i="24"/>
  <c r="W15" i="24"/>
  <c r="J11" i="24"/>
  <c r="E33" i="24"/>
  <c r="J8" i="24"/>
  <c r="J12" i="24"/>
  <c r="E42" i="24"/>
  <c r="Y14" i="24"/>
  <c r="W14" i="24"/>
  <c r="Y10" i="24"/>
  <c r="W10" i="24"/>
  <c r="J10" i="24"/>
  <c r="I7" i="24"/>
  <c r="F17" i="24"/>
  <c r="F19" i="24" s="1"/>
  <c r="Z10" i="24" s="1"/>
  <c r="I48" i="24"/>
  <c r="E31" i="24"/>
  <c r="E32" i="24"/>
  <c r="H39" i="24"/>
  <c r="H7" i="24"/>
  <c r="Y9" i="24"/>
  <c r="I10" i="24"/>
  <c r="M10" i="24" s="1"/>
  <c r="I14" i="24"/>
  <c r="M14" i="24" s="1"/>
  <c r="I11" i="24"/>
  <c r="M11" i="24" s="1"/>
  <c r="I15" i="24"/>
  <c r="M15" i="24" s="1"/>
  <c r="H42" i="24"/>
  <c r="J25" i="24"/>
  <c r="Y9" i="23"/>
  <c r="W7" i="23"/>
  <c r="J7" i="23"/>
  <c r="Y7" i="23"/>
  <c r="W10" i="23"/>
  <c r="J10" i="23"/>
  <c r="Y10" i="23"/>
  <c r="Y13" i="23"/>
  <c r="W13" i="23"/>
  <c r="J13" i="23"/>
  <c r="I7" i="23"/>
  <c r="I10" i="23"/>
  <c r="M10" i="23" s="1"/>
  <c r="H43" i="23"/>
  <c r="I33" i="23"/>
  <c r="J33" i="23" s="1"/>
  <c r="H35" i="23"/>
  <c r="W8" i="23"/>
  <c r="J14" i="23"/>
  <c r="W11" i="23"/>
  <c r="J12" i="23"/>
  <c r="Y16" i="23"/>
  <c r="E41" i="23"/>
  <c r="J8" i="23"/>
  <c r="J11" i="23"/>
  <c r="F13" i="23"/>
  <c r="J16" i="23"/>
  <c r="J9" i="23"/>
  <c r="J25" i="23"/>
  <c r="E39" i="23"/>
  <c r="W14" i="23"/>
  <c r="W12" i="23"/>
  <c r="W10" i="22"/>
  <c r="Y10" i="22"/>
  <c r="J11" i="22"/>
  <c r="J7" i="22"/>
  <c r="W16" i="22"/>
  <c r="Y16" i="22"/>
  <c r="I14" i="22"/>
  <c r="M14" i="22" s="1"/>
  <c r="Y14" i="22"/>
  <c r="M15" i="22"/>
  <c r="W15" i="22"/>
  <c r="Y15" i="22"/>
  <c r="J15" i="22"/>
  <c r="I7" i="22"/>
  <c r="M7" i="22" s="1"/>
  <c r="I11" i="22"/>
  <c r="M11" i="22" s="1"/>
  <c r="F17" i="22"/>
  <c r="F19" i="22" s="1"/>
  <c r="Z10" i="22" s="1"/>
  <c r="E31" i="22"/>
  <c r="E32" i="22"/>
  <c r="E33" i="22"/>
  <c r="H39" i="22"/>
  <c r="W12" i="22"/>
  <c r="J13" i="22"/>
  <c r="G17" i="22"/>
  <c r="J25" i="22"/>
  <c r="W7" i="22"/>
  <c r="J8" i="22"/>
  <c r="I9" i="22"/>
  <c r="M9" i="22" s="1"/>
  <c r="W11" i="22"/>
  <c r="J12" i="22"/>
  <c r="W8" i="22"/>
  <c r="J9" i="22"/>
  <c r="W9" i="22"/>
  <c r="W13" i="22"/>
  <c r="J14" i="22"/>
  <c r="I42" i="22"/>
  <c r="J42" i="22" s="1"/>
  <c r="M42" i="21"/>
  <c r="E42" i="21"/>
  <c r="H42" i="21"/>
  <c r="I42" i="21"/>
  <c r="J42" i="21"/>
  <c r="F42" i="21"/>
  <c r="D42" i="21"/>
  <c r="I20" i="21"/>
  <c r="M41" i="21"/>
  <c r="F41" i="21"/>
  <c r="I41" i="21" s="1"/>
  <c r="J41" i="21" s="1"/>
  <c r="D41" i="21"/>
  <c r="H41" i="21" s="1"/>
  <c r="M40" i="21"/>
  <c r="I40" i="21"/>
  <c r="J40" i="21" s="1"/>
  <c r="H40" i="21"/>
  <c r="E40" i="21"/>
  <c r="M39" i="21"/>
  <c r="J39" i="21"/>
  <c r="I39" i="21"/>
  <c r="H39" i="21"/>
  <c r="E39" i="21"/>
  <c r="D39" i="21"/>
  <c r="M38" i="21"/>
  <c r="J38" i="21"/>
  <c r="I38" i="21"/>
  <c r="H38" i="21"/>
  <c r="E38" i="21"/>
  <c r="M37" i="21"/>
  <c r="J37" i="21"/>
  <c r="I37" i="21"/>
  <c r="H37" i="21"/>
  <c r="E37" i="21"/>
  <c r="M36" i="21"/>
  <c r="J36" i="21"/>
  <c r="I36" i="21"/>
  <c r="H36" i="21"/>
  <c r="E36" i="21"/>
  <c r="M35" i="21"/>
  <c r="J35" i="21"/>
  <c r="I35" i="21"/>
  <c r="H35" i="21"/>
  <c r="E35" i="21"/>
  <c r="D35" i="21"/>
  <c r="M34" i="21"/>
  <c r="J34" i="21"/>
  <c r="I34" i="21"/>
  <c r="F34" i="21"/>
  <c r="E34" i="21" s="1"/>
  <c r="D34" i="21"/>
  <c r="H34" i="21" s="1"/>
  <c r="M33" i="21"/>
  <c r="J33" i="21"/>
  <c r="I33" i="21"/>
  <c r="F33" i="21"/>
  <c r="E33" i="21"/>
  <c r="D33" i="21"/>
  <c r="H33" i="21" s="1"/>
  <c r="M32" i="21"/>
  <c r="J32" i="21"/>
  <c r="I32" i="21"/>
  <c r="E32" i="21"/>
  <c r="D32" i="21"/>
  <c r="H32" i="21" s="1"/>
  <c r="M31" i="21"/>
  <c r="J31" i="21"/>
  <c r="I31" i="21"/>
  <c r="E31" i="21"/>
  <c r="D31" i="21"/>
  <c r="H31" i="21" s="1"/>
  <c r="M30" i="21"/>
  <c r="J30" i="21"/>
  <c r="I30" i="21"/>
  <c r="H30" i="21"/>
  <c r="E30" i="21"/>
  <c r="M29" i="21"/>
  <c r="J29" i="21"/>
  <c r="I29" i="21"/>
  <c r="H29" i="21"/>
  <c r="E29" i="21"/>
  <c r="M28" i="21"/>
  <c r="J28" i="21"/>
  <c r="I28" i="21"/>
  <c r="F28" i="21"/>
  <c r="E28" i="21" s="1"/>
  <c r="D28" i="21"/>
  <c r="H28" i="21" s="1"/>
  <c r="M27" i="21"/>
  <c r="J27" i="21"/>
  <c r="I27" i="21"/>
  <c r="D27" i="21"/>
  <c r="H27" i="21" s="1"/>
  <c r="M26" i="21"/>
  <c r="J26" i="21"/>
  <c r="I26" i="21"/>
  <c r="H26" i="21"/>
  <c r="E26" i="21"/>
  <c r="M25" i="21"/>
  <c r="J25" i="21"/>
  <c r="I25" i="21"/>
  <c r="H25" i="21"/>
  <c r="E25" i="21"/>
  <c r="L21" i="21"/>
  <c r="Y16" i="21"/>
  <c r="W16" i="21"/>
  <c r="V16" i="21"/>
  <c r="U16" i="21"/>
  <c r="T16" i="21"/>
  <c r="R16" i="21"/>
  <c r="J16" i="21"/>
  <c r="H16" i="21"/>
  <c r="F16" i="21"/>
  <c r="I16" i="21" s="1"/>
  <c r="M16" i="21" s="1"/>
  <c r="V14" i="21"/>
  <c r="U14" i="21"/>
  <c r="T14" i="21"/>
  <c r="R14" i="21"/>
  <c r="L14" i="21"/>
  <c r="H14" i="21"/>
  <c r="W14" i="21" s="1"/>
  <c r="F14" i="21"/>
  <c r="I14" i="21" s="1"/>
  <c r="M14" i="21" s="1"/>
  <c r="V13" i="21"/>
  <c r="U13" i="21"/>
  <c r="T13" i="21"/>
  <c r="R13" i="21"/>
  <c r="L13" i="21"/>
  <c r="H13" i="21"/>
  <c r="Y13" i="21" s="1"/>
  <c r="F13" i="21"/>
  <c r="I13" i="21" s="1"/>
  <c r="M13" i="21" s="1"/>
  <c r="V12" i="21"/>
  <c r="U12" i="21"/>
  <c r="T12" i="21"/>
  <c r="R12" i="21"/>
  <c r="L12" i="21"/>
  <c r="H12" i="21"/>
  <c r="Y12" i="21" s="1"/>
  <c r="G12" i="21"/>
  <c r="F12" i="21"/>
  <c r="I12" i="21" s="1"/>
  <c r="M12" i="21" s="1"/>
  <c r="D12" i="21"/>
  <c r="V11" i="21"/>
  <c r="U11" i="21"/>
  <c r="T11" i="21"/>
  <c r="R11" i="21"/>
  <c r="L11" i="21"/>
  <c r="H11" i="21"/>
  <c r="Y11" i="21" s="1"/>
  <c r="F11" i="21"/>
  <c r="V10" i="21"/>
  <c r="U10" i="21"/>
  <c r="T10" i="21"/>
  <c r="R10" i="21"/>
  <c r="L10" i="21"/>
  <c r="H10" i="21"/>
  <c r="W10" i="21" s="1"/>
  <c r="F10" i="21"/>
  <c r="I10" i="21" s="1"/>
  <c r="M10" i="21" s="1"/>
  <c r="V15" i="21"/>
  <c r="U15" i="21"/>
  <c r="T15" i="21"/>
  <c r="R15" i="21"/>
  <c r="L15" i="21"/>
  <c r="H15" i="21"/>
  <c r="Y15" i="21" s="1"/>
  <c r="F15" i="21"/>
  <c r="I15" i="21" s="1"/>
  <c r="M15" i="21" s="1"/>
  <c r="V9" i="21"/>
  <c r="U9" i="21"/>
  <c r="T9" i="21"/>
  <c r="R9" i="21"/>
  <c r="L9" i="21"/>
  <c r="H9" i="21"/>
  <c r="Y9" i="21" s="1"/>
  <c r="F9" i="21"/>
  <c r="I9" i="21" s="1"/>
  <c r="M9" i="21" s="1"/>
  <c r="V8" i="21"/>
  <c r="U8" i="21"/>
  <c r="T8" i="21"/>
  <c r="R8" i="21"/>
  <c r="L8" i="21"/>
  <c r="G8" i="21"/>
  <c r="H8" i="21" s="1"/>
  <c r="F8" i="21"/>
  <c r="I8" i="21" s="1"/>
  <c r="M8" i="21" s="1"/>
  <c r="D8" i="21"/>
  <c r="V7" i="21"/>
  <c r="U7" i="21"/>
  <c r="T7" i="21"/>
  <c r="R7" i="21"/>
  <c r="L7" i="21"/>
  <c r="H7" i="21"/>
  <c r="Y7" i="21" s="1"/>
  <c r="G7" i="21"/>
  <c r="G17" i="21" s="1"/>
  <c r="D7" i="21"/>
  <c r="F7" i="21" s="1"/>
  <c r="G13" i="20"/>
  <c r="H13" i="20" s="1"/>
  <c r="D13" i="20"/>
  <c r="G10" i="20"/>
  <c r="D10" i="20"/>
  <c r="F10" i="20" s="1"/>
  <c r="I10" i="20" s="1"/>
  <c r="M10" i="20" s="1"/>
  <c r="I20" i="20"/>
  <c r="M41" i="20"/>
  <c r="F41" i="20"/>
  <c r="I41" i="20" s="1"/>
  <c r="J41" i="20" s="1"/>
  <c r="D41" i="20"/>
  <c r="H41" i="20" s="1"/>
  <c r="M40" i="20"/>
  <c r="I40" i="20"/>
  <c r="J40" i="20" s="1"/>
  <c r="H40" i="20"/>
  <c r="E40" i="20"/>
  <c r="M39" i="20"/>
  <c r="J39" i="20"/>
  <c r="I39" i="20"/>
  <c r="D39" i="20"/>
  <c r="H39" i="20" s="1"/>
  <c r="M38" i="20"/>
  <c r="J38" i="20"/>
  <c r="I38" i="20"/>
  <c r="H38" i="20"/>
  <c r="E38" i="20"/>
  <c r="M37" i="20"/>
  <c r="I37" i="20"/>
  <c r="J37" i="20" s="1"/>
  <c r="H37" i="20"/>
  <c r="E37" i="20"/>
  <c r="M36" i="20"/>
  <c r="J36" i="20"/>
  <c r="I36" i="20"/>
  <c r="H36" i="20"/>
  <c r="E36" i="20"/>
  <c r="M35" i="20"/>
  <c r="I35" i="20"/>
  <c r="J35" i="20" s="1"/>
  <c r="H35" i="20"/>
  <c r="E35" i="20"/>
  <c r="D35" i="20"/>
  <c r="M34" i="20"/>
  <c r="I34" i="20"/>
  <c r="J34" i="20" s="1"/>
  <c r="F34" i="20"/>
  <c r="E34" i="20" s="1"/>
  <c r="D34" i="20"/>
  <c r="H34" i="20" s="1"/>
  <c r="M33" i="20"/>
  <c r="J33" i="20"/>
  <c r="I33" i="20"/>
  <c r="H33" i="20"/>
  <c r="F33" i="20"/>
  <c r="E33" i="20"/>
  <c r="D33" i="20"/>
  <c r="M32" i="20"/>
  <c r="I32" i="20"/>
  <c r="J32" i="20" s="1"/>
  <c r="E32" i="20"/>
  <c r="D32" i="20"/>
  <c r="H32" i="20" s="1"/>
  <c r="M31" i="20"/>
  <c r="I31" i="20"/>
  <c r="J31" i="20" s="1"/>
  <c r="E31" i="20"/>
  <c r="D31" i="20"/>
  <c r="H31" i="20" s="1"/>
  <c r="M30" i="20"/>
  <c r="I30" i="20"/>
  <c r="J30" i="20" s="1"/>
  <c r="H30" i="20"/>
  <c r="E30" i="20"/>
  <c r="M29" i="20"/>
  <c r="J29" i="20"/>
  <c r="I29" i="20"/>
  <c r="H29" i="20"/>
  <c r="E29" i="20"/>
  <c r="M28" i="20"/>
  <c r="I28" i="20"/>
  <c r="J28" i="20" s="1"/>
  <c r="F28" i="20"/>
  <c r="E28" i="20" s="1"/>
  <c r="D28" i="20"/>
  <c r="H28" i="20" s="1"/>
  <c r="M27" i="20"/>
  <c r="J27" i="20"/>
  <c r="I27" i="20"/>
  <c r="D27" i="20"/>
  <c r="H27" i="20" s="1"/>
  <c r="M26" i="20"/>
  <c r="J26" i="20"/>
  <c r="I26" i="20"/>
  <c r="H26" i="20"/>
  <c r="E26" i="20"/>
  <c r="M25" i="20"/>
  <c r="I25" i="20"/>
  <c r="J25" i="20" s="1"/>
  <c r="H25" i="20"/>
  <c r="E25" i="20"/>
  <c r="L21" i="20"/>
  <c r="V16" i="20"/>
  <c r="U16" i="20"/>
  <c r="T16" i="20"/>
  <c r="R16" i="20"/>
  <c r="H16" i="20"/>
  <c r="W16" i="20" s="1"/>
  <c r="F16" i="20"/>
  <c r="V15" i="20"/>
  <c r="U15" i="20"/>
  <c r="T15" i="20"/>
  <c r="R15" i="20"/>
  <c r="L15" i="20"/>
  <c r="H15" i="20"/>
  <c r="W15" i="20" s="1"/>
  <c r="F15" i="20"/>
  <c r="V14" i="20"/>
  <c r="U14" i="20"/>
  <c r="T14" i="20"/>
  <c r="R14" i="20"/>
  <c r="L14" i="20"/>
  <c r="H14" i="20"/>
  <c r="W14" i="20" s="1"/>
  <c r="F14" i="20"/>
  <c r="I14" i="20" s="1"/>
  <c r="M14" i="20" s="1"/>
  <c r="V13" i="20"/>
  <c r="U13" i="20"/>
  <c r="T13" i="20"/>
  <c r="R13" i="20"/>
  <c r="L13" i="20"/>
  <c r="F13" i="20"/>
  <c r="Y12" i="20"/>
  <c r="W12" i="20"/>
  <c r="V12" i="20"/>
  <c r="U12" i="20"/>
  <c r="T12" i="20"/>
  <c r="R12" i="20"/>
  <c r="L12" i="20"/>
  <c r="J12" i="20"/>
  <c r="H12" i="20"/>
  <c r="F12" i="20"/>
  <c r="Y11" i="20"/>
  <c r="W11" i="20"/>
  <c r="V11" i="20"/>
  <c r="U11" i="20"/>
  <c r="T11" i="20"/>
  <c r="R11" i="20"/>
  <c r="L11" i="20"/>
  <c r="H11" i="20"/>
  <c r="J11" i="20" s="1"/>
  <c r="F11" i="20"/>
  <c r="V10" i="20"/>
  <c r="U10" i="20"/>
  <c r="T10" i="20"/>
  <c r="R10" i="20"/>
  <c r="L10" i="20"/>
  <c r="V9" i="20"/>
  <c r="U9" i="20"/>
  <c r="T9" i="20"/>
  <c r="R9" i="20"/>
  <c r="L9" i="20"/>
  <c r="H9" i="20"/>
  <c r="J9" i="20" s="1"/>
  <c r="F9" i="20"/>
  <c r="V8" i="20"/>
  <c r="U8" i="20"/>
  <c r="T8" i="20"/>
  <c r="R8" i="20"/>
  <c r="L8" i="20"/>
  <c r="H8" i="20"/>
  <c r="W8" i="20" s="1"/>
  <c r="G8" i="20"/>
  <c r="D8" i="20"/>
  <c r="F8" i="20" s="1"/>
  <c r="V7" i="20"/>
  <c r="U7" i="20"/>
  <c r="T7" i="20"/>
  <c r="R7" i="20"/>
  <c r="L7" i="20"/>
  <c r="G7" i="20"/>
  <c r="H7" i="20" s="1"/>
  <c r="D7" i="20"/>
  <c r="F7" i="20" s="1"/>
  <c r="I17" i="29" l="1"/>
  <c r="J13" i="24"/>
  <c r="W13" i="24"/>
  <c r="Z9" i="24"/>
  <c r="G18" i="24"/>
  <c r="Z13" i="24"/>
  <c r="I21" i="24"/>
  <c r="Z12" i="24"/>
  <c r="M7" i="24"/>
  <c r="I17" i="24"/>
  <c r="Z14" i="24"/>
  <c r="Z7" i="24"/>
  <c r="Z15" i="24"/>
  <c r="Z16" i="24"/>
  <c r="Y7" i="24"/>
  <c r="W7" i="24"/>
  <c r="J7" i="24"/>
  <c r="Z8" i="24"/>
  <c r="Z11" i="24"/>
  <c r="M7" i="23"/>
  <c r="I13" i="23"/>
  <c r="M13" i="23" s="1"/>
  <c r="F17" i="23"/>
  <c r="F19" i="23" s="1"/>
  <c r="Z13" i="23" s="1"/>
  <c r="I45" i="23"/>
  <c r="I17" i="22"/>
  <c r="Z7" i="22"/>
  <c r="Z13" i="22"/>
  <c r="Z11" i="22"/>
  <c r="Z14" i="22"/>
  <c r="Z8" i="22"/>
  <c r="I45" i="22"/>
  <c r="G18" i="22"/>
  <c r="I21" i="22"/>
  <c r="Z16" i="22"/>
  <c r="Z15" i="22"/>
  <c r="Z12" i="22"/>
  <c r="Z9" i="22"/>
  <c r="J9" i="21"/>
  <c r="W9" i="21"/>
  <c r="J11" i="21"/>
  <c r="W11" i="21"/>
  <c r="J12" i="21"/>
  <c r="J7" i="21"/>
  <c r="J8" i="21"/>
  <c r="W8" i="21"/>
  <c r="Y8" i="21"/>
  <c r="F17" i="21"/>
  <c r="F19" i="21" s="1"/>
  <c r="Z9" i="21" s="1"/>
  <c r="I7" i="21"/>
  <c r="Y10" i="21"/>
  <c r="Y14" i="21"/>
  <c r="E41" i="21"/>
  <c r="W7" i="21"/>
  <c r="J15" i="21"/>
  <c r="W12" i="21"/>
  <c r="J13" i="21"/>
  <c r="E27" i="21"/>
  <c r="W15" i="21"/>
  <c r="J10" i="21"/>
  <c r="I11" i="21"/>
  <c r="M11" i="21" s="1"/>
  <c r="W13" i="21"/>
  <c r="J14" i="21"/>
  <c r="W13" i="20"/>
  <c r="Y13" i="20"/>
  <c r="J13" i="20"/>
  <c r="I13" i="20"/>
  <c r="M13" i="20" s="1"/>
  <c r="H10" i="20"/>
  <c r="F17" i="20"/>
  <c r="F19" i="20" s="1"/>
  <c r="Z12" i="20" s="1"/>
  <c r="I7" i="20"/>
  <c r="W7" i="20"/>
  <c r="Y7" i="20"/>
  <c r="J7" i="20"/>
  <c r="I8" i="20"/>
  <c r="M8" i="20" s="1"/>
  <c r="I16" i="20"/>
  <c r="M16" i="20" s="1"/>
  <c r="Y8" i="20"/>
  <c r="W9" i="20"/>
  <c r="I11" i="20"/>
  <c r="M11" i="20" s="1"/>
  <c r="Y14" i="20"/>
  <c r="Y9" i="20"/>
  <c r="I12" i="20"/>
  <c r="M12" i="20" s="1"/>
  <c r="Y15" i="20"/>
  <c r="Y16" i="20"/>
  <c r="E41" i="20"/>
  <c r="E39" i="20"/>
  <c r="J8" i="20"/>
  <c r="I9" i="20"/>
  <c r="M9" i="20" s="1"/>
  <c r="J14" i="20"/>
  <c r="I15" i="20"/>
  <c r="M15" i="20" s="1"/>
  <c r="G17" i="20"/>
  <c r="E27" i="20"/>
  <c r="J15" i="20"/>
  <c r="J16" i="20"/>
  <c r="I17" i="23" l="1"/>
  <c r="I21" i="23"/>
  <c r="Z16" i="23"/>
  <c r="G18" i="23"/>
  <c r="Z11" i="23"/>
  <c r="Z14" i="23"/>
  <c r="Z8" i="23"/>
  <c r="Z15" i="23"/>
  <c r="Z7" i="23"/>
  <c r="Z9" i="23"/>
  <c r="Z10" i="23"/>
  <c r="Z12" i="23"/>
  <c r="Z11" i="21"/>
  <c r="Z8" i="21"/>
  <c r="Z14" i="21"/>
  <c r="Z10" i="21"/>
  <c r="Z13" i="21"/>
  <c r="I17" i="21"/>
  <c r="M7" i="21"/>
  <c r="G18" i="21"/>
  <c r="Z12" i="21"/>
  <c r="Z16" i="21"/>
  <c r="I21" i="21"/>
  <c r="Z15" i="21"/>
  <c r="Z7" i="21"/>
  <c r="W10" i="20"/>
  <c r="Y10" i="20"/>
  <c r="J10" i="20"/>
  <c r="G18" i="20"/>
  <c r="I21" i="20"/>
  <c r="Z9" i="20"/>
  <c r="Z7" i="20"/>
  <c r="Z15" i="20"/>
  <c r="Z13" i="20"/>
  <c r="Z14" i="20"/>
  <c r="Z10" i="20"/>
  <c r="Z8" i="20"/>
  <c r="Z11" i="20"/>
  <c r="Z16" i="20"/>
  <c r="I17" i="20"/>
  <c r="M7" i="20"/>
  <c r="I20" i="19" l="1"/>
  <c r="M41" i="19"/>
  <c r="I41" i="19"/>
  <c r="J41" i="19" s="1"/>
  <c r="H41" i="19"/>
  <c r="F41" i="19"/>
  <c r="E41" i="19"/>
  <c r="D41" i="19"/>
  <c r="M40" i="19"/>
  <c r="I40" i="19"/>
  <c r="J40" i="19" s="1"/>
  <c r="H40" i="19"/>
  <c r="E40" i="19"/>
  <c r="M39" i="19"/>
  <c r="I39" i="19"/>
  <c r="J39" i="19" s="1"/>
  <c r="D39" i="19"/>
  <c r="H39" i="19" s="1"/>
  <c r="M38" i="19"/>
  <c r="I38" i="19"/>
  <c r="J38" i="19" s="1"/>
  <c r="H38" i="19"/>
  <c r="E38" i="19"/>
  <c r="M37" i="19"/>
  <c r="I37" i="19"/>
  <c r="J37" i="19" s="1"/>
  <c r="H37" i="19"/>
  <c r="E37" i="19"/>
  <c r="M36" i="19"/>
  <c r="J36" i="19"/>
  <c r="I36" i="19"/>
  <c r="H36" i="19"/>
  <c r="E36" i="19"/>
  <c r="M35" i="19"/>
  <c r="I35" i="19"/>
  <c r="J35" i="19" s="1"/>
  <c r="D35" i="19"/>
  <c r="H35" i="19" s="1"/>
  <c r="M34" i="19"/>
  <c r="I34" i="19"/>
  <c r="J34" i="19" s="1"/>
  <c r="F34" i="19"/>
  <c r="D34" i="19"/>
  <c r="H34" i="19" s="1"/>
  <c r="M33" i="19"/>
  <c r="H33" i="19"/>
  <c r="F33" i="19"/>
  <c r="I33" i="19" s="1"/>
  <c r="J33" i="19" s="1"/>
  <c r="E33" i="19"/>
  <c r="D33" i="19"/>
  <c r="M32" i="19"/>
  <c r="I32" i="19"/>
  <c r="J32" i="19" s="1"/>
  <c r="H32" i="19"/>
  <c r="E32" i="19"/>
  <c r="D32" i="19"/>
  <c r="M31" i="19"/>
  <c r="I31" i="19"/>
  <c r="J31" i="19" s="1"/>
  <c r="H31" i="19"/>
  <c r="E31" i="19"/>
  <c r="D31" i="19"/>
  <c r="M30" i="19"/>
  <c r="I30" i="19"/>
  <c r="J30" i="19" s="1"/>
  <c r="H30" i="19"/>
  <c r="E30" i="19"/>
  <c r="M29" i="19"/>
  <c r="J29" i="19"/>
  <c r="I29" i="19"/>
  <c r="H29" i="19"/>
  <c r="E29" i="19"/>
  <c r="M28" i="19"/>
  <c r="I28" i="19"/>
  <c r="J28" i="19" s="1"/>
  <c r="F28" i="19"/>
  <c r="D28" i="19"/>
  <c r="H28" i="19" s="1"/>
  <c r="M27" i="19"/>
  <c r="J27" i="19"/>
  <c r="I27" i="19"/>
  <c r="D27" i="19"/>
  <c r="H27" i="19" s="1"/>
  <c r="M26" i="19"/>
  <c r="J26" i="19"/>
  <c r="I26" i="19"/>
  <c r="H26" i="19"/>
  <c r="E26" i="19"/>
  <c r="M25" i="19"/>
  <c r="I25" i="19"/>
  <c r="J25" i="19" s="1"/>
  <c r="H25" i="19"/>
  <c r="E25" i="19"/>
  <c r="L21" i="19"/>
  <c r="Y16" i="19"/>
  <c r="V16" i="19"/>
  <c r="U16" i="19"/>
  <c r="T16" i="19"/>
  <c r="R16" i="19"/>
  <c r="H16" i="19"/>
  <c r="W16" i="19" s="1"/>
  <c r="F16" i="19"/>
  <c r="I16" i="19" s="1"/>
  <c r="M16" i="19" s="1"/>
  <c r="Y15" i="19"/>
  <c r="V15" i="19"/>
  <c r="U15" i="19"/>
  <c r="T15" i="19"/>
  <c r="R15" i="19"/>
  <c r="M15" i="19"/>
  <c r="L15" i="19"/>
  <c r="I15" i="19"/>
  <c r="H15" i="19"/>
  <c r="W15" i="19" s="1"/>
  <c r="F15" i="19"/>
  <c r="V14" i="19"/>
  <c r="U14" i="19"/>
  <c r="T14" i="19"/>
  <c r="R14" i="19"/>
  <c r="L14" i="19"/>
  <c r="H14" i="19"/>
  <c r="Y14" i="19" s="1"/>
  <c r="F14" i="19"/>
  <c r="I14" i="19" s="1"/>
  <c r="M14" i="19" s="1"/>
  <c r="V13" i="19"/>
  <c r="U13" i="19"/>
  <c r="T13" i="19"/>
  <c r="R13" i="19"/>
  <c r="L13" i="19"/>
  <c r="H13" i="19"/>
  <c r="Y13" i="19" s="1"/>
  <c r="F13" i="19"/>
  <c r="I13" i="19" s="1"/>
  <c r="M13" i="19" s="1"/>
  <c r="V12" i="19"/>
  <c r="U12" i="19"/>
  <c r="T12" i="19"/>
  <c r="R12" i="19"/>
  <c r="L12" i="19"/>
  <c r="H12" i="19"/>
  <c r="W12" i="19" s="1"/>
  <c r="F12" i="19"/>
  <c r="I12" i="19" s="1"/>
  <c r="M12" i="19" s="1"/>
  <c r="Y11" i="19"/>
  <c r="V11" i="19"/>
  <c r="U11" i="19"/>
  <c r="T11" i="19"/>
  <c r="R11" i="19"/>
  <c r="L11" i="19"/>
  <c r="J11" i="19"/>
  <c r="H11" i="19"/>
  <c r="W11" i="19" s="1"/>
  <c r="F11" i="19"/>
  <c r="I11" i="19" s="1"/>
  <c r="M11" i="19" s="1"/>
  <c r="W10" i="19"/>
  <c r="V10" i="19"/>
  <c r="U10" i="19"/>
  <c r="T10" i="19"/>
  <c r="R10" i="19"/>
  <c r="L10" i="19"/>
  <c r="H10" i="19"/>
  <c r="J10" i="19" s="1"/>
  <c r="F10" i="19"/>
  <c r="I10" i="19" s="1"/>
  <c r="M10" i="19" s="1"/>
  <c r="Y9" i="19"/>
  <c r="V9" i="19"/>
  <c r="U9" i="19"/>
  <c r="T9" i="19"/>
  <c r="R9" i="19"/>
  <c r="L9" i="19"/>
  <c r="H9" i="19"/>
  <c r="W9" i="19" s="1"/>
  <c r="F9" i="19"/>
  <c r="I9" i="19" s="1"/>
  <c r="M9" i="19" s="1"/>
  <c r="V8" i="19"/>
  <c r="U8" i="19"/>
  <c r="T8" i="19"/>
  <c r="R8" i="19"/>
  <c r="L8" i="19"/>
  <c r="G8" i="19"/>
  <c r="H8" i="19" s="1"/>
  <c r="D8" i="19"/>
  <c r="F8" i="19" s="1"/>
  <c r="V7" i="19"/>
  <c r="U7" i="19"/>
  <c r="T7" i="19"/>
  <c r="R7" i="19"/>
  <c r="L7" i="19"/>
  <c r="G7" i="19"/>
  <c r="H7" i="19" s="1"/>
  <c r="F7" i="19"/>
  <c r="I7" i="19" s="1"/>
  <c r="D7" i="19"/>
  <c r="L21" i="18"/>
  <c r="G8" i="18"/>
  <c r="D8" i="18"/>
  <c r="F8" i="18" s="1"/>
  <c r="I8" i="18" s="1"/>
  <c r="M8" i="18" s="1"/>
  <c r="F41" i="18"/>
  <c r="I41" i="18" s="1"/>
  <c r="J41" i="18" s="1"/>
  <c r="D41" i="18"/>
  <c r="E41" i="18" s="1"/>
  <c r="M41" i="18"/>
  <c r="H41" i="18"/>
  <c r="M40" i="18"/>
  <c r="I40" i="18"/>
  <c r="J40" i="18" s="1"/>
  <c r="H40" i="18"/>
  <c r="E40" i="18"/>
  <c r="M39" i="18"/>
  <c r="J39" i="18"/>
  <c r="I39" i="18"/>
  <c r="H39" i="18"/>
  <c r="D39" i="18"/>
  <c r="E39" i="18" s="1"/>
  <c r="M38" i="18"/>
  <c r="J38" i="18"/>
  <c r="I38" i="18"/>
  <c r="H38" i="18"/>
  <c r="E38" i="18"/>
  <c r="M37" i="18"/>
  <c r="J37" i="18"/>
  <c r="I37" i="18"/>
  <c r="H37" i="18"/>
  <c r="E37" i="18"/>
  <c r="M36" i="18"/>
  <c r="I36" i="18"/>
  <c r="J36" i="18" s="1"/>
  <c r="H36" i="18"/>
  <c r="E36" i="18"/>
  <c r="M35" i="18"/>
  <c r="I35" i="18"/>
  <c r="J35" i="18" s="1"/>
  <c r="H35" i="18"/>
  <c r="E35" i="18"/>
  <c r="D35" i="18"/>
  <c r="M34" i="18"/>
  <c r="H34" i="18"/>
  <c r="F34" i="18"/>
  <c r="E34" i="18" s="1"/>
  <c r="D34" i="18"/>
  <c r="M33" i="18"/>
  <c r="I33" i="18"/>
  <c r="J33" i="18" s="1"/>
  <c r="H33" i="18"/>
  <c r="F33" i="18"/>
  <c r="E33" i="18"/>
  <c r="D33" i="18"/>
  <c r="M32" i="18"/>
  <c r="J32" i="18"/>
  <c r="I32" i="18"/>
  <c r="E32" i="18"/>
  <c r="D32" i="18"/>
  <c r="H32" i="18" s="1"/>
  <c r="M31" i="18"/>
  <c r="J31" i="18"/>
  <c r="I31" i="18"/>
  <c r="E31" i="18"/>
  <c r="D31" i="18"/>
  <c r="H31" i="18" s="1"/>
  <c r="M30" i="18"/>
  <c r="J30" i="18"/>
  <c r="I30" i="18"/>
  <c r="H30" i="18"/>
  <c r="E30" i="18"/>
  <c r="M29" i="18"/>
  <c r="I29" i="18"/>
  <c r="J29" i="18" s="1"/>
  <c r="H29" i="18"/>
  <c r="E29" i="18"/>
  <c r="M28" i="18"/>
  <c r="H28" i="18"/>
  <c r="F28" i="18"/>
  <c r="E28" i="18" s="1"/>
  <c r="D28" i="18"/>
  <c r="M27" i="18"/>
  <c r="I27" i="18"/>
  <c r="J27" i="18" s="1"/>
  <c r="D27" i="18"/>
  <c r="H27" i="18" s="1"/>
  <c r="M26" i="18"/>
  <c r="I26" i="18"/>
  <c r="J26" i="18" s="1"/>
  <c r="H26" i="18"/>
  <c r="E26" i="18"/>
  <c r="M25" i="18"/>
  <c r="I25" i="18"/>
  <c r="J25" i="18" s="1"/>
  <c r="H25" i="18"/>
  <c r="E25" i="18"/>
  <c r="I20" i="18"/>
  <c r="V16" i="18"/>
  <c r="U16" i="18"/>
  <c r="T16" i="18"/>
  <c r="R16" i="18"/>
  <c r="J16" i="18"/>
  <c r="H16" i="18"/>
  <c r="Y16" i="18" s="1"/>
  <c r="F16" i="18"/>
  <c r="I16" i="18" s="1"/>
  <c r="M16" i="18" s="1"/>
  <c r="V15" i="18"/>
  <c r="U15" i="18"/>
  <c r="T15" i="18"/>
  <c r="R15" i="18"/>
  <c r="L15" i="18"/>
  <c r="H15" i="18"/>
  <c r="J15" i="18" s="1"/>
  <c r="F15" i="18"/>
  <c r="I15" i="18" s="1"/>
  <c r="M15" i="18" s="1"/>
  <c r="V14" i="18"/>
  <c r="U14" i="18"/>
  <c r="T14" i="18"/>
  <c r="R14" i="18"/>
  <c r="L14" i="18"/>
  <c r="I14" i="18"/>
  <c r="M14" i="18" s="1"/>
  <c r="H14" i="18"/>
  <c r="W14" i="18" s="1"/>
  <c r="F14" i="18"/>
  <c r="V13" i="18"/>
  <c r="U13" i="18"/>
  <c r="T13" i="18"/>
  <c r="R13" i="18"/>
  <c r="L13" i="18"/>
  <c r="H13" i="18"/>
  <c r="W13" i="18" s="1"/>
  <c r="F13" i="18"/>
  <c r="I13" i="18" s="1"/>
  <c r="M13" i="18" s="1"/>
  <c r="V12" i="18"/>
  <c r="U12" i="18"/>
  <c r="T12" i="18"/>
  <c r="R12" i="18"/>
  <c r="L12" i="18"/>
  <c r="J12" i="18"/>
  <c r="H12" i="18"/>
  <c r="W12" i="18" s="1"/>
  <c r="F12" i="18"/>
  <c r="V11" i="18"/>
  <c r="U11" i="18"/>
  <c r="T11" i="18"/>
  <c r="R11" i="18"/>
  <c r="L11" i="18"/>
  <c r="I11" i="18"/>
  <c r="M11" i="18" s="1"/>
  <c r="H11" i="18"/>
  <c r="J11" i="18" s="1"/>
  <c r="F11" i="18"/>
  <c r="V9" i="18"/>
  <c r="U9" i="18"/>
  <c r="T9" i="18"/>
  <c r="R9" i="18"/>
  <c r="L9" i="18"/>
  <c r="H9" i="18"/>
  <c r="W9" i="18" s="1"/>
  <c r="F9" i="18"/>
  <c r="I9" i="18" s="1"/>
  <c r="M9" i="18" s="1"/>
  <c r="V8" i="18"/>
  <c r="U8" i="18"/>
  <c r="T8" i="18"/>
  <c r="R8" i="18"/>
  <c r="L8" i="18"/>
  <c r="H8" i="18"/>
  <c r="J8" i="18" s="1"/>
  <c r="V10" i="18"/>
  <c r="U10" i="18"/>
  <c r="T10" i="18"/>
  <c r="R10" i="18"/>
  <c r="L10" i="18"/>
  <c r="H10" i="18"/>
  <c r="W10" i="18" s="1"/>
  <c r="F10" i="18"/>
  <c r="I10" i="18" s="1"/>
  <c r="M10" i="18" s="1"/>
  <c r="V7" i="18"/>
  <c r="U7" i="18"/>
  <c r="T7" i="18"/>
  <c r="R7" i="18"/>
  <c r="L7" i="18"/>
  <c r="G7" i="18"/>
  <c r="H7" i="18" s="1"/>
  <c r="D7" i="18"/>
  <c r="F7" i="18" s="1"/>
  <c r="I20" i="17"/>
  <c r="M40" i="17"/>
  <c r="I40" i="17"/>
  <c r="J40" i="17" s="1"/>
  <c r="H40" i="17"/>
  <c r="E40" i="17"/>
  <c r="M39" i="17"/>
  <c r="J39" i="17"/>
  <c r="I39" i="17"/>
  <c r="D39" i="17"/>
  <c r="H39" i="17" s="1"/>
  <c r="M38" i="17"/>
  <c r="J38" i="17"/>
  <c r="I38" i="17"/>
  <c r="H38" i="17"/>
  <c r="E38" i="17"/>
  <c r="M37" i="17"/>
  <c r="I37" i="17"/>
  <c r="J37" i="17" s="1"/>
  <c r="H37" i="17"/>
  <c r="E37" i="17"/>
  <c r="M36" i="17"/>
  <c r="J36" i="17"/>
  <c r="I36" i="17"/>
  <c r="H36" i="17"/>
  <c r="E36" i="17"/>
  <c r="M35" i="17"/>
  <c r="J35" i="17"/>
  <c r="I35" i="17"/>
  <c r="H35" i="17"/>
  <c r="E35" i="17"/>
  <c r="D35" i="17"/>
  <c r="M34" i="17"/>
  <c r="F34" i="17"/>
  <c r="E34" i="17" s="1"/>
  <c r="D34" i="17"/>
  <c r="H34" i="17" s="1"/>
  <c r="M33" i="17"/>
  <c r="J33" i="17"/>
  <c r="I33" i="17"/>
  <c r="H33" i="17"/>
  <c r="F33" i="17"/>
  <c r="D33" i="17"/>
  <c r="E33" i="17" s="1"/>
  <c r="M32" i="17"/>
  <c r="I32" i="17"/>
  <c r="J32" i="17" s="1"/>
  <c r="D32" i="17"/>
  <c r="H32" i="17" s="1"/>
  <c r="M31" i="17"/>
  <c r="I31" i="17"/>
  <c r="J31" i="17" s="1"/>
  <c r="D31" i="17"/>
  <c r="H31" i="17" s="1"/>
  <c r="M30" i="17"/>
  <c r="I30" i="17"/>
  <c r="J30" i="17" s="1"/>
  <c r="H30" i="17"/>
  <c r="E30" i="17"/>
  <c r="M29" i="17"/>
  <c r="J29" i="17"/>
  <c r="I29" i="17"/>
  <c r="H29" i="17"/>
  <c r="E29" i="17"/>
  <c r="M28" i="17"/>
  <c r="F28" i="17"/>
  <c r="E28" i="17" s="1"/>
  <c r="D28" i="17"/>
  <c r="H28" i="17" s="1"/>
  <c r="M27" i="17"/>
  <c r="J27" i="17"/>
  <c r="I27" i="17"/>
  <c r="H27" i="17"/>
  <c r="D27" i="17"/>
  <c r="E27" i="17" s="1"/>
  <c r="M26" i="17"/>
  <c r="J26" i="17"/>
  <c r="I26" i="17"/>
  <c r="H26" i="17"/>
  <c r="E26" i="17"/>
  <c r="M25" i="17"/>
  <c r="J25" i="17"/>
  <c r="I25" i="17"/>
  <c r="H25" i="17"/>
  <c r="E25" i="17"/>
  <c r="Y16" i="17"/>
  <c r="V16" i="17"/>
  <c r="U16" i="17"/>
  <c r="T16" i="17"/>
  <c r="R16" i="17"/>
  <c r="H16" i="17"/>
  <c r="W16" i="17" s="1"/>
  <c r="F16" i="17"/>
  <c r="Y15" i="17"/>
  <c r="V15" i="17"/>
  <c r="U15" i="17"/>
  <c r="T15" i="17"/>
  <c r="R15" i="17"/>
  <c r="M15" i="17"/>
  <c r="L15" i="17"/>
  <c r="I15" i="17"/>
  <c r="H15" i="17"/>
  <c r="W15" i="17" s="1"/>
  <c r="F15" i="17"/>
  <c r="V14" i="17"/>
  <c r="U14" i="17"/>
  <c r="T14" i="17"/>
  <c r="R14" i="17"/>
  <c r="L14" i="17"/>
  <c r="H14" i="17"/>
  <c r="Y14" i="17" s="1"/>
  <c r="F14" i="17"/>
  <c r="I14" i="17" s="1"/>
  <c r="M14" i="17" s="1"/>
  <c r="V13" i="17"/>
  <c r="U13" i="17"/>
  <c r="T13" i="17"/>
  <c r="R13" i="17"/>
  <c r="L13" i="17"/>
  <c r="I13" i="17"/>
  <c r="M13" i="17" s="1"/>
  <c r="H13" i="17"/>
  <c r="Y13" i="17" s="1"/>
  <c r="F13" i="17"/>
  <c r="Y12" i="17"/>
  <c r="W12" i="17"/>
  <c r="V12" i="17"/>
  <c r="U12" i="17"/>
  <c r="T12" i="17"/>
  <c r="R12" i="17"/>
  <c r="L12" i="17"/>
  <c r="J12" i="17"/>
  <c r="I12" i="17"/>
  <c r="M12" i="17" s="1"/>
  <c r="H12" i="17"/>
  <c r="F12" i="17"/>
  <c r="Y11" i="17"/>
  <c r="W11" i="17"/>
  <c r="V11" i="17"/>
  <c r="U11" i="17"/>
  <c r="T11" i="17"/>
  <c r="R11" i="17"/>
  <c r="L11" i="17"/>
  <c r="J11" i="17"/>
  <c r="H11" i="17"/>
  <c r="F11" i="17"/>
  <c r="I11" i="17" s="1"/>
  <c r="M11" i="17" s="1"/>
  <c r="Y10" i="17"/>
  <c r="W10" i="17"/>
  <c r="V10" i="17"/>
  <c r="U10" i="17"/>
  <c r="T10" i="17"/>
  <c r="R10" i="17"/>
  <c r="L10" i="17"/>
  <c r="H10" i="17"/>
  <c r="J10" i="17" s="1"/>
  <c r="F10" i="17"/>
  <c r="I10" i="17" s="1"/>
  <c r="M10" i="17" s="1"/>
  <c r="Y9" i="17"/>
  <c r="V9" i="17"/>
  <c r="U9" i="17"/>
  <c r="T9" i="17"/>
  <c r="R9" i="17"/>
  <c r="L9" i="17"/>
  <c r="H9" i="17"/>
  <c r="W9" i="17" s="1"/>
  <c r="F9" i="17"/>
  <c r="I9" i="17" s="1"/>
  <c r="M9" i="17" s="1"/>
  <c r="V8" i="17"/>
  <c r="U8" i="17"/>
  <c r="T8" i="17"/>
  <c r="R8" i="17"/>
  <c r="L8" i="17"/>
  <c r="G8" i="17"/>
  <c r="H8" i="17" s="1"/>
  <c r="D8" i="17"/>
  <c r="F8" i="17" s="1"/>
  <c r="V7" i="17"/>
  <c r="U7" i="17"/>
  <c r="T7" i="17"/>
  <c r="R7" i="17"/>
  <c r="L7" i="17"/>
  <c r="G7" i="17"/>
  <c r="G17" i="17" s="1"/>
  <c r="D7" i="17"/>
  <c r="F7" i="17" s="1"/>
  <c r="M40" i="16"/>
  <c r="H40" i="16"/>
  <c r="I40" i="16"/>
  <c r="J40" i="16" s="1"/>
  <c r="E40" i="16"/>
  <c r="M39" i="16"/>
  <c r="I39" i="16"/>
  <c r="J39" i="16" s="1"/>
  <c r="H39" i="16"/>
  <c r="E39" i="16"/>
  <c r="D39" i="16"/>
  <c r="I20" i="16"/>
  <c r="M38" i="16"/>
  <c r="I38" i="16"/>
  <c r="J38" i="16" s="1"/>
  <c r="H38" i="16"/>
  <c r="E38" i="16"/>
  <c r="M37" i="16"/>
  <c r="I37" i="16"/>
  <c r="J37" i="16" s="1"/>
  <c r="H37" i="16"/>
  <c r="E37" i="16"/>
  <c r="M36" i="16"/>
  <c r="I36" i="16"/>
  <c r="J36" i="16" s="1"/>
  <c r="H36" i="16"/>
  <c r="E36" i="16"/>
  <c r="M35" i="16"/>
  <c r="J35" i="16"/>
  <c r="I35" i="16"/>
  <c r="D35" i="16"/>
  <c r="E35" i="16" s="1"/>
  <c r="M34" i="16"/>
  <c r="F34" i="16"/>
  <c r="I34" i="16" s="1"/>
  <c r="J34" i="16" s="1"/>
  <c r="D34" i="16"/>
  <c r="H34" i="16" s="1"/>
  <c r="M33" i="16"/>
  <c r="F33" i="16"/>
  <c r="I33" i="16" s="1"/>
  <c r="J33" i="16" s="1"/>
  <c r="D33" i="16"/>
  <c r="H33" i="16" s="1"/>
  <c r="M32" i="16"/>
  <c r="I32" i="16"/>
  <c r="J32" i="16" s="1"/>
  <c r="D32" i="16"/>
  <c r="H32" i="16" s="1"/>
  <c r="M31" i="16"/>
  <c r="I31" i="16"/>
  <c r="J31" i="16" s="1"/>
  <c r="D31" i="16"/>
  <c r="H31" i="16" s="1"/>
  <c r="M30" i="16"/>
  <c r="I30" i="16"/>
  <c r="J30" i="16" s="1"/>
  <c r="H30" i="16"/>
  <c r="E30" i="16"/>
  <c r="M29" i="16"/>
  <c r="I29" i="16"/>
  <c r="J29" i="16" s="1"/>
  <c r="H29" i="16"/>
  <c r="E29" i="16"/>
  <c r="M28" i="16"/>
  <c r="F28" i="16"/>
  <c r="I28" i="16" s="1"/>
  <c r="J28" i="16" s="1"/>
  <c r="D28" i="16"/>
  <c r="H28" i="16" s="1"/>
  <c r="M27" i="16"/>
  <c r="J27" i="16"/>
  <c r="I27" i="16"/>
  <c r="D27" i="16"/>
  <c r="E27" i="16" s="1"/>
  <c r="M26" i="16"/>
  <c r="I26" i="16"/>
  <c r="J26" i="16" s="1"/>
  <c r="H26" i="16"/>
  <c r="E26" i="16"/>
  <c r="M25" i="16"/>
  <c r="I25" i="16"/>
  <c r="J25" i="16" s="1"/>
  <c r="H25" i="16"/>
  <c r="E25" i="16"/>
  <c r="V16" i="16"/>
  <c r="U16" i="16"/>
  <c r="T16" i="16"/>
  <c r="R16" i="16"/>
  <c r="H16" i="16"/>
  <c r="W16" i="16" s="1"/>
  <c r="F16" i="16"/>
  <c r="I16" i="16" s="1"/>
  <c r="M16" i="16" s="1"/>
  <c r="V15" i="16"/>
  <c r="U15" i="16"/>
  <c r="T15" i="16"/>
  <c r="R15" i="16"/>
  <c r="L15" i="16"/>
  <c r="H15" i="16"/>
  <c r="W15" i="16" s="1"/>
  <c r="F15" i="16"/>
  <c r="I15" i="16" s="1"/>
  <c r="M15" i="16" s="1"/>
  <c r="V14" i="16"/>
  <c r="U14" i="16"/>
  <c r="T14" i="16"/>
  <c r="R14" i="16"/>
  <c r="L14" i="16"/>
  <c r="H14" i="16"/>
  <c r="Y14" i="16" s="1"/>
  <c r="F14" i="16"/>
  <c r="I14" i="16" s="1"/>
  <c r="M14" i="16" s="1"/>
  <c r="V10" i="16"/>
  <c r="U10" i="16"/>
  <c r="T10" i="16"/>
  <c r="R10" i="16"/>
  <c r="L10" i="16"/>
  <c r="H10" i="16"/>
  <c r="Y10" i="16" s="1"/>
  <c r="F10" i="16"/>
  <c r="I10" i="16" s="1"/>
  <c r="M10" i="16" s="1"/>
  <c r="V9" i="16"/>
  <c r="U9" i="16"/>
  <c r="T9" i="16"/>
  <c r="R9" i="16"/>
  <c r="L9" i="16"/>
  <c r="H9" i="16"/>
  <c r="Y9" i="16" s="1"/>
  <c r="F9" i="16"/>
  <c r="I9" i="16" s="1"/>
  <c r="M9" i="16" s="1"/>
  <c r="V13" i="16"/>
  <c r="U13" i="16"/>
  <c r="T13" i="16"/>
  <c r="R13" i="16"/>
  <c r="L13" i="16"/>
  <c r="H13" i="16"/>
  <c r="J13" i="16" s="1"/>
  <c r="F13" i="16"/>
  <c r="I13" i="16" s="1"/>
  <c r="M13" i="16" s="1"/>
  <c r="V12" i="16"/>
  <c r="U12" i="16"/>
  <c r="T12" i="16"/>
  <c r="R12" i="16"/>
  <c r="L12" i="16"/>
  <c r="F12" i="16"/>
  <c r="V8" i="16"/>
  <c r="U8" i="16"/>
  <c r="T8" i="16"/>
  <c r="R8" i="16"/>
  <c r="L8" i="16"/>
  <c r="G8" i="16"/>
  <c r="H8" i="16" s="1"/>
  <c r="Y8" i="16" s="1"/>
  <c r="D8" i="16"/>
  <c r="F8" i="16" s="1"/>
  <c r="V7" i="16"/>
  <c r="U7" i="16"/>
  <c r="T7" i="16"/>
  <c r="R7" i="16"/>
  <c r="L7" i="16"/>
  <c r="G7" i="16"/>
  <c r="D7" i="16"/>
  <c r="F7" i="16" s="1"/>
  <c r="V11" i="16"/>
  <c r="U11" i="16"/>
  <c r="T11" i="16"/>
  <c r="R11" i="16"/>
  <c r="L11" i="16"/>
  <c r="H11" i="16"/>
  <c r="Y11" i="16" s="1"/>
  <c r="F11" i="16"/>
  <c r="I11" i="16" s="1"/>
  <c r="M11" i="16" s="1"/>
  <c r="M36" i="15"/>
  <c r="H36" i="15"/>
  <c r="E36" i="15"/>
  <c r="I36" i="15"/>
  <c r="J36" i="15"/>
  <c r="M35" i="15"/>
  <c r="I35" i="15"/>
  <c r="J35" i="15"/>
  <c r="E35" i="15"/>
  <c r="H35" i="15"/>
  <c r="D35" i="15"/>
  <c r="I20" i="15"/>
  <c r="M34" i="15"/>
  <c r="F34" i="15"/>
  <c r="I34" i="15" s="1"/>
  <c r="J34" i="15" s="1"/>
  <c r="E34" i="15"/>
  <c r="D34" i="15"/>
  <c r="H34" i="15" s="1"/>
  <c r="M33" i="15"/>
  <c r="F33" i="15"/>
  <c r="E33" i="15" s="1"/>
  <c r="D33" i="15"/>
  <c r="H33" i="15" s="1"/>
  <c r="M32" i="15"/>
  <c r="I32" i="15"/>
  <c r="J32" i="15" s="1"/>
  <c r="H32" i="15"/>
  <c r="E32" i="15"/>
  <c r="D32" i="15"/>
  <c r="M31" i="15"/>
  <c r="I31" i="15"/>
  <c r="J31" i="15" s="1"/>
  <c r="H31" i="15"/>
  <c r="E31" i="15"/>
  <c r="D31" i="15"/>
  <c r="M30" i="15"/>
  <c r="I30" i="15"/>
  <c r="J30" i="15" s="1"/>
  <c r="H30" i="15"/>
  <c r="E30" i="15"/>
  <c r="M29" i="15"/>
  <c r="J29" i="15"/>
  <c r="I29" i="15"/>
  <c r="H29" i="15"/>
  <c r="E29" i="15"/>
  <c r="M28" i="15"/>
  <c r="I28" i="15"/>
  <c r="J28" i="15" s="1"/>
  <c r="F28" i="15"/>
  <c r="E28" i="15"/>
  <c r="D28" i="15"/>
  <c r="H28" i="15" s="1"/>
  <c r="M27" i="15"/>
  <c r="J27" i="15"/>
  <c r="I27" i="15"/>
  <c r="E27" i="15"/>
  <c r="D27" i="15"/>
  <c r="H27" i="15" s="1"/>
  <c r="M26" i="15"/>
  <c r="J26" i="15"/>
  <c r="I26" i="15"/>
  <c r="H26" i="15"/>
  <c r="E26" i="15"/>
  <c r="M25" i="15"/>
  <c r="I25" i="15"/>
  <c r="H25" i="15"/>
  <c r="E25" i="15"/>
  <c r="V16" i="15"/>
  <c r="U16" i="15"/>
  <c r="T16" i="15"/>
  <c r="R16" i="15"/>
  <c r="H16" i="15"/>
  <c r="Y16" i="15" s="1"/>
  <c r="F16" i="15"/>
  <c r="V14" i="15"/>
  <c r="U14" i="15"/>
  <c r="T14" i="15"/>
  <c r="R14" i="15"/>
  <c r="L14" i="15"/>
  <c r="H14" i="15"/>
  <c r="Y14" i="15" s="1"/>
  <c r="F14" i="15"/>
  <c r="I14" i="15" s="1"/>
  <c r="M14" i="15" s="1"/>
  <c r="V13" i="15"/>
  <c r="U13" i="15"/>
  <c r="T13" i="15"/>
  <c r="R13" i="15"/>
  <c r="L13" i="15"/>
  <c r="H13" i="15"/>
  <c r="Y13" i="15" s="1"/>
  <c r="F13" i="15"/>
  <c r="I13" i="15" s="1"/>
  <c r="M13" i="15" s="1"/>
  <c r="Y12" i="15"/>
  <c r="V12" i="15"/>
  <c r="U12" i="15"/>
  <c r="T12" i="15"/>
  <c r="R12" i="15"/>
  <c r="L12" i="15"/>
  <c r="H12" i="15"/>
  <c r="W12" i="15" s="1"/>
  <c r="F12" i="15"/>
  <c r="I12" i="15" s="1"/>
  <c r="M12" i="15" s="1"/>
  <c r="V11" i="15"/>
  <c r="U11" i="15"/>
  <c r="T11" i="15"/>
  <c r="R11" i="15"/>
  <c r="L11" i="15"/>
  <c r="H11" i="15"/>
  <c r="J11" i="15" s="1"/>
  <c r="F11" i="15"/>
  <c r="I11" i="15" s="1"/>
  <c r="M11" i="15" s="1"/>
  <c r="V15" i="15"/>
  <c r="U15" i="15"/>
  <c r="T15" i="15"/>
  <c r="R15" i="15"/>
  <c r="L15" i="15"/>
  <c r="H15" i="15"/>
  <c r="F15" i="15"/>
  <c r="I15" i="15" s="1"/>
  <c r="M15" i="15" s="1"/>
  <c r="V10" i="15"/>
  <c r="U10" i="15"/>
  <c r="T10" i="15"/>
  <c r="R10" i="15"/>
  <c r="L10" i="15"/>
  <c r="G10" i="15"/>
  <c r="H10" i="15" s="1"/>
  <c r="D10" i="15"/>
  <c r="F10" i="15" s="1"/>
  <c r="V9" i="15"/>
  <c r="U9" i="15"/>
  <c r="T9" i="15"/>
  <c r="R9" i="15"/>
  <c r="L9" i="15"/>
  <c r="G9" i="15"/>
  <c r="G17" i="15" s="1"/>
  <c r="F9" i="15"/>
  <c r="I9" i="15" s="1"/>
  <c r="M9" i="15" s="1"/>
  <c r="D9" i="15"/>
  <c r="V8" i="15"/>
  <c r="U8" i="15"/>
  <c r="T8" i="15"/>
  <c r="R8" i="15"/>
  <c r="L8" i="15"/>
  <c r="G8" i="15"/>
  <c r="H8" i="15" s="1"/>
  <c r="D8" i="15"/>
  <c r="F8" i="15" s="1"/>
  <c r="V7" i="15"/>
  <c r="U7" i="15"/>
  <c r="T7" i="15"/>
  <c r="R7" i="15"/>
  <c r="L7" i="15"/>
  <c r="H7" i="15"/>
  <c r="W7" i="15" s="1"/>
  <c r="F7" i="15"/>
  <c r="I20" i="14"/>
  <c r="M34" i="14"/>
  <c r="F34" i="14"/>
  <c r="I34" i="14" s="1"/>
  <c r="J34" i="14" s="1"/>
  <c r="D34" i="14"/>
  <c r="E34" i="14" s="1"/>
  <c r="M33" i="14"/>
  <c r="F33" i="14"/>
  <c r="I33" i="14" s="1"/>
  <c r="J33" i="14" s="1"/>
  <c r="D33" i="14"/>
  <c r="E33" i="14" s="1"/>
  <c r="M32" i="14"/>
  <c r="I32" i="14"/>
  <c r="J32" i="14" s="1"/>
  <c r="D32" i="14"/>
  <c r="H32" i="14" s="1"/>
  <c r="M31" i="14"/>
  <c r="I31" i="14"/>
  <c r="J31" i="14" s="1"/>
  <c r="D31" i="14"/>
  <c r="H31" i="14" s="1"/>
  <c r="M30" i="14"/>
  <c r="I30" i="14"/>
  <c r="J30" i="14" s="1"/>
  <c r="H30" i="14"/>
  <c r="E30" i="14"/>
  <c r="M29" i="14"/>
  <c r="J29" i="14"/>
  <c r="I29" i="14"/>
  <c r="H29" i="14"/>
  <c r="E29" i="14"/>
  <c r="M28" i="14"/>
  <c r="J28" i="14"/>
  <c r="I28" i="14"/>
  <c r="F28" i="14"/>
  <c r="D28" i="14"/>
  <c r="E28" i="14" s="1"/>
  <c r="M27" i="14"/>
  <c r="J27" i="14"/>
  <c r="I27" i="14"/>
  <c r="D27" i="14"/>
  <c r="E27" i="14" s="1"/>
  <c r="M26" i="14"/>
  <c r="J26" i="14"/>
  <c r="I26" i="14"/>
  <c r="H26" i="14"/>
  <c r="E26" i="14"/>
  <c r="M25" i="14"/>
  <c r="J25" i="14"/>
  <c r="I25" i="14"/>
  <c r="I37" i="14" s="1"/>
  <c r="H25" i="14"/>
  <c r="E25" i="14"/>
  <c r="Y16" i="14"/>
  <c r="V16" i="14"/>
  <c r="U16" i="14"/>
  <c r="T16" i="14"/>
  <c r="R16" i="14"/>
  <c r="H16" i="14"/>
  <c r="W16" i="14" s="1"/>
  <c r="F16" i="14"/>
  <c r="I16" i="14" s="1"/>
  <c r="M16" i="14" s="1"/>
  <c r="V15" i="14"/>
  <c r="U15" i="14"/>
  <c r="T15" i="14"/>
  <c r="R15" i="14"/>
  <c r="L15" i="14"/>
  <c r="H15" i="14"/>
  <c r="Y15" i="14" s="1"/>
  <c r="F15" i="14"/>
  <c r="I15" i="14" s="1"/>
  <c r="M15" i="14" s="1"/>
  <c r="V14" i="14"/>
  <c r="U14" i="14"/>
  <c r="T14" i="14"/>
  <c r="R14" i="14"/>
  <c r="L14" i="14"/>
  <c r="H14" i="14"/>
  <c r="J14" i="14" s="1"/>
  <c r="F14" i="14"/>
  <c r="I14" i="14" s="1"/>
  <c r="M14" i="14" s="1"/>
  <c r="Y13" i="14"/>
  <c r="V13" i="14"/>
  <c r="U13" i="14"/>
  <c r="T13" i="14"/>
  <c r="R13" i="14"/>
  <c r="L13" i="14"/>
  <c r="J13" i="14"/>
  <c r="I13" i="14"/>
  <c r="M13" i="14" s="1"/>
  <c r="H13" i="14"/>
  <c r="W13" i="14" s="1"/>
  <c r="F13" i="14"/>
  <c r="Y12" i="14"/>
  <c r="W12" i="14"/>
  <c r="V12" i="14"/>
  <c r="U12" i="14"/>
  <c r="T12" i="14"/>
  <c r="R12" i="14"/>
  <c r="L12" i="14"/>
  <c r="J12" i="14"/>
  <c r="H12" i="14"/>
  <c r="F12" i="14"/>
  <c r="I12" i="14" s="1"/>
  <c r="M12" i="14" s="1"/>
  <c r="V11" i="14"/>
  <c r="U11" i="14"/>
  <c r="T11" i="14"/>
  <c r="R11" i="14"/>
  <c r="L11" i="14"/>
  <c r="G11" i="14"/>
  <c r="H11" i="14" s="1"/>
  <c r="D11" i="14"/>
  <c r="F11" i="14" s="1"/>
  <c r="V10" i="14"/>
  <c r="U10" i="14"/>
  <c r="T10" i="14"/>
  <c r="R10" i="14"/>
  <c r="L10" i="14"/>
  <c r="H10" i="14"/>
  <c r="Y10" i="14" s="1"/>
  <c r="G10" i="14"/>
  <c r="D10" i="14"/>
  <c r="F10" i="14" s="1"/>
  <c r="V9" i="14"/>
  <c r="U9" i="14"/>
  <c r="T9" i="14"/>
  <c r="R9" i="14"/>
  <c r="L9" i="14"/>
  <c r="G9" i="14"/>
  <c r="H9" i="14" s="1"/>
  <c r="D9" i="14"/>
  <c r="F9" i="14" s="1"/>
  <c r="V8" i="14"/>
  <c r="U8" i="14"/>
  <c r="T8" i="14"/>
  <c r="R8" i="14"/>
  <c r="L8" i="14"/>
  <c r="H8" i="14"/>
  <c r="Y8" i="14" s="1"/>
  <c r="G8" i="14"/>
  <c r="G17" i="14" s="1"/>
  <c r="D8" i="14"/>
  <c r="F8" i="14" s="1"/>
  <c r="Y7" i="14"/>
  <c r="W7" i="14"/>
  <c r="V7" i="14"/>
  <c r="U7" i="14"/>
  <c r="T7" i="14"/>
  <c r="R7" i="14"/>
  <c r="L7" i="14"/>
  <c r="H7" i="14"/>
  <c r="J7" i="14" s="1"/>
  <c r="F7" i="14"/>
  <c r="W14" i="19" l="1"/>
  <c r="J14" i="19"/>
  <c r="Y12" i="19"/>
  <c r="J12" i="19"/>
  <c r="M7" i="19"/>
  <c r="Y7" i="19"/>
  <c r="W7" i="19"/>
  <c r="J7" i="19"/>
  <c r="I8" i="19"/>
  <c r="M8" i="19" s="1"/>
  <c r="Y8" i="19"/>
  <c r="W8" i="19"/>
  <c r="J8" i="19"/>
  <c r="Y10" i="19"/>
  <c r="E39" i="19"/>
  <c r="J13" i="19"/>
  <c r="F17" i="19"/>
  <c r="F19" i="19" s="1"/>
  <c r="Z8" i="19" s="1"/>
  <c r="W13" i="19"/>
  <c r="G17" i="19"/>
  <c r="E27" i="19"/>
  <c r="E28" i="19"/>
  <c r="E34" i="19"/>
  <c r="J9" i="19"/>
  <c r="E35" i="19"/>
  <c r="J15" i="19"/>
  <c r="J16" i="19"/>
  <c r="W11" i="18"/>
  <c r="W15" i="18"/>
  <c r="Y11" i="18"/>
  <c r="J13" i="18"/>
  <c r="Y13" i="18"/>
  <c r="J9" i="18"/>
  <c r="Y9" i="18"/>
  <c r="W16" i="18"/>
  <c r="W8" i="18"/>
  <c r="F17" i="18"/>
  <c r="I7" i="18"/>
  <c r="Y7" i="18"/>
  <c r="W7" i="18"/>
  <c r="J7" i="18"/>
  <c r="Y10" i="18"/>
  <c r="Y14" i="18"/>
  <c r="Y8" i="18"/>
  <c r="I12" i="18"/>
  <c r="M12" i="18" s="1"/>
  <c r="Y15" i="18"/>
  <c r="I28" i="18"/>
  <c r="J28" i="18" s="1"/>
  <c r="I34" i="18"/>
  <c r="J34" i="18" s="1"/>
  <c r="J10" i="18"/>
  <c r="Y12" i="18"/>
  <c r="J14" i="18"/>
  <c r="G17" i="18"/>
  <c r="E27" i="18"/>
  <c r="I8" i="17"/>
  <c r="M8" i="17" s="1"/>
  <c r="Y8" i="17"/>
  <c r="W8" i="17"/>
  <c r="J8" i="17"/>
  <c r="F17" i="17"/>
  <c r="F19" i="17" s="1"/>
  <c r="I7" i="17"/>
  <c r="J13" i="17"/>
  <c r="W13" i="17"/>
  <c r="J14" i="17"/>
  <c r="H7" i="17"/>
  <c r="J9" i="17"/>
  <c r="W14" i="17"/>
  <c r="J15" i="17"/>
  <c r="I16" i="17"/>
  <c r="M16" i="17" s="1"/>
  <c r="J16" i="17"/>
  <c r="I28" i="17"/>
  <c r="J28" i="17" s="1"/>
  <c r="I34" i="17"/>
  <c r="J34" i="17" s="1"/>
  <c r="E39" i="17"/>
  <c r="E31" i="17"/>
  <c r="E32" i="17"/>
  <c r="W13" i="16"/>
  <c r="Y13" i="16"/>
  <c r="E34" i="16"/>
  <c r="Y15" i="16"/>
  <c r="H12" i="16"/>
  <c r="W12" i="16" s="1"/>
  <c r="J9" i="16"/>
  <c r="W9" i="16"/>
  <c r="Y16" i="16"/>
  <c r="H35" i="16"/>
  <c r="H7" i="16"/>
  <c r="Y7" i="16" s="1"/>
  <c r="G17" i="16"/>
  <c r="I7" i="16"/>
  <c r="F17" i="16"/>
  <c r="F19" i="16" s="1"/>
  <c r="Z10" i="16" s="1"/>
  <c r="I8" i="16"/>
  <c r="M8" i="16" s="1"/>
  <c r="I12" i="16"/>
  <c r="M12" i="16" s="1"/>
  <c r="E31" i="16"/>
  <c r="E32" i="16"/>
  <c r="E33" i="16"/>
  <c r="J11" i="16"/>
  <c r="J8" i="16"/>
  <c r="J10" i="16"/>
  <c r="W11" i="16"/>
  <c r="W8" i="16"/>
  <c r="W10" i="16"/>
  <c r="J14" i="16"/>
  <c r="H27" i="16"/>
  <c r="E28" i="16"/>
  <c r="W14" i="16"/>
  <c r="J15" i="16"/>
  <c r="J16" i="16"/>
  <c r="J12" i="15"/>
  <c r="J13" i="15"/>
  <c r="W13" i="15"/>
  <c r="Y7" i="15"/>
  <c r="W11" i="15"/>
  <c r="Y11" i="15"/>
  <c r="F17" i="15"/>
  <c r="F19" i="15" s="1"/>
  <c r="I21" i="15" s="1"/>
  <c r="W10" i="15"/>
  <c r="Y10" i="15"/>
  <c r="J10" i="15"/>
  <c r="I8" i="15"/>
  <c r="M8" i="15" s="1"/>
  <c r="Y15" i="15"/>
  <c r="W15" i="15"/>
  <c r="J15" i="15"/>
  <c r="W8" i="15"/>
  <c r="Y8" i="15"/>
  <c r="J8" i="15"/>
  <c r="I10" i="15"/>
  <c r="M10" i="15" s="1"/>
  <c r="H9" i="15"/>
  <c r="J14" i="15"/>
  <c r="I16" i="15"/>
  <c r="M16" i="15" s="1"/>
  <c r="I7" i="15"/>
  <c r="W14" i="15"/>
  <c r="J16" i="15"/>
  <c r="W16" i="15"/>
  <c r="I33" i="15"/>
  <c r="J33" i="15" s="1"/>
  <c r="J7" i="15"/>
  <c r="J25" i="15"/>
  <c r="F17" i="14"/>
  <c r="F19" i="14" s="1"/>
  <c r="G18" i="14" s="1"/>
  <c r="I11" i="14"/>
  <c r="M11" i="14" s="1"/>
  <c r="I8" i="14"/>
  <c r="M8" i="14" s="1"/>
  <c r="J11" i="14"/>
  <c r="Y11" i="14"/>
  <c r="W11" i="14"/>
  <c r="I9" i="14"/>
  <c r="M9" i="14" s="1"/>
  <c r="J9" i="14"/>
  <c r="Y9" i="14"/>
  <c r="W9" i="14"/>
  <c r="I10" i="14"/>
  <c r="M10" i="14" s="1"/>
  <c r="W14" i="14"/>
  <c r="J15" i="14"/>
  <c r="H27" i="14"/>
  <c r="H33" i="14"/>
  <c r="W15" i="14"/>
  <c r="J16" i="14"/>
  <c r="H28" i="14"/>
  <c r="H34" i="14"/>
  <c r="J8" i="14"/>
  <c r="J10" i="14"/>
  <c r="W8" i="14"/>
  <c r="W10" i="14"/>
  <c r="I7" i="14"/>
  <c r="Y14" i="14"/>
  <c r="E31" i="14"/>
  <c r="E32" i="14"/>
  <c r="I17" i="19" l="1"/>
  <c r="Z7" i="19"/>
  <c r="G18" i="19"/>
  <c r="I21" i="19"/>
  <c r="Z14" i="19"/>
  <c r="Z12" i="19"/>
  <c r="Z9" i="19"/>
  <c r="Z15" i="19"/>
  <c r="Z10" i="19"/>
  <c r="Z13" i="19"/>
  <c r="Z11" i="19"/>
  <c r="Z16" i="19"/>
  <c r="F19" i="18"/>
  <c r="Z8" i="18" s="1"/>
  <c r="I17" i="18"/>
  <c r="M7" i="18"/>
  <c r="L21" i="17"/>
  <c r="I21" i="17"/>
  <c r="G18" i="17"/>
  <c r="Z10" i="17"/>
  <c r="Z16" i="17"/>
  <c r="Z15" i="17"/>
  <c r="Y7" i="17"/>
  <c r="W7" i="17"/>
  <c r="J7" i="17"/>
  <c r="Z9" i="17"/>
  <c r="Z12" i="17"/>
  <c r="Z8" i="17"/>
  <c r="Z14" i="17"/>
  <c r="Z13" i="17"/>
  <c r="Z7" i="17"/>
  <c r="Z11" i="17"/>
  <c r="I17" i="17"/>
  <c r="M7" i="17"/>
  <c r="W7" i="16"/>
  <c r="J7" i="16"/>
  <c r="J12" i="16"/>
  <c r="Y12" i="16"/>
  <c r="Z13" i="16"/>
  <c r="Z15" i="16"/>
  <c r="G18" i="16"/>
  <c r="L21" i="16"/>
  <c r="Z16" i="16"/>
  <c r="I21" i="16"/>
  <c r="Z14" i="16"/>
  <c r="Z7" i="16"/>
  <c r="Z11" i="16"/>
  <c r="Z8" i="16"/>
  <c r="I17" i="16"/>
  <c r="M7" i="16"/>
  <c r="Z12" i="16"/>
  <c r="Z9" i="16"/>
  <c r="Z12" i="15"/>
  <c r="Z13" i="15"/>
  <c r="Z9" i="15"/>
  <c r="Z8" i="15"/>
  <c r="Z10" i="15"/>
  <c r="G18" i="15"/>
  <c r="Z16" i="15"/>
  <c r="Z15" i="15"/>
  <c r="Z7" i="15"/>
  <c r="L21" i="15"/>
  <c r="Z11" i="15"/>
  <c r="Z14" i="15"/>
  <c r="Y9" i="15"/>
  <c r="W9" i="15"/>
  <c r="J9" i="15"/>
  <c r="M7" i="15"/>
  <c r="I17" i="15"/>
  <c r="Z7" i="14"/>
  <c r="Z16" i="14"/>
  <c r="Z8" i="14"/>
  <c r="Z11" i="14"/>
  <c r="I21" i="14"/>
  <c r="Z9" i="14"/>
  <c r="Z10" i="14"/>
  <c r="Z13" i="14"/>
  <c r="Z14" i="14"/>
  <c r="L21" i="14"/>
  <c r="Z12" i="14"/>
  <c r="Z15" i="14"/>
  <c r="M7" i="14"/>
  <c r="I17" i="14"/>
  <c r="Z12" i="18" l="1"/>
  <c r="I21" i="18"/>
  <c r="Z10" i="18"/>
  <c r="Z13" i="18"/>
  <c r="Z15" i="18"/>
  <c r="Z9" i="18"/>
  <c r="G18" i="18"/>
  <c r="Z11" i="18"/>
  <c r="Z7" i="18"/>
  <c r="Z16" i="18"/>
  <c r="Z14" i="18"/>
  <c r="I20" i="13"/>
  <c r="M34" i="13" l="1"/>
  <c r="F34" i="13"/>
  <c r="I34" i="13" s="1"/>
  <c r="J34" i="13" s="1"/>
  <c r="D34" i="13"/>
  <c r="H34" i="13" s="1"/>
  <c r="M33" i="13"/>
  <c r="F33" i="13"/>
  <c r="I33" i="13" s="1"/>
  <c r="D33" i="13"/>
  <c r="E33" i="13" s="1"/>
  <c r="M32" i="13"/>
  <c r="I32" i="13"/>
  <c r="J32" i="13" s="1"/>
  <c r="D32" i="13"/>
  <c r="H32" i="13" s="1"/>
  <c r="M31" i="13"/>
  <c r="I31" i="13"/>
  <c r="J31" i="13" s="1"/>
  <c r="D31" i="13"/>
  <c r="H31" i="13" s="1"/>
  <c r="M30" i="13"/>
  <c r="I30" i="13"/>
  <c r="J30" i="13" s="1"/>
  <c r="H30" i="13"/>
  <c r="E30" i="13"/>
  <c r="M29" i="13"/>
  <c r="J29" i="13"/>
  <c r="I29" i="13"/>
  <c r="H29" i="13"/>
  <c r="E29" i="13"/>
  <c r="M28" i="13"/>
  <c r="J28" i="13"/>
  <c r="I28" i="13"/>
  <c r="F28" i="13"/>
  <c r="D28" i="13"/>
  <c r="H28" i="13" s="1"/>
  <c r="M27" i="13"/>
  <c r="J27" i="13"/>
  <c r="I27" i="13"/>
  <c r="D27" i="13"/>
  <c r="E27" i="13" s="1"/>
  <c r="M26" i="13"/>
  <c r="J26" i="13"/>
  <c r="I26" i="13"/>
  <c r="H26" i="13"/>
  <c r="E26" i="13"/>
  <c r="M25" i="13"/>
  <c r="J25" i="13"/>
  <c r="I25" i="13"/>
  <c r="H25" i="13"/>
  <c r="E25" i="13"/>
  <c r="Y16" i="13"/>
  <c r="V16" i="13"/>
  <c r="U16" i="13"/>
  <c r="T16" i="13"/>
  <c r="R16" i="13"/>
  <c r="H16" i="13"/>
  <c r="W16" i="13" s="1"/>
  <c r="F16" i="13"/>
  <c r="I16" i="13" s="1"/>
  <c r="M16" i="13" s="1"/>
  <c r="V15" i="13"/>
  <c r="U15" i="13"/>
  <c r="T15" i="13"/>
  <c r="R15" i="13"/>
  <c r="L15" i="13"/>
  <c r="H15" i="13"/>
  <c r="Y15" i="13" s="1"/>
  <c r="F15" i="13"/>
  <c r="I15" i="13" s="1"/>
  <c r="M15" i="13" s="1"/>
  <c r="V14" i="13"/>
  <c r="U14" i="13"/>
  <c r="T14" i="13"/>
  <c r="R14" i="13"/>
  <c r="L14" i="13"/>
  <c r="H14" i="13"/>
  <c r="Y14" i="13" s="1"/>
  <c r="F14" i="13"/>
  <c r="I14" i="13" s="1"/>
  <c r="M14" i="13" s="1"/>
  <c r="V13" i="13"/>
  <c r="U13" i="13"/>
  <c r="T13" i="13"/>
  <c r="R13" i="13"/>
  <c r="L13" i="13"/>
  <c r="H13" i="13"/>
  <c r="Y13" i="13" s="1"/>
  <c r="F13" i="13"/>
  <c r="I13" i="13" s="1"/>
  <c r="M13" i="13" s="1"/>
  <c r="Y12" i="13"/>
  <c r="W12" i="13"/>
  <c r="V12" i="13"/>
  <c r="U12" i="13"/>
  <c r="T12" i="13"/>
  <c r="R12" i="13"/>
  <c r="L12" i="13"/>
  <c r="J12" i="13"/>
  <c r="H12" i="13"/>
  <c r="F12" i="13"/>
  <c r="I12" i="13" s="1"/>
  <c r="M12" i="13" s="1"/>
  <c r="V11" i="13"/>
  <c r="U11" i="13"/>
  <c r="T11" i="13"/>
  <c r="R11" i="13"/>
  <c r="L11" i="13"/>
  <c r="G11" i="13"/>
  <c r="H11" i="13" s="1"/>
  <c r="D11" i="13"/>
  <c r="F11" i="13" s="1"/>
  <c r="V10" i="13"/>
  <c r="U10" i="13"/>
  <c r="T10" i="13"/>
  <c r="R10" i="13"/>
  <c r="L10" i="13"/>
  <c r="G10" i="13"/>
  <c r="H10" i="13" s="1"/>
  <c r="D10" i="13"/>
  <c r="F10" i="13" s="1"/>
  <c r="V9" i="13"/>
  <c r="U9" i="13"/>
  <c r="T9" i="13"/>
  <c r="R9" i="13"/>
  <c r="L9" i="13"/>
  <c r="G9" i="13"/>
  <c r="H9" i="13" s="1"/>
  <c r="D9" i="13"/>
  <c r="F9" i="13" s="1"/>
  <c r="V8" i="13"/>
  <c r="U8" i="13"/>
  <c r="T8" i="13"/>
  <c r="R8" i="13"/>
  <c r="L8" i="13"/>
  <c r="G8" i="13"/>
  <c r="G17" i="13" s="1"/>
  <c r="D8" i="13"/>
  <c r="F8" i="13" s="1"/>
  <c r="Y7" i="13"/>
  <c r="W7" i="13"/>
  <c r="V7" i="13"/>
  <c r="U7" i="13"/>
  <c r="T7" i="13"/>
  <c r="R7" i="13"/>
  <c r="L7" i="13"/>
  <c r="J7" i="13"/>
  <c r="H7" i="13"/>
  <c r="F7" i="13"/>
  <c r="I7" i="13" s="1"/>
  <c r="F34" i="12"/>
  <c r="I34" i="12" s="1"/>
  <c r="M34" i="12"/>
  <c r="H34" i="12"/>
  <c r="D34" i="12"/>
  <c r="I20" i="12"/>
  <c r="M33" i="12"/>
  <c r="I33" i="12"/>
  <c r="J33" i="12" s="1"/>
  <c r="F33" i="12"/>
  <c r="E33" i="12"/>
  <c r="D33" i="12"/>
  <c r="H33" i="12" s="1"/>
  <c r="M32" i="12"/>
  <c r="J32" i="12"/>
  <c r="I32" i="12"/>
  <c r="E32" i="12"/>
  <c r="D32" i="12"/>
  <c r="H32" i="12" s="1"/>
  <c r="M31" i="12"/>
  <c r="J31" i="12"/>
  <c r="I31" i="12"/>
  <c r="E31" i="12"/>
  <c r="D31" i="12"/>
  <c r="H31" i="12" s="1"/>
  <c r="M30" i="12"/>
  <c r="J30" i="12"/>
  <c r="I30" i="12"/>
  <c r="H30" i="12"/>
  <c r="E30" i="12"/>
  <c r="M29" i="12"/>
  <c r="J29" i="12"/>
  <c r="I29" i="12"/>
  <c r="H29" i="12"/>
  <c r="E29" i="12"/>
  <c r="M28" i="12"/>
  <c r="I28" i="12"/>
  <c r="J28" i="12" s="1"/>
  <c r="F28" i="12"/>
  <c r="E28" i="12" s="1"/>
  <c r="D28" i="12"/>
  <c r="H28" i="12" s="1"/>
  <c r="M27" i="12"/>
  <c r="J27" i="12"/>
  <c r="I27" i="12"/>
  <c r="D27" i="12"/>
  <c r="H27" i="12" s="1"/>
  <c r="M26" i="12"/>
  <c r="J26" i="12"/>
  <c r="I26" i="12"/>
  <c r="H26" i="12"/>
  <c r="E26" i="12"/>
  <c r="M25" i="12"/>
  <c r="I25" i="12"/>
  <c r="J25" i="12" s="1"/>
  <c r="H25" i="12"/>
  <c r="E25" i="12"/>
  <c r="G17" i="12"/>
  <c r="V16" i="12"/>
  <c r="U16" i="12"/>
  <c r="T16" i="12"/>
  <c r="R16" i="12"/>
  <c r="H16" i="12"/>
  <c r="Y16" i="12" s="1"/>
  <c r="F16" i="12"/>
  <c r="V15" i="12"/>
  <c r="U15" i="12"/>
  <c r="T15" i="12"/>
  <c r="R15" i="12"/>
  <c r="L15" i="12"/>
  <c r="I15" i="12"/>
  <c r="M15" i="12" s="1"/>
  <c r="H15" i="12"/>
  <c r="Y15" i="12" s="1"/>
  <c r="F15" i="12"/>
  <c r="Y14" i="12"/>
  <c r="W14" i="12"/>
  <c r="V14" i="12"/>
  <c r="U14" i="12"/>
  <c r="T14" i="12"/>
  <c r="R14" i="12"/>
  <c r="L14" i="12"/>
  <c r="J14" i="12"/>
  <c r="I14" i="12"/>
  <c r="M14" i="12" s="1"/>
  <c r="H14" i="12"/>
  <c r="F14" i="12"/>
  <c r="V12" i="12"/>
  <c r="U12" i="12"/>
  <c r="T12" i="12"/>
  <c r="R12" i="12"/>
  <c r="L12" i="12"/>
  <c r="H12" i="12"/>
  <c r="Y12" i="12" s="1"/>
  <c r="F12" i="12"/>
  <c r="I12" i="12" s="1"/>
  <c r="M12" i="12" s="1"/>
  <c r="V11" i="12"/>
  <c r="U11" i="12"/>
  <c r="T11" i="12"/>
  <c r="R11" i="12"/>
  <c r="L11" i="12"/>
  <c r="G11" i="12"/>
  <c r="H11" i="12" s="1"/>
  <c r="D11" i="12"/>
  <c r="F11" i="12" s="1"/>
  <c r="V10" i="12"/>
  <c r="U10" i="12"/>
  <c r="T10" i="12"/>
  <c r="R10" i="12"/>
  <c r="L10" i="12"/>
  <c r="H10" i="12"/>
  <c r="Y10" i="12" s="1"/>
  <c r="G10" i="12"/>
  <c r="D10" i="12"/>
  <c r="F10" i="12" s="1"/>
  <c r="V9" i="12"/>
  <c r="U9" i="12"/>
  <c r="T9" i="12"/>
  <c r="R9" i="12"/>
  <c r="L9" i="12"/>
  <c r="G9" i="12"/>
  <c r="H9" i="12" s="1"/>
  <c r="D9" i="12"/>
  <c r="F9" i="12" s="1"/>
  <c r="V8" i="12"/>
  <c r="U8" i="12"/>
  <c r="T8" i="12"/>
  <c r="R8" i="12"/>
  <c r="L8" i="12"/>
  <c r="H8" i="12"/>
  <c r="Y8" i="12" s="1"/>
  <c r="G8" i="12"/>
  <c r="D8" i="12"/>
  <c r="F8" i="12" s="1"/>
  <c r="V13" i="12"/>
  <c r="U13" i="12"/>
  <c r="T13" i="12"/>
  <c r="R13" i="12"/>
  <c r="L13" i="12"/>
  <c r="H13" i="12"/>
  <c r="F13" i="12"/>
  <c r="V7" i="12"/>
  <c r="U7" i="12"/>
  <c r="T7" i="12"/>
  <c r="R7" i="12"/>
  <c r="L7" i="12"/>
  <c r="H7" i="12"/>
  <c r="Y7" i="12" s="1"/>
  <c r="F7" i="12"/>
  <c r="I7" i="12" s="1"/>
  <c r="M7" i="12" s="1"/>
  <c r="M33" i="11"/>
  <c r="H33" i="11"/>
  <c r="I33" i="11"/>
  <c r="J33" i="11"/>
  <c r="E33" i="11"/>
  <c r="F33" i="11"/>
  <c r="D33" i="11"/>
  <c r="M7" i="13" l="1"/>
  <c r="I10" i="13"/>
  <c r="M10" i="13" s="1"/>
  <c r="Y10" i="13"/>
  <c r="W10" i="13"/>
  <c r="J10" i="13"/>
  <c r="I11" i="13"/>
  <c r="M11" i="13" s="1"/>
  <c r="I37" i="13"/>
  <c r="J33" i="13"/>
  <c r="W11" i="13"/>
  <c r="J11" i="13"/>
  <c r="Y11" i="13"/>
  <c r="W9" i="13"/>
  <c r="J9" i="13"/>
  <c r="Y9" i="13"/>
  <c r="F17" i="13"/>
  <c r="F19" i="13" s="1"/>
  <c r="Z13" i="13" s="1"/>
  <c r="I8" i="13"/>
  <c r="M8" i="13" s="1"/>
  <c r="I9" i="13"/>
  <c r="M9" i="13" s="1"/>
  <c r="J13" i="13"/>
  <c r="H27" i="13"/>
  <c r="H33" i="13"/>
  <c r="H8" i="13"/>
  <c r="E31" i="13"/>
  <c r="E32" i="13"/>
  <c r="W13" i="13"/>
  <c r="J14" i="13"/>
  <c r="E28" i="13"/>
  <c r="E34" i="13"/>
  <c r="W14" i="13"/>
  <c r="J15" i="13"/>
  <c r="W15" i="13"/>
  <c r="J16" i="13"/>
  <c r="I37" i="12"/>
  <c r="J34" i="12"/>
  <c r="E34" i="12"/>
  <c r="J12" i="12"/>
  <c r="W12" i="12"/>
  <c r="I9" i="12"/>
  <c r="M9" i="12" s="1"/>
  <c r="J9" i="12"/>
  <c r="Y9" i="12"/>
  <c r="W9" i="12"/>
  <c r="I10" i="12"/>
  <c r="M10" i="12" s="1"/>
  <c r="I13" i="12"/>
  <c r="F17" i="12"/>
  <c r="F19" i="12" s="1"/>
  <c r="Z9" i="12" s="1"/>
  <c r="I11" i="12"/>
  <c r="M11" i="12" s="1"/>
  <c r="J13" i="12"/>
  <c r="Y13" i="12"/>
  <c r="W13" i="12"/>
  <c r="I8" i="12"/>
  <c r="M8" i="12" s="1"/>
  <c r="J11" i="12"/>
  <c r="Y11" i="12"/>
  <c r="W11" i="12"/>
  <c r="E27" i="12"/>
  <c r="W15" i="12"/>
  <c r="J16" i="12"/>
  <c r="W16" i="12"/>
  <c r="J7" i="12"/>
  <c r="J8" i="12"/>
  <c r="J10" i="12"/>
  <c r="J15" i="12"/>
  <c r="I16" i="12"/>
  <c r="M16" i="12" s="1"/>
  <c r="W7" i="12"/>
  <c r="W8" i="12"/>
  <c r="W10" i="12"/>
  <c r="I20" i="11"/>
  <c r="I37" i="11"/>
  <c r="M32" i="11"/>
  <c r="I32" i="11"/>
  <c r="J32" i="11" s="1"/>
  <c r="H32" i="11"/>
  <c r="E32" i="11"/>
  <c r="D32" i="11"/>
  <c r="M31" i="11"/>
  <c r="I31" i="11"/>
  <c r="J31" i="11" s="1"/>
  <c r="H31" i="11"/>
  <c r="E31" i="11"/>
  <c r="D31" i="11"/>
  <c r="M30" i="11"/>
  <c r="I30" i="11"/>
  <c r="J30" i="11" s="1"/>
  <c r="H30" i="11"/>
  <c r="E30" i="11"/>
  <c r="M29" i="11"/>
  <c r="J29" i="11"/>
  <c r="I29" i="11"/>
  <c r="H29" i="11"/>
  <c r="E29" i="11"/>
  <c r="M28" i="11"/>
  <c r="J28" i="11"/>
  <c r="I28" i="11"/>
  <c r="F28" i="11"/>
  <c r="D28" i="11"/>
  <c r="E28" i="11" s="1"/>
  <c r="M27" i="11"/>
  <c r="J27" i="11"/>
  <c r="I27" i="11"/>
  <c r="D27" i="11"/>
  <c r="E27" i="11" s="1"/>
  <c r="M26" i="11"/>
  <c r="J26" i="11"/>
  <c r="I26" i="11"/>
  <c r="H26" i="11"/>
  <c r="E26" i="11"/>
  <c r="M25" i="11"/>
  <c r="J25" i="11"/>
  <c r="I25" i="11"/>
  <c r="H25" i="11"/>
  <c r="E25" i="11"/>
  <c r="V16" i="11"/>
  <c r="U16" i="11"/>
  <c r="T16" i="11"/>
  <c r="R16" i="11"/>
  <c r="H16" i="11"/>
  <c r="Y16" i="11" s="1"/>
  <c r="F16" i="11"/>
  <c r="V15" i="11"/>
  <c r="U15" i="11"/>
  <c r="T15" i="11"/>
  <c r="R15" i="11"/>
  <c r="L15" i="11"/>
  <c r="I15" i="11"/>
  <c r="M15" i="11" s="1"/>
  <c r="H15" i="11"/>
  <c r="Y15" i="11" s="1"/>
  <c r="F15" i="11"/>
  <c r="V12" i="11"/>
  <c r="U12" i="11"/>
  <c r="T12" i="11"/>
  <c r="R12" i="11"/>
  <c r="L12" i="11"/>
  <c r="G12" i="11"/>
  <c r="H12" i="11" s="1"/>
  <c r="D12" i="11"/>
  <c r="F12" i="11" s="1"/>
  <c r="V14" i="11"/>
  <c r="U14" i="11"/>
  <c r="T14" i="11"/>
  <c r="R14" i="11"/>
  <c r="L14" i="11"/>
  <c r="H14" i="11"/>
  <c r="F14" i="11"/>
  <c r="V11" i="11"/>
  <c r="U11" i="11"/>
  <c r="T11" i="11"/>
  <c r="R11" i="11"/>
  <c r="L11" i="11"/>
  <c r="G11" i="11"/>
  <c r="H11" i="11" s="1"/>
  <c r="D11" i="11"/>
  <c r="F11" i="11" s="1"/>
  <c r="V10" i="11"/>
  <c r="U10" i="11"/>
  <c r="T10" i="11"/>
  <c r="R10" i="11"/>
  <c r="L10" i="11"/>
  <c r="G10" i="11"/>
  <c r="H10" i="11" s="1"/>
  <c r="F10" i="11"/>
  <c r="D10" i="11"/>
  <c r="V9" i="11"/>
  <c r="U9" i="11"/>
  <c r="T9" i="11"/>
  <c r="R9" i="11"/>
  <c r="L9" i="11"/>
  <c r="G9" i="11"/>
  <c r="H9" i="11" s="1"/>
  <c r="D9" i="11"/>
  <c r="F9" i="11" s="1"/>
  <c r="V13" i="11"/>
  <c r="U13" i="11"/>
  <c r="T13" i="11"/>
  <c r="R13" i="11"/>
  <c r="L13" i="11"/>
  <c r="H13" i="11"/>
  <c r="W13" i="11" s="1"/>
  <c r="F13" i="11"/>
  <c r="V8" i="11"/>
  <c r="U8" i="11"/>
  <c r="T8" i="11"/>
  <c r="R8" i="11"/>
  <c r="L8" i="11"/>
  <c r="G8" i="11"/>
  <c r="G17" i="11" s="1"/>
  <c r="D8" i="11"/>
  <c r="F8" i="11" s="1"/>
  <c r="V7" i="11"/>
  <c r="U7" i="11"/>
  <c r="T7" i="11"/>
  <c r="R7" i="11"/>
  <c r="L7" i="11"/>
  <c r="H7" i="11"/>
  <c r="J7" i="11" s="1"/>
  <c r="F7" i="11"/>
  <c r="I7" i="11" s="1"/>
  <c r="M7" i="11" s="1"/>
  <c r="M32" i="10"/>
  <c r="H32" i="10"/>
  <c r="I32" i="10"/>
  <c r="J32" i="10" s="1"/>
  <c r="E32" i="10"/>
  <c r="D32" i="10"/>
  <c r="I20" i="10"/>
  <c r="M31" i="10"/>
  <c r="J31" i="10"/>
  <c r="I31" i="10"/>
  <c r="D31" i="10"/>
  <c r="E31" i="10" s="1"/>
  <c r="M30" i="10"/>
  <c r="J30" i="10"/>
  <c r="I30" i="10"/>
  <c r="H30" i="10"/>
  <c r="E30" i="10"/>
  <c r="M29" i="10"/>
  <c r="J29" i="10"/>
  <c r="I29" i="10"/>
  <c r="H29" i="10"/>
  <c r="E29" i="10"/>
  <c r="M28" i="10"/>
  <c r="J28" i="10"/>
  <c r="I28" i="10"/>
  <c r="F28" i="10"/>
  <c r="D28" i="10"/>
  <c r="E28" i="10" s="1"/>
  <c r="M27" i="10"/>
  <c r="I27" i="10"/>
  <c r="J27" i="10" s="1"/>
  <c r="D27" i="10"/>
  <c r="E27" i="10" s="1"/>
  <c r="M26" i="10"/>
  <c r="I26" i="10"/>
  <c r="H26" i="10"/>
  <c r="E26" i="10"/>
  <c r="M25" i="10"/>
  <c r="J25" i="10"/>
  <c r="I25" i="10"/>
  <c r="I37" i="10" s="1"/>
  <c r="H25" i="10"/>
  <c r="E25" i="10"/>
  <c r="V16" i="10"/>
  <c r="U16" i="10"/>
  <c r="T16" i="10"/>
  <c r="R16" i="10"/>
  <c r="H16" i="10"/>
  <c r="Y16" i="10" s="1"/>
  <c r="F16" i="10"/>
  <c r="I16" i="10" s="1"/>
  <c r="M16" i="10" s="1"/>
  <c r="V15" i="10"/>
  <c r="U15" i="10"/>
  <c r="T15" i="10"/>
  <c r="R15" i="10"/>
  <c r="L15" i="10"/>
  <c r="H15" i="10"/>
  <c r="Y15" i="10" s="1"/>
  <c r="F15" i="10"/>
  <c r="I15" i="10" s="1"/>
  <c r="M15" i="10" s="1"/>
  <c r="V14" i="10"/>
  <c r="U14" i="10"/>
  <c r="T14" i="10"/>
  <c r="R14" i="10"/>
  <c r="L14" i="10"/>
  <c r="H14" i="10"/>
  <c r="W14" i="10" s="1"/>
  <c r="G14" i="10"/>
  <c r="D14" i="10"/>
  <c r="F14" i="10" s="1"/>
  <c r="V13" i="10"/>
  <c r="U13" i="10"/>
  <c r="T13" i="10"/>
  <c r="R13" i="10"/>
  <c r="L13" i="10"/>
  <c r="G13" i="10"/>
  <c r="H13" i="10" s="1"/>
  <c r="D13" i="10"/>
  <c r="F13" i="10" s="1"/>
  <c r="V12" i="10"/>
  <c r="U12" i="10"/>
  <c r="T12" i="10"/>
  <c r="R12" i="10"/>
  <c r="L12" i="10"/>
  <c r="H12" i="10"/>
  <c r="W12" i="10" s="1"/>
  <c r="G12" i="10"/>
  <c r="D12" i="10"/>
  <c r="F12" i="10" s="1"/>
  <c r="V11" i="10"/>
  <c r="U11" i="10"/>
  <c r="T11" i="10"/>
  <c r="R11" i="10"/>
  <c r="L11" i="10"/>
  <c r="G11" i="10"/>
  <c r="H11" i="10" s="1"/>
  <c r="D11" i="10"/>
  <c r="F11" i="10" s="1"/>
  <c r="V10" i="10"/>
  <c r="U10" i="10"/>
  <c r="T10" i="10"/>
  <c r="R10" i="10"/>
  <c r="L10" i="10"/>
  <c r="H10" i="10"/>
  <c r="W10" i="10" s="1"/>
  <c r="G10" i="10"/>
  <c r="D10" i="10"/>
  <c r="F10" i="10" s="1"/>
  <c r="V9" i="10"/>
  <c r="U9" i="10"/>
  <c r="T9" i="10"/>
  <c r="R9" i="10"/>
  <c r="L9" i="10"/>
  <c r="H9" i="10"/>
  <c r="F9" i="10"/>
  <c r="V8" i="10"/>
  <c r="U8" i="10"/>
  <c r="T8" i="10"/>
  <c r="R8" i="10"/>
  <c r="L8" i="10"/>
  <c r="H8" i="10"/>
  <c r="W8" i="10" s="1"/>
  <c r="G8" i="10"/>
  <c r="D8" i="10"/>
  <c r="F8" i="10" s="1"/>
  <c r="Y7" i="10"/>
  <c r="W7" i="10"/>
  <c r="V7" i="10"/>
  <c r="U7" i="10"/>
  <c r="T7" i="10"/>
  <c r="R7" i="10"/>
  <c r="L7" i="10"/>
  <c r="H7" i="10"/>
  <c r="J7" i="10" s="1"/>
  <c r="F7" i="10"/>
  <c r="G14" i="9"/>
  <c r="D14" i="9"/>
  <c r="F14" i="9" s="1"/>
  <c r="M31" i="9"/>
  <c r="H31" i="9"/>
  <c r="I31" i="9"/>
  <c r="J31" i="9"/>
  <c r="E31" i="9"/>
  <c r="D31" i="9"/>
  <c r="I20" i="9"/>
  <c r="M30" i="9"/>
  <c r="J30" i="9"/>
  <c r="I30" i="9"/>
  <c r="H30" i="9"/>
  <c r="E30" i="9"/>
  <c r="M29" i="9"/>
  <c r="J29" i="9"/>
  <c r="I29" i="9"/>
  <c r="H29" i="9"/>
  <c r="E29" i="9"/>
  <c r="M28" i="9"/>
  <c r="I28" i="9"/>
  <c r="F28" i="9"/>
  <c r="D28" i="9"/>
  <c r="H28" i="9" s="1"/>
  <c r="M27" i="9"/>
  <c r="J27" i="9"/>
  <c r="I27" i="9"/>
  <c r="D27" i="9"/>
  <c r="H27" i="9" s="1"/>
  <c r="M26" i="9"/>
  <c r="J26" i="9"/>
  <c r="I26" i="9"/>
  <c r="H26" i="9"/>
  <c r="E26" i="9"/>
  <c r="M25" i="9"/>
  <c r="J25" i="9"/>
  <c r="I25" i="9"/>
  <c r="I32" i="9" s="1"/>
  <c r="H25" i="9"/>
  <c r="E25" i="9"/>
  <c r="Y16" i="9"/>
  <c r="V16" i="9"/>
  <c r="U16" i="9"/>
  <c r="T16" i="9"/>
  <c r="R16" i="9"/>
  <c r="H16" i="9"/>
  <c r="W16" i="9" s="1"/>
  <c r="F16" i="9"/>
  <c r="I16" i="9" s="1"/>
  <c r="M16" i="9" s="1"/>
  <c r="V14" i="9"/>
  <c r="U14" i="9"/>
  <c r="T14" i="9"/>
  <c r="R14" i="9"/>
  <c r="L14" i="9"/>
  <c r="V15" i="9"/>
  <c r="U15" i="9"/>
  <c r="T15" i="9"/>
  <c r="R15" i="9"/>
  <c r="L15" i="9"/>
  <c r="H15" i="9"/>
  <c r="V13" i="9"/>
  <c r="U13" i="9"/>
  <c r="T13" i="9"/>
  <c r="R13" i="9"/>
  <c r="L13" i="9"/>
  <c r="H13" i="9"/>
  <c r="Y13" i="9" s="1"/>
  <c r="G13" i="9"/>
  <c r="D13" i="9"/>
  <c r="F13" i="9" s="1"/>
  <c r="V12" i="9"/>
  <c r="U12" i="9"/>
  <c r="T12" i="9"/>
  <c r="R12" i="9"/>
  <c r="L12" i="9"/>
  <c r="G12" i="9"/>
  <c r="D12" i="9"/>
  <c r="H12" i="9" s="1"/>
  <c r="V11" i="9"/>
  <c r="U11" i="9"/>
  <c r="T11" i="9"/>
  <c r="R11" i="9"/>
  <c r="L11" i="9"/>
  <c r="H11" i="9"/>
  <c r="Y11" i="9" s="1"/>
  <c r="G11" i="9"/>
  <c r="D11" i="9"/>
  <c r="F11" i="9" s="1"/>
  <c r="V10" i="9"/>
  <c r="U10" i="9"/>
  <c r="T10" i="9"/>
  <c r="R10" i="9"/>
  <c r="L10" i="9"/>
  <c r="G10" i="9"/>
  <c r="D10" i="9"/>
  <c r="H10" i="9" s="1"/>
  <c r="V9" i="9"/>
  <c r="U9" i="9"/>
  <c r="T9" i="9"/>
  <c r="R9" i="9"/>
  <c r="L9" i="9"/>
  <c r="H9" i="9"/>
  <c r="Y9" i="9" s="1"/>
  <c r="G9" i="9"/>
  <c r="D9" i="9"/>
  <c r="F9" i="9" s="1"/>
  <c r="V8" i="9"/>
  <c r="U8" i="9"/>
  <c r="T8" i="9"/>
  <c r="R8" i="9"/>
  <c r="L8" i="9"/>
  <c r="G8" i="9"/>
  <c r="G17" i="9" s="1"/>
  <c r="D8" i="9"/>
  <c r="H8" i="9" s="1"/>
  <c r="V7" i="9"/>
  <c r="U7" i="9"/>
  <c r="T7" i="9"/>
  <c r="R7" i="9"/>
  <c r="L7" i="9"/>
  <c r="H7" i="9"/>
  <c r="Y7" i="9" s="1"/>
  <c r="F7" i="9"/>
  <c r="I7" i="9" s="1"/>
  <c r="M7" i="9" s="1"/>
  <c r="I20" i="8"/>
  <c r="G14" i="8"/>
  <c r="D14" i="8"/>
  <c r="Z15" i="13" l="1"/>
  <c r="Z8" i="13"/>
  <c r="Z14" i="13"/>
  <c r="Z11" i="13"/>
  <c r="Z10" i="13"/>
  <c r="Z7" i="13"/>
  <c r="Z12" i="13"/>
  <c r="G18" i="13"/>
  <c r="L21" i="13"/>
  <c r="I21" i="13"/>
  <c r="Z16" i="13"/>
  <c r="Y8" i="13"/>
  <c r="W8" i="13"/>
  <c r="J8" i="13"/>
  <c r="Z9" i="13"/>
  <c r="I17" i="13"/>
  <c r="Z8" i="12"/>
  <c r="Z13" i="12"/>
  <c r="Z16" i="12"/>
  <c r="Z14" i="12"/>
  <c r="Z7" i="12"/>
  <c r="Z12" i="12"/>
  <c r="Z11" i="12"/>
  <c r="Z15" i="12"/>
  <c r="M13" i="12"/>
  <c r="I17" i="12"/>
  <c r="I21" i="12"/>
  <c r="G18" i="12"/>
  <c r="L21" i="12"/>
  <c r="Z10" i="12"/>
  <c r="W7" i="11"/>
  <c r="Y7" i="11"/>
  <c r="Y13" i="11"/>
  <c r="I8" i="11"/>
  <c r="F17" i="11"/>
  <c r="F19" i="11" s="1"/>
  <c r="Z10" i="11" s="1"/>
  <c r="W10" i="11"/>
  <c r="J10" i="11"/>
  <c r="Y10" i="11"/>
  <c r="I11" i="11"/>
  <c r="M11" i="11" s="1"/>
  <c r="W9" i="11"/>
  <c r="J9" i="11"/>
  <c r="Y9" i="11"/>
  <c r="W12" i="11"/>
  <c r="J12" i="11"/>
  <c r="Y12" i="11"/>
  <c r="W11" i="11"/>
  <c r="J11" i="11"/>
  <c r="Y11" i="11"/>
  <c r="I9" i="11"/>
  <c r="M9" i="11" s="1"/>
  <c r="W14" i="11"/>
  <c r="J14" i="11"/>
  <c r="Y14" i="11"/>
  <c r="I12" i="11"/>
  <c r="M12" i="11" s="1"/>
  <c r="H27" i="11"/>
  <c r="I13" i="11"/>
  <c r="M13" i="11" s="1"/>
  <c r="I10" i="11"/>
  <c r="M10" i="11" s="1"/>
  <c r="I14" i="11"/>
  <c r="M14" i="11" s="1"/>
  <c r="W15" i="11"/>
  <c r="J16" i="11"/>
  <c r="W16" i="11"/>
  <c r="H28" i="11"/>
  <c r="H8" i="11"/>
  <c r="J15" i="11"/>
  <c r="I16" i="11"/>
  <c r="M16" i="11" s="1"/>
  <c r="J13" i="11"/>
  <c r="I10" i="10"/>
  <c r="M10" i="10" s="1"/>
  <c r="I14" i="10"/>
  <c r="M14" i="10" s="1"/>
  <c r="I9" i="10"/>
  <c r="M9" i="10" s="1"/>
  <c r="I13" i="10"/>
  <c r="M13" i="10" s="1"/>
  <c r="J9" i="10"/>
  <c r="W9" i="10"/>
  <c r="Y9" i="10"/>
  <c r="J13" i="10"/>
  <c r="W13" i="10"/>
  <c r="Y13" i="10"/>
  <c r="I11" i="10"/>
  <c r="M11" i="10" s="1"/>
  <c r="F17" i="10"/>
  <c r="F19" i="10" s="1"/>
  <c r="Z11" i="10" s="1"/>
  <c r="I8" i="10"/>
  <c r="M8" i="10" s="1"/>
  <c r="J11" i="10"/>
  <c r="W11" i="10"/>
  <c r="Y11" i="10"/>
  <c r="I12" i="10"/>
  <c r="M12" i="10" s="1"/>
  <c r="H31" i="10"/>
  <c r="H27" i="10"/>
  <c r="I7" i="10"/>
  <c r="Y8" i="10"/>
  <c r="Y10" i="10"/>
  <c r="Y12" i="10"/>
  <c r="Y14" i="10"/>
  <c r="W15" i="10"/>
  <c r="J16" i="10"/>
  <c r="W16" i="10"/>
  <c r="H28" i="10"/>
  <c r="J8" i="10"/>
  <c r="J10" i="10"/>
  <c r="J12" i="10"/>
  <c r="J14" i="10"/>
  <c r="G17" i="10"/>
  <c r="J15" i="10"/>
  <c r="J26" i="10"/>
  <c r="H14" i="9"/>
  <c r="Y14" i="9" s="1"/>
  <c r="I39" i="9"/>
  <c r="Y12" i="9"/>
  <c r="W12" i="9"/>
  <c r="J12" i="9"/>
  <c r="I9" i="9"/>
  <c r="M9" i="9" s="1"/>
  <c r="I13" i="9"/>
  <c r="M13" i="9" s="1"/>
  <c r="W8" i="9"/>
  <c r="Y8" i="9"/>
  <c r="J8" i="9"/>
  <c r="W10" i="9"/>
  <c r="Y10" i="9"/>
  <c r="J10" i="9"/>
  <c r="Y15" i="9"/>
  <c r="W15" i="9"/>
  <c r="J15" i="9"/>
  <c r="I11" i="9"/>
  <c r="M11" i="9" s="1"/>
  <c r="I14" i="9"/>
  <c r="M14" i="9" s="1"/>
  <c r="E27" i="9"/>
  <c r="E28" i="9"/>
  <c r="J14" i="9"/>
  <c r="W14" i="9"/>
  <c r="J16" i="9"/>
  <c r="F8" i="9"/>
  <c r="F10" i="9"/>
  <c r="F12" i="9"/>
  <c r="F15" i="9"/>
  <c r="J7" i="9"/>
  <c r="J9" i="9"/>
  <c r="J11" i="9"/>
  <c r="J13" i="9"/>
  <c r="W7" i="9"/>
  <c r="W13" i="9"/>
  <c r="J28" i="9"/>
  <c r="W9" i="9"/>
  <c r="W11" i="9"/>
  <c r="G10" i="8"/>
  <c r="D10" i="8"/>
  <c r="M30" i="8"/>
  <c r="H30" i="8"/>
  <c r="I30" i="8"/>
  <c r="J30" i="8" s="1"/>
  <c r="E30" i="8"/>
  <c r="M29" i="8"/>
  <c r="E29" i="8"/>
  <c r="H29" i="8"/>
  <c r="I29" i="8"/>
  <c r="J29" i="8"/>
  <c r="M28" i="8"/>
  <c r="F28" i="8"/>
  <c r="I28" i="8" s="1"/>
  <c r="J28" i="8" s="1"/>
  <c r="E28" i="8"/>
  <c r="D28" i="8"/>
  <c r="H28" i="8" s="1"/>
  <c r="M27" i="8"/>
  <c r="I27" i="8"/>
  <c r="J27" i="8" s="1"/>
  <c r="H27" i="8"/>
  <c r="E27" i="8"/>
  <c r="D27" i="8"/>
  <c r="M26" i="8"/>
  <c r="I26" i="8"/>
  <c r="H26" i="8"/>
  <c r="E26" i="8"/>
  <c r="M25" i="8"/>
  <c r="J25" i="8"/>
  <c r="I25" i="8"/>
  <c r="H25" i="8"/>
  <c r="E25" i="8"/>
  <c r="V16" i="8"/>
  <c r="U16" i="8"/>
  <c r="T16" i="8"/>
  <c r="R16" i="8"/>
  <c r="H16" i="8"/>
  <c r="Y16" i="8" s="1"/>
  <c r="F16" i="8"/>
  <c r="I16" i="8" s="1"/>
  <c r="M16" i="8" s="1"/>
  <c r="V15" i="8"/>
  <c r="U15" i="8"/>
  <c r="T15" i="8"/>
  <c r="R15" i="8"/>
  <c r="L15" i="8"/>
  <c r="H15" i="8"/>
  <c r="Y15" i="8" s="1"/>
  <c r="F15" i="8"/>
  <c r="I15" i="8" s="1"/>
  <c r="M15" i="8" s="1"/>
  <c r="V13" i="8"/>
  <c r="U13" i="8"/>
  <c r="T13" i="8"/>
  <c r="R13" i="8"/>
  <c r="L13" i="8"/>
  <c r="H13" i="8"/>
  <c r="Y13" i="8" s="1"/>
  <c r="G13" i="8"/>
  <c r="D13" i="8"/>
  <c r="F13" i="8" s="1"/>
  <c r="V14" i="8"/>
  <c r="U14" i="8"/>
  <c r="T14" i="8"/>
  <c r="R14" i="8"/>
  <c r="L14" i="8"/>
  <c r="H14" i="8"/>
  <c r="J14" i="8" s="1"/>
  <c r="F14" i="8"/>
  <c r="V12" i="8"/>
  <c r="U12" i="8"/>
  <c r="T12" i="8"/>
  <c r="R12" i="8"/>
  <c r="L12" i="8"/>
  <c r="G12" i="8"/>
  <c r="H12" i="8" s="1"/>
  <c r="F12" i="8"/>
  <c r="D12" i="8"/>
  <c r="V11" i="8"/>
  <c r="U11" i="8"/>
  <c r="T11" i="8"/>
  <c r="R11" i="8"/>
  <c r="L11" i="8"/>
  <c r="G11" i="8"/>
  <c r="D11" i="8"/>
  <c r="H11" i="8" s="1"/>
  <c r="V10" i="8"/>
  <c r="U10" i="8"/>
  <c r="T10" i="8"/>
  <c r="R10" i="8"/>
  <c r="L10" i="8"/>
  <c r="F10" i="8"/>
  <c r="I10" i="8" s="1"/>
  <c r="M10" i="8" s="1"/>
  <c r="V9" i="8"/>
  <c r="U9" i="8"/>
  <c r="T9" i="8"/>
  <c r="R9" i="8"/>
  <c r="L9" i="8"/>
  <c r="G9" i="8"/>
  <c r="D9" i="8"/>
  <c r="H9" i="8" s="1"/>
  <c r="V8" i="8"/>
  <c r="U8" i="8"/>
  <c r="T8" i="8"/>
  <c r="R8" i="8"/>
  <c r="L8" i="8"/>
  <c r="G8" i="8"/>
  <c r="G17" i="8" s="1"/>
  <c r="F8" i="8"/>
  <c r="D8" i="8"/>
  <c r="Y7" i="8"/>
  <c r="W7" i="8"/>
  <c r="V7" i="8"/>
  <c r="U7" i="8"/>
  <c r="T7" i="8"/>
  <c r="R7" i="8"/>
  <c r="L7" i="8"/>
  <c r="J7" i="8"/>
  <c r="H7" i="8"/>
  <c r="F7" i="8"/>
  <c r="I7" i="8" s="1"/>
  <c r="I32" i="7"/>
  <c r="F16" i="7"/>
  <c r="Z14" i="11" l="1"/>
  <c r="Z12" i="11"/>
  <c r="Z16" i="11"/>
  <c r="Z8" i="11"/>
  <c r="Z11" i="11"/>
  <c r="Z7" i="11"/>
  <c r="Z13" i="11"/>
  <c r="Z9" i="11"/>
  <c r="L21" i="11"/>
  <c r="I21" i="11"/>
  <c r="G18" i="11"/>
  <c r="Y8" i="11"/>
  <c r="W8" i="11"/>
  <c r="J8" i="11"/>
  <c r="M8" i="11"/>
  <c r="I17" i="11"/>
  <c r="Z15" i="11"/>
  <c r="Z10" i="10"/>
  <c r="Z15" i="10"/>
  <c r="Z12" i="10"/>
  <c r="Z8" i="10"/>
  <c r="Z9" i="10"/>
  <c r="Z13" i="10"/>
  <c r="Z14" i="10"/>
  <c r="M7" i="10"/>
  <c r="I17" i="10"/>
  <c r="L21" i="10"/>
  <c r="Z16" i="10"/>
  <c r="G18" i="10"/>
  <c r="I21" i="10"/>
  <c r="Z7" i="10"/>
  <c r="I12" i="9"/>
  <c r="M12" i="9" s="1"/>
  <c r="I10" i="9"/>
  <c r="M10" i="9" s="1"/>
  <c r="F17" i="9"/>
  <c r="F19" i="9" s="1"/>
  <c r="I8" i="9"/>
  <c r="I15" i="9"/>
  <c r="M15" i="9" s="1"/>
  <c r="H10" i="8"/>
  <c r="W10" i="8" s="1"/>
  <c r="W14" i="8"/>
  <c r="Y14" i="8"/>
  <c r="W9" i="8"/>
  <c r="J9" i="8"/>
  <c r="Y9" i="8"/>
  <c r="W12" i="8"/>
  <c r="J12" i="8"/>
  <c r="Y12" i="8"/>
  <c r="Y11" i="8"/>
  <c r="J11" i="8"/>
  <c r="W11" i="8"/>
  <c r="I13" i="8"/>
  <c r="M13" i="8" s="1"/>
  <c r="I32" i="8"/>
  <c r="I39" i="8" s="1"/>
  <c r="J13" i="8"/>
  <c r="M7" i="8"/>
  <c r="I8" i="8"/>
  <c r="M8" i="8" s="1"/>
  <c r="F9" i="8"/>
  <c r="F11" i="8"/>
  <c r="I12" i="8"/>
  <c r="M12" i="8" s="1"/>
  <c r="W13" i="8"/>
  <c r="I14" i="8"/>
  <c r="M14" i="8" s="1"/>
  <c r="W15" i="8"/>
  <c r="J16" i="8"/>
  <c r="W16" i="8"/>
  <c r="H8" i="8"/>
  <c r="J15" i="8"/>
  <c r="J26" i="8"/>
  <c r="G14" i="7"/>
  <c r="D14" i="7"/>
  <c r="G12" i="7"/>
  <c r="D12" i="7"/>
  <c r="M28" i="7"/>
  <c r="F28" i="7"/>
  <c r="I28" i="7" s="1"/>
  <c r="D28" i="7"/>
  <c r="E28" i="7" s="1"/>
  <c r="M27" i="7"/>
  <c r="J27" i="7"/>
  <c r="I27" i="7"/>
  <c r="D27" i="7"/>
  <c r="E27" i="7" s="1"/>
  <c r="M26" i="7"/>
  <c r="J26" i="7"/>
  <c r="I26" i="7"/>
  <c r="H26" i="7"/>
  <c r="E26" i="7"/>
  <c r="M25" i="7"/>
  <c r="J25" i="7"/>
  <c r="I25" i="7"/>
  <c r="H25" i="7"/>
  <c r="E25" i="7"/>
  <c r="Y16" i="7"/>
  <c r="V16" i="7"/>
  <c r="U16" i="7"/>
  <c r="T16" i="7"/>
  <c r="R16" i="7"/>
  <c r="H16" i="7"/>
  <c r="W16" i="7" s="1"/>
  <c r="I16" i="7"/>
  <c r="M16" i="7" s="1"/>
  <c r="V15" i="7"/>
  <c r="U15" i="7"/>
  <c r="T15" i="7"/>
  <c r="R15" i="7"/>
  <c r="L15" i="7"/>
  <c r="H15" i="7"/>
  <c r="Y15" i="7" s="1"/>
  <c r="F15" i="7"/>
  <c r="I15" i="7" s="1"/>
  <c r="M15" i="7" s="1"/>
  <c r="V14" i="7"/>
  <c r="U14" i="7"/>
  <c r="T14" i="7"/>
  <c r="R14" i="7"/>
  <c r="L14" i="7"/>
  <c r="H14" i="7"/>
  <c r="J14" i="7" s="1"/>
  <c r="F14" i="7"/>
  <c r="Y13" i="7"/>
  <c r="V13" i="7"/>
  <c r="U13" i="7"/>
  <c r="T13" i="7"/>
  <c r="R13" i="7"/>
  <c r="L13" i="7"/>
  <c r="J13" i="7"/>
  <c r="H13" i="7"/>
  <c r="W13" i="7" s="1"/>
  <c r="F13" i="7"/>
  <c r="I13" i="7" s="1"/>
  <c r="M13" i="7" s="1"/>
  <c r="V12" i="7"/>
  <c r="U12" i="7"/>
  <c r="T12" i="7"/>
  <c r="R12" i="7"/>
  <c r="L12" i="7"/>
  <c r="H12" i="7"/>
  <c r="J12" i="7" s="1"/>
  <c r="F12" i="7"/>
  <c r="I12" i="7" s="1"/>
  <c r="M12" i="7" s="1"/>
  <c r="V11" i="7"/>
  <c r="U11" i="7"/>
  <c r="T11" i="7"/>
  <c r="R11" i="7"/>
  <c r="L11" i="7"/>
  <c r="G11" i="7"/>
  <c r="H11" i="7" s="1"/>
  <c r="D11" i="7"/>
  <c r="F11" i="7" s="1"/>
  <c r="V10" i="7"/>
  <c r="U10" i="7"/>
  <c r="T10" i="7"/>
  <c r="R10" i="7"/>
  <c r="L10" i="7"/>
  <c r="G10" i="7"/>
  <c r="D10" i="7"/>
  <c r="H10" i="7" s="1"/>
  <c r="V9" i="7"/>
  <c r="U9" i="7"/>
  <c r="T9" i="7"/>
  <c r="R9" i="7"/>
  <c r="L9" i="7"/>
  <c r="G9" i="7"/>
  <c r="H9" i="7" s="1"/>
  <c r="D9" i="7"/>
  <c r="F9" i="7" s="1"/>
  <c r="V8" i="7"/>
  <c r="U8" i="7"/>
  <c r="T8" i="7"/>
  <c r="R8" i="7"/>
  <c r="L8" i="7"/>
  <c r="G8" i="7"/>
  <c r="G17" i="7" s="1"/>
  <c r="D8" i="7"/>
  <c r="H8" i="7" s="1"/>
  <c r="V7" i="7"/>
  <c r="U7" i="7"/>
  <c r="T7" i="7"/>
  <c r="R7" i="7"/>
  <c r="L7" i="7"/>
  <c r="H7" i="7"/>
  <c r="Y7" i="7" s="1"/>
  <c r="F7" i="7"/>
  <c r="L14" i="6"/>
  <c r="I20" i="6"/>
  <c r="M28" i="6"/>
  <c r="F28" i="6"/>
  <c r="I28" i="6" s="1"/>
  <c r="J28" i="6" s="1"/>
  <c r="D28" i="6"/>
  <c r="E28" i="6" s="1"/>
  <c r="M27" i="6"/>
  <c r="I27" i="6"/>
  <c r="J27" i="6" s="1"/>
  <c r="D27" i="6"/>
  <c r="H27" i="6" s="1"/>
  <c r="M26" i="6"/>
  <c r="I26" i="6"/>
  <c r="J26" i="6" s="1"/>
  <c r="H26" i="6"/>
  <c r="E26" i="6"/>
  <c r="M25" i="6"/>
  <c r="I25" i="6"/>
  <c r="J25" i="6" s="1"/>
  <c r="H25" i="6"/>
  <c r="E25" i="6"/>
  <c r="V15" i="6"/>
  <c r="U15" i="6"/>
  <c r="T15" i="6"/>
  <c r="R15" i="6"/>
  <c r="L15" i="6"/>
  <c r="H15" i="6"/>
  <c r="Y15" i="6" s="1"/>
  <c r="F15" i="6"/>
  <c r="V14" i="6"/>
  <c r="U14" i="6"/>
  <c r="T14" i="6"/>
  <c r="R14" i="6"/>
  <c r="H14" i="6"/>
  <c r="Y14" i="6" s="1"/>
  <c r="F14" i="6"/>
  <c r="I14" i="6" s="1"/>
  <c r="M14" i="6" s="1"/>
  <c r="V16" i="6"/>
  <c r="U16" i="6"/>
  <c r="T16" i="6"/>
  <c r="R16" i="6"/>
  <c r="H16" i="6"/>
  <c r="Y16" i="6" s="1"/>
  <c r="F16" i="6"/>
  <c r="I16" i="6" s="1"/>
  <c r="M16" i="6" s="1"/>
  <c r="V13" i="6"/>
  <c r="U13" i="6"/>
  <c r="T13" i="6"/>
  <c r="R13" i="6"/>
  <c r="L13" i="6"/>
  <c r="H13" i="6"/>
  <c r="J13" i="6" s="1"/>
  <c r="F13" i="6"/>
  <c r="I13" i="6" s="1"/>
  <c r="M13" i="6" s="1"/>
  <c r="V12" i="6"/>
  <c r="U12" i="6"/>
  <c r="T12" i="6"/>
  <c r="R12" i="6"/>
  <c r="L12" i="6"/>
  <c r="H12" i="6"/>
  <c r="Y12" i="6" s="1"/>
  <c r="F12" i="6"/>
  <c r="I12" i="6" s="1"/>
  <c r="M12" i="6" s="1"/>
  <c r="V11" i="6"/>
  <c r="U11" i="6"/>
  <c r="T11" i="6"/>
  <c r="R11" i="6"/>
  <c r="L11" i="6"/>
  <c r="G11" i="6"/>
  <c r="D11" i="6"/>
  <c r="V10" i="6"/>
  <c r="U10" i="6"/>
  <c r="T10" i="6"/>
  <c r="R10" i="6"/>
  <c r="L10" i="6"/>
  <c r="G10" i="6"/>
  <c r="D10" i="6"/>
  <c r="F10" i="6" s="1"/>
  <c r="V9" i="6"/>
  <c r="U9" i="6"/>
  <c r="T9" i="6"/>
  <c r="R9" i="6"/>
  <c r="L9" i="6"/>
  <c r="G9" i="6"/>
  <c r="D9" i="6"/>
  <c r="V8" i="6"/>
  <c r="U8" i="6"/>
  <c r="T8" i="6"/>
  <c r="R8" i="6"/>
  <c r="L8" i="6"/>
  <c r="G8" i="6"/>
  <c r="D8" i="6"/>
  <c r="F8" i="6" s="1"/>
  <c r="V7" i="6"/>
  <c r="U7" i="6"/>
  <c r="T7" i="6"/>
  <c r="R7" i="6"/>
  <c r="L7" i="6"/>
  <c r="H7" i="6"/>
  <c r="Y7" i="6" s="1"/>
  <c r="F7" i="6"/>
  <c r="R9" i="5"/>
  <c r="M28" i="5"/>
  <c r="I28" i="5"/>
  <c r="J28" i="5" s="1"/>
  <c r="H28" i="5"/>
  <c r="E28" i="5"/>
  <c r="F28" i="5"/>
  <c r="D28" i="5"/>
  <c r="G11" i="5"/>
  <c r="D11" i="5"/>
  <c r="I21" i="9" l="1"/>
  <c r="Z16" i="9"/>
  <c r="G18" i="9"/>
  <c r="L21" i="9"/>
  <c r="Z13" i="9"/>
  <c r="Z11" i="9"/>
  <c r="Z14" i="9"/>
  <c r="Z9" i="9"/>
  <c r="Z7" i="9"/>
  <c r="Z10" i="9"/>
  <c r="M8" i="9"/>
  <c r="I17" i="9"/>
  <c r="Z15" i="9"/>
  <c r="Z12" i="9"/>
  <c r="Z8" i="9"/>
  <c r="J10" i="8"/>
  <c r="Y10" i="8"/>
  <c r="W8" i="8"/>
  <c r="J8" i="8"/>
  <c r="Y8" i="8"/>
  <c r="I11" i="8"/>
  <c r="M11" i="8" s="1"/>
  <c r="I9" i="8"/>
  <c r="F17" i="8"/>
  <c r="F19" i="8" s="1"/>
  <c r="Z11" i="8" s="1"/>
  <c r="I14" i="7"/>
  <c r="M14" i="7" s="1"/>
  <c r="Y12" i="7"/>
  <c r="W12" i="7"/>
  <c r="Y11" i="7"/>
  <c r="W11" i="7"/>
  <c r="J11" i="7"/>
  <c r="W8" i="7"/>
  <c r="J8" i="7"/>
  <c r="Y8" i="7"/>
  <c r="I9" i="7"/>
  <c r="M9" i="7" s="1"/>
  <c r="J10" i="7"/>
  <c r="Y10" i="7"/>
  <c r="W10" i="7"/>
  <c r="I39" i="7"/>
  <c r="J28" i="7"/>
  <c r="Y9" i="7"/>
  <c r="W9" i="7"/>
  <c r="J9" i="7"/>
  <c r="I11" i="7"/>
  <c r="M11" i="7" s="1"/>
  <c r="W14" i="7"/>
  <c r="J15" i="7"/>
  <c r="H27" i="7"/>
  <c r="W15" i="7"/>
  <c r="J16" i="7"/>
  <c r="H28" i="7"/>
  <c r="I7" i="7"/>
  <c r="F8" i="7"/>
  <c r="F10" i="7"/>
  <c r="Y14" i="7"/>
  <c r="J7" i="7"/>
  <c r="W7" i="7"/>
  <c r="G17" i="6"/>
  <c r="J7" i="6"/>
  <c r="W7" i="6"/>
  <c r="H9" i="6"/>
  <c r="W9" i="6" s="1"/>
  <c r="H11" i="6"/>
  <c r="Y11" i="6" s="1"/>
  <c r="J12" i="6"/>
  <c r="W12" i="6"/>
  <c r="H10" i="6"/>
  <c r="Y10" i="6" s="1"/>
  <c r="E27" i="6"/>
  <c r="I39" i="6"/>
  <c r="I10" i="6"/>
  <c r="M10" i="6" s="1"/>
  <c r="W11" i="6"/>
  <c r="J11" i="6"/>
  <c r="I8" i="6"/>
  <c r="M8" i="6" s="1"/>
  <c r="F9" i="6"/>
  <c r="F11" i="6"/>
  <c r="I15" i="6"/>
  <c r="M15" i="6" s="1"/>
  <c r="W13" i="6"/>
  <c r="J16" i="6"/>
  <c r="W16" i="6"/>
  <c r="J14" i="6"/>
  <c r="W14" i="6"/>
  <c r="J15" i="6"/>
  <c r="W15" i="6"/>
  <c r="H28" i="6"/>
  <c r="Y13" i="6"/>
  <c r="I7" i="6"/>
  <c r="H8" i="6"/>
  <c r="I20" i="5"/>
  <c r="I39" i="5"/>
  <c r="M27" i="5"/>
  <c r="J27" i="5"/>
  <c r="I27" i="5"/>
  <c r="D27" i="5"/>
  <c r="H27" i="5" s="1"/>
  <c r="M26" i="5"/>
  <c r="J26" i="5"/>
  <c r="I26" i="5"/>
  <c r="H26" i="5"/>
  <c r="E26" i="5"/>
  <c r="M25" i="5"/>
  <c r="J25" i="5"/>
  <c r="I25" i="5"/>
  <c r="H25" i="5"/>
  <c r="E25" i="5"/>
  <c r="V16" i="5"/>
  <c r="U16" i="5"/>
  <c r="T16" i="5"/>
  <c r="R16" i="5"/>
  <c r="L16" i="5"/>
  <c r="H16" i="5"/>
  <c r="Y16" i="5" s="1"/>
  <c r="F16" i="5"/>
  <c r="I16" i="5" s="1"/>
  <c r="M16" i="5" s="1"/>
  <c r="V15" i="5"/>
  <c r="U15" i="5"/>
  <c r="T15" i="5"/>
  <c r="R15" i="5"/>
  <c r="H15" i="5"/>
  <c r="Y15" i="5" s="1"/>
  <c r="F15" i="5"/>
  <c r="V14" i="5"/>
  <c r="U14" i="5"/>
  <c r="T14" i="5"/>
  <c r="R14" i="5"/>
  <c r="H14" i="5"/>
  <c r="F14" i="5"/>
  <c r="V12" i="5"/>
  <c r="U12" i="5"/>
  <c r="T12" i="5"/>
  <c r="R12" i="5"/>
  <c r="L12" i="5"/>
  <c r="H12" i="5"/>
  <c r="Y12" i="5" s="1"/>
  <c r="F12" i="5"/>
  <c r="I12" i="5" s="1"/>
  <c r="M12" i="5" s="1"/>
  <c r="V11" i="5"/>
  <c r="U11" i="5"/>
  <c r="T11" i="5"/>
  <c r="R11" i="5"/>
  <c r="L11" i="5"/>
  <c r="H11" i="5"/>
  <c r="J11" i="5" s="1"/>
  <c r="F11" i="5"/>
  <c r="I11" i="5" s="1"/>
  <c r="M11" i="5" s="1"/>
  <c r="V10" i="5"/>
  <c r="U10" i="5"/>
  <c r="T10" i="5"/>
  <c r="R10" i="5"/>
  <c r="L10" i="5"/>
  <c r="G10" i="5"/>
  <c r="H10" i="5" s="1"/>
  <c r="F10" i="5"/>
  <c r="I10" i="5" s="1"/>
  <c r="M10" i="5" s="1"/>
  <c r="D10" i="5"/>
  <c r="V13" i="5"/>
  <c r="U13" i="5"/>
  <c r="T13" i="5"/>
  <c r="R13" i="5"/>
  <c r="L13" i="5"/>
  <c r="H13" i="5"/>
  <c r="F13" i="5"/>
  <c r="V9" i="5"/>
  <c r="U9" i="5"/>
  <c r="T9" i="5"/>
  <c r="L9" i="5"/>
  <c r="G9" i="5"/>
  <c r="H9" i="5" s="1"/>
  <c r="F9" i="5"/>
  <c r="I9" i="5" s="1"/>
  <c r="M9" i="5" s="1"/>
  <c r="D9" i="5"/>
  <c r="V8" i="5"/>
  <c r="U8" i="5"/>
  <c r="T8" i="5"/>
  <c r="R8" i="5"/>
  <c r="L8" i="5"/>
  <c r="G8" i="5"/>
  <c r="H8" i="5" s="1"/>
  <c r="D8" i="5"/>
  <c r="F8" i="5" s="1"/>
  <c r="V7" i="5"/>
  <c r="U7" i="5"/>
  <c r="T7" i="5"/>
  <c r="R7" i="5"/>
  <c r="L7" i="5"/>
  <c r="H7" i="5"/>
  <c r="W7" i="5" s="1"/>
  <c r="F7" i="5"/>
  <c r="G9" i="4"/>
  <c r="D9" i="4"/>
  <c r="F9" i="4" s="1"/>
  <c r="I9" i="4" s="1"/>
  <c r="M9" i="4" s="1"/>
  <c r="G10" i="4"/>
  <c r="D10" i="4"/>
  <c r="F10" i="4" s="1"/>
  <c r="I10" i="4" s="1"/>
  <c r="M10" i="4" s="1"/>
  <c r="I20" i="4"/>
  <c r="M27" i="4"/>
  <c r="J27" i="4"/>
  <c r="I27" i="4"/>
  <c r="H27" i="4"/>
  <c r="E27" i="4"/>
  <c r="D27" i="4"/>
  <c r="M26" i="4"/>
  <c r="J26" i="4"/>
  <c r="I26" i="4"/>
  <c r="I39" i="4" s="1"/>
  <c r="H26" i="4"/>
  <c r="E26" i="4"/>
  <c r="M25" i="4"/>
  <c r="J25" i="4"/>
  <c r="I25" i="4"/>
  <c r="H25" i="4"/>
  <c r="E25" i="4"/>
  <c r="V16" i="4"/>
  <c r="U16" i="4"/>
  <c r="T16" i="4"/>
  <c r="R16" i="4"/>
  <c r="L16" i="4"/>
  <c r="H16" i="4"/>
  <c r="Y16" i="4" s="1"/>
  <c r="F16" i="4"/>
  <c r="V15" i="4"/>
  <c r="U15" i="4"/>
  <c r="T15" i="4"/>
  <c r="R15" i="4"/>
  <c r="H15" i="4"/>
  <c r="Y15" i="4" s="1"/>
  <c r="F15" i="4"/>
  <c r="V14" i="4"/>
  <c r="U14" i="4"/>
  <c r="T14" i="4"/>
  <c r="R14" i="4"/>
  <c r="G14" i="4"/>
  <c r="H14" i="4" s="1"/>
  <c r="D14" i="4"/>
  <c r="F14" i="4" s="1"/>
  <c r="W13" i="4"/>
  <c r="V13" i="4"/>
  <c r="U13" i="4"/>
  <c r="T13" i="4"/>
  <c r="R13" i="4"/>
  <c r="L13" i="4"/>
  <c r="J13" i="4"/>
  <c r="H13" i="4"/>
  <c r="Y13" i="4" s="1"/>
  <c r="F13" i="4"/>
  <c r="I13" i="4" s="1"/>
  <c r="M13" i="4" s="1"/>
  <c r="V12" i="4"/>
  <c r="U12" i="4"/>
  <c r="T12" i="4"/>
  <c r="R12" i="4"/>
  <c r="L12" i="4"/>
  <c r="H12" i="4"/>
  <c r="J12" i="4" s="1"/>
  <c r="F12" i="4"/>
  <c r="I12" i="4" s="1"/>
  <c r="M12" i="4" s="1"/>
  <c r="V11" i="4"/>
  <c r="U11" i="4"/>
  <c r="T11" i="4"/>
  <c r="R11" i="4"/>
  <c r="L11" i="4"/>
  <c r="G11" i="4"/>
  <c r="H11" i="4" s="1"/>
  <c r="F11" i="4"/>
  <c r="D11" i="4"/>
  <c r="V10" i="4"/>
  <c r="U10" i="4"/>
  <c r="T10" i="4"/>
  <c r="R10" i="4"/>
  <c r="L10" i="4"/>
  <c r="H10" i="4"/>
  <c r="Y10" i="4" s="1"/>
  <c r="V9" i="4"/>
  <c r="U9" i="4"/>
  <c r="T9" i="4"/>
  <c r="R9" i="4"/>
  <c r="L9" i="4"/>
  <c r="H9" i="4"/>
  <c r="Y9" i="4" s="1"/>
  <c r="V8" i="4"/>
  <c r="U8" i="4"/>
  <c r="T8" i="4"/>
  <c r="R8" i="4"/>
  <c r="L8" i="4"/>
  <c r="G8" i="4"/>
  <c r="H8" i="4" s="1"/>
  <c r="D8" i="4"/>
  <c r="F8" i="4" s="1"/>
  <c r="V7" i="4"/>
  <c r="U7" i="4"/>
  <c r="T7" i="4"/>
  <c r="R7" i="4"/>
  <c r="L7" i="4"/>
  <c r="H7" i="4"/>
  <c r="Y7" i="4" s="1"/>
  <c r="F7" i="4"/>
  <c r="I7" i="4" s="1"/>
  <c r="M7" i="4" s="1"/>
  <c r="G11" i="3"/>
  <c r="D11" i="3"/>
  <c r="F11" i="3" s="1"/>
  <c r="I20" i="3"/>
  <c r="M27" i="3"/>
  <c r="I27" i="3"/>
  <c r="J27" i="3" s="1"/>
  <c r="H27" i="3"/>
  <c r="E27" i="3"/>
  <c r="D27" i="3"/>
  <c r="M26" i="3"/>
  <c r="H26" i="3"/>
  <c r="I26" i="3"/>
  <c r="J26" i="3" s="1"/>
  <c r="E26" i="3"/>
  <c r="M25" i="3"/>
  <c r="I25" i="3"/>
  <c r="J25" i="3" s="1"/>
  <c r="H25" i="3"/>
  <c r="E25" i="3"/>
  <c r="V16" i="3"/>
  <c r="U16" i="3"/>
  <c r="T16" i="3"/>
  <c r="R16" i="3"/>
  <c r="L16" i="3"/>
  <c r="I16" i="3"/>
  <c r="M16" i="3" s="1"/>
  <c r="H16" i="3"/>
  <c r="Y16" i="3" s="1"/>
  <c r="F16" i="3"/>
  <c r="V15" i="3"/>
  <c r="U15" i="3"/>
  <c r="T15" i="3"/>
  <c r="R15" i="3"/>
  <c r="I15" i="3"/>
  <c r="M15" i="3" s="1"/>
  <c r="H15" i="3"/>
  <c r="Y15" i="3" s="1"/>
  <c r="F15" i="3"/>
  <c r="V14" i="3"/>
  <c r="U14" i="3"/>
  <c r="T14" i="3"/>
  <c r="R14" i="3"/>
  <c r="H14" i="3"/>
  <c r="Y14" i="3" s="1"/>
  <c r="G14" i="3"/>
  <c r="D14" i="3"/>
  <c r="F14" i="3" s="1"/>
  <c r="V10" i="3"/>
  <c r="U10" i="3"/>
  <c r="T10" i="3"/>
  <c r="R10" i="3"/>
  <c r="L10" i="3"/>
  <c r="H10" i="3"/>
  <c r="J10" i="3" s="1"/>
  <c r="F10" i="3"/>
  <c r="I10" i="3" s="1"/>
  <c r="M10" i="3" s="1"/>
  <c r="V13" i="3"/>
  <c r="U13" i="3"/>
  <c r="T13" i="3"/>
  <c r="R13" i="3"/>
  <c r="L13" i="3"/>
  <c r="H13" i="3"/>
  <c r="W13" i="3" s="1"/>
  <c r="F13" i="3"/>
  <c r="V9" i="3"/>
  <c r="U9" i="3"/>
  <c r="T9" i="3"/>
  <c r="R9" i="3"/>
  <c r="L9" i="3"/>
  <c r="H9" i="3"/>
  <c r="Y9" i="3" s="1"/>
  <c r="F9" i="3"/>
  <c r="I9" i="3" s="1"/>
  <c r="M9" i="3" s="1"/>
  <c r="V8" i="3"/>
  <c r="U8" i="3"/>
  <c r="T8" i="3"/>
  <c r="R8" i="3"/>
  <c r="L8" i="3"/>
  <c r="G8" i="3"/>
  <c r="D8" i="3"/>
  <c r="F8" i="3" s="1"/>
  <c r="V7" i="3"/>
  <c r="U7" i="3"/>
  <c r="T7" i="3"/>
  <c r="R7" i="3"/>
  <c r="L7" i="3"/>
  <c r="H7" i="3"/>
  <c r="J7" i="3" s="1"/>
  <c r="F7" i="3"/>
  <c r="I7" i="3" s="1"/>
  <c r="M7" i="3" s="1"/>
  <c r="V12" i="3"/>
  <c r="U12" i="3"/>
  <c r="T12" i="3"/>
  <c r="R12" i="3"/>
  <c r="L12" i="3"/>
  <c r="H12" i="3"/>
  <c r="W12" i="3" s="1"/>
  <c r="F12" i="3"/>
  <c r="V11" i="3"/>
  <c r="U11" i="3"/>
  <c r="T11" i="3"/>
  <c r="R11" i="3"/>
  <c r="L11" i="3"/>
  <c r="H11" i="3"/>
  <c r="M25" i="2"/>
  <c r="Z9" i="8" l="1"/>
  <c r="I21" i="8"/>
  <c r="L21" i="8"/>
  <c r="G18" i="8"/>
  <c r="Z16" i="8"/>
  <c r="Z8" i="8"/>
  <c r="Z12" i="8"/>
  <c r="Z14" i="8"/>
  <c r="Z15" i="8"/>
  <c r="Z10" i="8"/>
  <c r="Z13" i="8"/>
  <c r="Z7" i="8"/>
  <c r="M9" i="8"/>
  <c r="I17" i="8"/>
  <c r="F17" i="7"/>
  <c r="F19" i="7" s="1"/>
  <c r="L21" i="7" s="1"/>
  <c r="I8" i="7"/>
  <c r="M8" i="7" s="1"/>
  <c r="M7" i="7"/>
  <c r="I10" i="7"/>
  <c r="M10" i="7" s="1"/>
  <c r="J9" i="6"/>
  <c r="Y9" i="6"/>
  <c r="W10" i="6"/>
  <c r="J10" i="6"/>
  <c r="M7" i="6"/>
  <c r="I11" i="6"/>
  <c r="M11" i="6" s="1"/>
  <c r="I9" i="6"/>
  <c r="M9" i="6" s="1"/>
  <c r="F17" i="6"/>
  <c r="F19" i="6" s="1"/>
  <c r="Y8" i="6"/>
  <c r="W8" i="6"/>
  <c r="J8" i="6"/>
  <c r="J7" i="5"/>
  <c r="Y7" i="5"/>
  <c r="W11" i="5"/>
  <c r="Y11" i="5"/>
  <c r="I14" i="5"/>
  <c r="M14" i="5" s="1"/>
  <c r="F17" i="5"/>
  <c r="F19" i="5" s="1"/>
  <c r="Z15" i="5" s="1"/>
  <c r="W9" i="5"/>
  <c r="Y9" i="5"/>
  <c r="J9" i="5"/>
  <c r="I13" i="5"/>
  <c r="M13" i="5" s="1"/>
  <c r="Y13" i="5"/>
  <c r="W13" i="5"/>
  <c r="J13" i="5"/>
  <c r="I8" i="5"/>
  <c r="M8" i="5" s="1"/>
  <c r="W10" i="5"/>
  <c r="Y10" i="5"/>
  <c r="J10" i="5"/>
  <c r="Y8" i="5"/>
  <c r="W8" i="5"/>
  <c r="J8" i="5"/>
  <c r="Y14" i="5"/>
  <c r="W14" i="5"/>
  <c r="J14" i="5"/>
  <c r="J12" i="5"/>
  <c r="W12" i="5"/>
  <c r="I15" i="5"/>
  <c r="M15" i="5" s="1"/>
  <c r="G17" i="5"/>
  <c r="E27" i="5"/>
  <c r="I7" i="5"/>
  <c r="J15" i="5"/>
  <c r="W15" i="5"/>
  <c r="J16" i="5"/>
  <c r="W16" i="5"/>
  <c r="W9" i="4"/>
  <c r="J9" i="4"/>
  <c r="J10" i="4"/>
  <c r="W12" i="4"/>
  <c r="Y12" i="4"/>
  <c r="F17" i="4"/>
  <c r="F19" i="4" s="1"/>
  <c r="Z12" i="4" s="1"/>
  <c r="J8" i="4"/>
  <c r="Y8" i="4"/>
  <c r="W8" i="4"/>
  <c r="I14" i="4"/>
  <c r="M14" i="4" s="1"/>
  <c r="Y14" i="4"/>
  <c r="W14" i="4"/>
  <c r="J14" i="4"/>
  <c r="W11" i="4"/>
  <c r="J11" i="4"/>
  <c r="Y11" i="4"/>
  <c r="I8" i="4"/>
  <c r="M8" i="4" s="1"/>
  <c r="J7" i="4"/>
  <c r="W10" i="4"/>
  <c r="I15" i="4"/>
  <c r="M15" i="4" s="1"/>
  <c r="I16" i="4"/>
  <c r="M16" i="4" s="1"/>
  <c r="G17" i="4"/>
  <c r="W7" i="4"/>
  <c r="I11" i="4"/>
  <c r="M11" i="4" s="1"/>
  <c r="J15" i="4"/>
  <c r="W15" i="4"/>
  <c r="J16" i="4"/>
  <c r="W16" i="4"/>
  <c r="Y7" i="3"/>
  <c r="I39" i="3"/>
  <c r="W7" i="3"/>
  <c r="Y10" i="3"/>
  <c r="W10" i="3"/>
  <c r="H8" i="3"/>
  <c r="Y8" i="3" s="1"/>
  <c r="Y12" i="3"/>
  <c r="F17" i="3"/>
  <c r="F19" i="3" s="1"/>
  <c r="I11" i="3"/>
  <c r="I8" i="3"/>
  <c r="M8" i="3" s="1"/>
  <c r="Y11" i="3"/>
  <c r="W11" i="3"/>
  <c r="J11" i="3"/>
  <c r="I14" i="3"/>
  <c r="M14" i="3" s="1"/>
  <c r="Y13" i="3"/>
  <c r="G17" i="3"/>
  <c r="J14" i="3"/>
  <c r="W14" i="3"/>
  <c r="J15" i="3"/>
  <c r="W15" i="3"/>
  <c r="J16" i="3"/>
  <c r="I12" i="3"/>
  <c r="M12" i="3" s="1"/>
  <c r="J9" i="3"/>
  <c r="I13" i="3"/>
  <c r="M13" i="3" s="1"/>
  <c r="W16" i="3"/>
  <c r="J12" i="3"/>
  <c r="W9" i="3"/>
  <c r="J13" i="3"/>
  <c r="J25" i="2"/>
  <c r="I25" i="2"/>
  <c r="H25" i="2"/>
  <c r="E25" i="2"/>
  <c r="Z11" i="6" l="1"/>
  <c r="I20" i="7"/>
  <c r="Z13" i="7"/>
  <c r="Z16" i="7"/>
  <c r="Z14" i="7"/>
  <c r="Z8" i="7"/>
  <c r="Z7" i="7"/>
  <c r="Z9" i="7"/>
  <c r="Z15" i="7"/>
  <c r="Z11" i="7"/>
  <c r="Z10" i="7"/>
  <c r="Z12" i="7"/>
  <c r="G18" i="7"/>
  <c r="I21" i="7"/>
  <c r="I17" i="7"/>
  <c r="Z9" i="6"/>
  <c r="L21" i="6"/>
  <c r="I21" i="6"/>
  <c r="G18" i="6"/>
  <c r="Z8" i="6"/>
  <c r="Z10" i="6"/>
  <c r="Z13" i="6"/>
  <c r="Z12" i="6"/>
  <c r="Z16" i="6"/>
  <c r="Z15" i="6"/>
  <c r="Z7" i="6"/>
  <c r="Z14" i="6"/>
  <c r="I17" i="6"/>
  <c r="Z11" i="5"/>
  <c r="Z10" i="5"/>
  <c r="Z7" i="5"/>
  <c r="Z16" i="5"/>
  <c r="Z9" i="5"/>
  <c r="I17" i="5"/>
  <c r="M7" i="5"/>
  <c r="I21" i="5"/>
  <c r="G18" i="5"/>
  <c r="L21" i="5"/>
  <c r="Z13" i="5"/>
  <c r="Z12" i="5"/>
  <c r="Z8" i="5"/>
  <c r="Z14" i="5"/>
  <c r="Z11" i="4"/>
  <c r="Z9" i="4"/>
  <c r="Z7" i="4"/>
  <c r="Z16" i="4"/>
  <c r="Z10" i="4"/>
  <c r="Z8" i="4"/>
  <c r="Z14" i="4"/>
  <c r="Z13" i="4"/>
  <c r="I17" i="4"/>
  <c r="I21" i="4"/>
  <c r="G18" i="4"/>
  <c r="L21" i="4"/>
  <c r="Z15" i="4"/>
  <c r="W8" i="3"/>
  <c r="J8" i="3"/>
  <c r="I21" i="3"/>
  <c r="Z15" i="3"/>
  <c r="G18" i="3"/>
  <c r="L21" i="3"/>
  <c r="Z9" i="3"/>
  <c r="Z16" i="3"/>
  <c r="Z14" i="3"/>
  <c r="Z8" i="3"/>
  <c r="Z7" i="3"/>
  <c r="Z12" i="3"/>
  <c r="Z11" i="3"/>
  <c r="Z10" i="3"/>
  <c r="Z13" i="3"/>
  <c r="M11" i="3"/>
  <c r="I17" i="3"/>
  <c r="I20" i="2"/>
  <c r="I39" i="2"/>
  <c r="Y16" i="2"/>
  <c r="V16" i="2"/>
  <c r="U16" i="2"/>
  <c r="T16" i="2"/>
  <c r="R16" i="2"/>
  <c r="M16" i="2"/>
  <c r="L16" i="2"/>
  <c r="I16" i="2"/>
  <c r="H16" i="2"/>
  <c r="W16" i="2" s="1"/>
  <c r="F16" i="2"/>
  <c r="Y15" i="2"/>
  <c r="V15" i="2"/>
  <c r="U15" i="2"/>
  <c r="T15" i="2"/>
  <c r="R15" i="2"/>
  <c r="M15" i="2"/>
  <c r="I15" i="2"/>
  <c r="H15" i="2"/>
  <c r="W15" i="2" s="1"/>
  <c r="F15" i="2"/>
  <c r="V14" i="2"/>
  <c r="U14" i="2"/>
  <c r="T14" i="2"/>
  <c r="R14" i="2"/>
  <c r="G14" i="2"/>
  <c r="D14" i="2"/>
  <c r="F14" i="2" s="1"/>
  <c r="V13" i="2"/>
  <c r="U13" i="2"/>
  <c r="T13" i="2"/>
  <c r="R13" i="2"/>
  <c r="L13" i="2"/>
  <c r="H13" i="2"/>
  <c r="Y13" i="2" s="1"/>
  <c r="F13" i="2"/>
  <c r="I13" i="2" s="1"/>
  <c r="M13" i="2" s="1"/>
  <c r="V12" i="2"/>
  <c r="U12" i="2"/>
  <c r="T12" i="2"/>
  <c r="R12" i="2"/>
  <c r="L12" i="2"/>
  <c r="H12" i="2"/>
  <c r="W12" i="2" s="1"/>
  <c r="F12" i="2"/>
  <c r="I12" i="2" s="1"/>
  <c r="M12" i="2" s="1"/>
  <c r="Y11" i="2"/>
  <c r="W11" i="2"/>
  <c r="V11" i="2"/>
  <c r="U11" i="2"/>
  <c r="T11" i="2"/>
  <c r="R11" i="2"/>
  <c r="L11" i="2"/>
  <c r="J11" i="2"/>
  <c r="H11" i="2"/>
  <c r="F11" i="2"/>
  <c r="I11" i="2" s="1"/>
  <c r="M11" i="2" s="1"/>
  <c r="V10" i="2"/>
  <c r="U10" i="2"/>
  <c r="T10" i="2"/>
  <c r="R10" i="2"/>
  <c r="L10" i="2"/>
  <c r="G10" i="2"/>
  <c r="H10" i="2" s="1"/>
  <c r="D10" i="2"/>
  <c r="F10" i="2" s="1"/>
  <c r="V9" i="2"/>
  <c r="U9" i="2"/>
  <c r="T9" i="2"/>
  <c r="R9" i="2"/>
  <c r="L9" i="2"/>
  <c r="H9" i="2"/>
  <c r="Y9" i="2" s="1"/>
  <c r="F9" i="2"/>
  <c r="I9" i="2" s="1"/>
  <c r="M9" i="2" s="1"/>
  <c r="Y8" i="2"/>
  <c r="W8" i="2"/>
  <c r="V8" i="2"/>
  <c r="U8" i="2"/>
  <c r="T8" i="2"/>
  <c r="R8" i="2"/>
  <c r="L8" i="2"/>
  <c r="J8" i="2"/>
  <c r="H8" i="2"/>
  <c r="F8" i="2"/>
  <c r="I8" i="2" s="1"/>
  <c r="M8" i="2" s="1"/>
  <c r="V7" i="2"/>
  <c r="U7" i="2"/>
  <c r="T7" i="2"/>
  <c r="R7" i="2"/>
  <c r="L7" i="2"/>
  <c r="G7" i="2"/>
  <c r="G17" i="2" s="1"/>
  <c r="D7" i="2"/>
  <c r="F7" i="2" s="1"/>
  <c r="Y16" i="1"/>
  <c r="V16" i="1"/>
  <c r="U16" i="1"/>
  <c r="T16" i="1"/>
  <c r="R16" i="1"/>
  <c r="L16" i="1"/>
  <c r="H16" i="1"/>
  <c r="W16" i="1" s="1"/>
  <c r="F16" i="1"/>
  <c r="I16" i="1" s="1"/>
  <c r="M16" i="1" s="1"/>
  <c r="V15" i="1"/>
  <c r="U15" i="1"/>
  <c r="T15" i="1"/>
  <c r="R15" i="1"/>
  <c r="H15" i="1"/>
  <c r="Y15" i="1" s="1"/>
  <c r="F15" i="1"/>
  <c r="I15" i="1" s="1"/>
  <c r="M15" i="1" s="1"/>
  <c r="V14" i="1"/>
  <c r="U14" i="1"/>
  <c r="T14" i="1"/>
  <c r="R14" i="1"/>
  <c r="G14" i="1"/>
  <c r="H14" i="1" s="1"/>
  <c r="F14" i="1"/>
  <c r="I14" i="1" s="1"/>
  <c r="M14" i="1" s="1"/>
  <c r="D14" i="1"/>
  <c r="Y13" i="1"/>
  <c r="W13" i="1"/>
  <c r="V13" i="1"/>
  <c r="U13" i="1"/>
  <c r="T13" i="1"/>
  <c r="R13" i="1"/>
  <c r="L13" i="1"/>
  <c r="J13" i="1"/>
  <c r="I13" i="1"/>
  <c r="M13" i="1" s="1"/>
  <c r="H13" i="1"/>
  <c r="F13" i="1"/>
  <c r="Y12" i="1"/>
  <c r="W12" i="1"/>
  <c r="V12" i="1"/>
  <c r="U12" i="1"/>
  <c r="T12" i="1"/>
  <c r="R12" i="1"/>
  <c r="L12" i="1"/>
  <c r="J12" i="1"/>
  <c r="H12" i="1"/>
  <c r="F12" i="1"/>
  <c r="I12" i="1" s="1"/>
  <c r="M12" i="1" s="1"/>
  <c r="Y11" i="1"/>
  <c r="W11" i="1"/>
  <c r="V11" i="1"/>
  <c r="U11" i="1"/>
  <c r="T11" i="1"/>
  <c r="R11" i="1"/>
  <c r="L11" i="1"/>
  <c r="H11" i="1"/>
  <c r="J11" i="1" s="1"/>
  <c r="F11" i="1"/>
  <c r="I11" i="1" s="1"/>
  <c r="M11" i="1" s="1"/>
  <c r="V10" i="1"/>
  <c r="U10" i="1"/>
  <c r="T10" i="1"/>
  <c r="R10" i="1"/>
  <c r="L10" i="1"/>
  <c r="G10" i="1"/>
  <c r="H10" i="1" s="1"/>
  <c r="F10" i="1"/>
  <c r="I10" i="1" s="1"/>
  <c r="M10" i="1" s="1"/>
  <c r="D10" i="1"/>
  <c r="Y9" i="1"/>
  <c r="W9" i="1"/>
  <c r="V9" i="1"/>
  <c r="U9" i="1"/>
  <c r="T9" i="1"/>
  <c r="R9" i="1"/>
  <c r="L9" i="1"/>
  <c r="J9" i="1"/>
  <c r="H9" i="1"/>
  <c r="F9" i="1"/>
  <c r="I9" i="1" s="1"/>
  <c r="M9" i="1" s="1"/>
  <c r="Y8" i="1"/>
  <c r="W8" i="1"/>
  <c r="V8" i="1"/>
  <c r="U8" i="1"/>
  <c r="T8" i="1"/>
  <c r="R8" i="1"/>
  <c r="L8" i="1"/>
  <c r="J8" i="1"/>
  <c r="H8" i="1"/>
  <c r="F8" i="1"/>
  <c r="I8" i="1" s="1"/>
  <c r="M8" i="1" s="1"/>
  <c r="V7" i="1"/>
  <c r="U7" i="1"/>
  <c r="T7" i="1"/>
  <c r="R7" i="1"/>
  <c r="L7" i="1"/>
  <c r="G7" i="1"/>
  <c r="G17" i="1" s="1"/>
  <c r="D7" i="1"/>
  <c r="F7" i="1" s="1"/>
  <c r="J12" i="2" l="1"/>
  <c r="Y12" i="2"/>
  <c r="J10" i="2"/>
  <c r="Y10" i="2"/>
  <c r="W10" i="2"/>
  <c r="I14" i="2"/>
  <c r="M14" i="2" s="1"/>
  <c r="F17" i="2"/>
  <c r="F19" i="2" s="1"/>
  <c r="Z11" i="2" s="1"/>
  <c r="I7" i="2"/>
  <c r="I10" i="2"/>
  <c r="M10" i="2" s="1"/>
  <c r="W9" i="2"/>
  <c r="H14" i="2"/>
  <c r="J15" i="2"/>
  <c r="J16" i="2"/>
  <c r="J13" i="2"/>
  <c r="J9" i="2"/>
  <c r="W13" i="2"/>
  <c r="H7" i="2"/>
  <c r="F17" i="1"/>
  <c r="F19" i="1" s="1"/>
  <c r="Z16" i="1" s="1"/>
  <c r="I7" i="1"/>
  <c r="W10" i="1"/>
  <c r="J10" i="1"/>
  <c r="Y10" i="1"/>
  <c r="I39" i="1"/>
  <c r="Y14" i="1"/>
  <c r="W14" i="1"/>
  <c r="J14" i="1"/>
  <c r="H7" i="1"/>
  <c r="J15" i="1"/>
  <c r="W15" i="1"/>
  <c r="J16" i="1"/>
  <c r="Z7" i="2" l="1"/>
  <c r="Z13" i="2"/>
  <c r="Z10" i="2"/>
  <c r="Z12" i="2"/>
  <c r="Z9" i="2"/>
  <c r="J7" i="2"/>
  <c r="Y7" i="2"/>
  <c r="W7" i="2"/>
  <c r="Y14" i="2"/>
  <c r="W14" i="2"/>
  <c r="J14" i="2"/>
  <c r="L21" i="2"/>
  <c r="I21" i="2"/>
  <c r="Z15" i="2"/>
  <c r="G18" i="2"/>
  <c r="Z14" i="2"/>
  <c r="I17" i="2"/>
  <c r="M7" i="2"/>
  <c r="Z8" i="2"/>
  <c r="Z16" i="2"/>
  <c r="Z13" i="1"/>
  <c r="Z7" i="1"/>
  <c r="Z11" i="1"/>
  <c r="Z10" i="1"/>
  <c r="Z14" i="1"/>
  <c r="I17" i="1"/>
  <c r="M7" i="1"/>
  <c r="G18" i="1"/>
  <c r="I21" i="1"/>
  <c r="L21" i="1"/>
  <c r="Z12" i="1"/>
  <c r="Z15" i="1"/>
  <c r="J7" i="1"/>
  <c r="Y7" i="1"/>
  <c r="W7" i="1"/>
  <c r="Z8" i="1"/>
  <c r="Z9" i="1"/>
</calcChain>
</file>

<file path=xl/sharedStrings.xml><?xml version="1.0" encoding="utf-8"?>
<sst xmlns="http://schemas.openxmlformats.org/spreadsheetml/2006/main" count="8623" uniqueCount="180">
  <si>
    <t>MANAGED ACCT</t>
  </si>
  <si>
    <t>Current</t>
  </si>
  <si>
    <t>IBD</t>
  </si>
  <si>
    <t>Cost</t>
  </si>
  <si>
    <t xml:space="preserve">P/L </t>
  </si>
  <si>
    <t>Group</t>
  </si>
  <si>
    <t>EPS</t>
  </si>
  <si>
    <t>pivot</t>
  </si>
  <si>
    <t xml:space="preserve">last </t>
  </si>
  <si>
    <t>cost</t>
  </si>
  <si>
    <t xml:space="preserve">Stop </t>
  </si>
  <si>
    <t>Stop</t>
  </si>
  <si>
    <t>%</t>
  </si>
  <si>
    <t>Comp</t>
  </si>
  <si>
    <t>Symbol</t>
  </si>
  <si>
    <t>Position</t>
  </si>
  <si>
    <t>Name</t>
  </si>
  <si>
    <t>Qty</t>
  </si>
  <si>
    <t>Value</t>
  </si>
  <si>
    <t>per share</t>
  </si>
  <si>
    <t>P/L $</t>
  </si>
  <si>
    <t>per sh</t>
  </si>
  <si>
    <t>Date purch</t>
  </si>
  <si>
    <t>days held</t>
  </si>
  <si>
    <t>% incr</t>
  </si>
  <si>
    <t>Rank</t>
  </si>
  <si>
    <t>RS</t>
  </si>
  <si>
    <t>low</t>
  </si>
  <si>
    <t>Loss</t>
  </si>
  <si>
    <t>Loss%</t>
  </si>
  <si>
    <t>of port</t>
  </si>
  <si>
    <t>Due</t>
  </si>
  <si>
    <t>MNSO</t>
  </si>
  <si>
    <t>Long</t>
  </si>
  <si>
    <t>Minoso</t>
  </si>
  <si>
    <t>Bought after 07/24 b/o.  Added at the 21dema.</t>
  </si>
  <si>
    <t>TS</t>
  </si>
  <si>
    <t>Tenaris</t>
  </si>
  <si>
    <t>Bought day after gapping out of base.</t>
  </si>
  <si>
    <t>AXON</t>
  </si>
  <si>
    <t>Axon Enterprise</t>
  </si>
  <si>
    <t>Bought as it gapped out of base on EPS.</t>
  </si>
  <si>
    <t>KD</t>
  </si>
  <si>
    <t>Kyndryl Hldgs</t>
  </si>
  <si>
    <t>Bought after 11/08 b/o.  Trading tightly here.</t>
  </si>
  <si>
    <t>DDOG</t>
  </si>
  <si>
    <t>Datadog</t>
  </si>
  <si>
    <t>Trading tightly since b/o.</t>
  </si>
  <si>
    <t>YELP</t>
  </si>
  <si>
    <t>Yelp Inc</t>
  </si>
  <si>
    <t>Bought the pivot test.</t>
  </si>
  <si>
    <t>BIL</t>
  </si>
  <si>
    <t>Tbill ETF</t>
  </si>
  <si>
    <t>Sub-Total</t>
  </si>
  <si>
    <t>Cash, other</t>
  </si>
  <si>
    <t>Total</t>
  </si>
  <si>
    <t xml:space="preserve">Last week's close </t>
  </si>
  <si>
    <t>Week's change</t>
  </si>
  <si>
    <t>chg %</t>
  </si>
  <si>
    <t>days</t>
  </si>
  <si>
    <t>Cost/sh</t>
  </si>
  <si>
    <t>$ cost</t>
  </si>
  <si>
    <t>$Proc</t>
  </si>
  <si>
    <t>Proc/sh</t>
  </si>
  <si>
    <t>Profit/loss</t>
  </si>
  <si>
    <t>Date sold</t>
  </si>
  <si>
    <t>held</t>
  </si>
  <si>
    <t>Comments</t>
  </si>
  <si>
    <t>Avg</t>
  </si>
  <si>
    <t># of losses</t>
  </si>
  <si>
    <t># of wins</t>
  </si>
  <si>
    <t>2024 Closed Trades - Managed Acct</t>
  </si>
  <si>
    <t>*</t>
  </si>
  <si>
    <t>ACMR</t>
  </si>
  <si>
    <t>ACM Research</t>
  </si>
  <si>
    <t>B/o Jan 10in big vol.</t>
  </si>
  <si>
    <t>Closed below stop for 2 days.</t>
  </si>
  <si>
    <t xml:space="preserve">Totally blew this trade.  Had a nearly 50% profit.  </t>
  </si>
  <si>
    <t>VKTX</t>
  </si>
  <si>
    <t>Viking Therap</t>
  </si>
  <si>
    <t>Bought after pivot test.</t>
  </si>
  <si>
    <t>AAON</t>
  </si>
  <si>
    <t>BLBD</t>
  </si>
  <si>
    <t>Bluebird</t>
  </si>
  <si>
    <t>Bought day 2 after b/o.</t>
  </si>
  <si>
    <t>MDB</t>
  </si>
  <si>
    <t>MongoDB</t>
  </si>
  <si>
    <t>Bought day 1 of b/o.</t>
  </si>
  <si>
    <t>IOT</t>
  </si>
  <si>
    <t>Samsara</t>
  </si>
  <si>
    <t>Broke out of consolidation above pivot.</t>
  </si>
  <si>
    <t>Stopped out.</t>
  </si>
  <si>
    <t>Took partial profit.</t>
  </si>
  <si>
    <t>BIRK</t>
  </si>
  <si>
    <t>Birkenstock Hldg</t>
  </si>
  <si>
    <t>BPMC</t>
  </si>
  <si>
    <t>Blueprint Med</t>
  </si>
  <si>
    <t>Bought the b/o day.</t>
  </si>
  <si>
    <t>Stopped out after earnings.</t>
  </si>
  <si>
    <t>Broke 50dma</t>
  </si>
  <si>
    <t>B/o did not follow through.  Sold at my cost.</t>
  </si>
  <si>
    <t>UFPT</t>
  </si>
  <si>
    <t>UFP Technologies</t>
  </si>
  <si>
    <t>Bought the test of the 10wma.  First pullback.</t>
  </si>
  <si>
    <t>Took profit.</t>
  </si>
  <si>
    <t>HMY</t>
  </si>
  <si>
    <t>Harmony Gold</t>
  </si>
  <si>
    <t>Agnico-Eagle Mines</t>
  </si>
  <si>
    <t>Bought the b/o.  Vol not impressive, yet.  Watch.</t>
  </si>
  <si>
    <t>AEM</t>
  </si>
  <si>
    <t>ARM</t>
  </si>
  <si>
    <t>Arm Holdings</t>
  </si>
  <si>
    <t>Bought as it bounced off the 50dma.</t>
  </si>
  <si>
    <t>Bad market day.  Took the loss above my stop.</t>
  </si>
  <si>
    <t>CCJ</t>
  </si>
  <si>
    <t>Cameco</t>
  </si>
  <si>
    <t>Breakout rejected same day as I bought.</t>
  </si>
  <si>
    <t>Taking profits.  Broke 21dema and consolidation.</t>
  </si>
  <si>
    <t>Broke 50dma.  Near stop loss.</t>
  </si>
  <si>
    <t>04/12/24 close</t>
  </si>
  <si>
    <t>Bad reaction to earnings.</t>
  </si>
  <si>
    <t>TOST</t>
  </si>
  <si>
    <t>Toast</t>
  </si>
  <si>
    <t>Control acct (Doug's IRA)</t>
  </si>
  <si>
    <t>Today</t>
  </si>
  <si>
    <t>Added Dale this week.</t>
  </si>
  <si>
    <t>SCCO</t>
  </si>
  <si>
    <t>Southern Copper</t>
  </si>
  <si>
    <t>TSM</t>
  </si>
  <si>
    <t>Taiwan Semi</t>
  </si>
  <si>
    <t>Last week's close</t>
  </si>
  <si>
    <t>ERJ</t>
  </si>
  <si>
    <t>Embraer ADR</t>
  </si>
  <si>
    <t>NVDA</t>
  </si>
  <si>
    <t>Nvidia</t>
  </si>
  <si>
    <t>CROX</t>
  </si>
  <si>
    <t>Crocs</t>
  </si>
  <si>
    <t>Broke 50dma and stop loss.</t>
  </si>
  <si>
    <t>IBIT</t>
  </si>
  <si>
    <t>iShares Bitcoin ETF</t>
  </si>
  <si>
    <t>Broke support in heavy vol.</t>
  </si>
  <si>
    <t xml:space="preserve">    -</t>
  </si>
  <si>
    <t>UHS</t>
  </si>
  <si>
    <t>Universal Health</t>
  </si>
  <si>
    <t>ELF</t>
  </si>
  <si>
    <t>e.l.f. Beauty</t>
  </si>
  <si>
    <t>AAPL</t>
  </si>
  <si>
    <t>Apple</t>
  </si>
  <si>
    <t>PLTR</t>
  </si>
  <si>
    <t>Palantir Tech</t>
  </si>
  <si>
    <t>Reduced position size</t>
  </si>
  <si>
    <t>IR</t>
  </si>
  <si>
    <t>Ingersoll Rand</t>
  </si>
  <si>
    <t>Bad reaction to EPS</t>
  </si>
  <si>
    <t>Sold to protect my cost.</t>
  </si>
  <si>
    <t>FIX</t>
  </si>
  <si>
    <t>Comfort Systems</t>
  </si>
  <si>
    <t>ONON</t>
  </si>
  <si>
    <t>TILE</t>
  </si>
  <si>
    <t>On Holding</t>
  </si>
  <si>
    <t>Interface</t>
  </si>
  <si>
    <t>PRCT</t>
  </si>
  <si>
    <t>Procept BioRobotics</t>
  </si>
  <si>
    <t>IBKR</t>
  </si>
  <si>
    <t>Interactive Brokers</t>
  </si>
  <si>
    <t>MSTR</t>
  </si>
  <si>
    <t>Microstrategy</t>
  </si>
  <si>
    <t>HIMS</t>
  </si>
  <si>
    <t>Hims &amp; Hers</t>
  </si>
  <si>
    <t>iShares Bitcoin</t>
  </si>
  <si>
    <t>-</t>
  </si>
  <si>
    <t>APH</t>
  </si>
  <si>
    <t>Amphenol</t>
  </si>
  <si>
    <t>AST Space Mobile</t>
  </si>
  <si>
    <t>ASTS</t>
  </si>
  <si>
    <t>IRA dist 19,695.00</t>
  </si>
  <si>
    <t>AMSC</t>
  </si>
  <si>
    <t>American Semi</t>
  </si>
  <si>
    <t>AXGN</t>
  </si>
  <si>
    <t>Axogen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</si>
</sst>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&quot;$&quot;#,##0.00"/>
    <numFmt numFmtId="166" formatCode="\$#,##0.00_);[Red]&quot;($&quot;#,##0.00\)"/>
    <numFmt numFmtId="167" formatCode="mm/dd/yy"/>
    <numFmt numFmtId="168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/>
    <xf numFmtId="10" fontId="0" fillId="0" borderId="0" xfId="1" applyNumberFormat="1" applyFont="1"/>
    <xf numFmtId="20" fontId="0" fillId="0" borderId="0" xfId="0" applyNumberFormat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16" fontId="6" fillId="0" borderId="0" xfId="0" applyNumberFormat="1" applyFont="1" applyAlignment="1">
      <alignment horizontal="center"/>
    </xf>
    <xf numFmtId="2" fontId="6" fillId="0" borderId="0" xfId="0" applyNumberFormat="1" applyFont="1"/>
    <xf numFmtId="10" fontId="0" fillId="0" borderId="0" xfId="1" applyNumberFormat="1" applyFont="1" applyBorder="1"/>
    <xf numFmtId="0" fontId="6" fillId="0" borderId="0" xfId="0" applyFont="1"/>
    <xf numFmtId="0" fontId="0" fillId="0" borderId="2" xfId="0" applyBorder="1"/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167" fontId="0" fillId="0" borderId="2" xfId="0" applyNumberFormat="1" applyBorder="1"/>
    <xf numFmtId="10" fontId="0" fillId="0" borderId="2" xfId="0" applyNumberFormat="1" applyBorder="1"/>
    <xf numFmtId="2" fontId="0" fillId="0" borderId="2" xfId="0" applyNumberFormat="1" applyBorder="1"/>
    <xf numFmtId="2" fontId="4" fillId="0" borderId="2" xfId="0" applyNumberFormat="1" applyFont="1" applyBorder="1"/>
    <xf numFmtId="10" fontId="0" fillId="0" borderId="2" xfId="1" applyNumberFormat="1" applyFont="1" applyBorder="1"/>
    <xf numFmtId="16" fontId="6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168" fontId="0" fillId="0" borderId="0" xfId="0" applyNumberFormat="1"/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165" fontId="0" fillId="0" borderId="2" xfId="0" applyNumberFormat="1" applyBorder="1" applyAlignment="1">
      <alignment horizontal="center"/>
    </xf>
    <xf numFmtId="16" fontId="0" fillId="0" borderId="0" xfId="0" applyNumberFormat="1"/>
    <xf numFmtId="1" fontId="0" fillId="0" borderId="0" xfId="0" applyNumberFormat="1"/>
    <xf numFmtId="3" fontId="0" fillId="0" borderId="0" xfId="0" applyNumberFormat="1"/>
    <xf numFmtId="16" fontId="2" fillId="0" borderId="0" xfId="0" applyNumberFormat="1" applyFont="1" applyAlignment="1">
      <alignment horizontal="center"/>
    </xf>
    <xf numFmtId="165" fontId="0" fillId="0" borderId="3" xfId="0" applyNumberFormat="1" applyBorder="1"/>
    <xf numFmtId="0" fontId="6" fillId="0" borderId="0" xfId="0" quotePrefix="1" applyFont="1"/>
    <xf numFmtId="0" fontId="0" fillId="0" borderId="2" xfId="0" quotePrefix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quotePrefix="1" applyAlignment="1">
      <alignment horizontal="center"/>
    </xf>
    <xf numFmtId="0" fontId="6" fillId="0" borderId="2" xfId="0" applyFont="1" applyBorder="1"/>
    <xf numFmtId="2" fontId="6" fillId="0" borderId="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F563-B8AF-4095-9AB0-B887FC172FA6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45296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32</v>
      </c>
      <c r="B7" t="s">
        <v>33</v>
      </c>
      <c r="C7" s="26" t="s">
        <v>34</v>
      </c>
      <c r="D7" s="2">
        <f>1211.7123+804.6763</f>
        <v>2016.3885999999998</v>
      </c>
      <c r="E7" s="27">
        <v>21.38</v>
      </c>
      <c r="F7" s="3">
        <f t="shared" ref="F7:F16" si="0">E7*D7</f>
        <v>43110.388267999995</v>
      </c>
      <c r="G7" s="3">
        <f>25318.9+15999</f>
        <v>41317.9</v>
      </c>
      <c r="H7" s="4">
        <f t="shared" ref="H7:H16" si="1">G7/D7</f>
        <v>20.491040268725982</v>
      </c>
      <c r="I7" s="3">
        <f t="shared" ref="I7:I16" si="2">F7-G7</f>
        <v>1792.4882679999937</v>
      </c>
      <c r="J7" s="27">
        <f t="shared" ref="J7:J16" si="3">E7-H7</f>
        <v>0.88895973127401717</v>
      </c>
      <c r="K7" s="28">
        <v>45135</v>
      </c>
      <c r="L7">
        <f t="shared" ref="L7:L13" si="4">DAYS360(K7,$C$1)</f>
        <v>157</v>
      </c>
      <c r="M7" s="5">
        <f t="shared" ref="M7:M16" si="5">(I7/G7)</f>
        <v>4.3382850241662663E-2</v>
      </c>
      <c r="N7">
        <v>163</v>
      </c>
      <c r="O7">
        <v>84</v>
      </c>
      <c r="P7">
        <v>98</v>
      </c>
      <c r="Q7" s="29">
        <v>19.48</v>
      </c>
      <c r="R7" s="30">
        <f t="shared" ref="R7:R16" si="6">Q7*0.93</f>
        <v>18.116400000000002</v>
      </c>
      <c r="S7" s="30">
        <v>18.27</v>
      </c>
      <c r="T7" s="32">
        <f t="shared" ref="T7:T16" si="7">Q7*1.25</f>
        <v>24.35</v>
      </c>
      <c r="U7" s="29">
        <f t="shared" ref="U7:U16" si="8">Q7*1.5</f>
        <v>29.22</v>
      </c>
      <c r="V7" s="29">
        <f t="shared" ref="V7:V16" si="9">Q7*2</f>
        <v>38.96</v>
      </c>
      <c r="W7" s="29">
        <f t="shared" ref="W7:W16" si="10">H7-(H7*0.07)</f>
        <v>19.056667449915164</v>
      </c>
      <c r="X7" s="30">
        <v>26</v>
      </c>
      <c r="Y7" s="5">
        <f t="shared" ref="Y7:Y16" si="11">(X7-H7)/H7</f>
        <v>0.26884724538275157</v>
      </c>
      <c r="Z7" s="33">
        <f t="shared" ref="Z7:Z16" si="12">F7/F$19</f>
        <v>9.216422230827219E-2</v>
      </c>
      <c r="AA7" s="9"/>
      <c r="AB7" s="31">
        <v>45350</v>
      </c>
      <c r="AC7" s="9">
        <v>90</v>
      </c>
      <c r="AD7" t="s">
        <v>35</v>
      </c>
    </row>
    <row r="8" spans="1:31" x14ac:dyDescent="0.25">
      <c r="A8" t="s">
        <v>36</v>
      </c>
      <c r="B8" t="s">
        <v>33</v>
      </c>
      <c r="C8" s="26" t="s">
        <v>37</v>
      </c>
      <c r="D8" s="2">
        <v>1166.9349999999999</v>
      </c>
      <c r="E8" s="27">
        <v>33.950000000000003</v>
      </c>
      <c r="F8" s="3">
        <f t="shared" si="0"/>
        <v>39617.443250000004</v>
      </c>
      <c r="G8" s="3">
        <v>40941.919999999998</v>
      </c>
      <c r="H8" s="4">
        <f t="shared" si="1"/>
        <v>35.085004734625322</v>
      </c>
      <c r="I8" s="3">
        <f t="shared" si="2"/>
        <v>-1324.4767499999944</v>
      </c>
      <c r="J8" s="27">
        <f t="shared" si="3"/>
        <v>-1.1350047346253191</v>
      </c>
      <c r="K8" s="28">
        <v>45233</v>
      </c>
      <c r="L8">
        <f t="shared" si="4"/>
        <v>62</v>
      </c>
      <c r="M8" s="5">
        <f t="shared" si="5"/>
        <v>-3.2350137707269085E-2</v>
      </c>
      <c r="N8">
        <v>69</v>
      </c>
      <c r="O8">
        <v>71</v>
      </c>
      <c r="P8" s="34">
        <v>69</v>
      </c>
      <c r="Q8" s="29">
        <v>34.200000000000003</v>
      </c>
      <c r="R8" s="30">
        <f t="shared" si="6"/>
        <v>31.806000000000004</v>
      </c>
      <c r="S8" s="30">
        <v>32.69</v>
      </c>
      <c r="T8" s="32">
        <f t="shared" si="7"/>
        <v>42.75</v>
      </c>
      <c r="U8" s="29">
        <f t="shared" si="8"/>
        <v>51.300000000000004</v>
      </c>
      <c r="V8" s="29">
        <f t="shared" si="9"/>
        <v>68.400000000000006</v>
      </c>
      <c r="W8" s="29">
        <f t="shared" si="10"/>
        <v>32.62905440320155</v>
      </c>
      <c r="X8" s="30">
        <v>32.75</v>
      </c>
      <c r="Y8" s="5">
        <f t="shared" si="11"/>
        <v>-6.655278379714484E-2</v>
      </c>
      <c r="Z8" s="6">
        <f t="shared" si="12"/>
        <v>8.4696774807028474E-2</v>
      </c>
      <c r="AB8" s="31">
        <v>45343</v>
      </c>
      <c r="AC8" s="9">
        <v>80</v>
      </c>
      <c r="AD8" t="s">
        <v>38</v>
      </c>
    </row>
    <row r="9" spans="1:31" x14ac:dyDescent="0.25">
      <c r="A9" t="s">
        <v>39</v>
      </c>
      <c r="B9" t="s">
        <v>33</v>
      </c>
      <c r="C9" s="26" t="s">
        <v>40</v>
      </c>
      <c r="D9" s="2">
        <v>267.84309999999999</v>
      </c>
      <c r="E9" s="27">
        <v>244.21</v>
      </c>
      <c r="F9" s="3">
        <f t="shared" si="0"/>
        <v>65409.963451000003</v>
      </c>
      <c r="G9" s="3">
        <v>61166.239999999998</v>
      </c>
      <c r="H9" s="4">
        <f t="shared" si="1"/>
        <v>228.36593513142583</v>
      </c>
      <c r="I9" s="3">
        <f t="shared" si="2"/>
        <v>4243.7234510000053</v>
      </c>
      <c r="J9" s="27">
        <f t="shared" si="3"/>
        <v>15.844064868574179</v>
      </c>
      <c r="K9" s="28">
        <v>45238</v>
      </c>
      <c r="L9">
        <f t="shared" si="4"/>
        <v>57</v>
      </c>
      <c r="M9" s="5">
        <f t="shared" si="5"/>
        <v>6.9380158907920542E-2</v>
      </c>
      <c r="N9">
        <v>33</v>
      </c>
      <c r="O9">
        <v>88</v>
      </c>
      <c r="P9">
        <v>99</v>
      </c>
      <c r="Q9" s="29">
        <v>223.3</v>
      </c>
      <c r="R9" s="30">
        <f t="shared" si="6"/>
        <v>207.66900000000001</v>
      </c>
      <c r="S9" s="30">
        <v>224.28</v>
      </c>
      <c r="T9" s="29">
        <f t="shared" si="7"/>
        <v>279.125</v>
      </c>
      <c r="U9" s="29">
        <f t="shared" si="8"/>
        <v>334.95000000000005</v>
      </c>
      <c r="V9" s="29">
        <f t="shared" si="9"/>
        <v>446.6</v>
      </c>
      <c r="W9" s="29">
        <f t="shared" si="10"/>
        <v>212.38031967222602</v>
      </c>
      <c r="X9" s="30">
        <v>234</v>
      </c>
      <c r="Y9" s="5">
        <f t="shared" si="11"/>
        <v>2.4671214055335077E-2</v>
      </c>
      <c r="Z9" s="6">
        <f t="shared" si="12"/>
        <v>0.13983772020788618</v>
      </c>
      <c r="AB9" s="31">
        <v>45349</v>
      </c>
      <c r="AC9" s="9">
        <v>99</v>
      </c>
      <c r="AD9" t="s">
        <v>41</v>
      </c>
    </row>
    <row r="10" spans="1:31" x14ac:dyDescent="0.25">
      <c r="A10" t="s">
        <v>42</v>
      </c>
      <c r="B10" t="s">
        <v>33</v>
      </c>
      <c r="C10" s="26" t="s">
        <v>43</v>
      </c>
      <c r="D10" s="2">
        <f>1160.2602+1046.0778</f>
        <v>2206.3379999999997</v>
      </c>
      <c r="E10" s="27">
        <v>19.59</v>
      </c>
      <c r="F10" s="3">
        <f t="shared" si="0"/>
        <v>43222.161419999997</v>
      </c>
      <c r="G10" s="3">
        <f>20288.83+19170.47</f>
        <v>39459.300000000003</v>
      </c>
      <c r="H10" s="4">
        <f t="shared" si="1"/>
        <v>17.884521773182534</v>
      </c>
      <c r="I10" s="3">
        <f t="shared" si="2"/>
        <v>3762.8614199999938</v>
      </c>
      <c r="J10" s="27">
        <f t="shared" si="3"/>
        <v>1.7054782268174655</v>
      </c>
      <c r="K10" s="28">
        <v>45243</v>
      </c>
      <c r="L10">
        <f t="shared" si="4"/>
        <v>52</v>
      </c>
      <c r="M10" s="5">
        <f t="shared" si="5"/>
        <v>9.5360572032448465E-2</v>
      </c>
      <c r="N10">
        <v>44</v>
      </c>
      <c r="O10">
        <v>93</v>
      </c>
      <c r="P10" s="34">
        <v>73</v>
      </c>
      <c r="Q10" s="29">
        <v>17.32</v>
      </c>
      <c r="R10" s="30">
        <f t="shared" si="6"/>
        <v>16.107600000000001</v>
      </c>
      <c r="S10" s="30">
        <v>18.05</v>
      </c>
      <c r="T10" s="32">
        <f t="shared" si="7"/>
        <v>21.65</v>
      </c>
      <c r="U10" s="29">
        <f t="shared" si="8"/>
        <v>25.98</v>
      </c>
      <c r="V10" s="29">
        <f t="shared" si="9"/>
        <v>34.64</v>
      </c>
      <c r="W10" s="29">
        <f t="shared" si="10"/>
        <v>16.632605249059758</v>
      </c>
      <c r="X10" s="30">
        <v>18</v>
      </c>
      <c r="Y10" s="5">
        <f t="shared" si="11"/>
        <v>6.4568808873952024E-3</v>
      </c>
      <c r="Z10" s="6">
        <f t="shared" si="12"/>
        <v>9.2403178301082647E-2</v>
      </c>
      <c r="AB10" s="31">
        <v>45350</v>
      </c>
      <c r="AC10" s="9">
        <v>86</v>
      </c>
      <c r="AD10" t="s">
        <v>44</v>
      </c>
    </row>
    <row r="11" spans="1:31" x14ac:dyDescent="0.25">
      <c r="A11" t="s">
        <v>45</v>
      </c>
      <c r="B11" t="s">
        <v>33</v>
      </c>
      <c r="C11" s="26" t="s">
        <v>46</v>
      </c>
      <c r="D11" s="2">
        <v>308.2955</v>
      </c>
      <c r="E11" s="27">
        <v>115.99</v>
      </c>
      <c r="F11" s="3">
        <f t="shared" si="0"/>
        <v>35759.195045</v>
      </c>
      <c r="G11" s="3">
        <v>38082.35</v>
      </c>
      <c r="H11" s="4">
        <f t="shared" si="1"/>
        <v>123.52548123472447</v>
      </c>
      <c r="I11" s="3">
        <f t="shared" si="2"/>
        <v>-2323.1549549999982</v>
      </c>
      <c r="J11" s="27">
        <f t="shared" si="3"/>
        <v>-7.5354812347244717</v>
      </c>
      <c r="K11" s="28">
        <v>45286</v>
      </c>
      <c r="L11">
        <f t="shared" si="4"/>
        <v>9</v>
      </c>
      <c r="M11" s="5">
        <f t="shared" si="5"/>
        <v>-6.1003455800390426E-2</v>
      </c>
      <c r="N11">
        <v>44</v>
      </c>
      <c r="O11">
        <v>94</v>
      </c>
      <c r="P11">
        <v>99</v>
      </c>
      <c r="Q11" s="29">
        <v>120.26</v>
      </c>
      <c r="R11" s="30">
        <f t="shared" si="6"/>
        <v>111.84180000000001</v>
      </c>
      <c r="S11" s="30">
        <v>110.7</v>
      </c>
      <c r="T11" s="32">
        <f t="shared" si="7"/>
        <v>150.32500000000002</v>
      </c>
      <c r="U11" s="29">
        <f t="shared" si="8"/>
        <v>180.39000000000001</v>
      </c>
      <c r="V11" s="29">
        <f t="shared" si="9"/>
        <v>240.52</v>
      </c>
      <c r="W11" s="29">
        <f t="shared" si="10"/>
        <v>114.87869754829376</v>
      </c>
      <c r="X11" s="30">
        <v>116</v>
      </c>
      <c r="Y11" s="5">
        <f t="shared" si="11"/>
        <v>-6.0922500843566561E-2</v>
      </c>
      <c r="Z11" s="6">
        <f t="shared" si="12"/>
        <v>7.6448358135957517E-2</v>
      </c>
      <c r="AB11" s="31">
        <v>45337</v>
      </c>
      <c r="AC11" s="9">
        <v>99</v>
      </c>
      <c r="AD11" t="s">
        <v>47</v>
      </c>
    </row>
    <row r="12" spans="1:31" x14ac:dyDescent="0.25">
      <c r="A12" t="s">
        <v>48</v>
      </c>
      <c r="B12" t="s">
        <v>33</v>
      </c>
      <c r="C12" s="26" t="s">
        <v>49</v>
      </c>
      <c r="D12" s="2">
        <v>808.57299999999998</v>
      </c>
      <c r="E12" s="27">
        <v>44.97</v>
      </c>
      <c r="F12" s="3">
        <f t="shared" si="0"/>
        <v>36361.52781</v>
      </c>
      <c r="G12" s="3">
        <v>38349.050000000003</v>
      </c>
      <c r="H12" s="4">
        <f t="shared" si="1"/>
        <v>47.428061535569462</v>
      </c>
      <c r="I12" s="3">
        <f t="shared" si="2"/>
        <v>-1987.5221900000033</v>
      </c>
      <c r="J12" s="27">
        <f t="shared" si="3"/>
        <v>-2.4580615355694633</v>
      </c>
      <c r="K12" s="28">
        <v>45288</v>
      </c>
      <c r="L12">
        <f t="shared" si="4"/>
        <v>7</v>
      </c>
      <c r="M12" s="5">
        <f t="shared" si="5"/>
        <v>-5.1827155822634544E-2</v>
      </c>
      <c r="N12">
        <v>61</v>
      </c>
      <c r="O12">
        <v>89</v>
      </c>
      <c r="P12">
        <v>83</v>
      </c>
      <c r="Q12" s="29">
        <v>47</v>
      </c>
      <c r="R12" s="30">
        <f t="shared" si="6"/>
        <v>43.71</v>
      </c>
      <c r="S12" s="30">
        <v>42.57</v>
      </c>
      <c r="T12" s="29">
        <f t="shared" si="7"/>
        <v>58.75</v>
      </c>
      <c r="U12" s="29">
        <f t="shared" si="8"/>
        <v>70.5</v>
      </c>
      <c r="V12" s="29">
        <f t="shared" si="9"/>
        <v>94</v>
      </c>
      <c r="W12" s="29">
        <f t="shared" si="10"/>
        <v>44.1080972280796</v>
      </c>
      <c r="X12" s="30">
        <v>45.75</v>
      </c>
      <c r="Y12" s="5">
        <f t="shared" si="11"/>
        <v>-3.5381195883600933E-2</v>
      </c>
      <c r="Z12" s="6">
        <f t="shared" si="12"/>
        <v>7.7736064721013326E-2</v>
      </c>
      <c r="AB12" s="31">
        <v>45330</v>
      </c>
      <c r="AC12" s="9">
        <v>96</v>
      </c>
      <c r="AD12" t="s">
        <v>50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44645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A14" s="26" t="s">
        <v>51</v>
      </c>
      <c r="B14" s="26" t="s">
        <v>33</v>
      </c>
      <c r="C14" s="26" t="s">
        <v>52</v>
      </c>
      <c r="D14" s="2">
        <f>2223.78-868.0181</f>
        <v>1355.7619000000002</v>
      </c>
      <c r="E14" s="27">
        <v>91.47</v>
      </c>
      <c r="F14" s="3">
        <f t="shared" si="0"/>
        <v>124011.54099300002</v>
      </c>
      <c r="G14" s="3">
        <f>203698.25-79510.46</f>
        <v>124187.79</v>
      </c>
      <c r="H14" s="4">
        <f t="shared" si="1"/>
        <v>91.59999997049627</v>
      </c>
      <c r="I14" s="3">
        <f t="shared" si="2"/>
        <v>-176.2490069999767</v>
      </c>
      <c r="J14" s="27">
        <f t="shared" si="3"/>
        <v>-0.12999997049627154</v>
      </c>
      <c r="K14" s="28"/>
      <c r="M14" s="5">
        <f t="shared" si="5"/>
        <v>-1.4192136521632014E-3</v>
      </c>
      <c r="Q14" s="29"/>
      <c r="R14" s="30">
        <f t="shared" si="6"/>
        <v>0</v>
      </c>
      <c r="S14" s="30"/>
      <c r="T14" s="32">
        <f t="shared" si="7"/>
        <v>0</v>
      </c>
      <c r="U14" s="32">
        <f t="shared" si="8"/>
        <v>0</v>
      </c>
      <c r="V14" s="29">
        <f t="shared" si="9"/>
        <v>0</v>
      </c>
      <c r="W14" s="29">
        <f t="shared" si="10"/>
        <v>85.187999972561528</v>
      </c>
      <c r="X14" s="30"/>
      <c r="Y14" s="5">
        <f t="shared" si="11"/>
        <v>-1</v>
      </c>
      <c r="Z14" s="6">
        <f t="shared" si="12"/>
        <v>0.26512002540589746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/>
      <c r="B16" s="35"/>
      <c r="C16" s="35"/>
      <c r="D16" s="36"/>
      <c r="E16" s="37"/>
      <c r="F16" s="38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ref="L16" si="13">DAYS360(K16,$C$1)</f>
        <v>44645</v>
      </c>
      <c r="M16" s="41" t="e">
        <f t="shared" si="5"/>
        <v>#DIV/0!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B16" s="45"/>
      <c r="AC16" s="9"/>
    </row>
    <row r="17" spans="1:26" x14ac:dyDescent="0.25">
      <c r="A17" t="s">
        <v>53</v>
      </c>
      <c r="F17" s="3">
        <f>SUM(F6:F16)</f>
        <v>387492.22023700003</v>
      </c>
      <c r="G17" s="3">
        <f>SUM(G6:G16)</f>
        <v>383504.55</v>
      </c>
      <c r="H17" s="4"/>
      <c r="I17" s="3">
        <f>SUM(I6:I16)</f>
        <v>3987.6702370000203</v>
      </c>
      <c r="M17" s="5"/>
      <c r="Z17" s="6"/>
    </row>
    <row r="18" spans="1:26" x14ac:dyDescent="0.25">
      <c r="D18" s="2" t="s">
        <v>54</v>
      </c>
      <c r="F18" s="3">
        <v>80264</v>
      </c>
      <c r="G18" s="6">
        <f>F18/F19</f>
        <v>0.17159365611286218</v>
      </c>
      <c r="H18" s="4"/>
      <c r="M18" s="5"/>
      <c r="Z18" s="6"/>
    </row>
    <row r="19" spans="1:26" x14ac:dyDescent="0.25">
      <c r="D19" s="2" t="s">
        <v>55</v>
      </c>
      <c r="F19" s="3">
        <f>SUM(F17:F18)</f>
        <v>467756.22023700003</v>
      </c>
      <c r="H19" s="46"/>
      <c r="M19" s="5"/>
      <c r="Z19" s="6"/>
    </row>
    <row r="20" spans="1:26" x14ac:dyDescent="0.25">
      <c r="F20" s="4"/>
      <c r="H20" s="46" t="s">
        <v>56</v>
      </c>
      <c r="I20" s="47">
        <v>476160.6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-1.7650304882428212E-2</v>
      </c>
      <c r="K21" s="9" t="s">
        <v>58</v>
      </c>
      <c r="L21" s="6">
        <f>(F19-L20)/L20</f>
        <v>-1.7650304882428212E-2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J25" s="5"/>
    </row>
    <row r="26" spans="1:26" x14ac:dyDescent="0.25">
      <c r="C26" s="26"/>
      <c r="E26" s="3"/>
      <c r="J26" s="5"/>
      <c r="K26" s="53"/>
      <c r="L26" s="53"/>
    </row>
    <row r="27" spans="1:26" x14ac:dyDescent="0.25">
      <c r="C27" s="26"/>
      <c r="E27" s="3"/>
      <c r="J27" s="5"/>
      <c r="K27" s="53"/>
      <c r="L27" s="53"/>
    </row>
    <row r="28" spans="1:26" x14ac:dyDescent="0.25">
      <c r="C28" s="26"/>
      <c r="E28" s="3"/>
      <c r="J28" s="5"/>
      <c r="K28" s="53"/>
      <c r="L28" s="53"/>
    </row>
    <row r="29" spans="1:26" x14ac:dyDescent="0.25">
      <c r="C29" s="26"/>
      <c r="E29" s="3"/>
      <c r="J29" s="5"/>
      <c r="K29" s="53"/>
      <c r="L29" s="53"/>
    </row>
    <row r="30" spans="1:26" x14ac:dyDescent="0.25">
      <c r="C30" s="26"/>
      <c r="E30" s="3"/>
      <c r="J30" s="5"/>
      <c r="K30" s="53"/>
      <c r="L30" s="53"/>
      <c r="M30" s="54"/>
    </row>
    <row r="31" spans="1:26" x14ac:dyDescent="0.25">
      <c r="C31" s="26"/>
      <c r="E31" s="3"/>
      <c r="J31" s="5"/>
      <c r="K31" s="53"/>
      <c r="L31" s="53"/>
      <c r="M31" s="54"/>
    </row>
    <row r="32" spans="1:26" x14ac:dyDescent="0.25">
      <c r="C32" s="26"/>
      <c r="E32" s="3"/>
      <c r="J32" s="5"/>
      <c r="K32" s="53"/>
      <c r="L32" s="53"/>
      <c r="M32" s="54"/>
    </row>
    <row r="33" spans="3:13" x14ac:dyDescent="0.25">
      <c r="C33" s="26"/>
      <c r="E33" s="3"/>
      <c r="J33" s="5"/>
      <c r="K33" s="53"/>
      <c r="L33" s="53"/>
      <c r="M33" s="54"/>
    </row>
    <row r="34" spans="3:13" x14ac:dyDescent="0.25">
      <c r="C34" s="26"/>
      <c r="E34" s="3"/>
      <c r="J34" s="5"/>
      <c r="K34" s="53"/>
      <c r="L34" s="53"/>
      <c r="M34" s="54"/>
    </row>
    <row r="35" spans="3:13" x14ac:dyDescent="0.25">
      <c r="C35" s="26"/>
      <c r="E35" s="3"/>
      <c r="J35" s="5"/>
      <c r="K35" s="53"/>
      <c r="L35" s="53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0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0EA4-E624-4E71-A92D-D1FC215CA6D4}">
  <dimension ref="A1:AE194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45303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32</v>
      </c>
      <c r="B7" t="s">
        <v>33</v>
      </c>
      <c r="C7" s="26" t="s">
        <v>34</v>
      </c>
      <c r="D7" s="2">
        <f>1211.7123+804.6763</f>
        <v>2016.3885999999998</v>
      </c>
      <c r="E7" s="27">
        <v>22.49</v>
      </c>
      <c r="F7" s="3">
        <f t="shared" ref="F7:F16" si="0">E7*D7</f>
        <v>45348.579613999995</v>
      </c>
      <c r="G7" s="3">
        <f>25318.9+15999</f>
        <v>41317.9</v>
      </c>
      <c r="H7" s="4">
        <f t="shared" ref="H7:H16" si="1">G7/D7</f>
        <v>20.491040268725982</v>
      </c>
      <c r="I7" s="3">
        <f t="shared" ref="I7:I16" si="2">F7-G7</f>
        <v>4030.6796139999933</v>
      </c>
      <c r="J7" s="27">
        <f t="shared" ref="J7:J16" si="3">E7-H7</f>
        <v>1.9989597312740166</v>
      </c>
      <c r="K7" s="28">
        <v>45135</v>
      </c>
      <c r="L7">
        <f t="shared" ref="L7:L13" si="4">DAYS360(K7,$C$1)</f>
        <v>164</v>
      </c>
      <c r="M7" s="5">
        <f t="shared" ref="M7:M16" si="5">(I7/G7)</f>
        <v>9.7552867256080131E-2</v>
      </c>
      <c r="N7">
        <v>178</v>
      </c>
      <c r="O7">
        <v>83</v>
      </c>
      <c r="P7">
        <v>98</v>
      </c>
      <c r="Q7" s="29">
        <v>19.48</v>
      </c>
      <c r="R7" s="30">
        <f t="shared" ref="R7:R16" si="6">Q7*0.93</f>
        <v>18.116400000000002</v>
      </c>
      <c r="S7" s="30">
        <v>18.27</v>
      </c>
      <c r="T7" s="32">
        <f t="shared" ref="T7:T16" si="7">Q7*1.25</f>
        <v>24.35</v>
      </c>
      <c r="U7" s="29">
        <f t="shared" ref="U7:U16" si="8">Q7*1.5</f>
        <v>29.22</v>
      </c>
      <c r="V7" s="29">
        <f t="shared" ref="V7:V16" si="9">Q7*2</f>
        <v>38.96</v>
      </c>
      <c r="W7" s="29">
        <f t="shared" ref="W7:W16" si="10">H7-(H7*0.07)</f>
        <v>19.056667449915164</v>
      </c>
      <c r="X7" s="30">
        <v>26</v>
      </c>
      <c r="Y7" s="5">
        <f t="shared" ref="Y7:Y16" si="11">(X7-H7)/H7</f>
        <v>0.26884724538275157</v>
      </c>
      <c r="Z7" s="33">
        <f t="shared" ref="Z7:Z16" si="12">F7/F$19</f>
        <v>9.5391952291571339E-2</v>
      </c>
      <c r="AA7" s="9"/>
      <c r="AB7" s="31">
        <v>45350</v>
      </c>
      <c r="AC7" s="9">
        <v>89</v>
      </c>
      <c r="AD7" t="s">
        <v>35</v>
      </c>
    </row>
    <row r="8" spans="1:31" x14ac:dyDescent="0.25">
      <c r="A8" t="s">
        <v>36</v>
      </c>
      <c r="B8" t="s">
        <v>33</v>
      </c>
      <c r="C8" s="26" t="s">
        <v>37</v>
      </c>
      <c r="D8" s="2">
        <v>1166.9349999999999</v>
      </c>
      <c r="E8" s="27">
        <v>32.31</v>
      </c>
      <c r="F8" s="3">
        <f t="shared" si="0"/>
        <v>37703.669849999998</v>
      </c>
      <c r="G8" s="3">
        <v>40941.919999999998</v>
      </c>
      <c r="H8" s="4">
        <f t="shared" si="1"/>
        <v>35.085004734625322</v>
      </c>
      <c r="I8" s="3">
        <f t="shared" si="2"/>
        <v>-3238.2501499999998</v>
      </c>
      <c r="J8" s="27">
        <f t="shared" si="3"/>
        <v>-2.7750047346253197</v>
      </c>
      <c r="K8" s="28">
        <v>45233</v>
      </c>
      <c r="L8">
        <f t="shared" si="4"/>
        <v>69</v>
      </c>
      <c r="M8" s="5">
        <f t="shared" si="5"/>
        <v>-7.9093754030099217E-2</v>
      </c>
      <c r="N8">
        <v>111</v>
      </c>
      <c r="O8">
        <v>35</v>
      </c>
      <c r="P8" s="34">
        <v>69</v>
      </c>
      <c r="Q8" s="29">
        <v>34.200000000000003</v>
      </c>
      <c r="R8" s="30">
        <f t="shared" si="6"/>
        <v>31.806000000000004</v>
      </c>
      <c r="S8" s="30">
        <v>32.69</v>
      </c>
      <c r="T8" s="32">
        <f t="shared" si="7"/>
        <v>42.75</v>
      </c>
      <c r="U8" s="29">
        <f t="shared" si="8"/>
        <v>51.300000000000004</v>
      </c>
      <c r="V8" s="29">
        <f t="shared" si="9"/>
        <v>68.400000000000006</v>
      </c>
      <c r="W8" s="29">
        <f t="shared" si="10"/>
        <v>32.62905440320155</v>
      </c>
      <c r="X8" s="30">
        <v>32.75</v>
      </c>
      <c r="Y8" s="5">
        <f t="shared" si="11"/>
        <v>-6.655278379714484E-2</v>
      </c>
      <c r="Z8" s="6">
        <f t="shared" si="12"/>
        <v>7.9310679764664729E-2</v>
      </c>
      <c r="AB8" s="31">
        <v>45343</v>
      </c>
      <c r="AC8" s="9">
        <v>58</v>
      </c>
      <c r="AD8" t="s">
        <v>38</v>
      </c>
    </row>
    <row r="9" spans="1:31" x14ac:dyDescent="0.25">
      <c r="A9" t="s">
        <v>39</v>
      </c>
      <c r="B9" t="s">
        <v>33</v>
      </c>
      <c r="C9" s="26" t="s">
        <v>40</v>
      </c>
      <c r="D9" s="2">
        <v>267.84309999999999</v>
      </c>
      <c r="E9" s="27">
        <v>250.69</v>
      </c>
      <c r="F9" s="3">
        <f t="shared" si="0"/>
        <v>67145.586738999991</v>
      </c>
      <c r="G9" s="3">
        <v>61166.239999999998</v>
      </c>
      <c r="H9" s="4">
        <f t="shared" si="1"/>
        <v>228.36593513142583</v>
      </c>
      <c r="I9" s="3">
        <f t="shared" si="2"/>
        <v>5979.3467389999932</v>
      </c>
      <c r="J9" s="27">
        <f t="shared" si="3"/>
        <v>22.324064868574169</v>
      </c>
      <c r="K9" s="28">
        <v>45238</v>
      </c>
      <c r="L9">
        <f t="shared" si="4"/>
        <v>64</v>
      </c>
      <c r="M9" s="5">
        <f t="shared" si="5"/>
        <v>9.7755669450991164E-2</v>
      </c>
      <c r="N9">
        <v>29</v>
      </c>
      <c r="O9">
        <v>87</v>
      </c>
      <c r="P9">
        <v>99</v>
      </c>
      <c r="Q9" s="29">
        <v>223.3</v>
      </c>
      <c r="R9" s="30">
        <f t="shared" si="6"/>
        <v>207.66900000000001</v>
      </c>
      <c r="S9" s="30">
        <v>224.28</v>
      </c>
      <c r="T9" s="29">
        <f t="shared" si="7"/>
        <v>279.125</v>
      </c>
      <c r="U9" s="29">
        <f t="shared" si="8"/>
        <v>334.95000000000005</v>
      </c>
      <c r="V9" s="29">
        <f t="shared" si="9"/>
        <v>446.6</v>
      </c>
      <c r="W9" s="29">
        <f t="shared" si="10"/>
        <v>212.38031967222602</v>
      </c>
      <c r="X9" s="30">
        <v>234</v>
      </c>
      <c r="Y9" s="5">
        <f t="shared" si="11"/>
        <v>2.4671214055335077E-2</v>
      </c>
      <c r="Z9" s="6">
        <f t="shared" si="12"/>
        <v>0.14124254080978663</v>
      </c>
      <c r="AB9" s="31">
        <v>45349</v>
      </c>
      <c r="AC9" s="9">
        <v>99</v>
      </c>
      <c r="AD9" t="s">
        <v>41</v>
      </c>
    </row>
    <row r="10" spans="1:31" x14ac:dyDescent="0.25">
      <c r="A10" t="s">
        <v>42</v>
      </c>
      <c r="B10" t="s">
        <v>33</v>
      </c>
      <c r="C10" s="26" t="s">
        <v>43</v>
      </c>
      <c r="D10" s="2">
        <f>1160.2602+1046.0778</f>
        <v>2206.3379999999997</v>
      </c>
      <c r="E10" s="27">
        <v>21.08</v>
      </c>
      <c r="F10" s="3">
        <f t="shared" si="0"/>
        <v>46509.605039999988</v>
      </c>
      <c r="G10" s="3">
        <f>20288.83+19170.47</f>
        <v>39459.300000000003</v>
      </c>
      <c r="H10" s="4">
        <f t="shared" si="1"/>
        <v>17.884521773182534</v>
      </c>
      <c r="I10" s="3">
        <f t="shared" si="2"/>
        <v>7050.3050399999847</v>
      </c>
      <c r="J10" s="27">
        <f t="shared" si="3"/>
        <v>3.195478226817464</v>
      </c>
      <c r="K10" s="28">
        <v>45243</v>
      </c>
      <c r="L10">
        <f t="shared" si="4"/>
        <v>59</v>
      </c>
      <c r="M10" s="5">
        <f t="shared" si="5"/>
        <v>0.17867283606146039</v>
      </c>
      <c r="N10">
        <v>34</v>
      </c>
      <c r="O10">
        <v>93</v>
      </c>
      <c r="P10" s="34">
        <v>73</v>
      </c>
      <c r="Q10" s="29">
        <v>17.32</v>
      </c>
      <c r="R10" s="30">
        <f t="shared" si="6"/>
        <v>16.107600000000001</v>
      </c>
      <c r="S10" s="30">
        <v>18.05</v>
      </c>
      <c r="T10" s="32">
        <f t="shared" si="7"/>
        <v>21.65</v>
      </c>
      <c r="U10" s="29">
        <f t="shared" si="8"/>
        <v>25.98</v>
      </c>
      <c r="V10" s="29">
        <f t="shared" si="9"/>
        <v>34.64</v>
      </c>
      <c r="W10" s="29">
        <f t="shared" si="10"/>
        <v>16.632605249059758</v>
      </c>
      <c r="X10" s="30">
        <v>18</v>
      </c>
      <c r="Y10" s="5">
        <f t="shared" si="11"/>
        <v>6.4568808873952024E-3</v>
      </c>
      <c r="Z10" s="6">
        <f t="shared" si="12"/>
        <v>9.7834200383771816E-2</v>
      </c>
      <c r="AB10" s="31">
        <v>45328</v>
      </c>
      <c r="AC10" s="9">
        <v>90</v>
      </c>
      <c r="AD10" t="s">
        <v>44</v>
      </c>
    </row>
    <row r="11" spans="1:31" x14ac:dyDescent="0.25">
      <c r="A11" t="s">
        <v>45</v>
      </c>
      <c r="B11" t="s">
        <v>33</v>
      </c>
      <c r="C11" s="26" t="s">
        <v>46</v>
      </c>
      <c r="D11" s="2">
        <v>308.2955</v>
      </c>
      <c r="E11" s="27">
        <v>123</v>
      </c>
      <c r="F11" s="3">
        <f t="shared" si="0"/>
        <v>37920.3465</v>
      </c>
      <c r="G11" s="3">
        <v>38082.35</v>
      </c>
      <c r="H11" s="4">
        <f t="shared" si="1"/>
        <v>123.52548123472447</v>
      </c>
      <c r="I11" s="3">
        <f t="shared" si="2"/>
        <v>-162.00349999999889</v>
      </c>
      <c r="J11" s="27">
        <f t="shared" si="3"/>
        <v>-0.52548123472446662</v>
      </c>
      <c r="K11" s="28">
        <v>45286</v>
      </c>
      <c r="L11">
        <f t="shared" si="4"/>
        <v>16</v>
      </c>
      <c r="M11" s="5">
        <f t="shared" si="5"/>
        <v>-4.2540310668852865E-3</v>
      </c>
      <c r="N11">
        <v>34</v>
      </c>
      <c r="O11">
        <v>95</v>
      </c>
      <c r="P11">
        <v>99</v>
      </c>
      <c r="Q11" s="29">
        <v>120.26</v>
      </c>
      <c r="R11" s="30">
        <f t="shared" si="6"/>
        <v>111.84180000000001</v>
      </c>
      <c r="S11" s="30">
        <v>110.7</v>
      </c>
      <c r="T11" s="32">
        <f t="shared" si="7"/>
        <v>150.32500000000002</v>
      </c>
      <c r="U11" s="29">
        <f t="shared" si="8"/>
        <v>180.39000000000001</v>
      </c>
      <c r="V11" s="29">
        <f t="shared" si="9"/>
        <v>240.52</v>
      </c>
      <c r="W11" s="29">
        <f t="shared" si="10"/>
        <v>114.87869754829376</v>
      </c>
      <c r="X11" s="30">
        <v>116</v>
      </c>
      <c r="Y11" s="5">
        <f t="shared" si="11"/>
        <v>-6.0922500843566561E-2</v>
      </c>
      <c r="Z11" s="6">
        <f t="shared" si="12"/>
        <v>7.9766464903591475E-2</v>
      </c>
      <c r="AB11" s="31">
        <v>45337</v>
      </c>
      <c r="AC11" s="9">
        <v>99</v>
      </c>
      <c r="AD11" t="s">
        <v>47</v>
      </c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44652</v>
      </c>
      <c r="M12" s="5" t="e">
        <f t="shared" si="5"/>
        <v>#DIV/0!</v>
      </c>
      <c r="Q12" s="29"/>
      <c r="R12" s="30">
        <f t="shared" si="6"/>
        <v>0</v>
      </c>
      <c r="S12" s="30"/>
      <c r="T12" s="29">
        <f t="shared" si="7"/>
        <v>0</v>
      </c>
      <c r="U12" s="29">
        <f t="shared" si="8"/>
        <v>0</v>
      </c>
      <c r="V12" s="29">
        <f t="shared" si="9"/>
        <v>0</v>
      </c>
      <c r="W12" s="29" t="e">
        <f t="shared" si="10"/>
        <v>#DIV/0!</v>
      </c>
      <c r="X12" s="30"/>
      <c r="Y12" s="5" t="e">
        <f t="shared" si="11"/>
        <v>#DIV/0!</v>
      </c>
      <c r="Z12" s="6">
        <f t="shared" si="12"/>
        <v>0</v>
      </c>
      <c r="AB12" s="31"/>
      <c r="AC12" s="9"/>
    </row>
    <row r="13" spans="1:31" x14ac:dyDescent="0.25">
      <c r="A13" t="s">
        <v>73</v>
      </c>
      <c r="B13" t="s">
        <v>33</v>
      </c>
      <c r="C13" s="26" t="s">
        <v>74</v>
      </c>
      <c r="D13" s="2">
        <v>1339.9646</v>
      </c>
      <c r="E13" s="27">
        <v>21.81</v>
      </c>
      <c r="F13" s="3">
        <f t="shared" si="0"/>
        <v>29224.627925999997</v>
      </c>
      <c r="G13" s="3">
        <v>28457.8</v>
      </c>
      <c r="H13" s="4">
        <f t="shared" si="1"/>
        <v>21.23772523542786</v>
      </c>
      <c r="I13" s="3">
        <f t="shared" si="2"/>
        <v>766.82792599999812</v>
      </c>
      <c r="J13" s="27">
        <f t="shared" si="3"/>
        <v>0.57227476457213911</v>
      </c>
      <c r="K13" s="28">
        <v>45302</v>
      </c>
      <c r="L13">
        <f t="shared" si="4"/>
        <v>1</v>
      </c>
      <c r="M13" s="5">
        <f t="shared" si="5"/>
        <v>2.6946142217599327E-2</v>
      </c>
      <c r="N13">
        <v>85</v>
      </c>
      <c r="O13">
        <v>95</v>
      </c>
      <c r="P13" s="34">
        <v>99</v>
      </c>
      <c r="Q13" s="29">
        <v>20.43</v>
      </c>
      <c r="R13" s="30">
        <f t="shared" si="6"/>
        <v>18.9999</v>
      </c>
      <c r="S13" s="30">
        <v>16.66</v>
      </c>
      <c r="T13" s="32">
        <f t="shared" si="7"/>
        <v>25.537500000000001</v>
      </c>
      <c r="U13" s="29">
        <f t="shared" si="8"/>
        <v>30.645</v>
      </c>
      <c r="V13" s="29">
        <f t="shared" si="9"/>
        <v>40.86</v>
      </c>
      <c r="W13" s="29">
        <f t="shared" si="10"/>
        <v>19.751084468947909</v>
      </c>
      <c r="X13" s="30">
        <v>19.75</v>
      </c>
      <c r="Y13" s="5">
        <f t="shared" si="11"/>
        <v>-7.0051063328858798E-2</v>
      </c>
      <c r="Z13" s="6">
        <f t="shared" si="12"/>
        <v>6.1474787889393312E-2</v>
      </c>
      <c r="AB13" s="31">
        <v>45345</v>
      </c>
      <c r="AC13" s="9">
        <v>98</v>
      </c>
      <c r="AD13" t="s">
        <v>75</v>
      </c>
    </row>
    <row r="14" spans="1:31" x14ac:dyDescent="0.25">
      <c r="A14" s="26" t="s">
        <v>51</v>
      </c>
      <c r="B14" s="26" t="s">
        <v>33</v>
      </c>
      <c r="C14" s="26" t="s">
        <v>52</v>
      </c>
      <c r="D14" s="2">
        <f>2223.78-868.0181</f>
        <v>1355.7619000000002</v>
      </c>
      <c r="E14" s="27">
        <v>91.58</v>
      </c>
      <c r="F14" s="3">
        <f t="shared" si="0"/>
        <v>124160.67480200001</v>
      </c>
      <c r="G14" s="3">
        <f>203698.25-79510.46</f>
        <v>124187.79</v>
      </c>
      <c r="H14" s="4">
        <f t="shared" si="1"/>
        <v>91.59999997049627</v>
      </c>
      <c r="I14" s="3">
        <f t="shared" si="2"/>
        <v>-27.115197999984957</v>
      </c>
      <c r="J14" s="27">
        <f t="shared" si="3"/>
        <v>-1.9999970496272113E-2</v>
      </c>
      <c r="K14" s="28"/>
      <c r="M14" s="5">
        <f t="shared" si="5"/>
        <v>-2.183402893310603E-4</v>
      </c>
      <c r="Q14" s="29"/>
      <c r="R14" s="30">
        <f t="shared" si="6"/>
        <v>0</v>
      </c>
      <c r="S14" s="30"/>
      <c r="T14" s="32">
        <f t="shared" si="7"/>
        <v>0</v>
      </c>
      <c r="U14" s="32">
        <f t="shared" si="8"/>
        <v>0</v>
      </c>
      <c r="V14" s="29">
        <f t="shared" si="9"/>
        <v>0</v>
      </c>
      <c r="W14" s="29">
        <f t="shared" si="10"/>
        <v>85.187999972561528</v>
      </c>
      <c r="X14" s="30"/>
      <c r="Y14" s="5">
        <f t="shared" si="11"/>
        <v>-1</v>
      </c>
      <c r="Z14" s="6">
        <f t="shared" si="12"/>
        <v>0.2611753062172037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/>
      <c r="B16" s="35"/>
      <c r="C16" s="35"/>
      <c r="D16" s="36"/>
      <c r="E16" s="37"/>
      <c r="F16" s="38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ref="L16" si="13">DAYS360(K16,$C$1)</f>
        <v>44652</v>
      </c>
      <c r="M16" s="41" t="e">
        <f t="shared" si="5"/>
        <v>#DIV/0!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B16" s="45"/>
      <c r="AC16" s="9"/>
    </row>
    <row r="17" spans="1:26" x14ac:dyDescent="0.25">
      <c r="A17" t="s">
        <v>53</v>
      </c>
      <c r="F17" s="3">
        <f>SUM(F6:F16)</f>
        <v>388013.09047099994</v>
      </c>
      <c r="G17" s="3">
        <f>SUM(G6:G16)</f>
        <v>373613.3</v>
      </c>
      <c r="H17" s="4"/>
      <c r="I17" s="3">
        <f>SUM(I6:I16)</f>
        <v>14399.790470999986</v>
      </c>
      <c r="M17" s="5"/>
      <c r="Z17" s="6"/>
    </row>
    <row r="18" spans="1:26" x14ac:dyDescent="0.25">
      <c r="D18" s="2" t="s">
        <v>54</v>
      </c>
      <c r="F18" s="3">
        <v>87379</v>
      </c>
      <c r="G18" s="6">
        <f>F18/F19</f>
        <v>0.18380406774001706</v>
      </c>
      <c r="H18" s="4"/>
      <c r="M18" s="5"/>
      <c r="Z18" s="6"/>
    </row>
    <row r="19" spans="1:26" x14ac:dyDescent="0.25">
      <c r="D19" s="2" t="s">
        <v>55</v>
      </c>
      <c r="F19" s="3">
        <f>SUM(F17:F18)</f>
        <v>475392.09047099994</v>
      </c>
      <c r="H19" s="46"/>
      <c r="M19" s="5"/>
      <c r="Z19" s="6"/>
    </row>
    <row r="20" spans="1:26" x14ac:dyDescent="0.25">
      <c r="F20" s="4"/>
      <c r="H20" s="46" t="s">
        <v>56</v>
      </c>
      <c r="I20" s="47">
        <f>'01-05-24'!F19</f>
        <v>467756.22023700003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1.6324465402364968E-2</v>
      </c>
      <c r="K21" s="9" t="s">
        <v>58</v>
      </c>
      <c r="L21" s="6">
        <f>(F19-L20)/L20</f>
        <v>-1.6139712714576381E-3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14">DAYS360(K25,L25)</f>
        <v>15</v>
      </c>
      <c r="O25" t="s">
        <v>76</v>
      </c>
    </row>
    <row r="26" spans="1:26" x14ac:dyDescent="0.25">
      <c r="C26" s="26"/>
      <c r="E26" s="3"/>
      <c r="J26" s="5"/>
      <c r="K26" s="53"/>
      <c r="L26" s="53"/>
    </row>
    <row r="27" spans="1:26" x14ac:dyDescent="0.25">
      <c r="C27" s="26"/>
      <c r="E27" s="3"/>
      <c r="J27" s="5"/>
      <c r="K27" s="53"/>
      <c r="L27" s="53"/>
    </row>
    <row r="28" spans="1:26" x14ac:dyDescent="0.25">
      <c r="C28" s="26"/>
      <c r="E28" s="3"/>
      <c r="J28" s="5"/>
      <c r="K28" s="53"/>
      <c r="L28" s="53"/>
    </row>
    <row r="29" spans="1:26" x14ac:dyDescent="0.25">
      <c r="C29" s="26"/>
      <c r="E29" s="3"/>
      <c r="J29" s="5"/>
      <c r="K29" s="53"/>
      <c r="L29" s="53"/>
    </row>
    <row r="30" spans="1:26" x14ac:dyDescent="0.25">
      <c r="C30" s="26"/>
      <c r="E30" s="3"/>
      <c r="J30" s="5"/>
      <c r="K30" s="53"/>
      <c r="L30" s="53"/>
      <c r="M30" s="54"/>
    </row>
    <row r="31" spans="1:26" x14ac:dyDescent="0.25">
      <c r="C31" s="26"/>
      <c r="E31" s="3"/>
      <c r="J31" s="5"/>
      <c r="K31" s="53"/>
      <c r="L31" s="53"/>
      <c r="M31" s="54"/>
    </row>
    <row r="32" spans="1:26" x14ac:dyDescent="0.25">
      <c r="C32" s="26"/>
      <c r="E32" s="3"/>
      <c r="J32" s="5"/>
      <c r="K32" s="53"/>
      <c r="L32" s="53"/>
      <c r="M32" s="54"/>
    </row>
    <row r="33" spans="3:13" x14ac:dyDescent="0.25">
      <c r="C33" s="26"/>
      <c r="E33" s="3"/>
      <c r="J33" s="5"/>
      <c r="K33" s="53"/>
      <c r="L33" s="53"/>
      <c r="M33" s="54"/>
    </row>
    <row r="34" spans="3:13" x14ac:dyDescent="0.25">
      <c r="C34" s="26"/>
      <c r="E34" s="3"/>
      <c r="J34" s="5"/>
      <c r="K34" s="53"/>
      <c r="L34" s="53"/>
      <c r="M34" s="54"/>
    </row>
    <row r="35" spans="3:13" x14ac:dyDescent="0.25">
      <c r="C35" s="26"/>
      <c r="E35" s="3"/>
      <c r="J35" s="5"/>
      <c r="K35" s="53"/>
      <c r="L35" s="53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0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CC2F-8692-4311-A464-A0758AB266AF}">
  <dimension ref="A1:AE194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45310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256.79000000000002</v>
      </c>
      <c r="F7" s="3">
        <f t="shared" ref="F7:F13" si="0">E7*D7</f>
        <v>68779.429648999998</v>
      </c>
      <c r="G7" s="3">
        <v>61166.239999999998</v>
      </c>
      <c r="H7" s="4">
        <f t="shared" ref="H7:H13" si="1">G7/D7</f>
        <v>228.36593513142583</v>
      </c>
      <c r="I7" s="3">
        <f t="shared" ref="I7:I13" si="2">F7-G7</f>
        <v>7613.1896489999999</v>
      </c>
      <c r="J7" s="27">
        <f t="shared" ref="J7:J13" si="3">E7-H7</f>
        <v>28.424064868574192</v>
      </c>
      <c r="K7" s="28">
        <v>45238</v>
      </c>
      <c r="L7">
        <f t="shared" ref="L7:L13" si="4">DAYS360(K7,$C$1)</f>
        <v>71</v>
      </c>
      <c r="M7" s="5">
        <f t="shared" ref="M7:M13" si="5">(I7/G7)</f>
        <v>0.12446718400542522</v>
      </c>
      <c r="N7">
        <v>25</v>
      </c>
      <c r="O7">
        <v>89</v>
      </c>
      <c r="P7">
        <v>99</v>
      </c>
      <c r="Q7" s="29">
        <v>223.3</v>
      </c>
      <c r="R7" s="30">
        <f t="shared" ref="R7:R13" si="6">Q7*0.93</f>
        <v>207.66900000000001</v>
      </c>
      <c r="S7" s="30">
        <v>224.28</v>
      </c>
      <c r="T7" s="29">
        <f t="shared" ref="T7:T13" si="7">Q7*1.25</f>
        <v>279.125</v>
      </c>
      <c r="U7" s="29">
        <f t="shared" ref="U7:U13" si="8">Q7*1.5</f>
        <v>334.95000000000005</v>
      </c>
      <c r="V7" s="29">
        <f t="shared" ref="V7:V13" si="9">Q7*2</f>
        <v>446.6</v>
      </c>
      <c r="W7" s="29">
        <f t="shared" ref="W7:W13" si="10">H7-(H7*0.07)</f>
        <v>212.38031967222602</v>
      </c>
      <c r="X7" s="30">
        <v>234</v>
      </c>
      <c r="Y7" s="5">
        <f t="shared" ref="Y7:Y13" si="11">(X7-H7)/H7</f>
        <v>2.4671214055335077E-2</v>
      </c>
      <c r="Z7" s="6">
        <f t="shared" ref="Z7:Z13" si="12">F7/F$19</f>
        <v>0.14531855914993691</v>
      </c>
      <c r="AB7" s="31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20.88</v>
      </c>
      <c r="F8" s="3">
        <f t="shared" si="0"/>
        <v>46068.337439999996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6609.0374399999928</v>
      </c>
      <c r="J8" s="27">
        <f t="shared" si="3"/>
        <v>2.9954782268174647</v>
      </c>
      <c r="K8" s="28">
        <v>45243</v>
      </c>
      <c r="L8">
        <f t="shared" si="4"/>
        <v>66</v>
      </c>
      <c r="M8" s="5">
        <f t="shared" si="5"/>
        <v>0.16748998182937844</v>
      </c>
      <c r="N8">
        <v>28</v>
      </c>
      <c r="O8">
        <v>95</v>
      </c>
      <c r="P8" s="34">
        <v>74</v>
      </c>
      <c r="Q8" s="29">
        <v>17.32</v>
      </c>
      <c r="R8" s="30">
        <f t="shared" si="6"/>
        <v>16.107600000000001</v>
      </c>
      <c r="S8" s="30">
        <v>18.05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</v>
      </c>
      <c r="Y8" s="5">
        <f t="shared" si="11"/>
        <v>6.237115204780605E-2</v>
      </c>
      <c r="Z8" s="6">
        <f t="shared" si="12"/>
        <v>9.7334107790340282E-2</v>
      </c>
      <c r="AB8" s="31">
        <v>45328</v>
      </c>
      <c r="AC8" s="9">
        <v>91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v>308.2955</v>
      </c>
      <c r="E9" s="27">
        <v>130.31</v>
      </c>
      <c r="F9" s="3">
        <f t="shared" si="0"/>
        <v>40173.986604999998</v>
      </c>
      <c r="G9" s="3">
        <v>38082.35</v>
      </c>
      <c r="H9" s="4">
        <f t="shared" si="1"/>
        <v>123.52548123472447</v>
      </c>
      <c r="I9" s="3">
        <f t="shared" si="2"/>
        <v>2091.6366049999997</v>
      </c>
      <c r="J9" s="27">
        <f t="shared" si="3"/>
        <v>6.7845187652755357</v>
      </c>
      <c r="K9" s="28">
        <v>45286</v>
      </c>
      <c r="L9">
        <f t="shared" si="4"/>
        <v>23</v>
      </c>
      <c r="M9" s="5">
        <f t="shared" si="5"/>
        <v>5.4924042371334747E-2</v>
      </c>
      <c r="N9">
        <v>28</v>
      </c>
      <c r="O9">
        <v>96</v>
      </c>
      <c r="P9">
        <v>99</v>
      </c>
      <c r="Q9" s="29">
        <v>120.26</v>
      </c>
      <c r="R9" s="30">
        <f t="shared" si="6"/>
        <v>111.84180000000001</v>
      </c>
      <c r="S9" s="30">
        <v>110.7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114.87869754829376</v>
      </c>
      <c r="X9" s="30">
        <v>116</v>
      </c>
      <c r="Y9" s="5">
        <f t="shared" si="11"/>
        <v>-6.0922500843566561E-2</v>
      </c>
      <c r="Z9" s="6">
        <f t="shared" si="12"/>
        <v>8.4880405065009809E-2</v>
      </c>
      <c r="AB9" s="31">
        <v>45335</v>
      </c>
      <c r="AC9" s="9">
        <v>99</v>
      </c>
      <c r="AD9" t="s">
        <v>47</v>
      </c>
    </row>
    <row r="10" spans="1:31" x14ac:dyDescent="0.25">
      <c r="A10" t="s">
        <v>73</v>
      </c>
      <c r="B10" t="s">
        <v>33</v>
      </c>
      <c r="C10" s="26" t="s">
        <v>74</v>
      </c>
      <c r="D10" s="2">
        <v>1339.9646</v>
      </c>
      <c r="E10" s="27">
        <v>20.46</v>
      </c>
      <c r="F10" s="3">
        <f t="shared" si="0"/>
        <v>27415.675716000002</v>
      </c>
      <c r="G10" s="3">
        <v>28457.8</v>
      </c>
      <c r="H10" s="4">
        <f t="shared" si="1"/>
        <v>21.23772523542786</v>
      </c>
      <c r="I10" s="3">
        <f t="shared" si="2"/>
        <v>-1042.1242839999977</v>
      </c>
      <c r="J10" s="27">
        <f t="shared" si="3"/>
        <v>-0.77772523542785876</v>
      </c>
      <c r="K10" s="28">
        <v>45302</v>
      </c>
      <c r="L10">
        <f t="shared" si="4"/>
        <v>8</v>
      </c>
      <c r="M10" s="5">
        <f t="shared" si="5"/>
        <v>-3.6619987630807642E-2</v>
      </c>
      <c r="N10">
        <v>23</v>
      </c>
      <c r="O10">
        <v>95</v>
      </c>
      <c r="P10" s="34">
        <v>99</v>
      </c>
      <c r="Q10" s="29">
        <v>20.43</v>
      </c>
      <c r="R10" s="30">
        <f t="shared" si="6"/>
        <v>18.9999</v>
      </c>
      <c r="S10" s="30">
        <v>16.66</v>
      </c>
      <c r="T10" s="32">
        <f t="shared" si="7"/>
        <v>25.537500000000001</v>
      </c>
      <c r="U10" s="29">
        <f t="shared" si="8"/>
        <v>30.645</v>
      </c>
      <c r="V10" s="29">
        <f t="shared" si="9"/>
        <v>40.86</v>
      </c>
      <c r="W10" s="29">
        <f t="shared" si="10"/>
        <v>19.751084468947909</v>
      </c>
      <c r="X10" s="30">
        <v>19.75</v>
      </c>
      <c r="Y10" s="5">
        <f t="shared" si="11"/>
        <v>-7.0051063328858798E-2</v>
      </c>
      <c r="Z10" s="6">
        <f t="shared" si="12"/>
        <v>5.792438979942835E-2</v>
      </c>
      <c r="AB10" s="31">
        <v>45345</v>
      </c>
      <c r="AC10" s="9">
        <v>99</v>
      </c>
      <c r="AD10" t="s">
        <v>75</v>
      </c>
    </row>
    <row r="11" spans="1:31" x14ac:dyDescent="0.25">
      <c r="A11" t="s">
        <v>78</v>
      </c>
      <c r="B11" t="s">
        <v>33</v>
      </c>
      <c r="C11" s="26" t="s">
        <v>79</v>
      </c>
      <c r="D11" s="2">
        <f>1286.8297+948.5633</f>
        <v>2235.393</v>
      </c>
      <c r="E11" s="27">
        <v>21.77</v>
      </c>
      <c r="F11" s="3">
        <f t="shared" si="0"/>
        <v>48664.50561</v>
      </c>
      <c r="G11" s="3">
        <f>28174.78+19947.6</f>
        <v>48122.38</v>
      </c>
      <c r="H11" s="4">
        <f t="shared" si="1"/>
        <v>21.527480850123446</v>
      </c>
      <c r="I11" s="3">
        <f t="shared" si="2"/>
        <v>542.12561000000278</v>
      </c>
      <c r="J11" s="27">
        <f t="shared" si="3"/>
        <v>0.24251914987655354</v>
      </c>
      <c r="K11" s="28">
        <v>45309</v>
      </c>
      <c r="L11">
        <f t="shared" si="4"/>
        <v>1</v>
      </c>
      <c r="M11" s="5">
        <f t="shared" si="5"/>
        <v>1.1265561054960349E-2</v>
      </c>
      <c r="N11">
        <v>4</v>
      </c>
      <c r="O11">
        <v>98</v>
      </c>
      <c r="P11">
        <v>22</v>
      </c>
      <c r="Q11" s="29">
        <v>20.03</v>
      </c>
      <c r="R11" s="30">
        <f t="shared" si="6"/>
        <v>18.6279</v>
      </c>
      <c r="S11" s="30">
        <v>20.28</v>
      </c>
      <c r="T11" s="32">
        <f t="shared" si="7"/>
        <v>25.037500000000001</v>
      </c>
      <c r="U11" s="29">
        <f t="shared" si="8"/>
        <v>30.045000000000002</v>
      </c>
      <c r="V11" s="29">
        <f t="shared" si="9"/>
        <v>40.06</v>
      </c>
      <c r="W11" s="29">
        <f t="shared" si="10"/>
        <v>20.020557190614806</v>
      </c>
      <c r="X11" s="30">
        <v>19.75</v>
      </c>
      <c r="Y11" s="5">
        <f t="shared" si="11"/>
        <v>-8.2567991234016286E-2</v>
      </c>
      <c r="Z11" s="33">
        <f t="shared" si="12"/>
        <v>0.10281934399687249</v>
      </c>
      <c r="AA11" s="9"/>
      <c r="AB11" s="31">
        <v>45329</v>
      </c>
      <c r="AC11" s="9">
        <v>74</v>
      </c>
      <c r="AD11" t="s">
        <v>80</v>
      </c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44659</v>
      </c>
      <c r="M12" s="5" t="e">
        <f t="shared" si="5"/>
        <v>#DIV/0!</v>
      </c>
      <c r="P12" s="34"/>
      <c r="Q12" s="29"/>
      <c r="R12" s="30">
        <f t="shared" si="6"/>
        <v>0</v>
      </c>
      <c r="S12" s="30"/>
      <c r="T12" s="32">
        <f t="shared" si="7"/>
        <v>0</v>
      </c>
      <c r="U12" s="29">
        <f t="shared" si="8"/>
        <v>0</v>
      </c>
      <c r="V12" s="29">
        <f t="shared" si="9"/>
        <v>0</v>
      </c>
      <c r="W12" s="29" t="e">
        <f t="shared" si="10"/>
        <v>#DIV/0!</v>
      </c>
      <c r="X12" s="30"/>
      <c r="Y12" s="5" t="e">
        <f t="shared" si="11"/>
        <v>#DIV/0!</v>
      </c>
      <c r="Z12" s="6">
        <f t="shared" si="12"/>
        <v>0</v>
      </c>
      <c r="AB12" s="31"/>
      <c r="AC12" s="9"/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44659</v>
      </c>
      <c r="M13" s="5" t="e">
        <f t="shared" si="5"/>
        <v>#DIV/0!</v>
      </c>
      <c r="Q13" s="29"/>
      <c r="R13" s="30">
        <f t="shared" si="6"/>
        <v>0</v>
      </c>
      <c r="S13" s="30"/>
      <c r="T13" s="29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A14" s="26" t="s">
        <v>51</v>
      </c>
      <c r="B14" s="26" t="s">
        <v>33</v>
      </c>
      <c r="C14" s="26" t="s">
        <v>52</v>
      </c>
      <c r="D14" s="2">
        <f>2223.78-868.0181</f>
        <v>1355.7619000000002</v>
      </c>
      <c r="E14" s="27">
        <v>91.66</v>
      </c>
      <c r="F14" s="3">
        <f t="shared" ref="F14:F16" si="13">E14*D14</f>
        <v>124269.13575400002</v>
      </c>
      <c r="G14" s="3">
        <f>203698.25-79510.46</f>
        <v>124187.79</v>
      </c>
      <c r="H14" s="4">
        <f t="shared" ref="H14:H16" si="14">G14/D14</f>
        <v>91.59999997049627</v>
      </c>
      <c r="I14" s="3">
        <f t="shared" ref="I14:I16" si="15">F14-G14</f>
        <v>81.345754000023589</v>
      </c>
      <c r="J14" s="27">
        <f t="shared" ref="J14:J16" si="16">E14-H14</f>
        <v>6.0000029503726182E-2</v>
      </c>
      <c r="K14" s="28"/>
      <c r="M14" s="5">
        <f t="shared" ref="M14:M16" si="17">(I14/G14)</f>
        <v>6.5502215636515954E-4</v>
      </c>
      <c r="Q14" s="29"/>
      <c r="R14" s="30">
        <f t="shared" ref="R14:R16" si="18">Q14*0.93</f>
        <v>0</v>
      </c>
      <c r="S14" s="30"/>
      <c r="T14" s="32">
        <f t="shared" ref="T14:T16" si="19">Q14*1.25</f>
        <v>0</v>
      </c>
      <c r="U14" s="32">
        <f t="shared" ref="U14:U16" si="20">Q14*1.5</f>
        <v>0</v>
      </c>
      <c r="V14" s="29">
        <f t="shared" ref="V14:V16" si="21">Q14*2</f>
        <v>0</v>
      </c>
      <c r="W14" s="29">
        <f t="shared" ref="W14:W16" si="22">H14-(H14*0.07)</f>
        <v>85.187999972561528</v>
      </c>
      <c r="X14" s="30"/>
      <c r="Y14" s="5">
        <f t="shared" ref="Y14:Y16" si="23">(X14-H14)/H14</f>
        <v>-1</v>
      </c>
      <c r="Z14" s="6">
        <f t="shared" ref="Z14:Z16" si="24">F14/F$19</f>
        <v>0.2625583237130224</v>
      </c>
      <c r="AB14" s="31"/>
      <c r="AC14" s="9"/>
    </row>
    <row r="15" spans="1:31" x14ac:dyDescent="0.25">
      <c r="C15" s="26"/>
      <c r="E15" s="27"/>
      <c r="F15" s="3">
        <f t="shared" si="13"/>
        <v>0</v>
      </c>
      <c r="H15" s="4" t="e">
        <f t="shared" si="14"/>
        <v>#DIV/0!</v>
      </c>
      <c r="I15" s="3">
        <f t="shared" si="15"/>
        <v>0</v>
      </c>
      <c r="J15" s="27" t="e">
        <f t="shared" si="16"/>
        <v>#DIV/0!</v>
      </c>
      <c r="K15" s="28"/>
      <c r="M15" s="5" t="e">
        <f t="shared" si="17"/>
        <v>#DIV/0!</v>
      </c>
      <c r="P15" s="34"/>
      <c r="Q15" s="29"/>
      <c r="R15" s="30">
        <f t="shared" si="18"/>
        <v>0</v>
      </c>
      <c r="S15" s="30"/>
      <c r="T15" s="29">
        <f t="shared" si="19"/>
        <v>0</v>
      </c>
      <c r="U15" s="29">
        <f t="shared" si="20"/>
        <v>0</v>
      </c>
      <c r="V15" s="29">
        <f t="shared" si="21"/>
        <v>0</v>
      </c>
      <c r="W15" s="29" t="e">
        <f t="shared" si="22"/>
        <v>#DIV/0!</v>
      </c>
      <c r="X15" s="30"/>
      <c r="Y15" s="5" t="e">
        <f t="shared" si="23"/>
        <v>#DIV/0!</v>
      </c>
      <c r="Z15" s="6">
        <f t="shared" si="24"/>
        <v>0</v>
      </c>
      <c r="AB15" s="31"/>
      <c r="AC15" s="9"/>
    </row>
    <row r="16" spans="1:31" x14ac:dyDescent="0.25">
      <c r="A16" s="35"/>
      <c r="B16" s="35"/>
      <c r="C16" s="35"/>
      <c r="D16" s="36"/>
      <c r="E16" s="37"/>
      <c r="F16" s="38">
        <f t="shared" si="13"/>
        <v>0</v>
      </c>
      <c r="G16" s="38"/>
      <c r="H16" s="39" t="e">
        <f t="shared" si="14"/>
        <v>#DIV/0!</v>
      </c>
      <c r="I16" s="38">
        <f t="shared" si="15"/>
        <v>0</v>
      </c>
      <c r="J16" s="37" t="e">
        <f t="shared" si="16"/>
        <v>#DIV/0!</v>
      </c>
      <c r="K16" s="40"/>
      <c r="L16" s="35">
        <f t="shared" ref="L16" si="25">DAYS360(K16,$C$1)</f>
        <v>44659</v>
      </c>
      <c r="M16" s="41" t="e">
        <f t="shared" si="17"/>
        <v>#DIV/0!</v>
      </c>
      <c r="N16" s="35"/>
      <c r="O16" s="35"/>
      <c r="P16" s="35"/>
      <c r="Q16" s="42"/>
      <c r="R16" s="43">
        <f t="shared" si="18"/>
        <v>0</v>
      </c>
      <c r="S16" s="43"/>
      <c r="T16" s="42">
        <f t="shared" si="19"/>
        <v>0</v>
      </c>
      <c r="U16" s="42">
        <f t="shared" si="20"/>
        <v>0</v>
      </c>
      <c r="V16" s="42">
        <f t="shared" si="21"/>
        <v>0</v>
      </c>
      <c r="W16" s="42" t="e">
        <f t="shared" si="22"/>
        <v>#DIV/0!</v>
      </c>
      <c r="X16" s="43"/>
      <c r="Y16" s="41" t="e">
        <f t="shared" si="23"/>
        <v>#DIV/0!</v>
      </c>
      <c r="Z16" s="44">
        <f t="shared" si="24"/>
        <v>0</v>
      </c>
      <c r="AB16" s="45"/>
      <c r="AC16" s="9"/>
    </row>
    <row r="17" spans="1:26" x14ac:dyDescent="0.25">
      <c r="A17" t="s">
        <v>53</v>
      </c>
      <c r="F17" s="3">
        <f>SUM(F6:F16)</f>
        <v>355371.07077400002</v>
      </c>
      <c r="G17" s="3">
        <f>SUM(G6:G16)</f>
        <v>339475.86</v>
      </c>
      <c r="H17" s="4"/>
      <c r="I17" s="3">
        <f>SUM(I6:I16)</f>
        <v>15895.210774000021</v>
      </c>
      <c r="M17" s="5"/>
      <c r="Z17" s="6"/>
    </row>
    <row r="18" spans="1:26" x14ac:dyDescent="0.25">
      <c r="D18" s="2" t="s">
        <v>54</v>
      </c>
      <c r="F18" s="3">
        <v>117930</v>
      </c>
      <c r="G18" s="6">
        <f>F18/F19</f>
        <v>0.24916487048538974</v>
      </c>
      <c r="H18" s="4"/>
      <c r="M18" s="5"/>
      <c r="Z18" s="6"/>
    </row>
    <row r="19" spans="1:26" x14ac:dyDescent="0.25">
      <c r="D19" s="2" t="s">
        <v>55</v>
      </c>
      <c r="F19" s="3">
        <f>SUM(F17:F18)</f>
        <v>473301.07077400002</v>
      </c>
      <c r="H19" s="46"/>
      <c r="M19" s="5"/>
      <c r="Z19" s="6"/>
    </row>
    <row r="20" spans="1:26" x14ac:dyDescent="0.25">
      <c r="F20" s="4"/>
      <c r="H20" s="46" t="s">
        <v>56</v>
      </c>
      <c r="I20" s="47">
        <f>'01-12-24'!F19</f>
        <v>475392.09047099994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-4.3985159595907927E-3</v>
      </c>
      <c r="K21" s="9" t="s">
        <v>58</v>
      </c>
      <c r="L21" s="6">
        <f>(F19-L20)/L20</f>
        <v>-6.0053881526526036E-3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26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>F26/D26</f>
        <v>35.085004734625322</v>
      </c>
      <c r="F26" s="3">
        <v>40941.919999999998</v>
      </c>
      <c r="G26" s="3">
        <v>36634.589999999997</v>
      </c>
      <c r="H26" s="3">
        <f>G26/D26</f>
        <v>31.393856555849297</v>
      </c>
      <c r="I26" s="3">
        <f>G26-F26</f>
        <v>-4307.3300000000017</v>
      </c>
      <c r="J26" s="5">
        <f>I26/F26</f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B27" t="s">
        <v>33</v>
      </c>
      <c r="C27" s="26" t="s">
        <v>34</v>
      </c>
      <c r="D27" s="2">
        <f>1211.7123+804.6763</f>
        <v>2016.3885999999998</v>
      </c>
      <c r="E27" s="3">
        <f>F27/D27</f>
        <v>20.491040268725982</v>
      </c>
      <c r="F27" s="3">
        <v>41317.9</v>
      </c>
      <c r="G27" s="3">
        <v>42071.53</v>
      </c>
      <c r="H27" s="3">
        <f>G27/D27</f>
        <v>20.86479262975401</v>
      </c>
      <c r="I27" s="3">
        <f>G27-F27</f>
        <v>753.62999999999738</v>
      </c>
      <c r="J27" s="5">
        <f>I27/F27</f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C28" s="26"/>
      <c r="E28" s="3"/>
      <c r="J28" s="5"/>
      <c r="K28" s="1"/>
      <c r="L28" s="1"/>
    </row>
    <row r="29" spans="1:26" x14ac:dyDescent="0.25">
      <c r="C29" s="26"/>
      <c r="E29" s="3"/>
      <c r="J29" s="5"/>
      <c r="K29" s="1"/>
      <c r="L29" s="1"/>
    </row>
    <row r="30" spans="1:26" x14ac:dyDescent="0.25">
      <c r="C30" s="26"/>
      <c r="E30" s="3"/>
      <c r="J30" s="5"/>
      <c r="K30" s="1"/>
      <c r="L30" s="1"/>
      <c r="M30" s="54"/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-3553.7000000000044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C7:AD10">
    <sortCondition descending="1" ref="L7:L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DDDD-AE26-4A73-8503-F73A923CD3DD}">
  <dimension ref="A1:AE194"/>
  <sheetViews>
    <sheetView topLeftCell="B1" workbookViewId="0">
      <selection activeCell="F19" sqref="F19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45317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251.36</v>
      </c>
      <c r="F7" s="3">
        <f t="shared" ref="F7:F16" si="0">E7*D7</f>
        <v>67325.041616000002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6158.8016160000043</v>
      </c>
      <c r="J7" s="27">
        <f t="shared" ref="J7:J16" si="3">E7-H7</f>
        <v>22.994064868574185</v>
      </c>
      <c r="K7" s="28">
        <v>45238</v>
      </c>
      <c r="L7">
        <f t="shared" ref="L7:L13" si="4">DAYS360(K7,$C$1)</f>
        <v>78</v>
      </c>
      <c r="M7" s="5">
        <f t="shared" ref="M7:M16" si="5">(I7/G7)</f>
        <v>0.10068955711516688</v>
      </c>
      <c r="N7">
        <v>27</v>
      </c>
      <c r="O7">
        <v>87</v>
      </c>
      <c r="P7">
        <v>99</v>
      </c>
      <c r="Q7" s="29">
        <v>223.3</v>
      </c>
      <c r="R7" s="30">
        <f t="shared" ref="R7:R16" si="6">Q7*0.93</f>
        <v>207.66900000000001</v>
      </c>
      <c r="S7" s="30">
        <v>241.72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234</v>
      </c>
      <c r="Y7" s="5">
        <f t="shared" ref="Y7:Y16" si="11">(X7-H7)/H7</f>
        <v>2.4671214055335077E-2</v>
      </c>
      <c r="Z7" s="6">
        <f t="shared" ref="Z7:Z16" si="12">F7/F$19</f>
        <v>0.14494099769538829</v>
      </c>
      <c r="AB7" s="31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21.21</v>
      </c>
      <c r="F8" s="3">
        <f t="shared" si="0"/>
        <v>46796.428979999997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7337.128979999994</v>
      </c>
      <c r="J8" s="27">
        <f t="shared" si="3"/>
        <v>3.3254782268174665</v>
      </c>
      <c r="K8" s="28">
        <v>45243</v>
      </c>
      <c r="L8">
        <f t="shared" si="4"/>
        <v>73</v>
      </c>
      <c r="M8" s="5">
        <f t="shared" si="5"/>
        <v>0.18594169131231406</v>
      </c>
      <c r="N8">
        <v>26</v>
      </c>
      <c r="O8">
        <v>95</v>
      </c>
      <c r="P8" s="34">
        <v>74</v>
      </c>
      <c r="Q8" s="29">
        <v>17.32</v>
      </c>
      <c r="R8" s="30">
        <f t="shared" si="6"/>
        <v>16.107600000000001</v>
      </c>
      <c r="S8" s="30">
        <v>18.05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</v>
      </c>
      <c r="Y8" s="5">
        <f t="shared" si="11"/>
        <v>6.237115204780605E-2</v>
      </c>
      <c r="Z8" s="6">
        <f t="shared" si="12"/>
        <v>0.10074588804012929</v>
      </c>
      <c r="AB8" s="31">
        <v>45328</v>
      </c>
      <c r="AC8" s="9">
        <v>90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123.95</v>
      </c>
      <c r="F9" s="3">
        <f t="shared" si="0"/>
        <v>55879.969465000002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-206.93053499999223</v>
      </c>
      <c r="J9" s="27">
        <f t="shared" si="3"/>
        <v>-0.45900239493354889</v>
      </c>
      <c r="K9" s="28">
        <v>45286</v>
      </c>
      <c r="L9">
        <f t="shared" si="4"/>
        <v>30</v>
      </c>
      <c r="M9" s="5">
        <f t="shared" si="5"/>
        <v>-3.689462869226009E-3</v>
      </c>
      <c r="N9">
        <v>26</v>
      </c>
      <c r="O9">
        <v>94</v>
      </c>
      <c r="P9">
        <v>99</v>
      </c>
      <c r="Q9" s="29">
        <v>120.26</v>
      </c>
      <c r="R9" s="30">
        <f t="shared" si="6"/>
        <v>111.84180000000001</v>
      </c>
      <c r="S9" s="30">
        <v>110.7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116</v>
      </c>
      <c r="Y9" s="5">
        <f t="shared" si="11"/>
        <v>-6.7591590906254231E-2</v>
      </c>
      <c r="Z9" s="6">
        <f t="shared" si="12"/>
        <v>0.12030142620097706</v>
      </c>
      <c r="AB9" s="31">
        <v>45335</v>
      </c>
      <c r="AC9" s="9">
        <v>99</v>
      </c>
      <c r="AD9" t="s">
        <v>47</v>
      </c>
    </row>
    <row r="10" spans="1:31" x14ac:dyDescent="0.25">
      <c r="A10" t="s">
        <v>73</v>
      </c>
      <c r="B10" t="s">
        <v>33</v>
      </c>
      <c r="C10" s="26" t="s">
        <v>74</v>
      </c>
      <c r="D10" s="2">
        <f>1339.9646+918.07</f>
        <v>2258.0346</v>
      </c>
      <c r="E10" s="27">
        <v>18.98</v>
      </c>
      <c r="F10" s="3">
        <f t="shared" si="0"/>
        <v>42857.496707999999</v>
      </c>
      <c r="G10" s="3">
        <f>28457.8+19398.39</f>
        <v>47856.19</v>
      </c>
      <c r="H10" s="4">
        <f t="shared" si="1"/>
        <v>21.193736358158553</v>
      </c>
      <c r="I10" s="3">
        <f t="shared" si="2"/>
        <v>-4998.6932920000036</v>
      </c>
      <c r="J10" s="27">
        <f t="shared" si="3"/>
        <v>-2.2137363581585525</v>
      </c>
      <c r="K10" s="28">
        <v>45302</v>
      </c>
      <c r="L10">
        <f t="shared" si="4"/>
        <v>15</v>
      </c>
      <c r="M10" s="5">
        <f t="shared" si="5"/>
        <v>-0.10445238728783054</v>
      </c>
      <c r="N10">
        <v>23</v>
      </c>
      <c r="O10">
        <v>95</v>
      </c>
      <c r="P10" s="34">
        <v>99</v>
      </c>
      <c r="Q10" s="29">
        <v>20.43</v>
      </c>
      <c r="R10" s="30">
        <f t="shared" si="6"/>
        <v>18.9999</v>
      </c>
      <c r="S10" s="30">
        <v>16.66</v>
      </c>
      <c r="T10" s="32">
        <f t="shared" si="7"/>
        <v>25.537500000000001</v>
      </c>
      <c r="U10" s="29">
        <f t="shared" si="8"/>
        <v>30.645</v>
      </c>
      <c r="V10" s="29">
        <f t="shared" si="9"/>
        <v>40.86</v>
      </c>
      <c r="W10" s="29">
        <f t="shared" si="10"/>
        <v>19.710174813087455</v>
      </c>
      <c r="X10" s="30">
        <v>19.75</v>
      </c>
      <c r="Y10" s="5">
        <f t="shared" si="11"/>
        <v>-6.812089825788481E-2</v>
      </c>
      <c r="Z10" s="6">
        <f t="shared" si="12"/>
        <v>9.2265941208242552E-2</v>
      </c>
      <c r="AB10" s="31">
        <v>45345</v>
      </c>
      <c r="AC10" s="9">
        <v>99</v>
      </c>
      <c r="AD10" t="s">
        <v>75</v>
      </c>
    </row>
    <row r="11" spans="1:31" x14ac:dyDescent="0.25">
      <c r="A11" t="s">
        <v>78</v>
      </c>
      <c r="B11" t="s">
        <v>33</v>
      </c>
      <c r="C11" s="26" t="s">
        <v>79</v>
      </c>
      <c r="D11" s="2">
        <f>1286.8297+948.5633</f>
        <v>2235.393</v>
      </c>
      <c r="E11" s="27">
        <v>21.37</v>
      </c>
      <c r="F11" s="3">
        <f t="shared" si="0"/>
        <v>47770.348410000006</v>
      </c>
      <c r="G11" s="3">
        <f>28174.78+19947.6</f>
        <v>48122.38</v>
      </c>
      <c r="H11" s="4">
        <f t="shared" si="1"/>
        <v>21.527480850123446</v>
      </c>
      <c r="I11" s="3">
        <f t="shared" si="2"/>
        <v>-352.03158999999141</v>
      </c>
      <c r="J11" s="27">
        <f t="shared" si="3"/>
        <v>-0.15748085012344504</v>
      </c>
      <c r="K11" s="28">
        <v>45309</v>
      </c>
      <c r="L11">
        <f t="shared" si="4"/>
        <v>8</v>
      </c>
      <c r="M11" s="5">
        <f t="shared" si="5"/>
        <v>-7.315340388401227E-3</v>
      </c>
      <c r="N11">
        <v>3</v>
      </c>
      <c r="O11">
        <v>98</v>
      </c>
      <c r="P11">
        <v>23</v>
      </c>
      <c r="Q11" s="29">
        <v>20.03</v>
      </c>
      <c r="R11" s="30">
        <f t="shared" si="6"/>
        <v>18.6279</v>
      </c>
      <c r="S11" s="30">
        <v>20.28</v>
      </c>
      <c r="T11" s="32">
        <f t="shared" si="7"/>
        <v>25.037500000000001</v>
      </c>
      <c r="U11" s="29">
        <f t="shared" si="8"/>
        <v>30.045000000000002</v>
      </c>
      <c r="V11" s="29">
        <f t="shared" si="9"/>
        <v>40.06</v>
      </c>
      <c r="W11" s="29">
        <f t="shared" si="10"/>
        <v>20.020557190614806</v>
      </c>
      <c r="X11" s="30">
        <v>19.75</v>
      </c>
      <c r="Y11" s="5">
        <f t="shared" si="11"/>
        <v>-8.2567991234016286E-2</v>
      </c>
      <c r="Z11" s="33">
        <f t="shared" si="12"/>
        <v>0.10284259456226202</v>
      </c>
      <c r="AA11" s="9"/>
      <c r="AB11" s="31">
        <v>45329</v>
      </c>
      <c r="AC11" s="9">
        <v>74</v>
      </c>
      <c r="AD11" t="s">
        <v>80</v>
      </c>
    </row>
    <row r="12" spans="1:31" x14ac:dyDescent="0.25">
      <c r="A12" t="s">
        <v>81</v>
      </c>
      <c r="B12" t="s">
        <v>33</v>
      </c>
      <c r="C12" s="26" t="s">
        <v>81</v>
      </c>
      <c r="D12" s="2">
        <v>532.41639999999995</v>
      </c>
      <c r="E12" s="27">
        <v>69.94</v>
      </c>
      <c r="F12" s="3">
        <f t="shared" si="0"/>
        <v>37237.203015999992</v>
      </c>
      <c r="G12" s="3">
        <v>38270.339999999997</v>
      </c>
      <c r="H12" s="4">
        <f t="shared" si="1"/>
        <v>71.880467994599712</v>
      </c>
      <c r="I12" s="3">
        <f t="shared" si="2"/>
        <v>-1033.1369840000043</v>
      </c>
      <c r="J12" s="27">
        <f t="shared" si="3"/>
        <v>-1.9404679945997145</v>
      </c>
      <c r="K12" s="28">
        <v>45313</v>
      </c>
      <c r="L12">
        <f t="shared" si="4"/>
        <v>4</v>
      </c>
      <c r="M12" s="5">
        <f t="shared" si="5"/>
        <v>-2.6995761835405811E-2</v>
      </c>
      <c r="N12">
        <v>42</v>
      </c>
      <c r="O12">
        <v>84</v>
      </c>
      <c r="P12" s="34">
        <v>98</v>
      </c>
      <c r="Q12" s="29">
        <v>71.39</v>
      </c>
      <c r="R12" s="30">
        <f t="shared" si="6"/>
        <v>66.392700000000005</v>
      </c>
      <c r="S12" s="30">
        <v>70.319999999999993</v>
      </c>
      <c r="T12" s="32">
        <f t="shared" si="7"/>
        <v>89.237499999999997</v>
      </c>
      <c r="U12" s="29">
        <f t="shared" si="8"/>
        <v>107.08500000000001</v>
      </c>
      <c r="V12" s="29">
        <f t="shared" si="9"/>
        <v>142.78</v>
      </c>
      <c r="W12" s="29">
        <f t="shared" si="10"/>
        <v>66.848835234977727</v>
      </c>
      <c r="X12" s="30">
        <v>67.5</v>
      </c>
      <c r="Y12" s="5">
        <f t="shared" si="11"/>
        <v>-6.0941005488845887E-2</v>
      </c>
      <c r="Z12" s="6">
        <f t="shared" si="12"/>
        <v>8.0166268404386704E-2</v>
      </c>
      <c r="AB12" s="31">
        <v>45351</v>
      </c>
      <c r="AC12" s="9">
        <v>99</v>
      </c>
      <c r="AD12" t="s">
        <v>80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44666</v>
      </c>
      <c r="M13" s="5" t="e">
        <f t="shared" si="5"/>
        <v>#DIV/0!</v>
      </c>
      <c r="Q13" s="29"/>
      <c r="R13" s="30">
        <f t="shared" si="6"/>
        <v>0</v>
      </c>
      <c r="S13" s="30"/>
      <c r="T13" s="29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A14" s="26" t="s">
        <v>51</v>
      </c>
      <c r="B14" s="26" t="s">
        <v>33</v>
      </c>
      <c r="C14" s="26" t="s">
        <v>52</v>
      </c>
      <c r="D14" s="2">
        <f>2223.78-868.0181</f>
        <v>1355.7619000000002</v>
      </c>
      <c r="E14" s="27">
        <v>91.75</v>
      </c>
      <c r="F14" s="3">
        <f t="shared" si="0"/>
        <v>124391.15432500002</v>
      </c>
      <c r="G14" s="3">
        <f>203698.25-79510.46</f>
        <v>124187.79</v>
      </c>
      <c r="H14" s="4">
        <f t="shared" si="1"/>
        <v>91.59999997049627</v>
      </c>
      <c r="I14" s="3">
        <f t="shared" si="2"/>
        <v>203.36432500003139</v>
      </c>
      <c r="J14" s="27">
        <f t="shared" si="3"/>
        <v>0.15000002950372959</v>
      </c>
      <c r="K14" s="28"/>
      <c r="M14" s="5">
        <f t="shared" si="5"/>
        <v>1.6375549077733921E-3</v>
      </c>
      <c r="Q14" s="29"/>
      <c r="R14" s="30">
        <f t="shared" si="6"/>
        <v>0</v>
      </c>
      <c r="S14" s="30"/>
      <c r="T14" s="32">
        <f t="shared" si="7"/>
        <v>0</v>
      </c>
      <c r="U14" s="32">
        <f t="shared" si="8"/>
        <v>0</v>
      </c>
      <c r="V14" s="29">
        <f t="shared" si="9"/>
        <v>0</v>
      </c>
      <c r="W14" s="29">
        <f t="shared" si="10"/>
        <v>85.187999972561528</v>
      </c>
      <c r="X14" s="30"/>
      <c r="Y14" s="5">
        <f t="shared" si="11"/>
        <v>-1</v>
      </c>
      <c r="Z14" s="6">
        <f t="shared" si="12"/>
        <v>0.26779601734493069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/>
      <c r="B16" s="35"/>
      <c r="C16" s="35"/>
      <c r="D16" s="36"/>
      <c r="E16" s="37"/>
      <c r="F16" s="38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ref="L16" si="13">DAYS360(K16,$C$1)</f>
        <v>44666</v>
      </c>
      <c r="M16" s="41" t="e">
        <f t="shared" si="5"/>
        <v>#DIV/0!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B16" s="45"/>
      <c r="AC16" s="9"/>
    </row>
    <row r="17" spans="1:26" x14ac:dyDescent="0.25">
      <c r="A17" t="s">
        <v>53</v>
      </c>
      <c r="F17" s="3">
        <f>SUM(F6:F16)</f>
        <v>422257.64251999999</v>
      </c>
      <c r="G17" s="3">
        <f>SUM(G6:G16)</f>
        <v>415149.13999999996</v>
      </c>
      <c r="H17" s="4"/>
      <c r="I17" s="3">
        <f>SUM(I6:I16)</f>
        <v>7108.5025200000382</v>
      </c>
      <c r="M17" s="5"/>
      <c r="Z17" s="6"/>
    </row>
    <row r="18" spans="1:26" x14ac:dyDescent="0.25">
      <c r="D18" s="2" t="s">
        <v>54</v>
      </c>
      <c r="F18" s="3">
        <v>42242</v>
      </c>
      <c r="G18" s="6">
        <f>F18/F19</f>
        <v>9.0940866543683468E-2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464499.64251999999</v>
      </c>
      <c r="H19" s="46"/>
      <c r="M19" s="5"/>
      <c r="Z19" s="6"/>
    </row>
    <row r="20" spans="1:26" x14ac:dyDescent="0.25">
      <c r="F20" s="4"/>
      <c r="H20" s="46" t="s">
        <v>56</v>
      </c>
      <c r="I20" s="47">
        <f>'01-19-24'!F19</f>
        <v>473301.07077400002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-1.859583423212386E-2</v>
      </c>
      <c r="K21" s="9" t="s">
        <v>58</v>
      </c>
      <c r="L21" s="6">
        <f>(F19-L20)/L20</f>
        <v>-2.4489547182190177E-2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14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>F26/D26</f>
        <v>35.085004734625322</v>
      </c>
      <c r="F26" s="3">
        <v>40941.919999999998</v>
      </c>
      <c r="G26" s="3">
        <v>36634.589999999997</v>
      </c>
      <c r="H26" s="3">
        <f>G26/D26</f>
        <v>31.393856555849297</v>
      </c>
      <c r="I26" s="3">
        <f>G26-F26</f>
        <v>-4307.3300000000017</v>
      </c>
      <c r="J26" s="5">
        <f>I26/F26</f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B27" t="s">
        <v>33</v>
      </c>
      <c r="C27" s="26" t="s">
        <v>34</v>
      </c>
      <c r="D27" s="2">
        <f>1211.7123+804.6763</f>
        <v>2016.3885999999998</v>
      </c>
      <c r="E27" s="3">
        <f>F27/D27</f>
        <v>20.491040268725982</v>
      </c>
      <c r="F27" s="3">
        <v>41317.9</v>
      </c>
      <c r="G27" s="3">
        <v>42071.53</v>
      </c>
      <c r="H27" s="3">
        <f>G27/D27</f>
        <v>20.86479262975401</v>
      </c>
      <c r="I27" s="3">
        <f>G27-F27</f>
        <v>753.62999999999738</v>
      </c>
      <c r="J27" s="5">
        <f>I27/F27</f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C28" s="26"/>
      <c r="E28" s="3"/>
      <c r="J28" s="5"/>
      <c r="K28" s="1"/>
      <c r="L28" s="1"/>
    </row>
    <row r="29" spans="1:26" x14ac:dyDescent="0.25">
      <c r="C29" s="26"/>
      <c r="E29" s="3"/>
      <c r="J29" s="5"/>
      <c r="K29" s="1"/>
      <c r="L29" s="1"/>
    </row>
    <row r="30" spans="1:26" x14ac:dyDescent="0.25">
      <c r="C30" s="26"/>
      <c r="E30" s="3"/>
      <c r="J30" s="5"/>
      <c r="K30" s="1"/>
      <c r="L30" s="1"/>
      <c r="M30" s="54"/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-3553.7000000000044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B731-D086-4513-AA98-2A26560E5402}">
  <dimension ref="A1:AE194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45324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256.99</v>
      </c>
      <c r="F7" s="3">
        <f t="shared" ref="F7:F13" si="0">E7*D7</f>
        <v>68832.998269000003</v>
      </c>
      <c r="G7" s="3">
        <v>61166.239999999998</v>
      </c>
      <c r="H7" s="4">
        <f t="shared" ref="H7:H13" si="1">G7/D7</f>
        <v>228.36593513142583</v>
      </c>
      <c r="I7" s="3">
        <f t="shared" ref="I7:I13" si="2">F7-G7</f>
        <v>7666.7582690000054</v>
      </c>
      <c r="J7" s="27">
        <f t="shared" ref="J7:J13" si="3">E7-H7</f>
        <v>28.62406486857418</v>
      </c>
      <c r="K7" s="28">
        <v>45238</v>
      </c>
      <c r="L7">
        <f t="shared" ref="L7:L13" si="4">DAYS360(K7,$C$1)</f>
        <v>84</v>
      </c>
      <c r="M7" s="5">
        <f t="shared" ref="M7:M13" si="5">(I7/G7)</f>
        <v>0.12534297136786576</v>
      </c>
      <c r="N7">
        <v>23</v>
      </c>
      <c r="O7">
        <v>87</v>
      </c>
      <c r="P7">
        <v>99</v>
      </c>
      <c r="Q7" s="29">
        <v>223.3</v>
      </c>
      <c r="R7" s="30">
        <f t="shared" ref="R7:R13" si="6">Q7*0.93</f>
        <v>207.66900000000001</v>
      </c>
      <c r="S7" s="30">
        <v>241.72</v>
      </c>
      <c r="T7" s="29">
        <f t="shared" ref="T7:T13" si="7">Q7*1.25</f>
        <v>279.125</v>
      </c>
      <c r="U7" s="29">
        <f t="shared" ref="U7:U13" si="8">Q7*1.5</f>
        <v>334.95000000000005</v>
      </c>
      <c r="V7" s="29">
        <f t="shared" ref="V7:V13" si="9">Q7*2</f>
        <v>446.6</v>
      </c>
      <c r="W7" s="29">
        <f t="shared" ref="W7:W13" si="10">H7-(H7*0.07)</f>
        <v>212.38031967222602</v>
      </c>
      <c r="X7" s="30">
        <v>239</v>
      </c>
      <c r="Y7" s="5">
        <f t="shared" ref="Y7:Y13" si="11">(X7-H7)/H7</f>
        <v>4.656589811634651E-2</v>
      </c>
      <c r="Z7" s="6">
        <f t="shared" ref="Z7:Z13" si="12">F7/F$19</f>
        <v>0.14537012486209339</v>
      </c>
      <c r="AB7" s="31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20.9</v>
      </c>
      <c r="F8" s="3">
        <f t="shared" si="0"/>
        <v>46112.464199999995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6653.164199999992</v>
      </c>
      <c r="J8" s="27">
        <f t="shared" si="3"/>
        <v>3.0154782268174642</v>
      </c>
      <c r="K8" s="28">
        <v>45243</v>
      </c>
      <c r="L8">
        <f t="shared" si="4"/>
        <v>79</v>
      </c>
      <c r="M8" s="5">
        <f t="shared" si="5"/>
        <v>0.16860826725258662</v>
      </c>
      <c r="N8">
        <v>16</v>
      </c>
      <c r="O8">
        <v>95</v>
      </c>
      <c r="P8" s="34">
        <v>74</v>
      </c>
      <c r="Q8" s="29">
        <v>17.32</v>
      </c>
      <c r="R8" s="30">
        <f t="shared" si="6"/>
        <v>16.107600000000001</v>
      </c>
      <c r="S8" s="30">
        <v>18.05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</v>
      </c>
      <c r="Y8" s="5">
        <f t="shared" si="11"/>
        <v>6.237115204780605E-2</v>
      </c>
      <c r="Z8" s="6">
        <f t="shared" si="12"/>
        <v>9.7386062601195422E-2</v>
      </c>
      <c r="AB8" s="56">
        <v>45328</v>
      </c>
      <c r="AC8" s="9">
        <v>90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134.31</v>
      </c>
      <c r="F9" s="3">
        <f t="shared" si="0"/>
        <v>60550.534077000004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4463.6340770000097</v>
      </c>
      <c r="J9" s="27">
        <f t="shared" si="3"/>
        <v>9.9009976050664505</v>
      </c>
      <c r="K9" s="28">
        <v>45286</v>
      </c>
      <c r="L9">
        <f t="shared" si="4"/>
        <v>36</v>
      </c>
      <c r="M9" s="5">
        <f t="shared" si="5"/>
        <v>7.9584253667077526E-2</v>
      </c>
      <c r="N9">
        <v>16</v>
      </c>
      <c r="O9">
        <v>95</v>
      </c>
      <c r="P9">
        <v>99</v>
      </c>
      <c r="Q9" s="29">
        <v>120.26</v>
      </c>
      <c r="R9" s="30">
        <f t="shared" si="6"/>
        <v>111.84180000000001</v>
      </c>
      <c r="S9" s="30">
        <v>119.34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119</v>
      </c>
      <c r="Y9" s="5">
        <f t="shared" si="11"/>
        <v>-4.3477580326243569E-2</v>
      </c>
      <c r="Z9" s="6">
        <f t="shared" si="12"/>
        <v>0.12787818227590056</v>
      </c>
      <c r="AB9" s="31">
        <v>45335</v>
      </c>
      <c r="AC9" s="9">
        <v>99</v>
      </c>
      <c r="AD9" t="s">
        <v>47</v>
      </c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</f>
        <v>2235.393</v>
      </c>
      <c r="E10" s="27">
        <v>23.45</v>
      </c>
      <c r="F10" s="3">
        <f t="shared" si="0"/>
        <v>52419.965850000001</v>
      </c>
      <c r="G10" s="3">
        <f>28174.78+19947.6</f>
        <v>48122.38</v>
      </c>
      <c r="H10" s="4">
        <f t="shared" si="1"/>
        <v>21.527480850123446</v>
      </c>
      <c r="I10" s="3">
        <f t="shared" si="2"/>
        <v>4297.5858500000031</v>
      </c>
      <c r="J10" s="27">
        <f t="shared" si="3"/>
        <v>1.9225191498765533</v>
      </c>
      <c r="K10" s="28">
        <v>45309</v>
      </c>
      <c r="L10">
        <f t="shared" si="4"/>
        <v>14</v>
      </c>
      <c r="M10" s="5">
        <f t="shared" si="5"/>
        <v>8.9305347117079478E-2</v>
      </c>
      <c r="N10">
        <v>2</v>
      </c>
      <c r="O10">
        <v>98</v>
      </c>
      <c r="P10">
        <v>23</v>
      </c>
      <c r="Q10" s="29">
        <v>20.03</v>
      </c>
      <c r="R10" s="30">
        <f t="shared" si="6"/>
        <v>18.6279</v>
      </c>
      <c r="S10" s="30">
        <v>20.92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20.020557190614806</v>
      </c>
      <c r="X10" s="30">
        <v>19.75</v>
      </c>
      <c r="Y10" s="5">
        <f t="shared" si="11"/>
        <v>-8.2567991234016286E-2</v>
      </c>
      <c r="Z10" s="33">
        <f t="shared" si="12"/>
        <v>0.11070703256454091</v>
      </c>
      <c r="AA10" s="9"/>
      <c r="AB10" s="56">
        <v>45329</v>
      </c>
      <c r="AC10" s="9">
        <v>79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73.319999999999993</v>
      </c>
      <c r="F11" s="3">
        <f t="shared" si="0"/>
        <v>44695.718027999996</v>
      </c>
      <c r="G11" s="3">
        <f>38270.34+5640.4</f>
        <v>43910.74</v>
      </c>
      <c r="H11" s="4">
        <f t="shared" si="1"/>
        <v>72.032301948546731</v>
      </c>
      <c r="I11" s="3">
        <f t="shared" si="2"/>
        <v>784.97802799999772</v>
      </c>
      <c r="J11" s="27">
        <f t="shared" si="3"/>
        <v>1.2876980514532619</v>
      </c>
      <c r="K11" s="28">
        <v>45313</v>
      </c>
      <c r="L11">
        <f t="shared" si="4"/>
        <v>10</v>
      </c>
      <c r="M11" s="5">
        <f t="shared" si="5"/>
        <v>1.7876675000239071E-2</v>
      </c>
      <c r="N11">
        <v>36</v>
      </c>
      <c r="O11">
        <v>84</v>
      </c>
      <c r="P11" s="34">
        <v>98</v>
      </c>
      <c r="Q11" s="29">
        <v>71.39</v>
      </c>
      <c r="R11" s="30">
        <f t="shared" si="6"/>
        <v>66.392700000000005</v>
      </c>
      <c r="S11" s="30">
        <v>68.38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67.5</v>
      </c>
      <c r="Y11" s="5">
        <f t="shared" si="11"/>
        <v>-6.2920409676539168E-2</v>
      </c>
      <c r="Z11" s="6">
        <f t="shared" si="12"/>
        <v>9.4394001044953629E-2</v>
      </c>
      <c r="AB11" s="31">
        <v>45351</v>
      </c>
      <c r="AC11" s="9">
        <v>99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v>952.00199999999995</v>
      </c>
      <c r="E12" s="27">
        <v>30.91</v>
      </c>
      <c r="F12" s="3">
        <f t="shared" si="0"/>
        <v>29426.381819999999</v>
      </c>
      <c r="G12" s="3">
        <v>28303.96</v>
      </c>
      <c r="H12" s="4">
        <f t="shared" si="1"/>
        <v>29.730987960109328</v>
      </c>
      <c r="I12" s="3">
        <f t="shared" si="2"/>
        <v>1122.4218199999996</v>
      </c>
      <c r="J12" s="27">
        <f t="shared" si="3"/>
        <v>1.1790120398906723</v>
      </c>
      <c r="K12" s="28">
        <v>45321</v>
      </c>
      <c r="L12">
        <f t="shared" si="4"/>
        <v>2</v>
      </c>
      <c r="M12" s="5">
        <f t="shared" si="5"/>
        <v>3.9655999372525952E-2</v>
      </c>
      <c r="N12">
        <v>57</v>
      </c>
      <c r="O12">
        <v>97</v>
      </c>
      <c r="P12">
        <v>81</v>
      </c>
      <c r="Q12" s="29">
        <v>28.39</v>
      </c>
      <c r="R12" s="30">
        <f t="shared" si="6"/>
        <v>26.402700000000003</v>
      </c>
      <c r="S12" s="30">
        <v>24.09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27.649818802901674</v>
      </c>
      <c r="X12" s="30">
        <v>27.5</v>
      </c>
      <c r="Y12" s="5">
        <f t="shared" si="11"/>
        <v>-7.5039146465724238E-2</v>
      </c>
      <c r="Z12" s="6">
        <f t="shared" si="12"/>
        <v>6.2146309284620685E-2</v>
      </c>
      <c r="AB12" s="56">
        <v>45329</v>
      </c>
      <c r="AC12" s="9">
        <v>99</v>
      </c>
      <c r="AD12" t="s">
        <v>84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44672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A14" s="26" t="s">
        <v>51</v>
      </c>
      <c r="B14" s="26" t="s">
        <v>33</v>
      </c>
      <c r="C14" s="26" t="s">
        <v>52</v>
      </c>
      <c r="D14" s="2">
        <v>1236.0084999999999</v>
      </c>
      <c r="E14" s="27">
        <v>91.44</v>
      </c>
      <c r="F14" s="3">
        <f t="shared" ref="F14:F16" si="13">E14*D14</f>
        <v>113020.61723999999</v>
      </c>
      <c r="G14" s="3">
        <v>113020.62</v>
      </c>
      <c r="H14" s="4">
        <f t="shared" ref="H14:H16" si="14">G14/D14</f>
        <v>91.44000223299436</v>
      </c>
      <c r="I14" s="3">
        <f t="shared" ref="I14:I16" si="15">F14-G14</f>
        <v>-2.7600000030361116E-3</v>
      </c>
      <c r="J14" s="27">
        <f t="shared" ref="J14:J16" si="16">E14-H14</f>
        <v>-2.2329943618615289E-6</v>
      </c>
      <c r="K14" s="28"/>
      <c r="M14" s="5">
        <f t="shared" ref="M14:M16" si="17">(I14/G14)</f>
        <v>-2.4420322619324789E-8</v>
      </c>
      <c r="Q14" s="29"/>
      <c r="R14" s="30">
        <f t="shared" ref="R14:R16" si="18">Q14*0.93</f>
        <v>0</v>
      </c>
      <c r="S14" s="30"/>
      <c r="T14" s="32">
        <f t="shared" ref="T14:T16" si="19">Q14*1.25</f>
        <v>0</v>
      </c>
      <c r="U14" s="32">
        <f t="shared" ref="U14:U16" si="20">Q14*1.5</f>
        <v>0</v>
      </c>
      <c r="V14" s="29">
        <f t="shared" ref="V14:V16" si="21">Q14*2</f>
        <v>0</v>
      </c>
      <c r="W14" s="29">
        <f t="shared" ref="W14:W16" si="22">H14-(H14*0.07)</f>
        <v>85.039202076684759</v>
      </c>
      <c r="X14" s="30"/>
      <c r="Y14" s="5">
        <f t="shared" ref="Y14:Y16" si="23">(X14-H14)/H14</f>
        <v>-1</v>
      </c>
      <c r="Z14" s="6">
        <f t="shared" ref="Z14:Z16" si="24">F14/F$19</f>
        <v>0.23869105884305325</v>
      </c>
      <c r="AB14" s="31"/>
      <c r="AC14" s="9"/>
    </row>
    <row r="15" spans="1:31" x14ac:dyDescent="0.25">
      <c r="C15" s="26"/>
      <c r="E15" s="27"/>
      <c r="F15" s="3">
        <f t="shared" si="13"/>
        <v>0</v>
      </c>
      <c r="H15" s="4" t="e">
        <f t="shared" si="14"/>
        <v>#DIV/0!</v>
      </c>
      <c r="I15" s="3">
        <f t="shared" si="15"/>
        <v>0</v>
      </c>
      <c r="J15" s="27" t="e">
        <f t="shared" si="16"/>
        <v>#DIV/0!</v>
      </c>
      <c r="K15" s="28"/>
      <c r="M15" s="5" t="e">
        <f t="shared" si="17"/>
        <v>#DIV/0!</v>
      </c>
      <c r="P15" s="34"/>
      <c r="Q15" s="29"/>
      <c r="R15" s="30">
        <f t="shared" si="18"/>
        <v>0</v>
      </c>
      <c r="S15" s="30"/>
      <c r="T15" s="29">
        <f t="shared" si="19"/>
        <v>0</v>
      </c>
      <c r="U15" s="29">
        <f t="shared" si="20"/>
        <v>0</v>
      </c>
      <c r="V15" s="29">
        <f t="shared" si="21"/>
        <v>0</v>
      </c>
      <c r="W15" s="29" t="e">
        <f t="shared" si="22"/>
        <v>#DIV/0!</v>
      </c>
      <c r="X15" s="30"/>
      <c r="Y15" s="5" t="e">
        <f t="shared" si="23"/>
        <v>#DIV/0!</v>
      </c>
      <c r="Z15" s="6">
        <f t="shared" si="24"/>
        <v>0</v>
      </c>
      <c r="AB15" s="31"/>
      <c r="AC15" s="9"/>
    </row>
    <row r="16" spans="1:31" x14ac:dyDescent="0.25">
      <c r="A16" s="35"/>
      <c r="B16" s="35"/>
      <c r="C16" s="35"/>
      <c r="D16" s="36"/>
      <c r="E16" s="37"/>
      <c r="F16" s="38">
        <f t="shared" si="13"/>
        <v>0</v>
      </c>
      <c r="G16" s="38"/>
      <c r="H16" s="39" t="e">
        <f t="shared" si="14"/>
        <v>#DIV/0!</v>
      </c>
      <c r="I16" s="38">
        <f t="shared" si="15"/>
        <v>0</v>
      </c>
      <c r="J16" s="37" t="e">
        <f t="shared" si="16"/>
        <v>#DIV/0!</v>
      </c>
      <c r="K16" s="40"/>
      <c r="L16" s="35">
        <f t="shared" ref="L16" si="25">DAYS360(K16,$C$1)</f>
        <v>44672</v>
      </c>
      <c r="M16" s="41" t="e">
        <f t="shared" si="17"/>
        <v>#DIV/0!</v>
      </c>
      <c r="N16" s="35"/>
      <c r="O16" s="35"/>
      <c r="P16" s="35"/>
      <c r="Q16" s="42"/>
      <c r="R16" s="43">
        <f t="shared" si="18"/>
        <v>0</v>
      </c>
      <c r="S16" s="43"/>
      <c r="T16" s="42">
        <f t="shared" si="19"/>
        <v>0</v>
      </c>
      <c r="U16" s="42">
        <f t="shared" si="20"/>
        <v>0</v>
      </c>
      <c r="V16" s="42">
        <f t="shared" si="21"/>
        <v>0</v>
      </c>
      <c r="W16" s="42" t="e">
        <f t="shared" si="22"/>
        <v>#DIV/0!</v>
      </c>
      <c r="X16" s="43"/>
      <c r="Y16" s="41" t="e">
        <f t="shared" si="23"/>
        <v>#DIV/0!</v>
      </c>
      <c r="Z16" s="44">
        <f t="shared" si="24"/>
        <v>0</v>
      </c>
      <c r="AB16" s="45"/>
      <c r="AC16" s="9"/>
    </row>
    <row r="17" spans="1:26" x14ac:dyDescent="0.25">
      <c r="A17" t="s">
        <v>53</v>
      </c>
      <c r="F17" s="3">
        <f>SUM(F6:F16)</f>
        <v>415058.67948400002</v>
      </c>
      <c r="G17" s="3">
        <f>SUM(G6:G16)</f>
        <v>390070.14</v>
      </c>
      <c r="H17" s="4"/>
      <c r="I17" s="3">
        <f>SUM(I6:I16)</f>
        <v>24988.539484000004</v>
      </c>
      <c r="M17" s="5"/>
      <c r="Z17" s="6"/>
    </row>
    <row r="18" spans="1:26" x14ac:dyDescent="0.25">
      <c r="D18" s="2" t="s">
        <v>54</v>
      </c>
      <c r="F18" s="3">
        <v>58443</v>
      </c>
      <c r="G18" s="6">
        <f>F18/F19</f>
        <v>0.12342722852364209</v>
      </c>
      <c r="H18" s="4"/>
      <c r="M18" s="5"/>
      <c r="Z18" s="6"/>
    </row>
    <row r="19" spans="1:26" x14ac:dyDescent="0.25">
      <c r="D19" s="2" t="s">
        <v>55</v>
      </c>
      <c r="F19" s="3">
        <f>SUM(F17:F18)</f>
        <v>473501.67948400002</v>
      </c>
      <c r="H19" s="46"/>
      <c r="M19" s="5"/>
      <c r="Z19" s="6"/>
    </row>
    <row r="20" spans="1:26" x14ac:dyDescent="0.25">
      <c r="F20" s="4"/>
      <c r="H20" s="46" t="s">
        <v>56</v>
      </c>
      <c r="I20" s="47">
        <f>'01-26-24'!F19</f>
        <v>464499.64251999999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1.93800729644532E-2</v>
      </c>
      <c r="K21" s="9" t="s">
        <v>58</v>
      </c>
      <c r="L21" s="6">
        <f>(F19-L20)/L20</f>
        <v>-5.5840834289942404E-3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26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>F26/D26</f>
        <v>35.085004734625322</v>
      </c>
      <c r="F26" s="3">
        <v>40941.919999999998</v>
      </c>
      <c r="G26" s="3">
        <v>36634.589999999997</v>
      </c>
      <c r="H26" s="3">
        <f>G26/D26</f>
        <v>31.393856555849297</v>
      </c>
      <c r="I26" s="3">
        <f>G26-F26</f>
        <v>-4307.3300000000017</v>
      </c>
      <c r="J26" s="5">
        <f>I26/F26</f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>F27/D27</f>
        <v>20.491040268725982</v>
      </c>
      <c r="F27" s="3">
        <v>41317.9</v>
      </c>
      <c r="G27" s="3">
        <v>42071.53</v>
      </c>
      <c r="H27" s="3">
        <f>G27/D27</f>
        <v>20.86479262975401</v>
      </c>
      <c r="I27" s="3">
        <f>G27-F27</f>
        <v>753.62999999999738</v>
      </c>
      <c r="J27" s="5">
        <f>I27/F27</f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>F28/D28</f>
        <v>21.193736358158553</v>
      </c>
      <c r="F28" s="3">
        <f>28457.8+19398.39</f>
        <v>47856.19</v>
      </c>
      <c r="G28" s="3">
        <v>39178.269999999997</v>
      </c>
      <c r="H28" s="3">
        <f>G28/D28</f>
        <v>17.350606585036385</v>
      </c>
      <c r="I28" s="3">
        <f>G28-F28</f>
        <v>-8677.9200000000055</v>
      </c>
      <c r="J28" s="5">
        <f>I28/F28</f>
        <v>-0.18133328206863114</v>
      </c>
      <c r="K28" s="1">
        <v>45302</v>
      </c>
      <c r="L28" s="1">
        <v>45322</v>
      </c>
      <c r="M28">
        <f>DAYS360(K28,L28)</f>
        <v>20</v>
      </c>
    </row>
    <row r="29" spans="1:26" x14ac:dyDescent="0.25">
      <c r="C29" s="26"/>
      <c r="E29" s="3"/>
      <c r="J29" s="5"/>
      <c r="K29" s="1"/>
      <c r="L29" s="1"/>
    </row>
    <row r="30" spans="1:26" x14ac:dyDescent="0.25">
      <c r="C30" s="26"/>
      <c r="E30" s="3"/>
      <c r="J30" s="5"/>
      <c r="K30" s="1"/>
      <c r="L30" s="1"/>
      <c r="M30" s="54"/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-12231.62000000001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C7:AD12">
    <sortCondition descending="1" ref="L7:L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88EC-EED4-4C8D-BCFF-E0B85CEF408D}">
  <dimension ref="A1:AE194"/>
  <sheetViews>
    <sheetView workbookViewId="0">
      <selection activeCell="E7" sqref="E7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45331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270.98</v>
      </c>
      <c r="F7" s="3">
        <f t="shared" ref="F7:F16" si="0">E7*D7</f>
        <v>72580.123238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11413.883238000002</v>
      </c>
      <c r="J7" s="27">
        <f t="shared" ref="J7:J16" si="3">E7-H7</f>
        <v>42.614064868574189</v>
      </c>
      <c r="K7" s="28">
        <v>45238</v>
      </c>
      <c r="L7">
        <f t="shared" ref="L7:L14" si="4">DAYS360(K7,$C$1)</f>
        <v>91</v>
      </c>
      <c r="M7" s="5">
        <f t="shared" ref="M7:M16" si="5">(I7/G7)</f>
        <v>0.18660429737057571</v>
      </c>
      <c r="N7">
        <v>39</v>
      </c>
      <c r="O7">
        <v>90</v>
      </c>
      <c r="P7">
        <v>99</v>
      </c>
      <c r="Q7" s="29">
        <v>223.3</v>
      </c>
      <c r="R7" s="30">
        <f t="shared" ref="R7:R16" si="6">Q7*0.93</f>
        <v>207.66900000000001</v>
      </c>
      <c r="S7" s="30">
        <v>241.72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239</v>
      </c>
      <c r="Y7" s="5">
        <f t="shared" ref="Y7:Y16" si="11">(X7-H7)/H7</f>
        <v>4.656589811634651E-2</v>
      </c>
      <c r="Z7" s="6">
        <f t="shared" ref="Z7:Z16" si="12">F7/F$19</f>
        <v>0.14273202905977833</v>
      </c>
      <c r="AB7" s="31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21.96</v>
      </c>
      <c r="F8" s="3">
        <f t="shared" si="0"/>
        <v>48451.182479999996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8991.8824799999929</v>
      </c>
      <c r="J8" s="27">
        <f t="shared" si="3"/>
        <v>4.0754782268174665</v>
      </c>
      <c r="K8" s="28">
        <v>45243</v>
      </c>
      <c r="L8">
        <f t="shared" si="4"/>
        <v>86</v>
      </c>
      <c r="M8" s="5">
        <f t="shared" si="5"/>
        <v>0.22787739468262216</v>
      </c>
      <c r="N8">
        <v>14</v>
      </c>
      <c r="O8">
        <v>91</v>
      </c>
      <c r="P8" s="34">
        <v>22</v>
      </c>
      <c r="Q8" s="29">
        <v>17.32</v>
      </c>
      <c r="R8" s="30">
        <f t="shared" si="6"/>
        <v>16.107600000000001</v>
      </c>
      <c r="S8" s="30">
        <v>20.03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19.75</v>
      </c>
      <c r="Y8" s="5">
        <f t="shared" si="11"/>
        <v>0.10430685541811419</v>
      </c>
      <c r="Z8" s="6">
        <f t="shared" si="12"/>
        <v>9.5281397677419333E-2</v>
      </c>
      <c r="AB8" s="31">
        <v>45427</v>
      </c>
      <c r="AC8" s="9">
        <v>90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134.91</v>
      </c>
      <c r="F9" s="3">
        <f t="shared" si="0"/>
        <v>60821.030097000003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4734.1300970000084</v>
      </c>
      <c r="J9" s="27">
        <f t="shared" si="3"/>
        <v>10.500997605066445</v>
      </c>
      <c r="K9" s="28">
        <v>45286</v>
      </c>
      <c r="L9">
        <f t="shared" si="4"/>
        <v>43</v>
      </c>
      <c r="M9" s="5">
        <f t="shared" si="5"/>
        <v>8.4407055783079624E-2</v>
      </c>
      <c r="N9">
        <v>14</v>
      </c>
      <c r="O9">
        <v>93</v>
      </c>
      <c r="P9">
        <v>99</v>
      </c>
      <c r="Q9" s="29">
        <v>120.26</v>
      </c>
      <c r="R9" s="30">
        <f t="shared" si="6"/>
        <v>111.84180000000001</v>
      </c>
      <c r="S9" s="30">
        <v>119.34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119</v>
      </c>
      <c r="Y9" s="5">
        <f t="shared" si="11"/>
        <v>-4.3477580326243569E-2</v>
      </c>
      <c r="Z9" s="6">
        <f t="shared" si="12"/>
        <v>0.11960725124128173</v>
      </c>
      <c r="AB9" s="56">
        <v>45335</v>
      </c>
      <c r="AC9" s="9">
        <v>99</v>
      </c>
      <c r="AD9" t="s">
        <v>47</v>
      </c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</f>
        <v>2235.393</v>
      </c>
      <c r="E10" s="27">
        <v>30.86</v>
      </c>
      <c r="F10" s="3">
        <f t="shared" si="0"/>
        <v>68984.227979999996</v>
      </c>
      <c r="G10" s="3">
        <f>28174.78+19947.6</f>
        <v>48122.38</v>
      </c>
      <c r="H10" s="4">
        <f t="shared" si="1"/>
        <v>21.527480850123446</v>
      </c>
      <c r="I10" s="3">
        <f t="shared" si="2"/>
        <v>20861.847979999999</v>
      </c>
      <c r="J10" s="27">
        <f t="shared" si="3"/>
        <v>9.3325191498765534</v>
      </c>
      <c r="K10" s="28">
        <v>45309</v>
      </c>
      <c r="L10">
        <f t="shared" si="4"/>
        <v>21</v>
      </c>
      <c r="M10" s="5">
        <f t="shared" si="5"/>
        <v>0.4335165463553548</v>
      </c>
      <c r="N10">
        <v>2</v>
      </c>
      <c r="O10">
        <v>99</v>
      </c>
      <c r="P10">
        <v>22</v>
      </c>
      <c r="Q10" s="29">
        <v>20.03</v>
      </c>
      <c r="R10" s="30">
        <f t="shared" si="6"/>
        <v>18.6279</v>
      </c>
      <c r="S10" s="30">
        <v>22.51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20.020557190614806</v>
      </c>
      <c r="X10" s="30">
        <v>22</v>
      </c>
      <c r="Y10" s="5">
        <f t="shared" si="11"/>
        <v>2.1949579384893256E-2</v>
      </c>
      <c r="Z10" s="33">
        <f t="shared" si="12"/>
        <v>0.1356605416667663</v>
      </c>
      <c r="AA10" s="9"/>
      <c r="AB10" s="31">
        <v>45406</v>
      </c>
      <c r="AC10" s="9">
        <v>82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81.400000000000006</v>
      </c>
      <c r="F11" s="3">
        <f t="shared" si="0"/>
        <v>49621.269059999999</v>
      </c>
      <c r="G11" s="3">
        <f>38270.34+5640.4</f>
        <v>43910.74</v>
      </c>
      <c r="H11" s="4">
        <f t="shared" si="1"/>
        <v>72.032301948546731</v>
      </c>
      <c r="I11" s="3">
        <f t="shared" si="2"/>
        <v>5710.5290600000008</v>
      </c>
      <c r="J11" s="27">
        <f t="shared" si="3"/>
        <v>9.3676980514532744</v>
      </c>
      <c r="K11" s="28">
        <v>45313</v>
      </c>
      <c r="L11">
        <f t="shared" si="4"/>
        <v>17</v>
      </c>
      <c r="M11" s="5">
        <f t="shared" si="5"/>
        <v>0.13004857262710673</v>
      </c>
      <c r="N11">
        <v>41</v>
      </c>
      <c r="O11">
        <v>91</v>
      </c>
      <c r="P11" s="34">
        <v>98</v>
      </c>
      <c r="Q11" s="29">
        <v>71.39</v>
      </c>
      <c r="R11" s="30">
        <f t="shared" si="6"/>
        <v>66.392700000000005</v>
      </c>
      <c r="S11" s="30">
        <v>68.38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67.5</v>
      </c>
      <c r="Y11" s="5">
        <f t="shared" si="11"/>
        <v>-6.2920409676539168E-2</v>
      </c>
      <c r="Z11" s="6">
        <f t="shared" si="12"/>
        <v>9.7582424794600886E-2</v>
      </c>
      <c r="AB11" s="31">
        <v>45351</v>
      </c>
      <c r="AC11" s="9">
        <v>99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v>952.00199999999995</v>
      </c>
      <c r="E12" s="27">
        <v>30.55</v>
      </c>
      <c r="F12" s="3">
        <f t="shared" si="0"/>
        <v>29083.661099999998</v>
      </c>
      <c r="G12" s="3">
        <v>28303.96</v>
      </c>
      <c r="H12" s="4">
        <f t="shared" si="1"/>
        <v>29.730987960109328</v>
      </c>
      <c r="I12" s="3">
        <f t="shared" si="2"/>
        <v>779.70109999999841</v>
      </c>
      <c r="J12" s="27">
        <f t="shared" si="3"/>
        <v>0.81901203989067284</v>
      </c>
      <c r="K12" s="28">
        <v>45321</v>
      </c>
      <c r="L12">
        <f t="shared" si="4"/>
        <v>9</v>
      </c>
      <c r="M12" s="5">
        <f t="shared" si="5"/>
        <v>2.7547420926259027E-2</v>
      </c>
      <c r="N12">
        <v>45</v>
      </c>
      <c r="O12">
        <v>96</v>
      </c>
      <c r="P12">
        <v>81</v>
      </c>
      <c r="Q12" s="29">
        <v>28.39</v>
      </c>
      <c r="R12" s="30">
        <f t="shared" si="6"/>
        <v>26.402700000000003</v>
      </c>
      <c r="S12" s="30">
        <v>24.09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27.649818802901674</v>
      </c>
      <c r="X12" s="30">
        <v>27.5</v>
      </c>
      <c r="Y12" s="5">
        <f t="shared" si="11"/>
        <v>-7.5039146465724238E-2</v>
      </c>
      <c r="Z12" s="6">
        <f t="shared" si="12"/>
        <v>5.7194308525458114E-2</v>
      </c>
      <c r="AB12" s="31">
        <v>45421</v>
      </c>
      <c r="AC12" s="9">
        <v>98</v>
      </c>
      <c r="AD12" t="s">
        <v>84</v>
      </c>
    </row>
    <row r="13" spans="1:31" x14ac:dyDescent="0.25">
      <c r="A13" t="s">
        <v>85</v>
      </c>
      <c r="B13" t="s">
        <v>33</v>
      </c>
      <c r="C13" s="26" t="s">
        <v>86</v>
      </c>
      <c r="D13" s="2">
        <v>126.054</v>
      </c>
      <c r="E13" s="27">
        <v>500.9</v>
      </c>
      <c r="F13" s="3">
        <f t="shared" si="0"/>
        <v>63140.448599999996</v>
      </c>
      <c r="G13" s="3">
        <v>56759.55</v>
      </c>
      <c r="H13" s="4">
        <f t="shared" si="1"/>
        <v>450.27964205816556</v>
      </c>
      <c r="I13" s="3">
        <f t="shared" si="2"/>
        <v>6380.8985999999932</v>
      </c>
      <c r="J13" s="27">
        <f t="shared" si="3"/>
        <v>50.620357941834413</v>
      </c>
      <c r="K13" s="28">
        <v>45327</v>
      </c>
      <c r="L13">
        <f t="shared" si="4"/>
        <v>4</v>
      </c>
      <c r="M13" s="5">
        <f t="shared" si="5"/>
        <v>0.11241982362439436</v>
      </c>
      <c r="N13">
        <v>12</v>
      </c>
      <c r="O13">
        <v>95</v>
      </c>
      <c r="P13" s="34">
        <v>83</v>
      </c>
      <c r="Q13" s="29">
        <v>442.84</v>
      </c>
      <c r="R13" s="30">
        <f t="shared" si="6"/>
        <v>411.84120000000001</v>
      </c>
      <c r="S13" s="30">
        <v>400.52</v>
      </c>
      <c r="T13" s="32">
        <f t="shared" si="7"/>
        <v>553.54999999999995</v>
      </c>
      <c r="U13" s="29">
        <f t="shared" si="8"/>
        <v>664.26</v>
      </c>
      <c r="V13" s="29">
        <f t="shared" si="9"/>
        <v>885.68</v>
      </c>
      <c r="W13" s="29">
        <f t="shared" si="10"/>
        <v>418.760067114094</v>
      </c>
      <c r="X13" s="30">
        <v>419</v>
      </c>
      <c r="Y13" s="5">
        <f t="shared" si="11"/>
        <v>-6.9467146938268567E-2</v>
      </c>
      <c r="Z13" s="6">
        <f t="shared" si="12"/>
        <v>0.12416849052281902</v>
      </c>
      <c r="AB13" s="31">
        <v>45358</v>
      </c>
      <c r="AC13" s="9">
        <v>99</v>
      </c>
      <c r="AD13" t="s">
        <v>87</v>
      </c>
    </row>
    <row r="14" spans="1:31" x14ac:dyDescent="0.25">
      <c r="A14" t="s">
        <v>88</v>
      </c>
      <c r="B14" t="s">
        <v>33</v>
      </c>
      <c r="C14" s="26" t="s">
        <v>89</v>
      </c>
      <c r="D14" s="2">
        <v>846.327</v>
      </c>
      <c r="E14" s="27">
        <v>35.47</v>
      </c>
      <c r="F14" s="3">
        <f>E14*D14</f>
        <v>30019.218689999998</v>
      </c>
      <c r="G14" s="3">
        <v>30020.93</v>
      </c>
      <c r="H14" s="4">
        <f>G14/D14</f>
        <v>35.472022043489098</v>
      </c>
      <c r="I14" s="3">
        <f>F14-G14</f>
        <v>-1.7113100000024133</v>
      </c>
      <c r="J14" s="27">
        <f>E14-H14</f>
        <v>-2.0220434890987349E-3</v>
      </c>
      <c r="K14" s="28">
        <v>45331</v>
      </c>
      <c r="L14">
        <f t="shared" si="4"/>
        <v>0</v>
      </c>
      <c r="M14" s="5">
        <f>(I14/G14)</f>
        <v>-5.7003896947976405E-5</v>
      </c>
      <c r="N14">
        <v>14</v>
      </c>
      <c r="O14">
        <v>96</v>
      </c>
      <c r="P14" s="34">
        <v>81</v>
      </c>
      <c r="Q14" s="29">
        <v>32.409999999999997</v>
      </c>
      <c r="R14" s="30">
        <f>Q14*0.93</f>
        <v>30.141299999999998</v>
      </c>
      <c r="S14" s="30">
        <v>29.8</v>
      </c>
      <c r="T14" s="29">
        <f>Q14*1.25</f>
        <v>40.512499999999996</v>
      </c>
      <c r="U14" s="29">
        <f>Q14*1.5</f>
        <v>48.614999999999995</v>
      </c>
      <c r="V14" s="29">
        <f>Q14*2</f>
        <v>64.819999999999993</v>
      </c>
      <c r="W14" s="29">
        <f>H14-(H14*0.07)</f>
        <v>32.98898050044486</v>
      </c>
      <c r="X14" s="30">
        <v>32.75</v>
      </c>
      <c r="Y14" s="5">
        <f>(X14-H14)/H14</f>
        <v>-7.6737154711729372E-2</v>
      </c>
      <c r="Z14" s="6">
        <f t="shared" si="12"/>
        <v>5.9034123989605239E-2</v>
      </c>
      <c r="AB14" s="31">
        <v>45358</v>
      </c>
      <c r="AC14" s="9">
        <v>97</v>
      </c>
      <c r="AD14" t="s">
        <v>90</v>
      </c>
    </row>
    <row r="15" spans="1:31" x14ac:dyDescent="0.25">
      <c r="E15" s="27"/>
      <c r="F15" s="3">
        <f>E15*D15</f>
        <v>0</v>
      </c>
      <c r="H15" s="4" t="e">
        <f>G15/D15</f>
        <v>#DIV/0!</v>
      </c>
      <c r="I15" s="3">
        <f>F15-G15</f>
        <v>0</v>
      </c>
      <c r="J15" s="27" t="e">
        <f>E15-H15</f>
        <v>#DIV/0!</v>
      </c>
      <c r="K15" s="28"/>
      <c r="L15">
        <f t="shared" ref="L15" si="13">DAYS360(K15,$C$1)</f>
        <v>44679</v>
      </c>
      <c r="M15" s="5" t="e">
        <f>(I15/G15)</f>
        <v>#DIV/0!</v>
      </c>
      <c r="Q15" s="29"/>
      <c r="R15" s="30">
        <f>Q15*0.93</f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>H15-(H15*0.07)</f>
        <v>#DIV/0!</v>
      </c>
      <c r="X15" s="30"/>
      <c r="Y15" s="5" t="e">
        <f>(X15-H15)/H15</f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540.57740000000001</v>
      </c>
      <c r="E16" s="37">
        <v>91.53</v>
      </c>
      <c r="F16" s="38">
        <f t="shared" si="0"/>
        <v>49479.049422000004</v>
      </c>
      <c r="G16" s="38">
        <v>49473.64</v>
      </c>
      <c r="H16" s="39">
        <f t="shared" si="1"/>
        <v>91.519993251660168</v>
      </c>
      <c r="I16" s="38">
        <f t="shared" si="2"/>
        <v>5.4094220000042696</v>
      </c>
      <c r="J16" s="37">
        <f t="shared" si="3"/>
        <v>1.0006748339833393E-2</v>
      </c>
      <c r="K16" s="40"/>
      <c r="L16" s="35"/>
      <c r="M16" s="41">
        <f t="shared" si="5"/>
        <v>1.0933947855876926E-4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85.113593724043952</v>
      </c>
      <c r="X16" s="43"/>
      <c r="Y16" s="41">
        <f t="shared" si="11"/>
        <v>-1</v>
      </c>
      <c r="Z16" s="44">
        <f t="shared" si="12"/>
        <v>9.730274357337558E-2</v>
      </c>
      <c r="AB16" s="31"/>
      <c r="AC16" s="9"/>
    </row>
    <row r="17" spans="1:26" x14ac:dyDescent="0.25">
      <c r="A17" t="s">
        <v>53</v>
      </c>
      <c r="F17" s="3">
        <f>SUM(F6:F16)</f>
        <v>472180.21066699998</v>
      </c>
      <c r="G17" s="3">
        <f>SUM(G6:G16)</f>
        <v>413303.64</v>
      </c>
      <c r="H17" s="4"/>
      <c r="I17" s="3">
        <f>SUM(I6:I16)</f>
        <v>58876.570667</v>
      </c>
      <c r="M17" s="5"/>
      <c r="Z17" s="6"/>
    </row>
    <row r="18" spans="1:26" x14ac:dyDescent="0.25">
      <c r="D18" s="2" t="s">
        <v>54</v>
      </c>
      <c r="F18" s="3">
        <v>36326</v>
      </c>
      <c r="G18" s="6">
        <f>F18/F19</f>
        <v>7.1436688948895488E-2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508506.21066699998</v>
      </c>
      <c r="H19" s="46"/>
      <c r="M19" s="5"/>
      <c r="Z19" s="6"/>
    </row>
    <row r="20" spans="1:26" x14ac:dyDescent="0.25">
      <c r="F20" s="4"/>
      <c r="H20" s="46" t="s">
        <v>56</v>
      </c>
      <c r="I20" s="47">
        <f>'02-02-24'!F19</f>
        <v>473501.67948400002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7.3926941972299348E-2</v>
      </c>
      <c r="K21" s="9" t="s">
        <v>58</v>
      </c>
      <c r="L21" s="6">
        <f>(F19-L20)/L20</f>
        <v>6.7930044331681372E-2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14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>F26/D26</f>
        <v>35.085004734625322</v>
      </c>
      <c r="F26" s="3">
        <v>40941.919999999998</v>
      </c>
      <c r="G26" s="3">
        <v>36634.589999999997</v>
      </c>
      <c r="H26" s="3">
        <f>G26/D26</f>
        <v>31.393856555849297</v>
      </c>
      <c r="I26" s="3">
        <f>G26-F26</f>
        <v>-4307.3300000000017</v>
      </c>
      <c r="J26" s="5">
        <f>I26/F26</f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>F27/D27</f>
        <v>20.491040268725982</v>
      </c>
      <c r="F27" s="3">
        <v>41317.9</v>
      </c>
      <c r="G27" s="3">
        <v>42071.53</v>
      </c>
      <c r="H27" s="3">
        <f>G27/D27</f>
        <v>20.86479262975401</v>
      </c>
      <c r="I27" s="3">
        <f>G27-F27</f>
        <v>753.62999999999738</v>
      </c>
      <c r="J27" s="5">
        <f>I27/F27</f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>F28/D28</f>
        <v>21.193736358158553</v>
      </c>
      <c r="F28" s="3">
        <f>28457.8+19398.39</f>
        <v>47856.19</v>
      </c>
      <c r="G28" s="3">
        <v>39178.269999999997</v>
      </c>
      <c r="H28" s="3">
        <f>G28/D28</f>
        <v>17.350606585036385</v>
      </c>
      <c r="I28" s="3">
        <f>G28-F28</f>
        <v>-8677.9200000000055</v>
      </c>
      <c r="J28" s="5">
        <f>I28/F28</f>
        <v>-0.18133328206863114</v>
      </c>
      <c r="K28" s="1">
        <v>45302</v>
      </c>
      <c r="L28" s="1">
        <v>45322</v>
      </c>
      <c r="M28">
        <f>DAYS360(K28,L28)</f>
        <v>20</v>
      </c>
    </row>
    <row r="29" spans="1:26" x14ac:dyDescent="0.25">
      <c r="C29" s="26"/>
      <c r="E29" s="3"/>
      <c r="J29" s="5"/>
      <c r="K29" s="1"/>
      <c r="L29" s="1"/>
    </row>
    <row r="30" spans="1:26" x14ac:dyDescent="0.25">
      <c r="C30" s="26"/>
      <c r="E30" s="3"/>
      <c r="J30" s="5"/>
      <c r="K30" s="1"/>
      <c r="L30" s="1"/>
      <c r="M30" s="54"/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-12231.62000000001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FAB8-9FC4-4786-A4A9-96E030FE1720}">
  <dimension ref="A1:AE194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45338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269.8</v>
      </c>
      <c r="F7" s="3">
        <f t="shared" ref="F7:F13" si="0">E7*D7</f>
        <v>72264.068379999997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11097.828379999999</v>
      </c>
      <c r="J7" s="27">
        <f t="shared" ref="J7:J16" si="3">E7-H7</f>
        <v>41.434064868574183</v>
      </c>
      <c r="K7" s="28">
        <v>45238</v>
      </c>
      <c r="L7">
        <f t="shared" ref="L7:L15" si="4">DAYS360(K7,$C$1)</f>
        <v>98</v>
      </c>
      <c r="M7" s="5">
        <f t="shared" ref="M7:M16" si="5">(I7/G7)</f>
        <v>0.18143715193217697</v>
      </c>
      <c r="N7">
        <v>33</v>
      </c>
      <c r="O7">
        <v>89</v>
      </c>
      <c r="P7">
        <v>99</v>
      </c>
      <c r="Q7" s="29">
        <v>223.3</v>
      </c>
      <c r="R7" s="30">
        <f t="shared" ref="R7:R16" si="6">Q7*0.93</f>
        <v>207.66900000000001</v>
      </c>
      <c r="S7" s="30">
        <v>241.72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250</v>
      </c>
      <c r="Y7" s="5">
        <f t="shared" ref="Y7:Y16" si="11">(X7-H7)/H7</f>
        <v>9.4734203050571661E-2</v>
      </c>
      <c r="Z7" s="6">
        <f t="shared" ref="Z7:Z16" si="12">F7/F$19</f>
        <v>0.14009329809235116</v>
      </c>
      <c r="AB7" s="31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21.44</v>
      </c>
      <c r="F8" s="3">
        <f t="shared" si="0"/>
        <v>47303.886719999995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7844.5867199999921</v>
      </c>
      <c r="J8" s="27">
        <f t="shared" si="3"/>
        <v>3.5554782268174669</v>
      </c>
      <c r="K8" s="28">
        <v>45243</v>
      </c>
      <c r="L8">
        <f t="shared" si="4"/>
        <v>93</v>
      </c>
      <c r="M8" s="5">
        <f t="shared" si="5"/>
        <v>0.19880197367920849</v>
      </c>
      <c r="N8">
        <v>16</v>
      </c>
      <c r="O8">
        <v>91</v>
      </c>
      <c r="P8" s="34">
        <v>22</v>
      </c>
      <c r="Q8" s="29">
        <v>17.32</v>
      </c>
      <c r="R8" s="30">
        <f t="shared" si="6"/>
        <v>16.107600000000001</v>
      </c>
      <c r="S8" s="30">
        <v>20.03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19.75</v>
      </c>
      <c r="Y8" s="5">
        <f t="shared" si="11"/>
        <v>0.10430685541811419</v>
      </c>
      <c r="Z8" s="6">
        <f t="shared" si="12"/>
        <v>9.1704738630877664E-2</v>
      </c>
      <c r="AB8" s="31">
        <v>45427</v>
      </c>
      <c r="AC8" s="9">
        <v>67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129.74</v>
      </c>
      <c r="F9" s="3">
        <f t="shared" si="0"/>
        <v>58490.256058000006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2403.3560580000121</v>
      </c>
      <c r="J9" s="27">
        <f t="shared" si="3"/>
        <v>5.3309976050664574</v>
      </c>
      <c r="K9" s="28">
        <v>45286</v>
      </c>
      <c r="L9">
        <f t="shared" si="4"/>
        <v>50</v>
      </c>
      <c r="M9" s="5">
        <f t="shared" si="5"/>
        <v>4.2850577550194655E-2</v>
      </c>
      <c r="N9">
        <v>16</v>
      </c>
      <c r="O9">
        <v>91</v>
      </c>
      <c r="P9">
        <v>99</v>
      </c>
      <c r="Q9" s="29">
        <v>120.26</v>
      </c>
      <c r="R9" s="30">
        <f t="shared" si="6"/>
        <v>111.84180000000001</v>
      </c>
      <c r="S9" s="30">
        <v>119.34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122</v>
      </c>
      <c r="Y9" s="5">
        <f t="shared" si="11"/>
        <v>-1.9363569746232899E-2</v>
      </c>
      <c r="Z9" s="6">
        <f t="shared" si="12"/>
        <v>0.11339097093652097</v>
      </c>
      <c r="AB9" s="31">
        <v>45414</v>
      </c>
      <c r="AC9" s="9">
        <v>99</v>
      </c>
      <c r="AD9" t="s">
        <v>47</v>
      </c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</f>
        <v>2235.393</v>
      </c>
      <c r="E10" s="27">
        <v>36.200000000000003</v>
      </c>
      <c r="F10" s="3">
        <f t="shared" si="0"/>
        <v>80921.226600000009</v>
      </c>
      <c r="G10" s="3">
        <f>28174.78+19947.6</f>
        <v>48122.38</v>
      </c>
      <c r="H10" s="4">
        <f t="shared" si="1"/>
        <v>21.527480850123446</v>
      </c>
      <c r="I10" s="3">
        <f t="shared" si="2"/>
        <v>32798.846600000012</v>
      </c>
      <c r="J10" s="27">
        <f t="shared" si="3"/>
        <v>14.672519149876557</v>
      </c>
      <c r="K10" s="28">
        <v>45309</v>
      </c>
      <c r="L10">
        <f t="shared" si="4"/>
        <v>28</v>
      </c>
      <c r="M10" s="5">
        <f t="shared" si="5"/>
        <v>0.68157158062423373</v>
      </c>
      <c r="N10">
        <v>2</v>
      </c>
      <c r="O10">
        <v>99</v>
      </c>
      <c r="P10">
        <v>22</v>
      </c>
      <c r="Q10" s="29">
        <v>20.03</v>
      </c>
      <c r="R10" s="30">
        <f t="shared" si="6"/>
        <v>18.6279</v>
      </c>
      <c r="S10" s="30">
        <v>22.51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20.020557190614806</v>
      </c>
      <c r="X10" s="30">
        <v>26</v>
      </c>
      <c r="Y10" s="5">
        <f t="shared" si="11"/>
        <v>0.20775859381851022</v>
      </c>
      <c r="Z10" s="33">
        <f t="shared" si="12"/>
        <v>0.15687632559600015</v>
      </c>
      <c r="AA10" s="9"/>
      <c r="AB10" s="31">
        <v>45406</v>
      </c>
      <c r="AC10" s="9">
        <v>82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84.3</v>
      </c>
      <c r="F11" s="3">
        <f t="shared" si="0"/>
        <v>51389.10297</v>
      </c>
      <c r="G11" s="3">
        <f>38270.34+5640.4</f>
        <v>43910.74</v>
      </c>
      <c r="H11" s="4">
        <f t="shared" si="1"/>
        <v>72.032301948546731</v>
      </c>
      <c r="I11" s="3">
        <f t="shared" si="2"/>
        <v>7478.362970000002</v>
      </c>
      <c r="J11" s="27">
        <f t="shared" si="3"/>
        <v>12.267698051453266</v>
      </c>
      <c r="K11" s="28">
        <v>45313</v>
      </c>
      <c r="L11">
        <f t="shared" si="4"/>
        <v>24</v>
      </c>
      <c r="M11" s="5">
        <f t="shared" si="5"/>
        <v>0.17030828835952211</v>
      </c>
      <c r="N11">
        <v>38</v>
      </c>
      <c r="O11">
        <v>92</v>
      </c>
      <c r="P11" s="34">
        <v>98</v>
      </c>
      <c r="Q11" s="29">
        <v>71.39</v>
      </c>
      <c r="R11" s="30">
        <f t="shared" si="6"/>
        <v>66.392700000000005</v>
      </c>
      <c r="S11" s="30">
        <v>68.38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72</v>
      </c>
      <c r="Y11" s="5">
        <f t="shared" si="11"/>
        <v>-4.4843698830845149E-4</v>
      </c>
      <c r="Z11" s="6">
        <f t="shared" si="12"/>
        <v>9.9624461817143253E-2</v>
      </c>
      <c r="AB11" s="31">
        <v>45350</v>
      </c>
      <c r="AC11" s="9">
        <v>99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f>952.002+512.6146</f>
        <v>1464.6165999999998</v>
      </c>
      <c r="E12" s="27">
        <v>32.31</v>
      </c>
      <c r="F12" s="3">
        <f t="shared" si="0"/>
        <v>47321.762345999996</v>
      </c>
      <c r="G12" s="3">
        <f>28303.96+15646.4</f>
        <v>43950.36</v>
      </c>
      <c r="H12" s="4">
        <f t="shared" si="1"/>
        <v>30.008099047901005</v>
      </c>
      <c r="I12" s="3">
        <f t="shared" si="2"/>
        <v>3371.4023459999953</v>
      </c>
      <c r="J12" s="27">
        <f t="shared" si="3"/>
        <v>2.3019009520989968</v>
      </c>
      <c r="K12" s="28">
        <v>45321</v>
      </c>
      <c r="L12">
        <f t="shared" si="4"/>
        <v>16</v>
      </c>
      <c r="M12" s="5">
        <f t="shared" si="5"/>
        <v>7.6709322654012285E-2</v>
      </c>
      <c r="N12">
        <v>50</v>
      </c>
      <c r="O12">
        <v>96</v>
      </c>
      <c r="P12">
        <v>81</v>
      </c>
      <c r="Q12" s="29">
        <v>28.39</v>
      </c>
      <c r="R12" s="30">
        <f t="shared" si="6"/>
        <v>26.402700000000003</v>
      </c>
      <c r="S12" s="30">
        <v>24.09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27.907532114547934</v>
      </c>
      <c r="X12" s="30">
        <v>29</v>
      </c>
      <c r="Y12" s="5">
        <f t="shared" si="11"/>
        <v>-3.3594232220168559E-2</v>
      </c>
      <c r="Z12" s="6">
        <f t="shared" si="12"/>
        <v>9.173939285749326E-2</v>
      </c>
      <c r="AB12" s="31">
        <v>45421</v>
      </c>
      <c r="AC12" s="9">
        <v>99</v>
      </c>
      <c r="AD12" t="s">
        <v>84</v>
      </c>
    </row>
    <row r="13" spans="1:31" x14ac:dyDescent="0.25">
      <c r="A13" t="s">
        <v>85</v>
      </c>
      <c r="B13" t="s">
        <v>33</v>
      </c>
      <c r="C13" s="26" t="s">
        <v>86</v>
      </c>
      <c r="D13" s="2">
        <v>126.054</v>
      </c>
      <c r="E13" s="27">
        <v>465.06</v>
      </c>
      <c r="F13" s="3">
        <f t="shared" si="0"/>
        <v>58622.673240000004</v>
      </c>
      <c r="G13" s="3">
        <v>56759.55</v>
      </c>
      <c r="H13" s="4">
        <f t="shared" si="1"/>
        <v>450.27964205816556</v>
      </c>
      <c r="I13" s="3">
        <f t="shared" si="2"/>
        <v>1863.1232400000008</v>
      </c>
      <c r="J13" s="27">
        <f t="shared" si="3"/>
        <v>14.780357941834438</v>
      </c>
      <c r="K13" s="28">
        <v>45327</v>
      </c>
      <c r="L13">
        <f t="shared" si="4"/>
        <v>11</v>
      </c>
      <c r="M13" s="5">
        <f t="shared" si="5"/>
        <v>3.282484163457957E-2</v>
      </c>
      <c r="N13">
        <v>9</v>
      </c>
      <c r="O13">
        <v>94</v>
      </c>
      <c r="P13" s="34">
        <v>83</v>
      </c>
      <c r="Q13" s="29">
        <v>442.84</v>
      </c>
      <c r="R13" s="30">
        <f t="shared" si="6"/>
        <v>411.84120000000001</v>
      </c>
      <c r="S13" s="30">
        <v>400.52</v>
      </c>
      <c r="T13" s="32">
        <f t="shared" si="7"/>
        <v>553.54999999999995</v>
      </c>
      <c r="U13" s="29">
        <f t="shared" si="8"/>
        <v>664.26</v>
      </c>
      <c r="V13" s="29">
        <f t="shared" si="9"/>
        <v>885.68</v>
      </c>
      <c r="W13" s="29">
        <f t="shared" si="10"/>
        <v>418.760067114094</v>
      </c>
      <c r="X13" s="30">
        <v>445</v>
      </c>
      <c r="Y13" s="5">
        <f t="shared" si="11"/>
        <v>-1.1725251521550153E-2</v>
      </c>
      <c r="Z13" s="6">
        <f t="shared" si="12"/>
        <v>0.11364767887127114</v>
      </c>
      <c r="AB13" s="31">
        <v>45358</v>
      </c>
      <c r="AC13" s="9">
        <v>99</v>
      </c>
      <c r="AD13" t="s">
        <v>87</v>
      </c>
    </row>
    <row r="14" spans="1:31" x14ac:dyDescent="0.25">
      <c r="A14" t="s">
        <v>88</v>
      </c>
      <c r="B14" t="s">
        <v>33</v>
      </c>
      <c r="C14" s="26" t="s">
        <v>89</v>
      </c>
      <c r="D14" s="2">
        <f>846.327+640.0668</f>
        <v>1486.3937999999998</v>
      </c>
      <c r="E14" s="27">
        <v>34.44</v>
      </c>
      <c r="F14" s="3">
        <f>E14*D14</f>
        <v>51191.402471999994</v>
      </c>
      <c r="G14" s="3">
        <f>30020.93+21858.29</f>
        <v>51879.22</v>
      </c>
      <c r="H14" s="4">
        <f>G14/D14</f>
        <v>34.902742463000052</v>
      </c>
      <c r="I14" s="3">
        <f>F14-G14</f>
        <v>-687.81752800000686</v>
      </c>
      <c r="J14" s="27">
        <f>E14-H14</f>
        <v>-0.46274246300005473</v>
      </c>
      <c r="K14" s="28">
        <v>45331</v>
      </c>
      <c r="L14">
        <f t="shared" si="4"/>
        <v>7</v>
      </c>
      <c r="M14" s="5">
        <f>(I14/G14)</f>
        <v>-1.3258054535129998E-2</v>
      </c>
      <c r="N14">
        <v>16</v>
      </c>
      <c r="O14">
        <v>95</v>
      </c>
      <c r="P14" s="34">
        <v>81</v>
      </c>
      <c r="Q14" s="29">
        <v>32.409999999999997</v>
      </c>
      <c r="R14" s="30">
        <f>Q14*0.93</f>
        <v>30.141299999999998</v>
      </c>
      <c r="S14" s="30">
        <v>29.8</v>
      </c>
      <c r="T14" s="29">
        <f>Q14*1.25</f>
        <v>40.512499999999996</v>
      </c>
      <c r="U14" s="29">
        <f>Q14*1.5</f>
        <v>48.614999999999995</v>
      </c>
      <c r="V14" s="29">
        <f>Q14*2</f>
        <v>64.819999999999993</v>
      </c>
      <c r="W14" s="29">
        <f>H14-(H14*0.07)</f>
        <v>32.459550490590047</v>
      </c>
      <c r="X14" s="30">
        <v>32.75</v>
      </c>
      <c r="Y14" s="5">
        <f>(X14-H14)/H14</f>
        <v>-6.1678318409567584E-2</v>
      </c>
      <c r="Z14" s="6">
        <f t="shared" si="12"/>
        <v>9.9241193680983539E-2</v>
      </c>
      <c r="AB14" s="31">
        <v>45358</v>
      </c>
      <c r="AC14" s="9">
        <v>95</v>
      </c>
      <c r="AD14" t="s">
        <v>90</v>
      </c>
    </row>
    <row r="15" spans="1:31" x14ac:dyDescent="0.25">
      <c r="E15" s="27"/>
      <c r="F15" s="3">
        <f>E15*D15</f>
        <v>0</v>
      </c>
      <c r="H15" s="4" t="e">
        <f>G15/D15</f>
        <v>#DIV/0!</v>
      </c>
      <c r="I15" s="3">
        <f>F15-G15</f>
        <v>0</v>
      </c>
      <c r="J15" s="27" t="e">
        <f>E15-H15</f>
        <v>#DIV/0!</v>
      </c>
      <c r="K15" s="28"/>
      <c r="L15">
        <f t="shared" si="4"/>
        <v>44686</v>
      </c>
      <c r="M15" s="5" t="e">
        <f>(I15/G15)</f>
        <v>#DIV/0!</v>
      </c>
      <c r="Q15" s="29"/>
      <c r="R15" s="30">
        <f>Q15*0.93</f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>H15-(H15*0.07)</f>
        <v>#DIV/0!</v>
      </c>
      <c r="X15" s="30"/>
      <c r="Y15" s="5" t="e">
        <f>(X15-H15)/H15</f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91.63</v>
      </c>
      <c r="F16" s="57">
        <f>E16*D16</f>
        <v>25420.782618000001</v>
      </c>
      <c r="G16" s="38">
        <v>25401.360000000001</v>
      </c>
      <c r="H16" s="39">
        <f t="shared" si="1"/>
        <v>91.559990570546802</v>
      </c>
      <c r="I16" s="38">
        <f t="shared" si="2"/>
        <v>19.422618000000512</v>
      </c>
      <c r="J16" s="37">
        <f t="shared" si="3"/>
        <v>7.0009429453193661E-2</v>
      </c>
      <c r="K16" s="40"/>
      <c r="L16" s="35"/>
      <c r="M16" s="41">
        <f t="shared" si="5"/>
        <v>7.6462905923149434E-4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85.150791230608519</v>
      </c>
      <c r="X16" s="43"/>
      <c r="Y16" s="41">
        <f t="shared" si="11"/>
        <v>-1</v>
      </c>
      <c r="Z16" s="44">
        <f t="shared" si="12"/>
        <v>4.9281494342629115E-2</v>
      </c>
      <c r="AB16" s="31"/>
      <c r="AC16" s="9"/>
    </row>
    <row r="17" spans="1:26" x14ac:dyDescent="0.25">
      <c r="A17" t="s">
        <v>53</v>
      </c>
      <c r="F17" s="3">
        <f>SUM(F6:F16)</f>
        <v>492925.16140399995</v>
      </c>
      <c r="G17" s="3">
        <f>SUM(G6:G16)</f>
        <v>426736.04999999993</v>
      </c>
      <c r="H17" s="4"/>
      <c r="I17" s="3">
        <f>SUM(I6:I16)</f>
        <v>66189.11140400001</v>
      </c>
      <c r="M17" s="5"/>
      <c r="Z17" s="6"/>
    </row>
    <row r="18" spans="1:26" x14ac:dyDescent="0.25">
      <c r="D18" s="2" t="s">
        <v>54</v>
      </c>
      <c r="F18" s="3">
        <v>22903</v>
      </c>
      <c r="G18" s="6">
        <f>F18/F19</f>
        <v>4.4400445174729852E-2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515828.16140399995</v>
      </c>
      <c r="H19" s="46"/>
      <c r="M19" s="5"/>
      <c r="Z19" s="6"/>
    </row>
    <row r="20" spans="1:26" x14ac:dyDescent="0.25">
      <c r="F20" s="4"/>
      <c r="H20" s="46" t="s">
        <v>56</v>
      </c>
      <c r="I20" s="47">
        <f>'02-09-24'!F19</f>
        <v>508506.21066699998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1.4398940629251872E-2</v>
      </c>
      <c r="K21" s="9" t="s">
        <v>58</v>
      </c>
      <c r="L21" s="6">
        <f>(F19-L20)/L20</f>
        <v>8.3307105636207579E-2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>F25/D25</f>
        <v>47.428061535569462</v>
      </c>
      <c r="F25" s="3">
        <v>38349.050000000003</v>
      </c>
      <c r="G25" s="3">
        <v>35186.18</v>
      </c>
      <c r="H25" s="3">
        <f>G25/D25</f>
        <v>43.516392459307944</v>
      </c>
      <c r="I25" s="3">
        <f>G25-F25</f>
        <v>-3162.8700000000026</v>
      </c>
      <c r="J25" s="5">
        <f>I25/F25</f>
        <v>-8.2475837080710018E-2</v>
      </c>
      <c r="K25" s="1">
        <v>45286</v>
      </c>
      <c r="L25" s="1">
        <v>45302</v>
      </c>
      <c r="M25">
        <f t="shared" ref="M25" si="13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>F26/D26</f>
        <v>35.085004734625322</v>
      </c>
      <c r="F26" s="3">
        <v>40941.919999999998</v>
      </c>
      <c r="G26" s="3">
        <v>36634.589999999997</v>
      </c>
      <c r="H26" s="3">
        <f>G26/D26</f>
        <v>31.393856555849297</v>
      </c>
      <c r="I26" s="3">
        <f>G26-F26</f>
        <v>-4307.3300000000017</v>
      </c>
      <c r="J26" s="5">
        <f>I26/F26</f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>F27/D27</f>
        <v>20.491040268725982</v>
      </c>
      <c r="F27" s="3">
        <v>41317.9</v>
      </c>
      <c r="G27" s="3">
        <v>42071.53</v>
      </c>
      <c r="H27" s="3">
        <f>G27/D27</f>
        <v>20.86479262975401</v>
      </c>
      <c r="I27" s="3">
        <f>G27-F27</f>
        <v>753.62999999999738</v>
      </c>
      <c r="J27" s="5">
        <f>I27/F27</f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>F28/D28</f>
        <v>21.193736358158553</v>
      </c>
      <c r="F28" s="3">
        <f>28457.8+19398.39</f>
        <v>47856.19</v>
      </c>
      <c r="G28" s="3">
        <v>39178.269999999997</v>
      </c>
      <c r="H28" s="3">
        <f>G28/D28</f>
        <v>17.350606585036385</v>
      </c>
      <c r="I28" s="3">
        <f>G28-F28</f>
        <v>-8677.9200000000055</v>
      </c>
      <c r="J28" s="5">
        <f>I28/F28</f>
        <v>-0.18133328206863114</v>
      </c>
      <c r="K28" s="1">
        <v>45302</v>
      </c>
      <c r="L28" s="1">
        <v>45322</v>
      </c>
      <c r="M28">
        <f>DAYS360(K28,L28)</f>
        <v>20</v>
      </c>
    </row>
    <row r="29" spans="1:26" x14ac:dyDescent="0.25">
      <c r="C29" s="26"/>
      <c r="E29" s="3"/>
      <c r="J29" s="5"/>
      <c r="K29" s="1"/>
      <c r="L29" s="1"/>
    </row>
    <row r="30" spans="1:26" x14ac:dyDescent="0.25">
      <c r="C30" s="26"/>
      <c r="E30" s="3"/>
      <c r="J30" s="5"/>
      <c r="K30" s="1"/>
      <c r="L30" s="1"/>
      <c r="M30" s="54"/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I32" s="3">
        <f>SUM(I25:I31)</f>
        <v>-15394.490000000013</v>
      </c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-27626.110000000022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5CE3-5C8C-4AF7-B761-C540EEF6738D}">
  <dimension ref="A1:AE194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45345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270.63</v>
      </c>
      <c r="F7" s="3">
        <f t="shared" ref="F7:F16" si="0">E7*D7</f>
        <v>72486.378152999998</v>
      </c>
      <c r="G7" s="3">
        <v>61166.239999999998</v>
      </c>
      <c r="H7" s="4">
        <f t="shared" ref="H7:H15" si="1">G7/D7</f>
        <v>228.36593513142583</v>
      </c>
      <c r="I7" s="3">
        <f t="shared" ref="I7:I15" si="2">F7-G7</f>
        <v>11320.138153</v>
      </c>
      <c r="J7" s="27">
        <f t="shared" ref="J7:J15" si="3">E7-H7</f>
        <v>42.264064868574167</v>
      </c>
      <c r="K7" s="28">
        <v>45238</v>
      </c>
      <c r="L7">
        <f t="shared" ref="L7:L14" si="4">DAYS360(K7,$C$1)</f>
        <v>105</v>
      </c>
      <c r="M7" s="5">
        <f t="shared" ref="M7:M15" si="5">(I7/G7)</f>
        <v>0.18507166948630488</v>
      </c>
      <c r="N7">
        <v>26</v>
      </c>
      <c r="O7">
        <v>89</v>
      </c>
      <c r="P7">
        <v>99</v>
      </c>
      <c r="Q7" s="29">
        <v>223.3</v>
      </c>
      <c r="R7" s="30">
        <f t="shared" ref="R7:R15" si="6">Q7*0.93</f>
        <v>207.66900000000001</v>
      </c>
      <c r="S7" s="30">
        <v>241.72</v>
      </c>
      <c r="T7" s="29">
        <f t="shared" ref="T7:T15" si="7">Q7*1.25</f>
        <v>279.125</v>
      </c>
      <c r="U7" s="29">
        <f t="shared" ref="U7:U15" si="8">Q7*1.5</f>
        <v>334.95000000000005</v>
      </c>
      <c r="V7" s="29">
        <f t="shared" ref="V7:V15" si="9">Q7*2</f>
        <v>446.6</v>
      </c>
      <c r="W7" s="29">
        <f t="shared" ref="W7:W15" si="10">H7-(H7*0.07)</f>
        <v>212.38031967222602</v>
      </c>
      <c r="X7" s="30">
        <v>250</v>
      </c>
      <c r="Y7" s="5">
        <f t="shared" ref="Y7:Y15" si="11">(X7-H7)/H7</f>
        <v>9.4734203050571661E-2</v>
      </c>
      <c r="Z7" s="6">
        <f t="shared" ref="Z7:Z14" si="12">F7/F$19</f>
        <v>0.14235115071725241</v>
      </c>
      <c r="AB7" s="56">
        <v>45349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21.54</v>
      </c>
      <c r="F8" s="3">
        <f t="shared" si="0"/>
        <v>47524.520519999991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8065.220519999988</v>
      </c>
      <c r="J8" s="27">
        <f t="shared" si="3"/>
        <v>3.6554782268174648</v>
      </c>
      <c r="K8" s="28">
        <v>45243</v>
      </c>
      <c r="L8">
        <f t="shared" si="4"/>
        <v>100</v>
      </c>
      <c r="M8" s="5">
        <f t="shared" si="5"/>
        <v>0.20439340079524948</v>
      </c>
      <c r="N8">
        <v>21</v>
      </c>
      <c r="O8">
        <v>91</v>
      </c>
      <c r="P8" s="34">
        <v>22</v>
      </c>
      <c r="Q8" s="29">
        <v>17.32</v>
      </c>
      <c r="R8" s="30">
        <f t="shared" si="6"/>
        <v>16.107600000000001</v>
      </c>
      <c r="S8" s="30">
        <v>20.03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19.75</v>
      </c>
      <c r="Y8" s="5">
        <f t="shared" si="11"/>
        <v>0.10430685541811419</v>
      </c>
      <c r="Z8" s="6">
        <f t="shared" si="12"/>
        <v>9.33302277709082E-2</v>
      </c>
      <c r="AB8" s="31">
        <v>45427</v>
      </c>
      <c r="AC8" s="9">
        <v>66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129.51</v>
      </c>
      <c r="F9" s="3">
        <f t="shared" si="0"/>
        <v>58386.565917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2299.6659170000057</v>
      </c>
      <c r="J9" s="27">
        <f t="shared" si="3"/>
        <v>5.1009976050664392</v>
      </c>
      <c r="K9" s="28">
        <v>45286</v>
      </c>
      <c r="L9">
        <f t="shared" si="4"/>
        <v>57</v>
      </c>
      <c r="M9" s="5">
        <f t="shared" si="5"/>
        <v>4.1001836739060389E-2</v>
      </c>
      <c r="N9">
        <v>21</v>
      </c>
      <c r="O9">
        <v>91</v>
      </c>
      <c r="P9">
        <v>99</v>
      </c>
      <c r="Q9" s="29">
        <v>120.26</v>
      </c>
      <c r="R9" s="30">
        <f t="shared" si="6"/>
        <v>111.84180000000001</v>
      </c>
      <c r="S9" s="30">
        <v>119.34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122</v>
      </c>
      <c r="Y9" s="5">
        <f t="shared" si="11"/>
        <v>-1.9363569746232899E-2</v>
      </c>
      <c r="Z9" s="6">
        <f t="shared" si="12"/>
        <v>0.11466147235512933</v>
      </c>
      <c r="AB9" s="31">
        <v>45414</v>
      </c>
      <c r="AC9" s="9">
        <v>99</v>
      </c>
      <c r="AD9" t="s">
        <v>47</v>
      </c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1286.8297+948.5633-808.6324</f>
        <v>1426.7606000000001</v>
      </c>
      <c r="E10" s="27">
        <v>37.42</v>
      </c>
      <c r="F10" s="3">
        <f t="shared" si="0"/>
        <v>53389.381652000004</v>
      </c>
      <c r="G10" s="3">
        <f>28174.78+19947.6-17409.86</f>
        <v>30712.519999999997</v>
      </c>
      <c r="H10" s="4">
        <f t="shared" si="1"/>
        <v>21.526049990446886</v>
      </c>
      <c r="I10" s="3">
        <f t="shared" si="2"/>
        <v>22676.861652000007</v>
      </c>
      <c r="J10" s="27">
        <f t="shared" si="3"/>
        <v>15.893950009553116</v>
      </c>
      <c r="K10" s="28">
        <v>45309</v>
      </c>
      <c r="L10">
        <f t="shared" si="4"/>
        <v>35</v>
      </c>
      <c r="M10" s="5">
        <f t="shared" si="5"/>
        <v>0.73835887292869518</v>
      </c>
      <c r="N10">
        <v>4</v>
      </c>
      <c r="O10">
        <v>99</v>
      </c>
      <c r="P10">
        <v>22</v>
      </c>
      <c r="Q10" s="29">
        <v>20.03</v>
      </c>
      <c r="R10" s="30">
        <f t="shared" si="6"/>
        <v>18.6279</v>
      </c>
      <c r="S10" s="30">
        <v>22.51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20.019226491115603</v>
      </c>
      <c r="X10" s="30">
        <v>28</v>
      </c>
      <c r="Y10" s="5">
        <f t="shared" si="11"/>
        <v>0.30074955750944593</v>
      </c>
      <c r="Z10" s="33">
        <f t="shared" si="12"/>
        <v>0.10484783635075606</v>
      </c>
      <c r="AA10" s="9"/>
      <c r="AB10" s="31">
        <v>45406</v>
      </c>
      <c r="AC10" s="9">
        <v>83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84.05</v>
      </c>
      <c r="F11" s="3">
        <f t="shared" si="0"/>
        <v>51236.703494999994</v>
      </c>
      <c r="G11" s="3">
        <f>38270.34+5640.4</f>
        <v>43910.74</v>
      </c>
      <c r="H11" s="4">
        <f t="shared" si="1"/>
        <v>72.032301948546731</v>
      </c>
      <c r="I11" s="3">
        <f t="shared" si="2"/>
        <v>7325.9634949999963</v>
      </c>
      <c r="J11" s="27">
        <f t="shared" si="3"/>
        <v>12.017698051453266</v>
      </c>
      <c r="K11" s="28">
        <v>45313</v>
      </c>
      <c r="L11">
        <f t="shared" si="4"/>
        <v>31</v>
      </c>
      <c r="M11" s="5">
        <f t="shared" si="5"/>
        <v>0.16683762321017584</v>
      </c>
      <c r="N11">
        <v>51</v>
      </c>
      <c r="O11">
        <v>92</v>
      </c>
      <c r="P11" s="34">
        <v>98</v>
      </c>
      <c r="Q11" s="29">
        <v>71.39</v>
      </c>
      <c r="R11" s="30">
        <f t="shared" si="6"/>
        <v>66.392700000000005</v>
      </c>
      <c r="S11" s="30">
        <v>68.38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77</v>
      </c>
      <c r="Y11" s="5">
        <f t="shared" si="11"/>
        <v>6.8964865998614566E-2</v>
      </c>
      <c r="Z11" s="6">
        <f t="shared" si="12"/>
        <v>0.10062033567295922</v>
      </c>
      <c r="AB11" s="56">
        <v>45350</v>
      </c>
      <c r="AC11" s="9">
        <v>99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f>952.002+512.6146</f>
        <v>1464.6165999999998</v>
      </c>
      <c r="E12" s="27">
        <v>31.5</v>
      </c>
      <c r="F12" s="3">
        <f t="shared" si="0"/>
        <v>46135.422899999998</v>
      </c>
      <c r="G12" s="3">
        <f>28303.96+15646.4</f>
        <v>43950.36</v>
      </c>
      <c r="H12" s="4">
        <f t="shared" si="1"/>
        <v>30.008099047901005</v>
      </c>
      <c r="I12" s="3">
        <f t="shared" si="2"/>
        <v>2185.0628999999972</v>
      </c>
      <c r="J12" s="27">
        <f t="shared" si="3"/>
        <v>1.4919009520989945</v>
      </c>
      <c r="K12" s="28">
        <v>45321</v>
      </c>
      <c r="L12">
        <f t="shared" si="4"/>
        <v>23</v>
      </c>
      <c r="M12" s="5">
        <f t="shared" si="5"/>
        <v>4.9716609829817029E-2</v>
      </c>
      <c r="N12">
        <v>46</v>
      </c>
      <c r="O12">
        <v>95</v>
      </c>
      <c r="P12">
        <v>81</v>
      </c>
      <c r="Q12" s="29">
        <v>28.39</v>
      </c>
      <c r="R12" s="30">
        <f t="shared" si="6"/>
        <v>26.402700000000003</v>
      </c>
      <c r="S12" s="30">
        <v>24.09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27.907532114547934</v>
      </c>
      <c r="X12" s="30">
        <v>29</v>
      </c>
      <c r="Y12" s="5">
        <f t="shared" si="11"/>
        <v>-3.3594232220168559E-2</v>
      </c>
      <c r="Z12" s="6">
        <f t="shared" si="12"/>
        <v>9.0602271847269433E-2</v>
      </c>
      <c r="AB12" s="31">
        <v>45421</v>
      </c>
      <c r="AC12" s="9">
        <v>99</v>
      </c>
      <c r="AD12" t="s">
        <v>84</v>
      </c>
    </row>
    <row r="13" spans="1:31" x14ac:dyDescent="0.25">
      <c r="A13" t="s">
        <v>88</v>
      </c>
      <c r="B13" t="s">
        <v>33</v>
      </c>
      <c r="C13" s="26" t="s">
        <v>89</v>
      </c>
      <c r="D13" s="2">
        <f>846.327+640.0668</f>
        <v>1486.3937999999998</v>
      </c>
      <c r="E13" s="27">
        <v>33.31</v>
      </c>
      <c r="F13" s="3">
        <f t="shared" si="0"/>
        <v>49511.777477999996</v>
      </c>
      <c r="G13" s="3">
        <f>30020.93+21858.29</f>
        <v>51879.22</v>
      </c>
      <c r="H13" s="4">
        <f t="shared" si="1"/>
        <v>34.902742463000052</v>
      </c>
      <c r="I13" s="3">
        <f t="shared" si="2"/>
        <v>-2367.4425220000048</v>
      </c>
      <c r="J13" s="27">
        <f t="shared" si="3"/>
        <v>-1.5927424630000502</v>
      </c>
      <c r="K13" s="28">
        <v>45331</v>
      </c>
      <c r="L13">
        <f t="shared" si="4"/>
        <v>14</v>
      </c>
      <c r="M13" s="5">
        <f t="shared" si="5"/>
        <v>-4.5633733930463966E-2</v>
      </c>
      <c r="N13">
        <v>21</v>
      </c>
      <c r="O13">
        <v>94</v>
      </c>
      <c r="P13" s="34">
        <v>81</v>
      </c>
      <c r="Q13" s="29">
        <v>32.409999999999997</v>
      </c>
      <c r="R13" s="30">
        <f t="shared" si="6"/>
        <v>30.141299999999998</v>
      </c>
      <c r="S13" s="30">
        <v>29.8</v>
      </c>
      <c r="T13" s="29">
        <f t="shared" si="7"/>
        <v>40.512499999999996</v>
      </c>
      <c r="U13" s="29">
        <f t="shared" si="8"/>
        <v>48.614999999999995</v>
      </c>
      <c r="V13" s="29">
        <f t="shared" si="9"/>
        <v>64.819999999999993</v>
      </c>
      <c r="W13" s="29">
        <f t="shared" si="10"/>
        <v>32.459550490590047</v>
      </c>
      <c r="X13" s="30">
        <v>32.75</v>
      </c>
      <c r="Y13" s="5">
        <f t="shared" si="11"/>
        <v>-6.1678318409567584E-2</v>
      </c>
      <c r="Z13" s="6">
        <f t="shared" si="12"/>
        <v>9.7232868818100032E-2</v>
      </c>
      <c r="AB13" s="31">
        <v>45358</v>
      </c>
      <c r="AC13" s="9">
        <v>95</v>
      </c>
      <c r="AD13" t="s">
        <v>90</v>
      </c>
    </row>
    <row r="14" spans="1:31" x14ac:dyDescent="0.25">
      <c r="A14" t="s">
        <v>93</v>
      </c>
      <c r="B14" t="s">
        <v>33</v>
      </c>
      <c r="C14" s="26" t="s">
        <v>94</v>
      </c>
      <c r="D14" s="2">
        <f>567.3728+414.8485</f>
        <v>982.22129999999993</v>
      </c>
      <c r="E14" s="27">
        <v>52</v>
      </c>
      <c r="F14" s="3">
        <f t="shared" si="0"/>
        <v>51075.507599999997</v>
      </c>
      <c r="G14" s="3">
        <f>30558.32+21471.26</f>
        <v>52029.58</v>
      </c>
      <c r="H14" s="4">
        <f t="shared" si="1"/>
        <v>52.971341590739279</v>
      </c>
      <c r="I14" s="3">
        <f t="shared" si="2"/>
        <v>-954.07240000000456</v>
      </c>
      <c r="J14" s="27">
        <f t="shared" si="3"/>
        <v>-0.97134159073927862</v>
      </c>
      <c r="K14" s="28">
        <v>45344</v>
      </c>
      <c r="L14">
        <f t="shared" si="4"/>
        <v>1</v>
      </c>
      <c r="M14" s="5">
        <f t="shared" si="5"/>
        <v>-1.8337115156416881E-2</v>
      </c>
      <c r="N14">
        <v>2</v>
      </c>
      <c r="O14">
        <v>87</v>
      </c>
      <c r="P14" s="34">
        <v>60</v>
      </c>
      <c r="Q14" s="29">
        <v>51.09</v>
      </c>
      <c r="R14" s="30">
        <f t="shared" si="6"/>
        <v>47.513700000000007</v>
      </c>
      <c r="S14" s="30">
        <v>48.63</v>
      </c>
      <c r="T14" s="32">
        <f t="shared" si="7"/>
        <v>63.862500000000004</v>
      </c>
      <c r="U14" s="29">
        <f t="shared" si="8"/>
        <v>76.635000000000005</v>
      </c>
      <c r="V14" s="29">
        <f t="shared" si="9"/>
        <v>102.18</v>
      </c>
      <c r="W14" s="29">
        <f t="shared" si="10"/>
        <v>49.263347679387529</v>
      </c>
      <c r="X14" s="30">
        <v>50.25</v>
      </c>
      <c r="Y14" s="5">
        <f t="shared" si="11"/>
        <v>-5.1373846857883577E-2</v>
      </c>
      <c r="Z14" s="6">
        <f t="shared" si="12"/>
        <v>0.10030377383432365</v>
      </c>
      <c r="AB14" s="56">
        <v>45351</v>
      </c>
      <c r="AC14" s="9">
        <v>94</v>
      </c>
      <c r="AD14" t="s">
        <v>84</v>
      </c>
    </row>
    <row r="15" spans="1:31" x14ac:dyDescent="0.25"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ref="L15" si="13">DAYS360(K15,$C$1)</f>
        <v>44693</v>
      </c>
      <c r="M15" s="5" t="e">
        <f t="shared" si="5"/>
        <v>#DIV/0!</v>
      </c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ref="Z15:Z16" si="14">F15/F$19</f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91.71</v>
      </c>
      <c r="F16" s="57">
        <f t="shared" si="0"/>
        <v>25442.976906</v>
      </c>
      <c r="G16" s="38">
        <v>25401.360000000001</v>
      </c>
      <c r="H16" s="39">
        <f t="shared" ref="H16" si="15">G16/D16</f>
        <v>91.559990570546802</v>
      </c>
      <c r="I16" s="38">
        <f t="shared" ref="I16" si="16">F16-G16</f>
        <v>41.61690599999929</v>
      </c>
      <c r="J16" s="37">
        <f t="shared" ref="J16" si="17">E16-H16</f>
        <v>0.15000942945319196</v>
      </c>
      <c r="K16" s="40"/>
      <c r="L16" s="35"/>
      <c r="M16" s="41">
        <f t="shared" ref="M16" si="18">(I16/G16)</f>
        <v>1.6383731422254277E-3</v>
      </c>
      <c r="N16" s="35"/>
      <c r="O16" s="35"/>
      <c r="P16" s="35"/>
      <c r="Q16" s="42"/>
      <c r="R16" s="43">
        <f t="shared" ref="R16" si="19">Q16*0.93</f>
        <v>0</v>
      </c>
      <c r="S16" s="43"/>
      <c r="T16" s="42">
        <f t="shared" ref="T16" si="20">Q16*1.25</f>
        <v>0</v>
      </c>
      <c r="U16" s="42">
        <f t="shared" ref="U16" si="21">Q16*1.5</f>
        <v>0</v>
      </c>
      <c r="V16" s="42">
        <f t="shared" ref="V16" si="22">Q16*2</f>
        <v>0</v>
      </c>
      <c r="W16" s="42">
        <f t="shared" ref="W16" si="23">H16-(H16*0.07)</f>
        <v>85.150791230608519</v>
      </c>
      <c r="X16" s="43"/>
      <c r="Y16" s="41">
        <f t="shared" ref="Y16" si="24">(X16-H16)/H16</f>
        <v>-1</v>
      </c>
      <c r="Z16" s="44">
        <f t="shared" si="14"/>
        <v>4.9965760912992742E-2</v>
      </c>
      <c r="AB16" s="31"/>
      <c r="AC16" s="9"/>
    </row>
    <row r="17" spans="1:26" x14ac:dyDescent="0.25">
      <c r="A17" t="s">
        <v>53</v>
      </c>
      <c r="F17" s="3">
        <f>SUM(F6:F16)</f>
        <v>455189.23462100001</v>
      </c>
      <c r="G17" s="3">
        <f>SUM(G6:G16)</f>
        <v>404596.22000000003</v>
      </c>
      <c r="H17" s="4"/>
      <c r="I17" s="3">
        <f>SUM(I6:I16)</f>
        <v>50593.01462099998</v>
      </c>
      <c r="M17" s="5"/>
      <c r="Z17" s="6"/>
    </row>
    <row r="18" spans="1:26" x14ac:dyDescent="0.25">
      <c r="D18" s="2" t="s">
        <v>54</v>
      </c>
      <c r="F18" s="3">
        <v>54019</v>
      </c>
      <c r="G18" s="6">
        <f>F18/F19</f>
        <v>0.10608430172030889</v>
      </c>
      <c r="H18" s="4"/>
      <c r="M18" s="5"/>
      <c r="Z18" s="6"/>
    </row>
    <row r="19" spans="1:26" x14ac:dyDescent="0.25">
      <c r="D19" s="2" t="s">
        <v>55</v>
      </c>
      <c r="F19" s="3">
        <f>SUM(F17:F18)</f>
        <v>509208.23462100001</v>
      </c>
      <c r="H19" s="46"/>
      <c r="M19" s="5"/>
      <c r="Z19" s="6"/>
    </row>
    <row r="20" spans="1:26" x14ac:dyDescent="0.25">
      <c r="F20" s="4"/>
      <c r="H20" s="46" t="s">
        <v>56</v>
      </c>
      <c r="I20" s="47">
        <f>'02-16-24'!F19</f>
        <v>515828.16140399995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-1.2833589319709853E-2</v>
      </c>
      <c r="K21" s="9" t="s">
        <v>58</v>
      </c>
      <c r="L21" s="6">
        <f>(F19-L20)/L20</f>
        <v>6.9404387135348952E-2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0" si="25">F25/D25</f>
        <v>47.428061535569462</v>
      </c>
      <c r="F25" s="3">
        <v>38349.050000000003</v>
      </c>
      <c r="G25" s="3">
        <v>35186.18</v>
      </c>
      <c r="H25" s="3">
        <f t="shared" ref="H25:H30" si="26">G25/D25</f>
        <v>43.516392459307944</v>
      </c>
      <c r="I25" s="3">
        <f t="shared" ref="I25:I30" si="27">G25-F25</f>
        <v>-3162.8700000000026</v>
      </c>
      <c r="J25" s="5">
        <f t="shared" ref="J25:J30" si="28">I25/F25</f>
        <v>-8.2475837080710018E-2</v>
      </c>
      <c r="K25" s="1">
        <v>45286</v>
      </c>
      <c r="L25" s="1">
        <v>45302</v>
      </c>
      <c r="M25">
        <f t="shared" ref="M25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>DAYS360(K26,L26)</f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>DAYS360(K27,L27)</f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>DAYS360(K28,L28)</f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>DAYS360(K29,L29)</f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>DAYS360(K30,L30)</f>
        <v>33</v>
      </c>
      <c r="O30" t="s">
        <v>92</v>
      </c>
    </row>
    <row r="31" spans="1:26" x14ac:dyDescent="0.25">
      <c r="C31" s="26"/>
      <c r="E31" s="3"/>
      <c r="J31" s="5"/>
      <c r="K31" s="1"/>
      <c r="L31" s="1"/>
      <c r="M31" s="54"/>
    </row>
    <row r="32" spans="1:26" x14ac:dyDescent="0.25">
      <c r="C32" s="26"/>
      <c r="E32" s="3"/>
      <c r="I32" s="3">
        <f>SUM(I25:I31)</f>
        <v>-6397.270000000015</v>
      </c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-9631.6700000000274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A7:AD14">
    <sortCondition descending="1" ref="L7:L1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6065-C84E-4768-A132-7DD337621ACC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45352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314.25</v>
      </c>
      <c r="F7" s="3">
        <f t="shared" ref="F7:F15" si="0">E7*D7</f>
        <v>84169.694174999997</v>
      </c>
      <c r="G7" s="3">
        <v>61166.239999999998</v>
      </c>
      <c r="H7" s="4">
        <f t="shared" ref="H7:H15" si="1">G7/D7</f>
        <v>228.36593513142583</v>
      </c>
      <c r="I7" s="3">
        <f t="shared" ref="I7:I15" si="2">F7-G7</f>
        <v>23003.454174999999</v>
      </c>
      <c r="J7" s="27">
        <f t="shared" ref="J7:J15" si="3">E7-H7</f>
        <v>85.884064868574171</v>
      </c>
      <c r="K7" s="28">
        <v>45238</v>
      </c>
      <c r="L7">
        <f t="shared" ref="L7:L15" si="4">DAYS360(K7,$C$1)</f>
        <v>113</v>
      </c>
      <c r="M7" s="5">
        <f t="shared" ref="M7:M15" si="5">(I7/G7)</f>
        <v>0.37608089323456861</v>
      </c>
      <c r="N7">
        <v>15</v>
      </c>
      <c r="O7">
        <v>93</v>
      </c>
      <c r="P7">
        <v>99</v>
      </c>
      <c r="Q7" s="29">
        <v>223.3</v>
      </c>
      <c r="R7" s="30">
        <f t="shared" ref="R7:R15" si="6">Q7*0.93</f>
        <v>207.66900000000001</v>
      </c>
      <c r="S7" s="30">
        <v>255.68</v>
      </c>
      <c r="T7" s="29">
        <f t="shared" ref="T7:T15" si="7">Q7*1.25</f>
        <v>279.125</v>
      </c>
      <c r="U7" s="29">
        <f t="shared" ref="U7:U15" si="8">Q7*1.5</f>
        <v>334.95000000000005</v>
      </c>
      <c r="V7" s="29">
        <f t="shared" ref="V7:V15" si="9">Q7*2</f>
        <v>446.6</v>
      </c>
      <c r="W7" s="29">
        <f t="shared" ref="W7:W15" si="10">H7-(H7*0.07)</f>
        <v>212.38031967222602</v>
      </c>
      <c r="X7" s="30">
        <v>275</v>
      </c>
      <c r="Y7" s="5">
        <f t="shared" ref="Y7:Y15" si="11">(X7-H7)/H7</f>
        <v>0.20420762335562884</v>
      </c>
      <c r="Z7" s="6">
        <f t="shared" ref="Z7:Z15" si="12">F7/F$19</f>
        <v>0.1422336284018193</v>
      </c>
      <c r="AB7" s="31">
        <v>45421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22.24</v>
      </c>
      <c r="F8" s="3">
        <f t="shared" si="0"/>
        <v>49068.957119999992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9609.6571199999889</v>
      </c>
      <c r="J8" s="27">
        <f t="shared" si="3"/>
        <v>4.3554782268174641</v>
      </c>
      <c r="K8" s="28">
        <v>45243</v>
      </c>
      <c r="L8">
        <f t="shared" si="4"/>
        <v>108</v>
      </c>
      <c r="M8" s="5">
        <f t="shared" si="5"/>
        <v>0.24353339060753709</v>
      </c>
      <c r="N8">
        <v>36</v>
      </c>
      <c r="O8">
        <v>91</v>
      </c>
      <c r="P8" s="34">
        <v>22</v>
      </c>
      <c r="Q8" s="29">
        <v>17.32</v>
      </c>
      <c r="R8" s="30">
        <f t="shared" si="6"/>
        <v>16.107600000000001</v>
      </c>
      <c r="S8" s="30">
        <v>20.89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20.5</v>
      </c>
      <c r="Y8" s="5">
        <f t="shared" si="11"/>
        <v>0.14624255878842232</v>
      </c>
      <c r="Z8" s="6">
        <f t="shared" si="12"/>
        <v>8.291886861986314E-2</v>
      </c>
      <c r="AB8" s="31">
        <v>45427</v>
      </c>
      <c r="AC8" s="9">
        <v>65</v>
      </c>
      <c r="AD8" t="s">
        <v>44</v>
      </c>
    </row>
    <row r="9" spans="1:31" x14ac:dyDescent="0.25">
      <c r="A9" t="s">
        <v>45</v>
      </c>
      <c r="B9" t="s">
        <v>33</v>
      </c>
      <c r="C9" s="26" t="s">
        <v>46</v>
      </c>
      <c r="D9" s="2">
        <f>308.2955+142.5312</f>
        <v>450.82670000000002</v>
      </c>
      <c r="E9" s="27">
        <v>130.22</v>
      </c>
      <c r="F9" s="3">
        <f t="shared" si="0"/>
        <v>58706.652873999999</v>
      </c>
      <c r="G9" s="3">
        <f>38082.35+18004.55</f>
        <v>56086.899999999994</v>
      </c>
      <c r="H9" s="4">
        <f t="shared" si="1"/>
        <v>124.40900239493355</v>
      </c>
      <c r="I9" s="3">
        <f t="shared" si="2"/>
        <v>2619.7528740000052</v>
      </c>
      <c r="J9" s="27">
        <f t="shared" si="3"/>
        <v>5.8109976050664471</v>
      </c>
      <c r="K9" s="28">
        <v>45286</v>
      </c>
      <c r="L9">
        <f t="shared" si="4"/>
        <v>65</v>
      </c>
      <c r="M9" s="5">
        <f t="shared" si="5"/>
        <v>4.6708819242996233E-2</v>
      </c>
      <c r="N9">
        <v>36</v>
      </c>
      <c r="O9">
        <v>91</v>
      </c>
      <c r="P9">
        <v>99</v>
      </c>
      <c r="Q9" s="29">
        <v>120.26</v>
      </c>
      <c r="R9" s="30">
        <f t="shared" si="6"/>
        <v>111.84180000000001</v>
      </c>
      <c r="S9" s="30">
        <v>119.34</v>
      </c>
      <c r="T9" s="32">
        <f t="shared" si="7"/>
        <v>150.32500000000002</v>
      </c>
      <c r="U9" s="29">
        <f t="shared" si="8"/>
        <v>180.39000000000001</v>
      </c>
      <c r="V9" s="29">
        <f t="shared" si="9"/>
        <v>240.52</v>
      </c>
      <c r="W9" s="29">
        <f t="shared" si="10"/>
        <v>115.7003722272882</v>
      </c>
      <c r="X9" s="30">
        <v>122</v>
      </c>
      <c r="Y9" s="5">
        <f t="shared" si="11"/>
        <v>-1.9363569746232899E-2</v>
      </c>
      <c r="Z9" s="6">
        <f t="shared" si="12"/>
        <v>9.9205068183261136E-2</v>
      </c>
      <c r="AB9" s="31">
        <v>45414</v>
      </c>
      <c r="AC9" s="9">
        <v>99</v>
      </c>
      <c r="AD9" t="s">
        <v>47</v>
      </c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1286.8297+948.5633-808.6324</f>
        <v>1426.7606000000001</v>
      </c>
      <c r="E10" s="27">
        <v>85.22</v>
      </c>
      <c r="F10" s="3">
        <f t="shared" si="0"/>
        <v>121588.53833200001</v>
      </c>
      <c r="G10" s="3">
        <f>28174.78+19947.6-17409.86</f>
        <v>30712.519999999997</v>
      </c>
      <c r="H10" s="4">
        <f t="shared" si="1"/>
        <v>21.526049990446886</v>
      </c>
      <c r="I10" s="3">
        <f t="shared" si="2"/>
        <v>90876.018332000007</v>
      </c>
      <c r="J10" s="27">
        <f t="shared" si="3"/>
        <v>63.693950009553113</v>
      </c>
      <c r="K10" s="28">
        <v>45309</v>
      </c>
      <c r="L10">
        <f t="shared" si="4"/>
        <v>43</v>
      </c>
      <c r="M10" s="5">
        <f t="shared" si="5"/>
        <v>2.9589241889626776</v>
      </c>
      <c r="N10">
        <v>5</v>
      </c>
      <c r="O10">
        <v>99</v>
      </c>
      <c r="P10">
        <v>22</v>
      </c>
      <c r="Q10" s="29">
        <v>20.03</v>
      </c>
      <c r="R10" s="30">
        <f t="shared" si="6"/>
        <v>18.6279</v>
      </c>
      <c r="S10" s="30">
        <v>34.04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20.019226491115603</v>
      </c>
      <c r="X10" s="30">
        <v>55</v>
      </c>
      <c r="Y10" s="5">
        <f t="shared" si="11"/>
        <v>1.5550437736792688</v>
      </c>
      <c r="Z10" s="33">
        <f t="shared" si="12"/>
        <v>0.20546562689270995</v>
      </c>
      <c r="AA10" s="9"/>
      <c r="AB10" s="31">
        <v>45406</v>
      </c>
      <c r="AC10" s="9">
        <v>81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83.26</v>
      </c>
      <c r="F11" s="3">
        <f t="shared" si="0"/>
        <v>50755.121154</v>
      </c>
      <c r="G11" s="3">
        <f>38270.34+5640.4</f>
        <v>43910.74</v>
      </c>
      <c r="H11" s="4">
        <f t="shared" si="1"/>
        <v>72.032301948546731</v>
      </c>
      <c r="I11" s="3">
        <f t="shared" si="2"/>
        <v>6844.3811540000024</v>
      </c>
      <c r="J11" s="27">
        <f t="shared" si="3"/>
        <v>11.227698051453274</v>
      </c>
      <c r="K11" s="28">
        <v>45313</v>
      </c>
      <c r="L11">
        <f t="shared" si="4"/>
        <v>39</v>
      </c>
      <c r="M11" s="5">
        <f t="shared" si="5"/>
        <v>0.15587032133824213</v>
      </c>
      <c r="N11">
        <v>27</v>
      </c>
      <c r="O11">
        <v>91</v>
      </c>
      <c r="P11" s="34">
        <v>96</v>
      </c>
      <c r="Q11" s="29">
        <v>71.39</v>
      </c>
      <c r="R11" s="30">
        <f t="shared" si="6"/>
        <v>66.392700000000005</v>
      </c>
      <c r="S11" s="30">
        <v>78.069999999999993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77</v>
      </c>
      <c r="Y11" s="5">
        <f t="shared" si="11"/>
        <v>6.8964865998614566E-2</v>
      </c>
      <c r="Z11" s="6">
        <f t="shared" si="12"/>
        <v>8.5768222309301909E-2</v>
      </c>
      <c r="AB11" s="31">
        <v>45414</v>
      </c>
      <c r="AC11" s="9">
        <v>97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f>952.002+512.6146</f>
        <v>1464.6165999999998</v>
      </c>
      <c r="E12" s="27">
        <v>34.43</v>
      </c>
      <c r="F12" s="3">
        <f t="shared" si="0"/>
        <v>50426.749537999996</v>
      </c>
      <c r="G12" s="3">
        <f>28303.96+15646.4</f>
        <v>43950.36</v>
      </c>
      <c r="H12" s="4">
        <f t="shared" si="1"/>
        <v>30.008099047901005</v>
      </c>
      <c r="I12" s="3">
        <f t="shared" si="2"/>
        <v>6476.3895379999958</v>
      </c>
      <c r="J12" s="27">
        <f t="shared" si="3"/>
        <v>4.4219009520989943</v>
      </c>
      <c r="K12" s="28">
        <v>45321</v>
      </c>
      <c r="L12">
        <f t="shared" si="4"/>
        <v>31</v>
      </c>
      <c r="M12" s="5">
        <f t="shared" si="5"/>
        <v>0.14735691671239998</v>
      </c>
      <c r="N12">
        <v>39</v>
      </c>
      <c r="O12">
        <v>95</v>
      </c>
      <c r="P12">
        <v>81</v>
      </c>
      <c r="Q12" s="29">
        <v>28.39</v>
      </c>
      <c r="R12" s="30">
        <f t="shared" si="6"/>
        <v>26.402700000000003</v>
      </c>
      <c r="S12" s="30">
        <v>29.78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27.907532114547934</v>
      </c>
      <c r="X12" s="30">
        <v>30</v>
      </c>
      <c r="Y12" s="5">
        <f t="shared" si="11"/>
        <v>-2.69895400174373E-4</v>
      </c>
      <c r="Z12" s="6">
        <f t="shared" si="12"/>
        <v>8.5213325598964065E-2</v>
      </c>
      <c r="AB12" s="31">
        <v>45421</v>
      </c>
      <c r="AC12" s="9">
        <v>99</v>
      </c>
      <c r="AD12" t="s">
        <v>84</v>
      </c>
    </row>
    <row r="13" spans="1:31" x14ac:dyDescent="0.25">
      <c r="A13" t="s">
        <v>88</v>
      </c>
      <c r="B13" t="s">
        <v>33</v>
      </c>
      <c r="C13" s="26" t="s">
        <v>89</v>
      </c>
      <c r="D13" s="2">
        <f>846.327+640.0668</f>
        <v>1486.3937999999998</v>
      </c>
      <c r="E13" s="27">
        <v>34.99</v>
      </c>
      <c r="F13" s="3">
        <f t="shared" si="0"/>
        <v>52008.919061999994</v>
      </c>
      <c r="G13" s="3">
        <f>30020.93+21858.29</f>
        <v>51879.22</v>
      </c>
      <c r="H13" s="4">
        <f t="shared" si="1"/>
        <v>34.902742463000052</v>
      </c>
      <c r="I13" s="3">
        <f t="shared" si="2"/>
        <v>129.69906199999241</v>
      </c>
      <c r="J13" s="27">
        <f t="shared" si="3"/>
        <v>8.7257536999949536E-2</v>
      </c>
      <c r="K13" s="28">
        <v>45331</v>
      </c>
      <c r="L13">
        <f t="shared" si="4"/>
        <v>22</v>
      </c>
      <c r="M13" s="5">
        <f t="shared" si="5"/>
        <v>2.5000195068467183E-3</v>
      </c>
      <c r="N13">
        <v>36</v>
      </c>
      <c r="O13">
        <v>94</v>
      </c>
      <c r="P13" s="34">
        <v>81</v>
      </c>
      <c r="Q13" s="29">
        <v>32.409999999999997</v>
      </c>
      <c r="R13" s="30">
        <f t="shared" si="6"/>
        <v>30.141299999999998</v>
      </c>
      <c r="S13" s="30">
        <v>30.71</v>
      </c>
      <c r="T13" s="29">
        <f t="shared" si="7"/>
        <v>40.512499999999996</v>
      </c>
      <c r="U13" s="29">
        <f t="shared" si="8"/>
        <v>48.614999999999995</v>
      </c>
      <c r="V13" s="29">
        <f t="shared" si="9"/>
        <v>64.819999999999993</v>
      </c>
      <c r="W13" s="29">
        <f t="shared" si="10"/>
        <v>32.459550490590047</v>
      </c>
      <c r="X13" s="30">
        <v>32.75</v>
      </c>
      <c r="Y13" s="5">
        <f t="shared" si="11"/>
        <v>-6.1678318409567584E-2</v>
      </c>
      <c r="Z13" s="6">
        <f t="shared" si="12"/>
        <v>8.7886944819647178E-2</v>
      </c>
      <c r="AB13" s="56">
        <v>45358</v>
      </c>
      <c r="AC13" s="9">
        <v>93</v>
      </c>
      <c r="AD13" t="s">
        <v>90</v>
      </c>
    </row>
    <row r="14" spans="1:31" x14ac:dyDescent="0.25">
      <c r="A14" t="s">
        <v>95</v>
      </c>
      <c r="B14" t="s">
        <v>33</v>
      </c>
      <c r="C14" s="26" t="s">
        <v>96</v>
      </c>
      <c r="D14" s="2">
        <f>464.2554+269.0604</f>
        <v>733.31580000000008</v>
      </c>
      <c r="E14" s="27">
        <v>95.12</v>
      </c>
      <c r="F14" s="3">
        <f t="shared" si="0"/>
        <v>69752.998896000005</v>
      </c>
      <c r="G14" s="3">
        <f>45518.9+25760.58</f>
        <v>71279.48000000001</v>
      </c>
      <c r="H14" s="4">
        <f t="shared" si="1"/>
        <v>97.201614911338339</v>
      </c>
      <c r="I14" s="3">
        <f t="shared" si="2"/>
        <v>-1526.4811040000059</v>
      </c>
      <c r="J14" s="27">
        <f t="shared" si="3"/>
        <v>-2.0816149113383347</v>
      </c>
      <c r="K14" s="28">
        <v>45349</v>
      </c>
      <c r="L14">
        <f t="shared" si="4"/>
        <v>4</v>
      </c>
      <c r="M14" s="5">
        <f t="shared" si="5"/>
        <v>-2.1415435466139842E-2</v>
      </c>
      <c r="N14">
        <v>5</v>
      </c>
      <c r="O14">
        <v>96</v>
      </c>
      <c r="P14" s="34">
        <v>34</v>
      </c>
      <c r="Q14" s="29">
        <v>94.47</v>
      </c>
      <c r="R14" s="30">
        <f t="shared" si="6"/>
        <v>87.857100000000003</v>
      </c>
      <c r="S14" s="30">
        <v>80.42</v>
      </c>
      <c r="T14" s="29">
        <f t="shared" si="7"/>
        <v>118.08750000000001</v>
      </c>
      <c r="U14" s="29">
        <f t="shared" si="8"/>
        <v>141.70499999999998</v>
      </c>
      <c r="V14" s="29">
        <f t="shared" si="9"/>
        <v>188.94</v>
      </c>
      <c r="W14" s="29">
        <f t="shared" si="10"/>
        <v>90.397501867544662</v>
      </c>
      <c r="X14" s="30">
        <v>90</v>
      </c>
      <c r="Y14" s="5">
        <f t="shared" si="11"/>
        <v>-7.4089457442731113E-2</v>
      </c>
      <c r="Z14" s="33">
        <f t="shared" si="12"/>
        <v>0.11787166654376378</v>
      </c>
      <c r="AB14" s="31">
        <v>45413</v>
      </c>
      <c r="AC14" s="9">
        <v>82</v>
      </c>
      <c r="AD14" t="s">
        <v>97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44701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91.44</v>
      </c>
      <c r="F16" s="57">
        <f t="shared" ref="F16" si="13">E16*D16</f>
        <v>25368.071184</v>
      </c>
      <c r="G16" s="38">
        <v>25401.360000000001</v>
      </c>
      <c r="H16" s="39">
        <f t="shared" ref="H16" si="14">G16/D16</f>
        <v>91.559990570546802</v>
      </c>
      <c r="I16" s="38">
        <f t="shared" ref="I16" si="15">F16-G16</f>
        <v>-33.288816000000224</v>
      </c>
      <c r="J16" s="37">
        <f t="shared" ref="J16" si="16">E16-H16</f>
        <v>-0.11999057054680407</v>
      </c>
      <c r="K16" s="40"/>
      <c r="L16" s="35"/>
      <c r="M16" s="41">
        <f t="shared" ref="M16" si="17">(I16/G16)</f>
        <v>-1.3105131378792405E-3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85.150791230608519</v>
      </c>
      <c r="X16" s="43"/>
      <c r="Y16" s="41">
        <f t="shared" ref="Y16" si="23">(X16-H16)/H16</f>
        <v>-1</v>
      </c>
      <c r="Z16" s="44">
        <f t="shared" ref="Z16" si="24">F16/F$19</f>
        <v>4.2868075563563805E-2</v>
      </c>
      <c r="AB16" s="31"/>
      <c r="AC16" s="9"/>
    </row>
    <row r="17" spans="1:26" x14ac:dyDescent="0.25">
      <c r="A17" t="s">
        <v>53</v>
      </c>
      <c r="F17" s="3">
        <f>SUM(F6:F16)</f>
        <v>561845.70233499992</v>
      </c>
      <c r="G17" s="3">
        <f>SUM(G6:G16)</f>
        <v>423846.12</v>
      </c>
      <c r="H17" s="4"/>
      <c r="I17" s="3">
        <f>SUM(I6:I16)</f>
        <v>137999.58233499998</v>
      </c>
      <c r="M17" s="5"/>
      <c r="Z17" s="6"/>
    </row>
    <row r="18" spans="1:26" x14ac:dyDescent="0.25">
      <c r="D18" s="2" t="s">
        <v>54</v>
      </c>
      <c r="F18" s="3">
        <v>29925</v>
      </c>
      <c r="G18" s="6">
        <f>F18/F19</f>
        <v>5.0568573067105868E-2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591770.70233499992</v>
      </c>
      <c r="H19" s="46"/>
      <c r="M19" s="5"/>
      <c r="Z19" s="6"/>
    </row>
    <row r="20" spans="1:26" x14ac:dyDescent="0.25">
      <c r="F20" s="4"/>
      <c r="H20" s="46" t="s">
        <v>56</v>
      </c>
      <c r="I20" s="47">
        <f>'02-23-24'!F19</f>
        <v>509208.23462100001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0.16213890919389895</v>
      </c>
      <c r="K21" s="9" t="s">
        <v>58</v>
      </c>
      <c r="L21" s="6">
        <f>(F19-L20)/L20</f>
        <v>0.24279644795264443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1" si="25">F25/D25</f>
        <v>47.428061535569462</v>
      </c>
      <c r="F25" s="3">
        <v>38349.050000000003</v>
      </c>
      <c r="G25" s="3">
        <v>35186.18</v>
      </c>
      <c r="H25" s="3">
        <f t="shared" ref="H25:H30" si="26">G25/D25</f>
        <v>43.516392459307944</v>
      </c>
      <c r="I25" s="3">
        <f t="shared" ref="I25:I30" si="27">G25-F25</f>
        <v>-3162.8700000000026</v>
      </c>
      <c r="J25" s="5">
        <f t="shared" ref="J25:J30" si="28">I25/F25</f>
        <v>-8.2475837080710018E-2</v>
      </c>
      <c r="K25" s="1">
        <v>45286</v>
      </c>
      <c r="L25" s="1">
        <v>45302</v>
      </c>
      <c r="M25">
        <f t="shared" ref="M25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ref="M26:M31" si="30">DAYS360(K26,L26)</f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ref="H31" si="31">G31/D31</f>
        <v>48.056634487564061</v>
      </c>
      <c r="I31" s="3">
        <f t="shared" ref="I31" si="32">G31-F31</f>
        <v>-4827.3300000000017</v>
      </c>
      <c r="J31" s="5">
        <f t="shared" ref="J31" si="33">I31/F31</f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C32" s="26"/>
      <c r="E32" s="3"/>
      <c r="I32" s="3">
        <f>SUM(I25:I31)</f>
        <v>-11224.600000000017</v>
      </c>
      <c r="J32" s="5"/>
      <c r="K32" s="1"/>
      <c r="L32" s="1"/>
      <c r="M32" s="54"/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I39" s="3">
        <f>SUM(I26:I38)</f>
        <v>-19286.330000000031</v>
      </c>
      <c r="J39" s="13" t="s">
        <v>68</v>
      </c>
    </row>
    <row r="40" spans="3:13" x14ac:dyDescent="0.25">
      <c r="H40" s="3" t="s">
        <v>69</v>
      </c>
      <c r="I40" s="55"/>
      <c r="J40" s="5"/>
    </row>
    <row r="41" spans="3:13" x14ac:dyDescent="0.25">
      <c r="H41" s="3" t="s">
        <v>70</v>
      </c>
      <c r="I41" s="55"/>
      <c r="J41" s="5"/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A7:AD14">
    <sortCondition descending="1" ref="L7:L1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BEB8-32EE-48EC-B9C0-4ADA6299E1B6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45359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312.79000000000002</v>
      </c>
      <c r="F7" s="3">
        <f t="shared" ref="F7:F16" si="0">E7*D7</f>
        <v>83778.643249000001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22612.403249000003</v>
      </c>
      <c r="J7" s="27">
        <f t="shared" ref="J7:J16" si="3">E7-H7</f>
        <v>84.424064868574192</v>
      </c>
      <c r="K7" s="28">
        <v>45238</v>
      </c>
      <c r="L7">
        <f t="shared" ref="L7:L15" si="4">DAYS360(K7,$C$1)</f>
        <v>120</v>
      </c>
      <c r="M7" s="5">
        <f t="shared" ref="M7:M16" si="5">(I7/G7)</f>
        <v>0.36968764548875332</v>
      </c>
      <c r="N7">
        <v>14</v>
      </c>
      <c r="O7">
        <v>93</v>
      </c>
      <c r="P7">
        <v>99</v>
      </c>
      <c r="Q7" s="29">
        <v>223.3</v>
      </c>
      <c r="R7" s="30">
        <f t="shared" ref="R7:R16" si="6">Q7*0.93</f>
        <v>207.66900000000001</v>
      </c>
      <c r="S7" s="30">
        <v>255.68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275</v>
      </c>
      <c r="Y7" s="5">
        <f t="shared" ref="Y7:Y16" si="11">(X7-H7)/H7</f>
        <v>0.20420762335562884</v>
      </c>
      <c r="Z7" s="6">
        <f t="shared" ref="Z7:Z16" si="12">F7/F$19</f>
        <v>0.1473253801648029</v>
      </c>
      <c r="AB7" s="31">
        <v>45421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21.62</v>
      </c>
      <c r="F8" s="3">
        <f t="shared" si="0"/>
        <v>47701.027559999995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8241.7275599999921</v>
      </c>
      <c r="J8" s="27">
        <f t="shared" si="3"/>
        <v>3.7354782268174667</v>
      </c>
      <c r="K8" s="28">
        <v>45243</v>
      </c>
      <c r="L8">
        <f t="shared" si="4"/>
        <v>115</v>
      </c>
      <c r="M8" s="5">
        <f t="shared" si="5"/>
        <v>0.20886654248808245</v>
      </c>
      <c r="N8">
        <v>46</v>
      </c>
      <c r="O8">
        <v>91</v>
      </c>
      <c r="P8" s="34">
        <v>22</v>
      </c>
      <c r="Q8" s="29">
        <v>17.32</v>
      </c>
      <c r="R8" s="30">
        <f t="shared" si="6"/>
        <v>16.107600000000001</v>
      </c>
      <c r="S8" s="30">
        <v>20.89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20.5</v>
      </c>
      <c r="Y8" s="5">
        <f t="shared" si="11"/>
        <v>0.14624255878842232</v>
      </c>
      <c r="Z8" s="6">
        <f t="shared" si="12"/>
        <v>8.3882619089950733E-2</v>
      </c>
      <c r="AB8" s="31">
        <v>45427</v>
      </c>
      <c r="AC8" s="9">
        <v>61</v>
      </c>
      <c r="AD8" t="s">
        <v>44</v>
      </c>
    </row>
    <row r="9" spans="1:31" x14ac:dyDescent="0.25">
      <c r="C9" s="26"/>
      <c r="E9" s="27"/>
      <c r="F9" s="3">
        <f t="shared" si="0"/>
        <v>0</v>
      </c>
      <c r="H9" s="4" t="e">
        <f t="shared" si="1"/>
        <v>#DIV/0!</v>
      </c>
      <c r="I9" s="3">
        <f t="shared" si="2"/>
        <v>0</v>
      </c>
      <c r="J9" s="27" t="e">
        <f t="shared" si="3"/>
        <v>#DIV/0!</v>
      </c>
      <c r="K9" s="28"/>
      <c r="L9">
        <f t="shared" si="4"/>
        <v>44708</v>
      </c>
      <c r="M9" s="5" t="e">
        <f t="shared" si="5"/>
        <v>#DIV/0!</v>
      </c>
      <c r="Q9" s="29"/>
      <c r="R9" s="30">
        <f t="shared" si="6"/>
        <v>0</v>
      </c>
      <c r="S9" s="30"/>
      <c r="T9" s="32">
        <f t="shared" si="7"/>
        <v>0</v>
      </c>
      <c r="U9" s="29">
        <f t="shared" si="8"/>
        <v>0</v>
      </c>
      <c r="V9" s="29">
        <f t="shared" si="9"/>
        <v>0</v>
      </c>
      <c r="W9" s="29" t="e">
        <f t="shared" si="10"/>
        <v>#DIV/0!</v>
      </c>
      <c r="X9" s="30"/>
      <c r="Y9" s="5" t="e">
        <f t="shared" si="11"/>
        <v>#DIV/0!</v>
      </c>
      <c r="Z9" s="6">
        <f t="shared" si="12"/>
        <v>0</v>
      </c>
      <c r="AB9" s="31"/>
      <c r="AC9" s="9"/>
    </row>
    <row r="10" spans="1:31" x14ac:dyDescent="0.25">
      <c r="A10" t="s">
        <v>78</v>
      </c>
      <c r="B10" t="s">
        <v>33</v>
      </c>
      <c r="C10" s="26" t="s">
        <v>79</v>
      </c>
      <c r="D10" s="2">
        <f>1286.8297+948.5633-808.6324</f>
        <v>1426.7606000000001</v>
      </c>
      <c r="E10" s="27">
        <v>71.78</v>
      </c>
      <c r="F10" s="3">
        <f t="shared" si="0"/>
        <v>102412.875868</v>
      </c>
      <c r="G10" s="3">
        <f>28174.78+19947.6-17409.86</f>
        <v>30712.519999999997</v>
      </c>
      <c r="H10" s="4">
        <f t="shared" si="1"/>
        <v>21.526049990446886</v>
      </c>
      <c r="I10" s="3">
        <f t="shared" si="2"/>
        <v>71700.355868000013</v>
      </c>
      <c r="J10" s="27">
        <f t="shared" si="3"/>
        <v>50.253950009553115</v>
      </c>
      <c r="K10" s="28">
        <v>45309</v>
      </c>
      <c r="L10">
        <f t="shared" si="4"/>
        <v>50</v>
      </c>
      <c r="M10" s="5">
        <f t="shared" si="5"/>
        <v>2.3345644013581439</v>
      </c>
      <c r="N10">
        <v>6</v>
      </c>
      <c r="O10">
        <v>99</v>
      </c>
      <c r="P10">
        <v>22</v>
      </c>
      <c r="Q10" s="29">
        <v>20.03</v>
      </c>
      <c r="R10" s="30">
        <f t="shared" si="6"/>
        <v>18.6279</v>
      </c>
      <c r="S10" s="30">
        <v>34.04</v>
      </c>
      <c r="T10" s="32">
        <f t="shared" si="7"/>
        <v>25.037500000000001</v>
      </c>
      <c r="U10" s="29">
        <f t="shared" si="8"/>
        <v>30.045000000000002</v>
      </c>
      <c r="V10" s="29">
        <f t="shared" si="9"/>
        <v>40.06</v>
      </c>
      <c r="W10" s="29">
        <f t="shared" si="10"/>
        <v>20.019226491115603</v>
      </c>
      <c r="X10" s="30">
        <v>55</v>
      </c>
      <c r="Y10" s="5">
        <f t="shared" si="11"/>
        <v>1.5550437736792688</v>
      </c>
      <c r="Z10" s="33">
        <f t="shared" si="12"/>
        <v>0.18009381968839608</v>
      </c>
      <c r="AA10" s="9"/>
      <c r="AB10" s="31">
        <v>45406</v>
      </c>
      <c r="AC10" s="9">
        <v>81</v>
      </c>
      <c r="AD10" t="s">
        <v>80</v>
      </c>
    </row>
    <row r="11" spans="1:31" x14ac:dyDescent="0.25">
      <c r="A11" t="s">
        <v>81</v>
      </c>
      <c r="B11" t="s">
        <v>33</v>
      </c>
      <c r="C11" s="26" t="s">
        <v>81</v>
      </c>
      <c r="D11" s="2">
        <f>532.4164+77.1815</f>
        <v>609.59789999999998</v>
      </c>
      <c r="E11" s="27">
        <v>81.75</v>
      </c>
      <c r="F11" s="3">
        <f t="shared" si="0"/>
        <v>49834.628324999998</v>
      </c>
      <c r="G11" s="3">
        <f>38270.34+5640.4</f>
        <v>43910.74</v>
      </c>
      <c r="H11" s="4">
        <f t="shared" si="1"/>
        <v>72.032301948546731</v>
      </c>
      <c r="I11" s="3">
        <f t="shared" si="2"/>
        <v>5923.8883249999999</v>
      </c>
      <c r="J11" s="27">
        <f t="shared" si="3"/>
        <v>9.7176980514532687</v>
      </c>
      <c r="K11" s="28">
        <v>45313</v>
      </c>
      <c r="L11">
        <f t="shared" si="4"/>
        <v>46</v>
      </c>
      <c r="M11" s="5">
        <f t="shared" si="5"/>
        <v>0.13490750383619132</v>
      </c>
      <c r="N11">
        <v>33</v>
      </c>
      <c r="O11">
        <v>86</v>
      </c>
      <c r="P11" s="34">
        <v>96</v>
      </c>
      <c r="Q11" s="29">
        <v>71.39</v>
      </c>
      <c r="R11" s="30">
        <f t="shared" si="6"/>
        <v>66.392700000000005</v>
      </c>
      <c r="S11" s="30">
        <v>78.069999999999993</v>
      </c>
      <c r="T11" s="32">
        <f t="shared" si="7"/>
        <v>89.237499999999997</v>
      </c>
      <c r="U11" s="29">
        <f t="shared" si="8"/>
        <v>107.08500000000001</v>
      </c>
      <c r="V11" s="29">
        <f t="shared" si="9"/>
        <v>142.78</v>
      </c>
      <c r="W11" s="29">
        <f t="shared" si="10"/>
        <v>66.990040812148465</v>
      </c>
      <c r="X11" s="30">
        <v>77</v>
      </c>
      <c r="Y11" s="5">
        <f t="shared" si="11"/>
        <v>6.8964865998614566E-2</v>
      </c>
      <c r="Z11" s="6">
        <f t="shared" si="12"/>
        <v>8.7634572232582836E-2</v>
      </c>
      <c r="AB11" s="31">
        <v>45414</v>
      </c>
      <c r="AC11" s="9">
        <v>96</v>
      </c>
      <c r="AD11" t="s">
        <v>80</v>
      </c>
    </row>
    <row r="12" spans="1:31" x14ac:dyDescent="0.25">
      <c r="A12" t="s">
        <v>82</v>
      </c>
      <c r="B12" t="s">
        <v>33</v>
      </c>
      <c r="C12" s="26" t="s">
        <v>83</v>
      </c>
      <c r="D12" s="2">
        <f>952.002+512.6146</f>
        <v>1464.6165999999998</v>
      </c>
      <c r="E12" s="27">
        <v>32.4</v>
      </c>
      <c r="F12" s="3">
        <f t="shared" si="0"/>
        <v>47453.577839999991</v>
      </c>
      <c r="G12" s="3">
        <f>28303.96+15646.4</f>
        <v>43950.36</v>
      </c>
      <c r="H12" s="4">
        <f t="shared" si="1"/>
        <v>30.008099047901005</v>
      </c>
      <c r="I12" s="3">
        <f t="shared" si="2"/>
        <v>3503.2178399999902</v>
      </c>
      <c r="J12" s="27">
        <f t="shared" si="3"/>
        <v>2.3919009520989931</v>
      </c>
      <c r="K12" s="28">
        <v>45321</v>
      </c>
      <c r="L12">
        <f t="shared" si="4"/>
        <v>38</v>
      </c>
      <c r="M12" s="5">
        <f t="shared" si="5"/>
        <v>7.9708512967811646E-2</v>
      </c>
      <c r="N12">
        <v>28</v>
      </c>
      <c r="O12">
        <v>94</v>
      </c>
      <c r="P12">
        <v>81</v>
      </c>
      <c r="Q12" s="29">
        <v>28.39</v>
      </c>
      <c r="R12" s="30">
        <f t="shared" si="6"/>
        <v>26.402700000000003</v>
      </c>
      <c r="S12" s="30">
        <v>29.78</v>
      </c>
      <c r="T12" s="29">
        <f t="shared" si="7"/>
        <v>35.487499999999997</v>
      </c>
      <c r="U12" s="29">
        <f t="shared" si="8"/>
        <v>42.585000000000001</v>
      </c>
      <c r="V12" s="29">
        <f t="shared" si="9"/>
        <v>56.78</v>
      </c>
      <c r="W12" s="29">
        <f t="shared" si="10"/>
        <v>27.907532114547934</v>
      </c>
      <c r="X12" s="30">
        <v>30</v>
      </c>
      <c r="Y12" s="5">
        <f t="shared" si="11"/>
        <v>-2.69895400174373E-4</v>
      </c>
      <c r="Z12" s="6">
        <f t="shared" si="12"/>
        <v>8.3447476878798846E-2</v>
      </c>
      <c r="AB12" s="31">
        <v>45421</v>
      </c>
      <c r="AC12" s="9">
        <v>99</v>
      </c>
      <c r="AD12" t="s">
        <v>84</v>
      </c>
    </row>
    <row r="13" spans="1:31" x14ac:dyDescent="0.25">
      <c r="A13" t="s">
        <v>88</v>
      </c>
      <c r="B13" t="s">
        <v>33</v>
      </c>
      <c r="C13" s="26" t="s">
        <v>89</v>
      </c>
      <c r="D13" s="2">
        <f>846.327+640.0668</f>
        <v>1486.3937999999998</v>
      </c>
      <c r="E13" s="27">
        <v>39.159999999999997</v>
      </c>
      <c r="F13" s="3">
        <f t="shared" si="0"/>
        <v>58207.181207999987</v>
      </c>
      <c r="G13" s="3">
        <f>30020.93+21858.29</f>
        <v>51879.22</v>
      </c>
      <c r="H13" s="4">
        <f t="shared" si="1"/>
        <v>34.902742463000052</v>
      </c>
      <c r="I13" s="3">
        <f t="shared" si="2"/>
        <v>6327.9612079999861</v>
      </c>
      <c r="J13" s="27">
        <f t="shared" si="3"/>
        <v>4.2572575369999441</v>
      </c>
      <c r="K13" s="28">
        <v>45331</v>
      </c>
      <c r="L13">
        <f t="shared" si="4"/>
        <v>29</v>
      </c>
      <c r="M13" s="5">
        <f t="shared" si="5"/>
        <v>0.12197487178874289</v>
      </c>
      <c r="N13">
        <v>46</v>
      </c>
      <c r="O13">
        <v>83</v>
      </c>
      <c r="P13" s="34">
        <v>81</v>
      </c>
      <c r="Q13" s="29">
        <v>32.409999999999997</v>
      </c>
      <c r="R13" s="30">
        <f t="shared" si="6"/>
        <v>30.141299999999998</v>
      </c>
      <c r="S13" s="30">
        <v>30.71</v>
      </c>
      <c r="T13" s="29">
        <f t="shared" si="7"/>
        <v>40.512499999999996</v>
      </c>
      <c r="U13" s="29">
        <f t="shared" si="8"/>
        <v>48.614999999999995</v>
      </c>
      <c r="V13" s="29">
        <f t="shared" si="9"/>
        <v>64.819999999999993</v>
      </c>
      <c r="W13" s="29">
        <f t="shared" si="10"/>
        <v>32.459550490590047</v>
      </c>
      <c r="X13" s="30">
        <v>32.75</v>
      </c>
      <c r="Y13" s="5">
        <f t="shared" si="11"/>
        <v>-6.1678318409567584E-2</v>
      </c>
      <c r="Z13" s="6">
        <f t="shared" si="12"/>
        <v>0.10235777003815977</v>
      </c>
      <c r="AB13" s="31">
        <v>45443</v>
      </c>
      <c r="AC13" s="9">
        <v>87</v>
      </c>
      <c r="AD13" t="s">
        <v>90</v>
      </c>
    </row>
    <row r="14" spans="1:31" x14ac:dyDescent="0.25">
      <c r="A14" t="s">
        <v>95</v>
      </c>
      <c r="B14" t="s">
        <v>33</v>
      </c>
      <c r="C14" s="26" t="s">
        <v>96</v>
      </c>
      <c r="D14" s="2">
        <f>464.2554+269.0604</f>
        <v>733.31580000000008</v>
      </c>
      <c r="E14" s="27">
        <v>92.3</v>
      </c>
      <c r="F14" s="3">
        <f t="shared" si="0"/>
        <v>67685.048340000008</v>
      </c>
      <c r="G14" s="3">
        <f>45518.9+25760.58</f>
        <v>71279.48000000001</v>
      </c>
      <c r="H14" s="4">
        <f t="shared" si="1"/>
        <v>97.201614911338339</v>
      </c>
      <c r="I14" s="3">
        <f t="shared" si="2"/>
        <v>-3594.431660000002</v>
      </c>
      <c r="J14" s="27">
        <f t="shared" si="3"/>
        <v>-4.901614911338342</v>
      </c>
      <c r="K14" s="28">
        <v>45349</v>
      </c>
      <c r="L14">
        <f t="shared" si="4"/>
        <v>11</v>
      </c>
      <c r="M14" s="5">
        <f t="shared" si="5"/>
        <v>-5.0427299132934214E-2</v>
      </c>
      <c r="N14">
        <v>6</v>
      </c>
      <c r="O14">
        <v>95</v>
      </c>
      <c r="P14" s="34">
        <v>34</v>
      </c>
      <c r="Q14" s="29">
        <v>94.47</v>
      </c>
      <c r="R14" s="30">
        <f t="shared" si="6"/>
        <v>87.857100000000003</v>
      </c>
      <c r="S14" s="30">
        <v>80.42</v>
      </c>
      <c r="T14" s="29">
        <f t="shared" si="7"/>
        <v>118.08750000000001</v>
      </c>
      <c r="U14" s="29">
        <f t="shared" si="8"/>
        <v>141.70499999999998</v>
      </c>
      <c r="V14" s="29">
        <f t="shared" si="9"/>
        <v>188.94</v>
      </c>
      <c r="W14" s="29">
        <f t="shared" si="10"/>
        <v>90.397501867544662</v>
      </c>
      <c r="X14" s="30">
        <v>90</v>
      </c>
      <c r="Y14" s="5">
        <f t="shared" si="11"/>
        <v>-7.4089457442731113E-2</v>
      </c>
      <c r="Z14" s="33">
        <f t="shared" si="12"/>
        <v>0.11902467134167379</v>
      </c>
      <c r="AB14" s="31">
        <v>45413</v>
      </c>
      <c r="AC14" s="9">
        <v>82</v>
      </c>
      <c r="AD14" t="s">
        <v>97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44708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91.53</v>
      </c>
      <c r="F16" s="57">
        <f t="shared" si="0"/>
        <v>25393.039758000003</v>
      </c>
      <c r="G16" s="38">
        <v>25401.360000000001</v>
      </c>
      <c r="H16" s="39">
        <f t="shared" si="1"/>
        <v>91.559990570546802</v>
      </c>
      <c r="I16" s="38">
        <f t="shared" si="2"/>
        <v>-8.3202419999979611</v>
      </c>
      <c r="J16" s="37">
        <f t="shared" si="3"/>
        <v>-2.9990570546800654E-2</v>
      </c>
      <c r="K16" s="40"/>
      <c r="L16" s="35"/>
      <c r="M16" s="41">
        <f t="shared" si="5"/>
        <v>-3.2755104451092227E-4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85.150791230608519</v>
      </c>
      <c r="X16" s="43"/>
      <c r="Y16" s="41">
        <f t="shared" si="11"/>
        <v>-1</v>
      </c>
      <c r="Z16" s="44">
        <f t="shared" si="12"/>
        <v>4.4653853187482342E-2</v>
      </c>
      <c r="AB16" s="31"/>
      <c r="AC16" s="9"/>
    </row>
    <row r="17" spans="1:26" x14ac:dyDescent="0.25">
      <c r="A17" t="s">
        <v>53</v>
      </c>
      <c r="F17" s="3">
        <f>SUM(F6:F16)</f>
        <v>482466.02214800002</v>
      </c>
      <c r="G17" s="3">
        <f>SUM(G6:G16)</f>
        <v>367759.22</v>
      </c>
      <c r="H17" s="4"/>
      <c r="I17" s="3">
        <f>SUM(I6:I16)</f>
        <v>114706.802148</v>
      </c>
      <c r="M17" s="5"/>
      <c r="Z17" s="6"/>
    </row>
    <row r="18" spans="1:26" x14ac:dyDescent="0.25">
      <c r="D18" s="2" t="s">
        <v>54</v>
      </c>
      <c r="F18" s="3">
        <v>86198</v>
      </c>
      <c r="G18" s="6">
        <f>F18/F19</f>
        <v>0.15157983737815256</v>
      </c>
      <c r="H18" s="4"/>
      <c r="M18" s="5"/>
      <c r="Z18" s="6"/>
    </row>
    <row r="19" spans="1:26" x14ac:dyDescent="0.25">
      <c r="D19" s="2" t="s">
        <v>55</v>
      </c>
      <c r="F19" s="3">
        <f>SUM(F17:F18)</f>
        <v>568664.02214800008</v>
      </c>
      <c r="H19" s="46"/>
      <c r="M19" s="5"/>
      <c r="Z19" s="6"/>
    </row>
    <row r="20" spans="1:26" x14ac:dyDescent="0.25">
      <c r="F20" s="4"/>
      <c r="H20" s="46" t="s">
        <v>56</v>
      </c>
      <c r="I20" s="47">
        <f>'03-01-24'!F19</f>
        <v>591770.70233499992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-3.9046678208004983E-2</v>
      </c>
      <c r="K21" s="9" t="s">
        <v>58</v>
      </c>
      <c r="L21" s="6">
        <f>(F19-L20)/L20</f>
        <v>0.19426937497138591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2" si="13">F25/D25</f>
        <v>47.428061535569462</v>
      </c>
      <c r="F25" s="3">
        <v>38349.050000000003</v>
      </c>
      <c r="G25" s="3">
        <v>35186.18</v>
      </c>
      <c r="H25" s="3">
        <f t="shared" ref="H25:H31" si="14">G25/D25</f>
        <v>43.516392459307944</v>
      </c>
      <c r="I25" s="3">
        <f t="shared" ref="I25:I31" si="15">G25-F25</f>
        <v>-3162.8700000000026</v>
      </c>
      <c r="J25" s="5">
        <f t="shared" ref="J25:J31" si="16">I25/F25</f>
        <v>-8.2475837080710018E-2</v>
      </c>
      <c r="K25" s="1">
        <v>45286</v>
      </c>
      <c r="L25" s="1">
        <v>45302</v>
      </c>
      <c r="M25">
        <f t="shared" ref="M25:M32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ref="H32" si="18">G32/D32</f>
        <v>123.55705640326981</v>
      </c>
      <c r="I32" s="3">
        <f t="shared" ref="I32" si="19">G32-F32</f>
        <v>-3206.6999999999971</v>
      </c>
      <c r="J32" s="5">
        <f t="shared" ref="J32" si="20">I32/F32</f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3:13" x14ac:dyDescent="0.25">
      <c r="C33" s="26"/>
      <c r="E33" s="3"/>
      <c r="J33" s="5"/>
      <c r="K33" s="1"/>
      <c r="L33" s="1"/>
      <c r="M33" s="54"/>
    </row>
    <row r="34" spans="3:13" x14ac:dyDescent="0.25">
      <c r="C34" s="26"/>
      <c r="E34" s="3"/>
      <c r="J34" s="5"/>
      <c r="K34" s="1"/>
      <c r="L34" s="1"/>
      <c r="M34" s="54"/>
    </row>
    <row r="35" spans="3:13" x14ac:dyDescent="0.25">
      <c r="C35" s="26"/>
      <c r="E35" s="3"/>
      <c r="J35" s="5"/>
      <c r="K35" s="1"/>
      <c r="L35" s="1"/>
      <c r="M35" s="54"/>
    </row>
    <row r="36" spans="3:13" x14ac:dyDescent="0.25">
      <c r="C36" s="26"/>
      <c r="E36" s="3"/>
      <c r="J36" s="5"/>
      <c r="K36" s="53"/>
      <c r="L36" s="53"/>
      <c r="M36" s="54"/>
    </row>
    <row r="37" spans="3:13" x14ac:dyDescent="0.25">
      <c r="C37" s="26"/>
      <c r="E37" s="3"/>
      <c r="I37" s="3">
        <f>SUM(I25:I31)</f>
        <v>-11224.600000000017</v>
      </c>
      <c r="J37" s="5"/>
      <c r="K37" s="53"/>
      <c r="L37" s="53"/>
      <c r="M37" s="54"/>
    </row>
    <row r="38" spans="3:13" x14ac:dyDescent="0.25">
      <c r="C38" s="26"/>
      <c r="E38" s="3"/>
      <c r="J38" s="5"/>
      <c r="K38" s="53"/>
      <c r="L38" s="53"/>
      <c r="M38" s="54"/>
    </row>
    <row r="39" spans="3:13" x14ac:dyDescent="0.25">
      <c r="J39" s="13" t="s">
        <v>68</v>
      </c>
    </row>
    <row r="40" spans="3:13" x14ac:dyDescent="0.25">
      <c r="H40" s="3" t="s">
        <v>69</v>
      </c>
      <c r="I40" s="55">
        <v>5</v>
      </c>
      <c r="J40" s="5">
        <v>-9.1399999999999995E-2</v>
      </c>
    </row>
    <row r="41" spans="3:13" x14ac:dyDescent="0.25">
      <c r="H41" s="3" t="s">
        <v>70</v>
      </c>
      <c r="I41" s="55">
        <v>2</v>
      </c>
      <c r="J41" s="5">
        <v>0.31979999999999997</v>
      </c>
    </row>
    <row r="42" spans="3:13" x14ac:dyDescent="0.25">
      <c r="J42" s="5"/>
    </row>
    <row r="43" spans="3:13" x14ac:dyDescent="0.25">
      <c r="J43" s="5"/>
    </row>
    <row r="44" spans="3:13" x14ac:dyDescent="0.25">
      <c r="J44" s="5"/>
    </row>
    <row r="45" spans="3:13" x14ac:dyDescent="0.25">
      <c r="J45" s="5"/>
    </row>
    <row r="46" spans="3:13" x14ac:dyDescent="0.25">
      <c r="J46" s="5"/>
    </row>
    <row r="47" spans="3:13" x14ac:dyDescent="0.25">
      <c r="J47" s="5"/>
    </row>
    <row r="48" spans="3:13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E4DA-FD49-41FD-BD41-AF133851C166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45366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307.64999999999998</v>
      </c>
      <c r="F7" s="3">
        <f t="shared" ref="F7:F14" si="0">E7*D7</f>
        <v>82401.929714999991</v>
      </c>
      <c r="G7" s="3">
        <v>61166.239999999998</v>
      </c>
      <c r="H7" s="4">
        <f t="shared" ref="H7:H14" si="1">G7/D7</f>
        <v>228.36593513142583</v>
      </c>
      <c r="I7" s="3">
        <f t="shared" ref="I7:I14" si="2">F7-G7</f>
        <v>21235.689714999993</v>
      </c>
      <c r="J7" s="27">
        <f t="shared" ref="J7:J14" si="3">E7-H7</f>
        <v>79.284064868574148</v>
      </c>
      <c r="K7" s="28">
        <v>45238</v>
      </c>
      <c r="L7">
        <f t="shared" ref="L7:L14" si="4">DAYS360(K7,$C$1)</f>
        <v>127</v>
      </c>
      <c r="M7" s="5">
        <f t="shared" ref="M7:M14" si="5">(I7/G7)</f>
        <v>0.34717991027403344</v>
      </c>
      <c r="N7">
        <v>12</v>
      </c>
      <c r="O7">
        <v>91</v>
      </c>
      <c r="P7">
        <v>99</v>
      </c>
      <c r="Q7" s="29">
        <v>223.3</v>
      </c>
      <c r="R7" s="30">
        <f t="shared" ref="R7:R14" si="6">Q7*0.93</f>
        <v>207.66900000000001</v>
      </c>
      <c r="S7" s="30">
        <v>255.68</v>
      </c>
      <c r="T7" s="29">
        <f t="shared" ref="T7:T14" si="7">Q7*1.25</f>
        <v>279.125</v>
      </c>
      <c r="U7" s="29">
        <f t="shared" ref="U7:U14" si="8">Q7*1.5</f>
        <v>334.95000000000005</v>
      </c>
      <c r="V7" s="29">
        <f t="shared" ref="V7:V14" si="9">Q7*2</f>
        <v>446.6</v>
      </c>
      <c r="W7" s="29">
        <f t="shared" ref="W7:W14" si="10">H7-(H7*0.07)</f>
        <v>212.38031967222602</v>
      </c>
      <c r="X7" s="30">
        <v>275</v>
      </c>
      <c r="Y7" s="5">
        <f t="shared" ref="Y7:Y14" si="11">(X7-H7)/H7</f>
        <v>0.20420762335562884</v>
      </c>
      <c r="Z7" s="6">
        <f t="shared" ref="Z7:Z14" si="12">F7/F$19</f>
        <v>0.15101651589989729</v>
      </c>
      <c r="AB7" s="31">
        <v>45421</v>
      </c>
      <c r="AC7" s="9">
        <v>99</v>
      </c>
      <c r="AD7" t="s">
        <v>41</v>
      </c>
    </row>
    <row r="8" spans="1:31" x14ac:dyDescent="0.25">
      <c r="A8" t="s">
        <v>42</v>
      </c>
      <c r="B8" t="s">
        <v>33</v>
      </c>
      <c r="C8" s="26" t="s">
        <v>43</v>
      </c>
      <c r="D8" s="2">
        <f>1160.2602+1046.0778</f>
        <v>2206.3379999999997</v>
      </c>
      <c r="E8" s="27">
        <v>21.63</v>
      </c>
      <c r="F8" s="3">
        <f t="shared" si="0"/>
        <v>47723.090939999995</v>
      </c>
      <c r="G8" s="3">
        <f>20288.83+19170.47</f>
        <v>39459.300000000003</v>
      </c>
      <c r="H8" s="4">
        <f t="shared" si="1"/>
        <v>17.884521773182534</v>
      </c>
      <c r="I8" s="3">
        <f t="shared" si="2"/>
        <v>8263.7909399999917</v>
      </c>
      <c r="J8" s="27">
        <f t="shared" si="3"/>
        <v>3.7454782268174647</v>
      </c>
      <c r="K8" s="28">
        <v>45243</v>
      </c>
      <c r="L8">
        <f t="shared" si="4"/>
        <v>122</v>
      </c>
      <c r="M8" s="5">
        <f t="shared" si="5"/>
        <v>0.20942568519968655</v>
      </c>
      <c r="N8">
        <v>44</v>
      </c>
      <c r="O8">
        <v>92</v>
      </c>
      <c r="P8" s="34">
        <v>22</v>
      </c>
      <c r="Q8" s="29">
        <v>17.32</v>
      </c>
      <c r="R8" s="30">
        <f t="shared" si="6"/>
        <v>16.107600000000001</v>
      </c>
      <c r="S8" s="30">
        <v>20.89</v>
      </c>
      <c r="T8" s="32">
        <f t="shared" si="7"/>
        <v>21.65</v>
      </c>
      <c r="U8" s="29">
        <f t="shared" si="8"/>
        <v>25.98</v>
      </c>
      <c r="V8" s="29">
        <f t="shared" si="9"/>
        <v>34.64</v>
      </c>
      <c r="W8" s="29">
        <f t="shared" si="10"/>
        <v>16.632605249059758</v>
      </c>
      <c r="X8" s="30">
        <v>20.5</v>
      </c>
      <c r="Y8" s="5">
        <f t="shared" si="11"/>
        <v>0.14624255878842232</v>
      </c>
      <c r="Z8" s="6">
        <f t="shared" si="12"/>
        <v>8.7461239641586155E-2</v>
      </c>
      <c r="AB8" s="31">
        <v>45427</v>
      </c>
      <c r="AC8" s="9">
        <v>59</v>
      </c>
      <c r="AD8" t="s">
        <v>44</v>
      </c>
    </row>
    <row r="9" spans="1:31" x14ac:dyDescent="0.25">
      <c r="A9" t="s">
        <v>78</v>
      </c>
      <c r="B9" t="s">
        <v>33</v>
      </c>
      <c r="C9" s="26" t="s">
        <v>79</v>
      </c>
      <c r="D9" s="2">
        <f>1286.8297+948.5633-808.6324</f>
        <v>1426.7606000000001</v>
      </c>
      <c r="E9" s="27">
        <v>62.56</v>
      </c>
      <c r="F9" s="3">
        <f t="shared" si="0"/>
        <v>89258.143136000013</v>
      </c>
      <c r="G9" s="3">
        <f>28174.78+19947.6-17409.86</f>
        <v>30712.519999999997</v>
      </c>
      <c r="H9" s="4">
        <f t="shared" si="1"/>
        <v>21.526049990446886</v>
      </c>
      <c r="I9" s="3">
        <f t="shared" si="2"/>
        <v>58545.623136000017</v>
      </c>
      <c r="J9" s="27">
        <f t="shared" si="3"/>
        <v>41.033950009553116</v>
      </c>
      <c r="K9" s="28">
        <v>45309</v>
      </c>
      <c r="L9">
        <f t="shared" si="4"/>
        <v>57</v>
      </c>
      <c r="M9" s="5">
        <f t="shared" si="5"/>
        <v>1.9062461542068194</v>
      </c>
      <c r="N9">
        <v>9</v>
      </c>
      <c r="O9">
        <v>99</v>
      </c>
      <c r="P9">
        <v>22</v>
      </c>
      <c r="Q9" s="29">
        <v>20.03</v>
      </c>
      <c r="R9" s="30">
        <f t="shared" si="6"/>
        <v>18.6279</v>
      </c>
      <c r="S9" s="30">
        <v>34.04</v>
      </c>
      <c r="T9" s="32">
        <f t="shared" si="7"/>
        <v>25.037500000000001</v>
      </c>
      <c r="U9" s="29">
        <f t="shared" si="8"/>
        <v>30.045000000000002</v>
      </c>
      <c r="V9" s="29">
        <f t="shared" si="9"/>
        <v>40.06</v>
      </c>
      <c r="W9" s="29">
        <f t="shared" si="10"/>
        <v>20.019226491115603</v>
      </c>
      <c r="X9" s="30">
        <v>55</v>
      </c>
      <c r="Y9" s="5">
        <f t="shared" si="11"/>
        <v>1.5550437736792688</v>
      </c>
      <c r="Z9" s="33">
        <f t="shared" si="12"/>
        <v>0.16358177337246665</v>
      </c>
      <c r="AA9" s="9"/>
      <c r="AB9" s="31">
        <v>45406</v>
      </c>
      <c r="AC9" s="9">
        <v>67</v>
      </c>
      <c r="AD9" t="s">
        <v>80</v>
      </c>
    </row>
    <row r="10" spans="1:31" x14ac:dyDescent="0.25">
      <c r="A10" t="s">
        <v>81</v>
      </c>
      <c r="B10" t="s">
        <v>33</v>
      </c>
      <c r="C10" s="26" t="s">
        <v>81</v>
      </c>
      <c r="D10" s="2">
        <f>532.4164+77.1815</f>
        <v>609.59789999999998</v>
      </c>
      <c r="E10" s="27">
        <v>81.75</v>
      </c>
      <c r="F10" s="3">
        <f t="shared" si="0"/>
        <v>49834.628324999998</v>
      </c>
      <c r="G10" s="3">
        <f>38270.34+5640.4</f>
        <v>43910.74</v>
      </c>
      <c r="H10" s="4">
        <f t="shared" si="1"/>
        <v>72.032301948546731</v>
      </c>
      <c r="I10" s="3">
        <f t="shared" si="2"/>
        <v>5923.8883249999999</v>
      </c>
      <c r="J10" s="27">
        <f t="shared" si="3"/>
        <v>9.7176980514532687</v>
      </c>
      <c r="K10" s="28">
        <v>45313</v>
      </c>
      <c r="L10">
        <f t="shared" si="4"/>
        <v>53</v>
      </c>
      <c r="M10" s="5">
        <f t="shared" si="5"/>
        <v>0.13490750383619132</v>
      </c>
      <c r="N10">
        <v>33</v>
      </c>
      <c r="O10">
        <v>86</v>
      </c>
      <c r="P10" s="34">
        <v>96</v>
      </c>
      <c r="Q10" s="29">
        <v>71.39</v>
      </c>
      <c r="R10" s="30">
        <f t="shared" si="6"/>
        <v>66.392700000000005</v>
      </c>
      <c r="S10" s="30">
        <v>78.069999999999993</v>
      </c>
      <c r="T10" s="32">
        <f t="shared" si="7"/>
        <v>89.237499999999997</v>
      </c>
      <c r="U10" s="29">
        <f t="shared" si="8"/>
        <v>107.08500000000001</v>
      </c>
      <c r="V10" s="29">
        <f t="shared" si="9"/>
        <v>142.78</v>
      </c>
      <c r="W10" s="29">
        <f t="shared" si="10"/>
        <v>66.990040812148465</v>
      </c>
      <c r="X10" s="30">
        <v>77</v>
      </c>
      <c r="Y10" s="5">
        <f t="shared" si="11"/>
        <v>6.8964865998614566E-2</v>
      </c>
      <c r="Z10" s="6">
        <f t="shared" si="12"/>
        <v>9.1331015752145292E-2</v>
      </c>
      <c r="AB10" s="31">
        <v>45414</v>
      </c>
      <c r="AC10" s="9">
        <v>96</v>
      </c>
      <c r="AD10" t="s">
        <v>80</v>
      </c>
    </row>
    <row r="11" spans="1:31" x14ac:dyDescent="0.25">
      <c r="A11" t="s">
        <v>82</v>
      </c>
      <c r="B11" t="s">
        <v>33</v>
      </c>
      <c r="C11" s="26" t="s">
        <v>83</v>
      </c>
      <c r="D11" s="2">
        <f>952.002+512.6146</f>
        <v>1464.6165999999998</v>
      </c>
      <c r="E11" s="27">
        <v>31.8</v>
      </c>
      <c r="F11" s="3">
        <f t="shared" si="0"/>
        <v>46574.807879999993</v>
      </c>
      <c r="G11" s="3">
        <f>28303.96+15646.4</f>
        <v>43950.36</v>
      </c>
      <c r="H11" s="4">
        <f t="shared" si="1"/>
        <v>30.008099047901005</v>
      </c>
      <c r="I11" s="3">
        <f t="shared" si="2"/>
        <v>2624.4478799999924</v>
      </c>
      <c r="J11" s="27">
        <f t="shared" si="3"/>
        <v>1.7919009520989952</v>
      </c>
      <c r="K11" s="28">
        <v>45321</v>
      </c>
      <c r="L11">
        <f t="shared" si="4"/>
        <v>45</v>
      </c>
      <c r="M11" s="5">
        <f t="shared" si="5"/>
        <v>5.9713910875815179E-2</v>
      </c>
      <c r="N11">
        <v>30</v>
      </c>
      <c r="O11">
        <v>93</v>
      </c>
      <c r="P11">
        <v>81</v>
      </c>
      <c r="Q11" s="29">
        <v>28.39</v>
      </c>
      <c r="R11" s="30">
        <f t="shared" si="6"/>
        <v>26.402700000000003</v>
      </c>
      <c r="S11" s="30">
        <v>29.78</v>
      </c>
      <c r="T11" s="29">
        <f t="shared" si="7"/>
        <v>35.487499999999997</v>
      </c>
      <c r="U11" s="29">
        <f t="shared" si="8"/>
        <v>42.585000000000001</v>
      </c>
      <c r="V11" s="29">
        <f t="shared" si="9"/>
        <v>56.78</v>
      </c>
      <c r="W11" s="29">
        <f t="shared" si="10"/>
        <v>27.907532114547934</v>
      </c>
      <c r="X11" s="30">
        <v>30</v>
      </c>
      <c r="Y11" s="5">
        <f t="shared" si="11"/>
        <v>-2.69895400174373E-4</v>
      </c>
      <c r="Z11" s="6">
        <f t="shared" si="12"/>
        <v>8.5356802189843969E-2</v>
      </c>
      <c r="AB11" s="31">
        <v>45421</v>
      </c>
      <c r="AC11" s="9">
        <v>99</v>
      </c>
      <c r="AD11" t="s">
        <v>84</v>
      </c>
    </row>
    <row r="12" spans="1:31" x14ac:dyDescent="0.25">
      <c r="A12" t="s">
        <v>95</v>
      </c>
      <c r="B12" t="s">
        <v>33</v>
      </c>
      <c r="C12" s="26" t="s">
        <v>96</v>
      </c>
      <c r="D12" s="2">
        <f>464.2554+269.0604</f>
        <v>733.31580000000008</v>
      </c>
      <c r="E12" s="27">
        <v>90.5</v>
      </c>
      <c r="F12" s="3">
        <f t="shared" si="0"/>
        <v>66365.079900000012</v>
      </c>
      <c r="G12" s="3">
        <f>45518.9+25760.58</f>
        <v>71279.48000000001</v>
      </c>
      <c r="H12" s="4">
        <f t="shared" si="1"/>
        <v>97.201614911338339</v>
      </c>
      <c r="I12" s="3">
        <f t="shared" si="2"/>
        <v>-4914.4000999999989</v>
      </c>
      <c r="J12" s="27">
        <f t="shared" si="3"/>
        <v>-6.7016149113383392</v>
      </c>
      <c r="K12" s="28">
        <v>45349</v>
      </c>
      <c r="L12">
        <f t="shared" si="4"/>
        <v>18</v>
      </c>
      <c r="M12" s="5">
        <f t="shared" si="5"/>
        <v>-6.8945509984079542E-2</v>
      </c>
      <c r="N12">
        <v>9</v>
      </c>
      <c r="O12">
        <v>94</v>
      </c>
      <c r="P12" s="34">
        <v>34</v>
      </c>
      <c r="Q12" s="29">
        <v>94.47</v>
      </c>
      <c r="R12" s="30">
        <f t="shared" si="6"/>
        <v>87.857100000000003</v>
      </c>
      <c r="S12" s="30">
        <v>80.42</v>
      </c>
      <c r="T12" s="29">
        <f t="shared" si="7"/>
        <v>118.08750000000001</v>
      </c>
      <c r="U12" s="29">
        <f t="shared" si="8"/>
        <v>141.70499999999998</v>
      </c>
      <c r="V12" s="29">
        <f t="shared" si="9"/>
        <v>188.94</v>
      </c>
      <c r="W12" s="29">
        <f t="shared" si="10"/>
        <v>90.397501867544662</v>
      </c>
      <c r="X12" s="30">
        <v>90</v>
      </c>
      <c r="Y12" s="5">
        <f t="shared" si="11"/>
        <v>-7.4089457442731113E-2</v>
      </c>
      <c r="Z12" s="33">
        <f t="shared" si="12"/>
        <v>0.1216260733041051</v>
      </c>
      <c r="AB12" s="31">
        <v>45413</v>
      </c>
      <c r="AC12" s="9">
        <v>84</v>
      </c>
      <c r="AD12" t="s">
        <v>97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44715</v>
      </c>
      <c r="M13" s="5" t="e">
        <f t="shared" si="5"/>
        <v>#DIV/0!</v>
      </c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44715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29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ref="F15:F16" si="13">E15*D15</f>
        <v>0</v>
      </c>
      <c r="H15" s="4" t="e">
        <f t="shared" ref="H15:H16" si="14">G15/D15</f>
        <v>#DIV/0!</v>
      </c>
      <c r="I15" s="3">
        <f t="shared" ref="I15:I16" si="15">F15-G15</f>
        <v>0</v>
      </c>
      <c r="J15" s="27" t="e">
        <f t="shared" ref="J15:J16" si="16">E15-H15</f>
        <v>#DIV/0!</v>
      </c>
      <c r="K15" s="28"/>
      <c r="L15">
        <f t="shared" ref="L15" si="17">DAYS360(K15,$C$1)</f>
        <v>44715</v>
      </c>
      <c r="M15" s="5" t="e">
        <f t="shared" ref="M15:M16" si="18">(I15/G15)</f>
        <v>#DIV/0!</v>
      </c>
      <c r="P15" s="34"/>
      <c r="Q15" s="29"/>
      <c r="R15" s="30">
        <f t="shared" ref="R15:R16" si="19">Q15*0.93</f>
        <v>0</v>
      </c>
      <c r="S15" s="30"/>
      <c r="T15" s="32">
        <f t="shared" ref="T15:T16" si="20">Q15*1.25</f>
        <v>0</v>
      </c>
      <c r="U15" s="29">
        <f t="shared" ref="U15:U16" si="21">Q15*1.5</f>
        <v>0</v>
      </c>
      <c r="V15" s="29">
        <f t="shared" ref="V15:V16" si="22">Q15*2</f>
        <v>0</v>
      </c>
      <c r="W15" s="29" t="e">
        <f t="shared" ref="W15:W16" si="23">H15-(H15*0.07)</f>
        <v>#DIV/0!</v>
      </c>
      <c r="X15" s="30"/>
      <c r="Y15" s="5" t="e">
        <f t="shared" ref="Y15:Y16" si="24">(X15-H15)/H15</f>
        <v>#DIV/0!</v>
      </c>
      <c r="Z15" s="6">
        <f t="shared" ref="Z15:Z16" si="25">F15/F$19</f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91.63</v>
      </c>
      <c r="F16" s="57">
        <f t="shared" si="13"/>
        <v>25420.782618000001</v>
      </c>
      <c r="G16" s="38">
        <v>25401.360000000001</v>
      </c>
      <c r="H16" s="39">
        <f t="shared" si="14"/>
        <v>91.559990570546802</v>
      </c>
      <c r="I16" s="38">
        <f t="shared" si="15"/>
        <v>19.422618000000512</v>
      </c>
      <c r="J16" s="37">
        <f t="shared" si="16"/>
        <v>7.0009429453193661E-2</v>
      </c>
      <c r="K16" s="40"/>
      <c r="L16" s="35"/>
      <c r="M16" s="41">
        <f t="shared" si="18"/>
        <v>7.6462905923149434E-4</v>
      </c>
      <c r="N16" s="35"/>
      <c r="O16" s="35"/>
      <c r="P16" s="35"/>
      <c r="Q16" s="42"/>
      <c r="R16" s="43">
        <f t="shared" si="19"/>
        <v>0</v>
      </c>
      <c r="S16" s="43"/>
      <c r="T16" s="42">
        <f t="shared" si="20"/>
        <v>0</v>
      </c>
      <c r="U16" s="42">
        <f t="shared" si="21"/>
        <v>0</v>
      </c>
      <c r="V16" s="42">
        <f t="shared" si="22"/>
        <v>0</v>
      </c>
      <c r="W16" s="42">
        <f t="shared" si="23"/>
        <v>85.150791230608519</v>
      </c>
      <c r="X16" s="43"/>
      <c r="Y16" s="41">
        <f t="shared" si="24"/>
        <v>-1</v>
      </c>
      <c r="Z16" s="44">
        <f t="shared" si="25"/>
        <v>4.6588205345392625E-2</v>
      </c>
      <c r="AB16" s="31"/>
      <c r="AC16" s="9"/>
    </row>
    <row r="17" spans="1:26" x14ac:dyDescent="0.25">
      <c r="A17" t="s">
        <v>53</v>
      </c>
      <c r="F17" s="3">
        <f>SUM(F6:F16)</f>
        <v>407578.46251399996</v>
      </c>
      <c r="G17" s="3">
        <f>SUM(G6:G16)</f>
        <v>315880</v>
      </c>
      <c r="H17" s="4"/>
      <c r="I17" s="3">
        <f>SUM(I6:I16)</f>
        <v>91698.462513999999</v>
      </c>
      <c r="M17" s="5"/>
      <c r="Z17" s="6"/>
    </row>
    <row r="18" spans="1:26" x14ac:dyDescent="0.25">
      <c r="D18" s="2" t="s">
        <v>54</v>
      </c>
      <c r="F18" s="3">
        <v>138070</v>
      </c>
      <c r="G18" s="6">
        <f>F18/F19</f>
        <v>0.2530383744945629</v>
      </c>
      <c r="H18" s="4"/>
      <c r="M18" s="5"/>
      <c r="Z18" s="6"/>
    </row>
    <row r="19" spans="1:26" x14ac:dyDescent="0.25">
      <c r="D19" s="2" t="s">
        <v>55</v>
      </c>
      <c r="F19" s="3">
        <f>SUM(F17:F18)</f>
        <v>545648.46251400001</v>
      </c>
      <c r="H19" s="46"/>
      <c r="M19" s="5"/>
      <c r="Z19" s="6"/>
    </row>
    <row r="20" spans="1:26" x14ac:dyDescent="0.25">
      <c r="F20" s="4"/>
      <c r="H20" s="46" t="s">
        <v>56</v>
      </c>
      <c r="I20" s="47">
        <f>'03-08-24'!F19</f>
        <v>568664.02214800008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-4.0473036340621618E-2</v>
      </c>
      <c r="K21" s="9" t="s">
        <v>58</v>
      </c>
      <c r="L21" s="6">
        <f>(F19-L20)/L20</f>
        <v>0.14593366715767755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3" si="26">F25/D25</f>
        <v>47.428061535569462</v>
      </c>
      <c r="F25" s="3">
        <v>38349.050000000003</v>
      </c>
      <c r="G25" s="3">
        <v>35186.18</v>
      </c>
      <c r="H25" s="3">
        <f t="shared" ref="H25:H32" si="27">G25/D25</f>
        <v>43.516392459307944</v>
      </c>
      <c r="I25" s="3">
        <f t="shared" ref="I25:I32" si="28">G25-F25</f>
        <v>-3162.8700000000026</v>
      </c>
      <c r="J25" s="5">
        <f t="shared" ref="J25:J32" si="29">I25/F25</f>
        <v>-8.2475837080710018E-2</v>
      </c>
      <c r="K25" s="1">
        <v>45286</v>
      </c>
      <c r="L25" s="1">
        <v>45302</v>
      </c>
      <c r="M25">
        <f t="shared" ref="M25:M33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ref="H33" si="31">G33/D33</f>
        <v>34.904632944513089</v>
      </c>
      <c r="I33" s="3">
        <f t="shared" ref="I33" si="32">G33-F33</f>
        <v>2.8099999999976717</v>
      </c>
      <c r="J33" s="5">
        <f t="shared" ref="J33" si="33">I33/F33</f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C34" s="26"/>
      <c r="E34" s="3"/>
      <c r="J34" s="5"/>
      <c r="K34" s="1"/>
      <c r="L34" s="1"/>
      <c r="M34" s="54"/>
    </row>
    <row r="35" spans="1:15" x14ac:dyDescent="0.25">
      <c r="C35" s="26"/>
      <c r="E35" s="3"/>
      <c r="J35" s="5"/>
      <c r="K35" s="1"/>
      <c r="L35" s="1"/>
      <c r="M35" s="54"/>
    </row>
    <row r="36" spans="1:15" x14ac:dyDescent="0.25">
      <c r="C36" s="26"/>
      <c r="E36" s="3"/>
      <c r="J36" s="5"/>
      <c r="K36" s="53"/>
      <c r="L36" s="53"/>
      <c r="M36" s="54"/>
    </row>
    <row r="37" spans="1:15" x14ac:dyDescent="0.25">
      <c r="C37" s="26"/>
      <c r="E37" s="3"/>
      <c r="I37" s="3">
        <f>SUM(I25:I31)</f>
        <v>-11224.600000000017</v>
      </c>
      <c r="J37" s="5"/>
      <c r="K37" s="53"/>
      <c r="L37" s="53"/>
      <c r="M37" s="54"/>
    </row>
    <row r="38" spans="1:15" x14ac:dyDescent="0.25">
      <c r="C38" s="26"/>
      <c r="E38" s="3"/>
      <c r="J38" s="5"/>
      <c r="K38" s="53"/>
      <c r="L38" s="53"/>
      <c r="M38" s="54"/>
    </row>
    <row r="39" spans="1:15" x14ac:dyDescent="0.25">
      <c r="J39" s="13" t="s">
        <v>68</v>
      </c>
    </row>
    <row r="40" spans="1:15" x14ac:dyDescent="0.25">
      <c r="H40" s="3" t="s">
        <v>69</v>
      </c>
      <c r="I40" s="55">
        <v>5</v>
      </c>
      <c r="J40" s="5">
        <v>-9.1399999999999995E-2</v>
      </c>
    </row>
    <row r="41" spans="1:15" x14ac:dyDescent="0.25">
      <c r="H41" s="3" t="s">
        <v>70</v>
      </c>
      <c r="I41" s="55">
        <v>2</v>
      </c>
      <c r="J41" s="5">
        <v>0.31979999999999997</v>
      </c>
    </row>
    <row r="42" spans="1:15" x14ac:dyDescent="0.25">
      <c r="J42" s="5"/>
    </row>
    <row r="43" spans="1:15" x14ac:dyDescent="0.25">
      <c r="J43" s="5"/>
    </row>
    <row r="44" spans="1:15" x14ac:dyDescent="0.25">
      <c r="J44" s="5"/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A7:AD12">
    <sortCondition descending="1" ref="L7:L1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6295-7568-41FC-8FAB-499BBAF502F2}">
  <dimension ref="A1:AE194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45373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316.32</v>
      </c>
      <c r="F7" s="3">
        <f t="shared" ref="F7:F13" si="0">E7*D7</f>
        <v>84724.129392000003</v>
      </c>
      <c r="G7" s="3">
        <v>61166.239999999998</v>
      </c>
      <c r="H7" s="4">
        <f t="shared" ref="H7:H13" si="1">G7/D7</f>
        <v>228.36593513142583</v>
      </c>
      <c r="I7" s="3">
        <f t="shared" ref="I7:I13" si="2">F7-G7</f>
        <v>23557.889392000005</v>
      </c>
      <c r="J7" s="27">
        <f t="shared" ref="J7:J13" si="3">E7-H7</f>
        <v>87.954064868574164</v>
      </c>
      <c r="K7" s="28">
        <v>45238</v>
      </c>
      <c r="L7">
        <f t="shared" ref="L7:L13" si="4">DAYS360(K7,$C$1)</f>
        <v>134</v>
      </c>
      <c r="M7" s="5">
        <f t="shared" ref="M7:M13" si="5">(I7/G7)</f>
        <v>0.38514529243582746</v>
      </c>
      <c r="N7">
        <v>14</v>
      </c>
      <c r="O7">
        <v>92</v>
      </c>
      <c r="P7">
        <v>99</v>
      </c>
      <c r="Q7" s="29">
        <v>223.3</v>
      </c>
      <c r="R7" s="30">
        <f t="shared" ref="R7:R13" si="6">Q7*0.93</f>
        <v>207.66900000000001</v>
      </c>
      <c r="S7" s="30">
        <v>255.68</v>
      </c>
      <c r="T7" s="29">
        <f t="shared" ref="T7:T13" si="7">Q7*1.25</f>
        <v>279.125</v>
      </c>
      <c r="U7" s="29">
        <f t="shared" ref="U7:U13" si="8">Q7*1.5</f>
        <v>334.95000000000005</v>
      </c>
      <c r="V7" s="29">
        <f t="shared" ref="V7:V13" si="9">Q7*2</f>
        <v>446.6</v>
      </c>
      <c r="W7" s="29">
        <f t="shared" ref="W7:W13" si="10">H7-(H7*0.07)</f>
        <v>212.38031967222602</v>
      </c>
      <c r="X7" s="30">
        <v>290</v>
      </c>
      <c r="Y7" s="5">
        <f t="shared" ref="Y7:Y13" si="11">(X7-H7)/H7</f>
        <v>0.26989167553866311</v>
      </c>
      <c r="Z7" s="6">
        <f t="shared" ref="Z7:Z13" si="12">F7/F$19</f>
        <v>0.1470345459969255</v>
      </c>
      <c r="AB7" s="31">
        <v>45421</v>
      </c>
      <c r="AC7" s="9">
        <v>99</v>
      </c>
      <c r="AD7" t="s">
        <v>41</v>
      </c>
    </row>
    <row r="8" spans="1:31" x14ac:dyDescent="0.25">
      <c r="A8" t="s">
        <v>78</v>
      </c>
      <c r="B8" t="s">
        <v>33</v>
      </c>
      <c r="C8" s="26" t="s">
        <v>79</v>
      </c>
      <c r="D8" s="2">
        <f>1286.8297+948.5633-808.6324</f>
        <v>1426.7606000000001</v>
      </c>
      <c r="E8" s="27">
        <v>69.55</v>
      </c>
      <c r="F8" s="3">
        <f t="shared" si="0"/>
        <v>99231.199730000008</v>
      </c>
      <c r="G8" s="3">
        <f>28174.78+19947.6-17409.86</f>
        <v>30712.519999999997</v>
      </c>
      <c r="H8" s="4">
        <f t="shared" si="1"/>
        <v>21.526049990446886</v>
      </c>
      <c r="I8" s="3">
        <f t="shared" si="2"/>
        <v>68518.679730000003</v>
      </c>
      <c r="J8" s="27">
        <f t="shared" si="3"/>
        <v>48.023950009553111</v>
      </c>
      <c r="K8" s="28">
        <v>45309</v>
      </c>
      <c r="L8">
        <f t="shared" si="4"/>
        <v>64</v>
      </c>
      <c r="M8" s="5">
        <f t="shared" si="5"/>
        <v>2.2309689901707843</v>
      </c>
      <c r="N8">
        <v>10</v>
      </c>
      <c r="O8">
        <v>99</v>
      </c>
      <c r="P8">
        <v>22</v>
      </c>
      <c r="Q8" s="29">
        <v>20.03</v>
      </c>
      <c r="R8" s="30">
        <f t="shared" si="6"/>
        <v>18.6279</v>
      </c>
      <c r="S8" s="30">
        <v>34.04</v>
      </c>
      <c r="T8" s="32">
        <f t="shared" si="7"/>
        <v>25.037500000000001</v>
      </c>
      <c r="U8" s="29">
        <f t="shared" si="8"/>
        <v>30.045000000000002</v>
      </c>
      <c r="V8" s="29">
        <f t="shared" si="9"/>
        <v>40.06</v>
      </c>
      <c r="W8" s="29">
        <f t="shared" si="10"/>
        <v>20.019226491115603</v>
      </c>
      <c r="X8" s="30">
        <v>55</v>
      </c>
      <c r="Y8" s="5">
        <f t="shared" si="11"/>
        <v>1.5550437736792688</v>
      </c>
      <c r="Z8" s="33">
        <f t="shared" si="12"/>
        <v>0.17221085074269851</v>
      </c>
      <c r="AA8" s="9"/>
      <c r="AB8" s="31">
        <v>45406</v>
      </c>
      <c r="AC8" s="9">
        <v>67</v>
      </c>
      <c r="AD8" t="s">
        <v>80</v>
      </c>
    </row>
    <row r="9" spans="1:31" x14ac:dyDescent="0.25">
      <c r="A9" t="s">
        <v>81</v>
      </c>
      <c r="B9" t="s">
        <v>33</v>
      </c>
      <c r="C9" s="26" t="s">
        <v>81</v>
      </c>
      <c r="D9" s="2">
        <f>532.4164+77.1815</f>
        <v>609.59789999999998</v>
      </c>
      <c r="E9" s="27">
        <v>86.45</v>
      </c>
      <c r="F9" s="3">
        <f t="shared" si="0"/>
        <v>52699.738454999999</v>
      </c>
      <c r="G9" s="3">
        <f>38270.34+5640.4</f>
        <v>43910.74</v>
      </c>
      <c r="H9" s="4">
        <f t="shared" si="1"/>
        <v>72.032301948546731</v>
      </c>
      <c r="I9" s="3">
        <f t="shared" si="2"/>
        <v>8788.9984550000008</v>
      </c>
      <c r="J9" s="27">
        <f t="shared" si="3"/>
        <v>14.417698051453272</v>
      </c>
      <c r="K9" s="28">
        <v>45313</v>
      </c>
      <c r="L9">
        <f t="shared" si="4"/>
        <v>60</v>
      </c>
      <c r="M9" s="5">
        <f t="shared" si="5"/>
        <v>0.20015600864389899</v>
      </c>
      <c r="N9">
        <v>31</v>
      </c>
      <c r="O9">
        <v>89</v>
      </c>
      <c r="P9" s="34">
        <v>96</v>
      </c>
      <c r="Q9" s="29">
        <v>71.39</v>
      </c>
      <c r="R9" s="30">
        <f t="shared" si="6"/>
        <v>66.392700000000005</v>
      </c>
      <c r="S9" s="30">
        <v>78.709999999999994</v>
      </c>
      <c r="T9" s="32">
        <f t="shared" si="7"/>
        <v>89.237499999999997</v>
      </c>
      <c r="U9" s="29">
        <f t="shared" si="8"/>
        <v>107.08500000000001</v>
      </c>
      <c r="V9" s="29">
        <f t="shared" si="9"/>
        <v>142.78</v>
      </c>
      <c r="W9" s="29">
        <f t="shared" si="10"/>
        <v>66.990040812148465</v>
      </c>
      <c r="X9" s="30">
        <v>77</v>
      </c>
      <c r="Y9" s="5">
        <f t="shared" si="11"/>
        <v>6.8964865998614566E-2</v>
      </c>
      <c r="Z9" s="6">
        <f t="shared" si="12"/>
        <v>9.145779571290942E-2</v>
      </c>
      <c r="AB9" s="31">
        <v>45414</v>
      </c>
      <c r="AC9" s="9">
        <v>98</v>
      </c>
      <c r="AD9" t="s">
        <v>80</v>
      </c>
    </row>
    <row r="10" spans="1:31" x14ac:dyDescent="0.25">
      <c r="A10" t="s">
        <v>82</v>
      </c>
      <c r="B10" t="s">
        <v>33</v>
      </c>
      <c r="C10" s="26" t="s">
        <v>83</v>
      </c>
      <c r="D10" s="2">
        <f>952.002+512.6146</f>
        <v>1464.6165999999998</v>
      </c>
      <c r="E10" s="27">
        <v>36.33</v>
      </c>
      <c r="F10" s="3">
        <f t="shared" si="0"/>
        <v>53209.521077999991</v>
      </c>
      <c r="G10" s="3">
        <f>28303.96+15646.4</f>
        <v>43950.36</v>
      </c>
      <c r="H10" s="4">
        <f t="shared" si="1"/>
        <v>30.008099047901005</v>
      </c>
      <c r="I10" s="3">
        <f t="shared" si="2"/>
        <v>9259.1610779999901</v>
      </c>
      <c r="J10" s="27">
        <f t="shared" si="3"/>
        <v>6.3219009520989928</v>
      </c>
      <c r="K10" s="28">
        <v>45321</v>
      </c>
      <c r="L10">
        <f t="shared" si="4"/>
        <v>52</v>
      </c>
      <c r="M10" s="5">
        <f t="shared" si="5"/>
        <v>0.21067315667038883</v>
      </c>
      <c r="N10">
        <v>29</v>
      </c>
      <c r="O10">
        <v>95</v>
      </c>
      <c r="P10">
        <v>81</v>
      </c>
      <c r="Q10" s="29">
        <v>28.39</v>
      </c>
      <c r="R10" s="30">
        <f t="shared" si="6"/>
        <v>26.402700000000003</v>
      </c>
      <c r="S10" s="30">
        <v>31.42</v>
      </c>
      <c r="T10" s="29">
        <f t="shared" si="7"/>
        <v>35.487499999999997</v>
      </c>
      <c r="U10" s="29">
        <f t="shared" si="8"/>
        <v>42.585000000000001</v>
      </c>
      <c r="V10" s="29">
        <f t="shared" si="9"/>
        <v>56.78</v>
      </c>
      <c r="W10" s="29">
        <f t="shared" si="10"/>
        <v>27.907532114547934</v>
      </c>
      <c r="X10" s="30">
        <v>32</v>
      </c>
      <c r="Y10" s="5">
        <f t="shared" si="11"/>
        <v>6.6378778239814001E-2</v>
      </c>
      <c r="Z10" s="6">
        <f t="shared" si="12"/>
        <v>9.234249830080056E-2</v>
      </c>
      <c r="AB10" s="31">
        <v>45421</v>
      </c>
      <c r="AC10" s="9">
        <v>99</v>
      </c>
      <c r="AD10" t="s">
        <v>84</v>
      </c>
    </row>
    <row r="11" spans="1:31" x14ac:dyDescent="0.25">
      <c r="A11" t="s">
        <v>95</v>
      </c>
      <c r="B11" t="s">
        <v>33</v>
      </c>
      <c r="C11" s="26" t="s">
        <v>96</v>
      </c>
      <c r="D11" s="2">
        <f>464.2554+269.0604</f>
        <v>733.31580000000008</v>
      </c>
      <c r="E11" s="27">
        <v>87.04</v>
      </c>
      <c r="F11" s="3">
        <f t="shared" si="0"/>
        <v>63827.807232000014</v>
      </c>
      <c r="G11" s="3">
        <f>45518.9+25760.58</f>
        <v>71279.48000000001</v>
      </c>
      <c r="H11" s="4">
        <f t="shared" si="1"/>
        <v>97.201614911338339</v>
      </c>
      <c r="I11" s="3">
        <f t="shared" si="2"/>
        <v>-7451.6727679999967</v>
      </c>
      <c r="J11" s="27">
        <f t="shared" si="3"/>
        <v>-10.161614911338333</v>
      </c>
      <c r="K11" s="28">
        <v>45349</v>
      </c>
      <c r="L11">
        <f t="shared" si="4"/>
        <v>25</v>
      </c>
      <c r="M11" s="5">
        <f t="shared" si="5"/>
        <v>-0.10454162639794785</v>
      </c>
      <c r="N11">
        <v>10</v>
      </c>
      <c r="O11">
        <v>92</v>
      </c>
      <c r="P11" s="34">
        <v>33</v>
      </c>
      <c r="Q11" s="29">
        <v>94.47</v>
      </c>
      <c r="R11" s="30">
        <f t="shared" si="6"/>
        <v>87.857100000000003</v>
      </c>
      <c r="S11" s="30">
        <v>80.42</v>
      </c>
      <c r="T11" s="29">
        <f t="shared" si="7"/>
        <v>118.08750000000001</v>
      </c>
      <c r="U11" s="29">
        <f t="shared" si="8"/>
        <v>141.70499999999998</v>
      </c>
      <c r="V11" s="29">
        <f t="shared" si="9"/>
        <v>188.94</v>
      </c>
      <c r="W11" s="29">
        <f t="shared" si="10"/>
        <v>90.397501867544662</v>
      </c>
      <c r="X11" s="30">
        <v>90</v>
      </c>
      <c r="Y11" s="5">
        <f t="shared" si="11"/>
        <v>-7.4089457442731113E-2</v>
      </c>
      <c r="Z11" s="33">
        <f t="shared" si="12"/>
        <v>0.11077000998044555</v>
      </c>
      <c r="AB11" s="31">
        <v>45413</v>
      </c>
      <c r="AC11" s="9">
        <v>79</v>
      </c>
      <c r="AD11" t="s">
        <v>97</v>
      </c>
    </row>
    <row r="12" spans="1:31" x14ac:dyDescent="0.25">
      <c r="A12" t="s">
        <v>101</v>
      </c>
      <c r="B12" t="s">
        <v>33</v>
      </c>
      <c r="C12" s="26" t="s">
        <v>102</v>
      </c>
      <c r="D12" s="2">
        <v>268.57249999999999</v>
      </c>
      <c r="E12" s="27">
        <v>244.6</v>
      </c>
      <c r="F12" s="3">
        <f t="shared" si="0"/>
        <v>65692.833499999993</v>
      </c>
      <c r="G12" s="3">
        <v>54466.53</v>
      </c>
      <c r="H12" s="4">
        <f t="shared" si="1"/>
        <v>202.80010053151383</v>
      </c>
      <c r="I12" s="3">
        <f t="shared" si="2"/>
        <v>11226.303499999995</v>
      </c>
      <c r="J12" s="27">
        <f t="shared" si="3"/>
        <v>41.79989946848616</v>
      </c>
      <c r="K12" s="28">
        <v>45370</v>
      </c>
      <c r="L12">
        <f t="shared" si="4"/>
        <v>3</v>
      </c>
      <c r="M12" s="5">
        <f t="shared" si="5"/>
        <v>0.20611380053034395</v>
      </c>
      <c r="N12">
        <v>63</v>
      </c>
      <c r="O12">
        <v>94</v>
      </c>
      <c r="P12">
        <v>94</v>
      </c>
      <c r="Q12" s="29">
        <v>200</v>
      </c>
      <c r="R12" s="30">
        <f t="shared" si="6"/>
        <v>186</v>
      </c>
      <c r="S12" s="30">
        <v>188.5</v>
      </c>
      <c r="T12" s="32">
        <f t="shared" si="7"/>
        <v>250</v>
      </c>
      <c r="U12" s="29">
        <f t="shared" si="8"/>
        <v>300</v>
      </c>
      <c r="V12" s="29">
        <f t="shared" si="9"/>
        <v>400</v>
      </c>
      <c r="W12" s="29">
        <f t="shared" si="10"/>
        <v>188.60409349430788</v>
      </c>
      <c r="X12" s="30">
        <v>202</v>
      </c>
      <c r="Y12" s="5">
        <f t="shared" si="11"/>
        <v>-3.9452669373282873E-3</v>
      </c>
      <c r="Z12" s="6">
        <f t="shared" si="12"/>
        <v>0.11400667104212428</v>
      </c>
      <c r="AB12" s="31">
        <v>45412</v>
      </c>
      <c r="AC12" s="9">
        <v>95</v>
      </c>
      <c r="AD12" t="s">
        <v>103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44722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C14" s="26"/>
      <c r="E14" s="27"/>
      <c r="F14" s="3">
        <f t="shared" ref="F14:F16" si="13">E14*D14</f>
        <v>0</v>
      </c>
      <c r="H14" s="4" t="e">
        <f t="shared" ref="H14:H16" si="14">G14/D14</f>
        <v>#DIV/0!</v>
      </c>
      <c r="I14" s="3">
        <f t="shared" ref="I14:I16" si="15">F14-G14</f>
        <v>0</v>
      </c>
      <c r="J14" s="27" t="e">
        <f t="shared" ref="J14:J16" si="16">E14-H14</f>
        <v>#DIV/0!</v>
      </c>
      <c r="K14" s="28"/>
      <c r="L14">
        <f t="shared" ref="L14:L15" si="17">DAYS360(K14,$C$1)</f>
        <v>44722</v>
      </c>
      <c r="M14" s="5" t="e">
        <f t="shared" ref="M14:M16" si="18">(I14/G14)</f>
        <v>#DIV/0!</v>
      </c>
      <c r="P14" s="34"/>
      <c r="Q14" s="29"/>
      <c r="R14" s="30">
        <f t="shared" ref="R14:R16" si="19">Q14*0.93</f>
        <v>0</v>
      </c>
      <c r="S14" s="30"/>
      <c r="T14" s="29">
        <f t="shared" ref="T14:T16" si="20">Q14*1.25</f>
        <v>0</v>
      </c>
      <c r="U14" s="29">
        <f t="shared" ref="U14:U16" si="21">Q14*1.5</f>
        <v>0</v>
      </c>
      <c r="V14" s="29">
        <f t="shared" ref="V14:V16" si="22">Q14*2</f>
        <v>0</v>
      </c>
      <c r="W14" s="29" t="e">
        <f t="shared" ref="W14:W16" si="23">H14-(H14*0.07)</f>
        <v>#DIV/0!</v>
      </c>
      <c r="X14" s="30"/>
      <c r="Y14" s="5" t="e">
        <f t="shared" ref="Y14:Y16" si="24">(X14-H14)/H14</f>
        <v>#DIV/0!</v>
      </c>
      <c r="Z14" s="6">
        <f t="shared" ref="Z14:Z16" si="25">F14/F$19</f>
        <v>0</v>
      </c>
      <c r="AB14" s="31"/>
      <c r="AC14" s="9"/>
    </row>
    <row r="15" spans="1:31" x14ac:dyDescent="0.25">
      <c r="C15" s="26"/>
      <c r="E15" s="27"/>
      <c r="F15" s="3">
        <f t="shared" si="13"/>
        <v>0</v>
      </c>
      <c r="H15" s="4" t="e">
        <f t="shared" si="14"/>
        <v>#DIV/0!</v>
      </c>
      <c r="I15" s="3">
        <f t="shared" si="15"/>
        <v>0</v>
      </c>
      <c r="J15" s="27" t="e">
        <f t="shared" si="16"/>
        <v>#DIV/0!</v>
      </c>
      <c r="K15" s="28"/>
      <c r="L15">
        <f t="shared" si="17"/>
        <v>44722</v>
      </c>
      <c r="M15" s="5" t="e">
        <f t="shared" si="18"/>
        <v>#DIV/0!</v>
      </c>
      <c r="P15" s="34"/>
      <c r="Q15" s="29"/>
      <c r="R15" s="30">
        <f t="shared" si="19"/>
        <v>0</v>
      </c>
      <c r="S15" s="30"/>
      <c r="T15" s="32">
        <f t="shared" si="20"/>
        <v>0</v>
      </c>
      <c r="U15" s="29">
        <f t="shared" si="21"/>
        <v>0</v>
      </c>
      <c r="V15" s="29">
        <f t="shared" si="22"/>
        <v>0</v>
      </c>
      <c r="W15" s="29" t="e">
        <f t="shared" si="23"/>
        <v>#DIV/0!</v>
      </c>
      <c r="X15" s="30"/>
      <c r="Y15" s="5" t="e">
        <f t="shared" si="24"/>
        <v>#DIV/0!</v>
      </c>
      <c r="Z15" s="6">
        <f t="shared" si="25"/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91.71</v>
      </c>
      <c r="F16" s="57">
        <f t="shared" si="13"/>
        <v>25442.976906</v>
      </c>
      <c r="G16" s="38">
        <v>25401.360000000001</v>
      </c>
      <c r="H16" s="39">
        <f t="shared" si="14"/>
        <v>91.559990570546802</v>
      </c>
      <c r="I16" s="38">
        <f t="shared" si="15"/>
        <v>41.61690599999929</v>
      </c>
      <c r="J16" s="37">
        <f t="shared" si="16"/>
        <v>0.15000942945319196</v>
      </c>
      <c r="K16" s="40"/>
      <c r="L16" s="35"/>
      <c r="M16" s="41">
        <f t="shared" si="18"/>
        <v>1.6383731422254277E-3</v>
      </c>
      <c r="N16" s="35"/>
      <c r="O16" s="35"/>
      <c r="P16" s="35"/>
      <c r="Q16" s="42"/>
      <c r="R16" s="43">
        <f t="shared" si="19"/>
        <v>0</v>
      </c>
      <c r="S16" s="43"/>
      <c r="T16" s="42">
        <f t="shared" si="20"/>
        <v>0</v>
      </c>
      <c r="U16" s="42">
        <f t="shared" si="21"/>
        <v>0</v>
      </c>
      <c r="V16" s="42">
        <f t="shared" si="22"/>
        <v>0</v>
      </c>
      <c r="W16" s="42">
        <f t="shared" si="23"/>
        <v>85.150791230608519</v>
      </c>
      <c r="X16" s="43"/>
      <c r="Y16" s="41">
        <f t="shared" si="24"/>
        <v>-1</v>
      </c>
      <c r="Z16" s="44">
        <f t="shared" si="25"/>
        <v>4.4155030981495223E-2</v>
      </c>
      <c r="AB16" s="31"/>
      <c r="AC16" s="9"/>
    </row>
    <row r="17" spans="1:26" x14ac:dyDescent="0.25">
      <c r="A17" t="s">
        <v>53</v>
      </c>
      <c r="F17" s="3">
        <f>SUM(F6:F16)</f>
        <v>444828.20629299997</v>
      </c>
      <c r="G17" s="3">
        <f>SUM(G6:G16)</f>
        <v>330887.23</v>
      </c>
      <c r="H17" s="4"/>
      <c r="I17" s="3">
        <f>SUM(I6:I16)</f>
        <v>113940.97629299999</v>
      </c>
      <c r="M17" s="5"/>
      <c r="Z17" s="6"/>
    </row>
    <row r="18" spans="1:26" x14ac:dyDescent="0.25">
      <c r="D18" s="2" t="s">
        <v>54</v>
      </c>
      <c r="F18" s="3">
        <v>131391</v>
      </c>
      <c r="G18" s="6">
        <f>F18/F19</f>
        <v>0.2280225972426011</v>
      </c>
      <c r="H18" s="4"/>
      <c r="M18" s="5"/>
      <c r="Z18" s="6"/>
    </row>
    <row r="19" spans="1:26" x14ac:dyDescent="0.25">
      <c r="D19" s="2" t="s">
        <v>55</v>
      </c>
      <c r="F19" s="3">
        <f>SUM(F17:F18)</f>
        <v>576219.20629299991</v>
      </c>
      <c r="H19" s="46"/>
      <c r="M19" s="5"/>
      <c r="Z19" s="6"/>
    </row>
    <row r="20" spans="1:26" x14ac:dyDescent="0.25">
      <c r="F20" s="4"/>
      <c r="H20" s="46" t="s">
        <v>56</v>
      </c>
      <c r="I20" s="47">
        <f>'03-15-24'!F19</f>
        <v>545648.46251400001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5.6026445375011981E-2</v>
      </c>
      <c r="K21" s="9" t="s">
        <v>58</v>
      </c>
      <c r="L21" s="6">
        <f>(F19-L20)/L20</f>
        <v>0.21013625716407433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4" si="26">F25/D25</f>
        <v>47.428061535569462</v>
      </c>
      <c r="F25" s="3">
        <v>38349.050000000003</v>
      </c>
      <c r="G25" s="3">
        <v>35186.18</v>
      </c>
      <c r="H25" s="3">
        <f t="shared" ref="H25:H33" si="27">G25/D25</f>
        <v>43.516392459307944</v>
      </c>
      <c r="I25" s="3">
        <f t="shared" ref="I25:I33" si="28">G25-F25</f>
        <v>-3162.8700000000026</v>
      </c>
      <c r="J25" s="5">
        <f t="shared" ref="J25:J33" si="29">I25/F25</f>
        <v>-8.2475837080710018E-2</v>
      </c>
      <c r="K25" s="1">
        <v>45286</v>
      </c>
      <c r="L25" s="1">
        <v>45302</v>
      </c>
      <c r="M25">
        <f t="shared" ref="M25:M34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si="27"/>
        <v>34.904632944513089</v>
      </c>
      <c r="I33" s="3">
        <f t="shared" si="28"/>
        <v>2.8099999999976717</v>
      </c>
      <c r="J33" s="5">
        <f t="shared" si="29"/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6"/>
        <v>17.884521773182534</v>
      </c>
      <c r="F34" s="3">
        <f>20288.83+19170.47</f>
        <v>39459.300000000003</v>
      </c>
      <c r="G34" s="3">
        <v>47805.42</v>
      </c>
      <c r="H34" s="3">
        <f t="shared" ref="H34" si="31">G34/D34</f>
        <v>21.667314799455028</v>
      </c>
      <c r="I34" s="3">
        <f t="shared" ref="I34" si="32">G34-F34</f>
        <v>8346.1199999999953</v>
      </c>
      <c r="J34" s="5">
        <f t="shared" ref="J34" si="33">I34/F34</f>
        <v>0.21151211501471123</v>
      </c>
      <c r="K34" s="1">
        <v>45243</v>
      </c>
      <c r="L34" s="1">
        <v>45373</v>
      </c>
      <c r="M34" s="54">
        <f t="shared" si="30"/>
        <v>129</v>
      </c>
      <c r="O34" t="s">
        <v>104</v>
      </c>
    </row>
    <row r="35" spans="1:15" x14ac:dyDescent="0.25">
      <c r="C35" s="26"/>
      <c r="E35" s="3"/>
      <c r="J35" s="5"/>
      <c r="K35" s="1"/>
      <c r="L35" s="1"/>
      <c r="M35" s="54"/>
    </row>
    <row r="36" spans="1:15" x14ac:dyDescent="0.25">
      <c r="C36" s="26"/>
      <c r="E36" s="3"/>
      <c r="J36" s="5"/>
      <c r="K36" s="53"/>
      <c r="L36" s="53"/>
      <c r="M36" s="54"/>
    </row>
    <row r="37" spans="1:15" x14ac:dyDescent="0.25">
      <c r="C37" s="26"/>
      <c r="E37" s="3"/>
      <c r="I37" s="3">
        <f>SUM(I25:I36)</f>
        <v>-6082.3700000000208</v>
      </c>
      <c r="J37" s="5"/>
      <c r="K37" s="53"/>
      <c r="L37" s="53"/>
      <c r="M37" s="54"/>
    </row>
    <row r="38" spans="1:15" x14ac:dyDescent="0.25">
      <c r="C38" s="26"/>
      <c r="E38" s="3"/>
      <c r="J38" s="5"/>
      <c r="K38" s="53"/>
      <c r="L38" s="53"/>
      <c r="M38" s="54"/>
    </row>
    <row r="39" spans="1:15" x14ac:dyDescent="0.25">
      <c r="J39" s="13" t="s">
        <v>68</v>
      </c>
    </row>
    <row r="40" spans="1:15" x14ac:dyDescent="0.25">
      <c r="H40" s="3" t="s">
        <v>69</v>
      </c>
      <c r="I40" s="55">
        <v>6</v>
      </c>
      <c r="J40" s="5">
        <v>-9.1399999999999995E-2</v>
      </c>
    </row>
    <row r="41" spans="1:15" x14ac:dyDescent="0.25">
      <c r="H41" s="3" t="s">
        <v>70</v>
      </c>
      <c r="I41" s="55">
        <v>4</v>
      </c>
      <c r="J41" s="5">
        <v>0.21279999999999999</v>
      </c>
    </row>
    <row r="42" spans="1:15" x14ac:dyDescent="0.25">
      <c r="J42" s="5"/>
    </row>
    <row r="43" spans="1:15" x14ac:dyDescent="0.25">
      <c r="J43" s="5"/>
    </row>
    <row r="44" spans="1:15" x14ac:dyDescent="0.25">
      <c r="J44" s="5"/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C7:AD12">
    <sortCondition descending="1" ref="L7:L1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827A-0C3E-4BF9-BC70-0D4F6822CE3F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45380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312.88</v>
      </c>
      <c r="F7" s="3">
        <f t="shared" ref="F7:F16" si="0">E7*D7</f>
        <v>83802.749127999996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22636.509127999998</v>
      </c>
      <c r="J7" s="27">
        <f t="shared" ref="J7:J16" si="3">E7-H7</f>
        <v>84.514064868574167</v>
      </c>
      <c r="K7" s="28">
        <v>45238</v>
      </c>
      <c r="L7">
        <f t="shared" ref="L7:L15" si="4">DAYS360(K7,$C$1)</f>
        <v>141</v>
      </c>
      <c r="M7" s="5">
        <f t="shared" ref="M7:M16" si="5">(I7/G7)</f>
        <v>0.37008174980185143</v>
      </c>
      <c r="N7">
        <v>14</v>
      </c>
      <c r="O7">
        <v>92</v>
      </c>
      <c r="P7">
        <v>99</v>
      </c>
      <c r="Q7" s="29">
        <v>223.3</v>
      </c>
      <c r="R7" s="30">
        <f t="shared" ref="R7:R16" si="6">Q7*0.93</f>
        <v>207.66900000000001</v>
      </c>
      <c r="S7" s="30">
        <v>255.68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290</v>
      </c>
      <c r="Y7" s="5">
        <f t="shared" ref="Y7:Y16" si="11">(X7-H7)/H7</f>
        <v>0.26989167553866311</v>
      </c>
      <c r="Z7" s="6">
        <f t="shared" ref="Z7:Z16" si="12">F7/F$19</f>
        <v>0.13804431129152664</v>
      </c>
      <c r="AB7" s="31">
        <v>45421</v>
      </c>
      <c r="AC7" s="9">
        <v>99</v>
      </c>
      <c r="AD7" t="s">
        <v>41</v>
      </c>
    </row>
    <row r="8" spans="1:31" x14ac:dyDescent="0.25">
      <c r="A8" t="s">
        <v>78</v>
      </c>
      <c r="B8" t="s">
        <v>33</v>
      </c>
      <c r="C8" s="26" t="s">
        <v>79</v>
      </c>
      <c r="D8" s="2">
        <f>1286.8297+948.5633-808.6324</f>
        <v>1426.7606000000001</v>
      </c>
      <c r="E8" s="27">
        <v>82</v>
      </c>
      <c r="F8" s="3">
        <f t="shared" si="0"/>
        <v>116994.3692</v>
      </c>
      <c r="G8" s="3">
        <f>28174.78+19947.6-17409.86</f>
        <v>30712.519999999997</v>
      </c>
      <c r="H8" s="4">
        <f t="shared" si="1"/>
        <v>21.526049990446886</v>
      </c>
      <c r="I8" s="3">
        <f t="shared" si="2"/>
        <v>86281.849199999997</v>
      </c>
      <c r="J8" s="27">
        <f t="shared" si="3"/>
        <v>60.473950009553114</v>
      </c>
      <c r="K8" s="28">
        <v>45309</v>
      </c>
      <c r="L8">
        <f t="shared" si="4"/>
        <v>71</v>
      </c>
      <c r="M8" s="5">
        <f t="shared" si="5"/>
        <v>2.8093379898490909</v>
      </c>
      <c r="N8">
        <v>11</v>
      </c>
      <c r="O8">
        <v>99</v>
      </c>
      <c r="P8">
        <v>22</v>
      </c>
      <c r="Q8" s="29">
        <v>20.03</v>
      </c>
      <c r="R8" s="30">
        <f t="shared" si="6"/>
        <v>18.6279</v>
      </c>
      <c r="S8" s="30">
        <v>34.04</v>
      </c>
      <c r="T8" s="32">
        <f t="shared" si="7"/>
        <v>25.037500000000001</v>
      </c>
      <c r="U8" s="29">
        <f t="shared" si="8"/>
        <v>30.045000000000002</v>
      </c>
      <c r="V8" s="29">
        <f t="shared" si="9"/>
        <v>40.06</v>
      </c>
      <c r="W8" s="29">
        <f t="shared" si="10"/>
        <v>20.019226491115603</v>
      </c>
      <c r="X8" s="30">
        <v>55</v>
      </c>
      <c r="Y8" s="5">
        <f t="shared" si="11"/>
        <v>1.5550437736792688</v>
      </c>
      <c r="Z8" s="33">
        <f t="shared" si="12"/>
        <v>0.19271929965605936</v>
      </c>
      <c r="AA8" s="9"/>
      <c r="AB8" s="31">
        <v>45406</v>
      </c>
      <c r="AC8" s="9">
        <v>75</v>
      </c>
      <c r="AD8" t="s">
        <v>80</v>
      </c>
    </row>
    <row r="9" spans="1:31" x14ac:dyDescent="0.25">
      <c r="A9" t="s">
        <v>81</v>
      </c>
      <c r="B9" t="s">
        <v>33</v>
      </c>
      <c r="C9" s="26" t="s">
        <v>81</v>
      </c>
      <c r="D9" s="2">
        <f>532.4164+77.1815</f>
        <v>609.59789999999998</v>
      </c>
      <c r="E9" s="27">
        <v>88.1</v>
      </c>
      <c r="F9" s="3">
        <f t="shared" si="0"/>
        <v>53705.574989999994</v>
      </c>
      <c r="G9" s="3">
        <f>38270.34+5640.4</f>
        <v>43910.74</v>
      </c>
      <c r="H9" s="4">
        <f t="shared" si="1"/>
        <v>72.032301948546731</v>
      </c>
      <c r="I9" s="3">
        <f t="shared" si="2"/>
        <v>9794.8349899999957</v>
      </c>
      <c r="J9" s="27">
        <f t="shared" si="3"/>
        <v>16.067698051453263</v>
      </c>
      <c r="K9" s="28">
        <v>45313</v>
      </c>
      <c r="L9">
        <f t="shared" si="4"/>
        <v>67</v>
      </c>
      <c r="M9" s="5">
        <f t="shared" si="5"/>
        <v>0.22306239862958346</v>
      </c>
      <c r="N9">
        <v>39</v>
      </c>
      <c r="O9">
        <v>89</v>
      </c>
      <c r="P9" s="34">
        <v>96</v>
      </c>
      <c r="Q9" s="29">
        <v>71.39</v>
      </c>
      <c r="R9" s="30">
        <f t="shared" si="6"/>
        <v>66.392700000000005</v>
      </c>
      <c r="S9" s="30">
        <v>78.709999999999994</v>
      </c>
      <c r="T9" s="32">
        <f t="shared" si="7"/>
        <v>89.237499999999997</v>
      </c>
      <c r="U9" s="29">
        <f t="shared" si="8"/>
        <v>107.08500000000001</v>
      </c>
      <c r="V9" s="29">
        <f t="shared" si="9"/>
        <v>142.78</v>
      </c>
      <c r="W9" s="29">
        <f t="shared" si="10"/>
        <v>66.990040812148465</v>
      </c>
      <c r="X9" s="30">
        <v>77</v>
      </c>
      <c r="Y9" s="5">
        <f t="shared" si="11"/>
        <v>6.8964865998614566E-2</v>
      </c>
      <c r="Z9" s="6">
        <f t="shared" si="12"/>
        <v>8.8466657587643757E-2</v>
      </c>
      <c r="AB9" s="31">
        <v>45414</v>
      </c>
      <c r="AC9" s="9">
        <v>98</v>
      </c>
      <c r="AD9" t="s">
        <v>80</v>
      </c>
    </row>
    <row r="10" spans="1:31" x14ac:dyDescent="0.25">
      <c r="A10" t="s">
        <v>82</v>
      </c>
      <c r="B10" t="s">
        <v>33</v>
      </c>
      <c r="C10" s="26" t="s">
        <v>83</v>
      </c>
      <c r="D10" s="2">
        <f>952.002+512.6146</f>
        <v>1464.6165999999998</v>
      </c>
      <c r="E10" s="27">
        <v>38.340000000000003</v>
      </c>
      <c r="F10" s="3">
        <f t="shared" si="0"/>
        <v>56153.400443999999</v>
      </c>
      <c r="G10" s="3">
        <f>28303.96+15646.4</f>
        <v>43950.36</v>
      </c>
      <c r="H10" s="4">
        <f t="shared" si="1"/>
        <v>30.008099047901005</v>
      </c>
      <c r="I10" s="3">
        <f t="shared" si="2"/>
        <v>12203.040443999998</v>
      </c>
      <c r="J10" s="27">
        <f t="shared" si="3"/>
        <v>8.3319009520989979</v>
      </c>
      <c r="K10" s="28">
        <v>45321</v>
      </c>
      <c r="L10">
        <f t="shared" si="4"/>
        <v>59</v>
      </c>
      <c r="M10" s="5">
        <f t="shared" si="5"/>
        <v>0.27765507367857734</v>
      </c>
      <c r="N10">
        <v>28</v>
      </c>
      <c r="O10">
        <v>95</v>
      </c>
      <c r="P10">
        <v>81</v>
      </c>
      <c r="Q10" s="29">
        <v>28.39</v>
      </c>
      <c r="R10" s="30">
        <f t="shared" si="6"/>
        <v>26.402700000000003</v>
      </c>
      <c r="S10" s="30">
        <v>31.42</v>
      </c>
      <c r="T10" s="29">
        <f t="shared" si="7"/>
        <v>35.487499999999997</v>
      </c>
      <c r="U10" s="29">
        <f t="shared" si="8"/>
        <v>42.585000000000001</v>
      </c>
      <c r="V10" s="29">
        <f t="shared" si="9"/>
        <v>56.78</v>
      </c>
      <c r="W10" s="29">
        <f t="shared" si="10"/>
        <v>27.907532114547934</v>
      </c>
      <c r="X10" s="30">
        <v>32</v>
      </c>
      <c r="Y10" s="5">
        <f t="shared" si="11"/>
        <v>6.6378778239814001E-2</v>
      </c>
      <c r="Z10" s="6">
        <f t="shared" si="12"/>
        <v>9.2498844866406887E-2</v>
      </c>
      <c r="AB10" s="31">
        <v>45421</v>
      </c>
      <c r="AC10" s="9">
        <v>99</v>
      </c>
      <c r="AD10" t="s">
        <v>84</v>
      </c>
    </row>
    <row r="11" spans="1:31" x14ac:dyDescent="0.25">
      <c r="A11" t="s">
        <v>95</v>
      </c>
      <c r="B11" t="s">
        <v>33</v>
      </c>
      <c r="C11" s="26" t="s">
        <v>96</v>
      </c>
      <c r="D11" s="2">
        <f>464.2554+269.0604</f>
        <v>733.31580000000008</v>
      </c>
      <c r="E11" s="27">
        <v>94.86</v>
      </c>
      <c r="F11" s="3">
        <f t="shared" si="0"/>
        <v>69562.336788000001</v>
      </c>
      <c r="G11" s="3">
        <f>45518.9+25760.58</f>
        <v>71279.48000000001</v>
      </c>
      <c r="H11" s="4">
        <f t="shared" si="1"/>
        <v>97.201614911338339</v>
      </c>
      <c r="I11" s="3">
        <f t="shared" si="2"/>
        <v>-1717.14321200001</v>
      </c>
      <c r="J11" s="27">
        <f t="shared" si="3"/>
        <v>-2.3416149113383398</v>
      </c>
      <c r="K11" s="28">
        <v>45349</v>
      </c>
      <c r="L11">
        <f t="shared" si="4"/>
        <v>32</v>
      </c>
      <c r="M11" s="5">
        <f t="shared" si="5"/>
        <v>-2.4090288144638677E-2</v>
      </c>
      <c r="N11">
        <v>11</v>
      </c>
      <c r="O11">
        <v>94</v>
      </c>
      <c r="P11" s="34">
        <v>33</v>
      </c>
      <c r="Q11" s="29">
        <v>94.47</v>
      </c>
      <c r="R11" s="30">
        <f t="shared" si="6"/>
        <v>87.857100000000003</v>
      </c>
      <c r="S11" s="30">
        <v>80.42</v>
      </c>
      <c r="T11" s="29">
        <f t="shared" si="7"/>
        <v>118.08750000000001</v>
      </c>
      <c r="U11" s="29">
        <f t="shared" si="8"/>
        <v>141.70499999999998</v>
      </c>
      <c r="V11" s="29">
        <f t="shared" si="9"/>
        <v>188.94</v>
      </c>
      <c r="W11" s="29">
        <f t="shared" si="10"/>
        <v>90.397501867544662</v>
      </c>
      <c r="X11" s="30">
        <v>90</v>
      </c>
      <c r="Y11" s="5">
        <f t="shared" si="11"/>
        <v>-7.4089457442731113E-2</v>
      </c>
      <c r="Z11" s="33">
        <f t="shared" si="12"/>
        <v>0.11458675250690863</v>
      </c>
      <c r="AB11" s="31">
        <v>45413</v>
      </c>
      <c r="AC11" s="9">
        <v>82</v>
      </c>
      <c r="AD11" t="s">
        <v>97</v>
      </c>
    </row>
    <row r="12" spans="1:31" x14ac:dyDescent="0.25">
      <c r="A12" t="s">
        <v>101</v>
      </c>
      <c r="B12" t="s">
        <v>33</v>
      </c>
      <c r="C12" s="26" t="s">
        <v>102</v>
      </c>
      <c r="D12" s="2">
        <v>268.57249999999999</v>
      </c>
      <c r="E12" s="27">
        <v>252.2</v>
      </c>
      <c r="F12" s="3">
        <f t="shared" si="0"/>
        <v>67733.984499999991</v>
      </c>
      <c r="G12" s="3">
        <v>54466.53</v>
      </c>
      <c r="H12" s="4">
        <f t="shared" si="1"/>
        <v>202.80010053151383</v>
      </c>
      <c r="I12" s="3">
        <f t="shared" si="2"/>
        <v>13267.454499999993</v>
      </c>
      <c r="J12" s="27">
        <f t="shared" si="3"/>
        <v>49.399899468486154</v>
      </c>
      <c r="K12" s="28">
        <v>45370</v>
      </c>
      <c r="L12">
        <f t="shared" si="4"/>
        <v>10</v>
      </c>
      <c r="M12" s="5">
        <f t="shared" si="5"/>
        <v>0.24358912712082068</v>
      </c>
      <c r="N12">
        <v>68</v>
      </c>
      <c r="O12">
        <v>94</v>
      </c>
      <c r="P12">
        <v>94</v>
      </c>
      <c r="Q12" s="29">
        <v>200</v>
      </c>
      <c r="R12" s="30">
        <f t="shared" si="6"/>
        <v>186</v>
      </c>
      <c r="S12" s="30">
        <v>188.5</v>
      </c>
      <c r="T12" s="32">
        <f t="shared" si="7"/>
        <v>250</v>
      </c>
      <c r="U12" s="29">
        <f t="shared" si="8"/>
        <v>300</v>
      </c>
      <c r="V12" s="29">
        <f t="shared" si="9"/>
        <v>400</v>
      </c>
      <c r="W12" s="29">
        <f t="shared" si="10"/>
        <v>188.60409349430788</v>
      </c>
      <c r="X12" s="30">
        <v>202</v>
      </c>
      <c r="Y12" s="5">
        <f t="shared" si="11"/>
        <v>-3.9452669373282873E-3</v>
      </c>
      <c r="Z12" s="6">
        <f t="shared" si="12"/>
        <v>0.11157499412163485</v>
      </c>
      <c r="AB12" s="31">
        <v>45412</v>
      </c>
      <c r="AC12" s="9">
        <v>94</v>
      </c>
      <c r="AD12" t="s">
        <v>103</v>
      </c>
    </row>
    <row r="13" spans="1:31" x14ac:dyDescent="0.25">
      <c r="A13" t="s">
        <v>105</v>
      </c>
      <c r="B13" t="s">
        <v>33</v>
      </c>
      <c r="C13" s="26" t="s">
        <v>106</v>
      </c>
      <c r="D13" s="2">
        <v>2972.4371999999998</v>
      </c>
      <c r="E13" s="27">
        <v>8.17</v>
      </c>
      <c r="F13" s="3">
        <f t="shared" si="0"/>
        <v>24284.811923999998</v>
      </c>
      <c r="G13" s="3">
        <v>23794.37</v>
      </c>
      <c r="H13" s="4">
        <f t="shared" si="1"/>
        <v>8.0050034362374412</v>
      </c>
      <c r="I13" s="3">
        <f t="shared" si="2"/>
        <v>490.44192399999883</v>
      </c>
      <c r="J13" s="27">
        <f t="shared" si="3"/>
        <v>0.16499656376255878</v>
      </c>
      <c r="K13" s="28">
        <v>45378</v>
      </c>
      <c r="L13">
        <f t="shared" si="4"/>
        <v>2</v>
      </c>
      <c r="M13" s="5">
        <f t="shared" si="5"/>
        <v>2.0611679317418315E-2</v>
      </c>
      <c r="N13">
        <v>64</v>
      </c>
      <c r="O13">
        <v>96</v>
      </c>
      <c r="P13" s="34">
        <v>99</v>
      </c>
      <c r="Q13" s="29">
        <v>6.76</v>
      </c>
      <c r="R13" s="30">
        <f t="shared" si="6"/>
        <v>6.2868000000000004</v>
      </c>
      <c r="S13" s="30">
        <v>7.21</v>
      </c>
      <c r="T13" s="32">
        <f t="shared" si="7"/>
        <v>8.4499999999999993</v>
      </c>
      <c r="U13" s="29">
        <f t="shared" si="8"/>
        <v>10.14</v>
      </c>
      <c r="V13" s="29">
        <f t="shared" si="9"/>
        <v>13.52</v>
      </c>
      <c r="W13" s="29">
        <f t="shared" si="10"/>
        <v>7.4446531957008197</v>
      </c>
      <c r="X13" s="30">
        <v>7.35</v>
      </c>
      <c r="Y13" s="5">
        <f t="shared" si="11"/>
        <v>-8.182425422484392E-2</v>
      </c>
      <c r="Z13" s="6">
        <f t="shared" si="12"/>
        <v>4.0003223901072998E-2</v>
      </c>
      <c r="AB13" s="31">
        <v>45401</v>
      </c>
      <c r="AC13" s="9">
        <v>99</v>
      </c>
    </row>
    <row r="14" spans="1:31" x14ac:dyDescent="0.25">
      <c r="A14" t="s">
        <v>109</v>
      </c>
      <c r="B14" t="s">
        <v>33</v>
      </c>
      <c r="C14" s="26" t="s">
        <v>107</v>
      </c>
      <c r="D14" s="2">
        <v>828.40229999999997</v>
      </c>
      <c r="E14" s="27">
        <v>59.65</v>
      </c>
      <c r="F14" s="3">
        <f t="shared" si="0"/>
        <v>49414.197194999993</v>
      </c>
      <c r="G14" s="3">
        <v>47623.59</v>
      </c>
      <c r="H14" s="4">
        <f t="shared" si="1"/>
        <v>57.488481140141687</v>
      </c>
      <c r="I14" s="3">
        <f t="shared" si="2"/>
        <v>1790.6071949999969</v>
      </c>
      <c r="J14" s="27">
        <f t="shared" si="3"/>
        <v>2.1615188598583117</v>
      </c>
      <c r="K14" s="28">
        <v>45378</v>
      </c>
      <c r="L14">
        <f t="shared" si="4"/>
        <v>2</v>
      </c>
      <c r="M14" s="5">
        <f t="shared" si="5"/>
        <v>3.759916451069726E-2</v>
      </c>
      <c r="N14">
        <v>64</v>
      </c>
      <c r="O14">
        <v>69</v>
      </c>
      <c r="P14" s="34">
        <v>93</v>
      </c>
      <c r="Q14" s="29">
        <v>57.16</v>
      </c>
      <c r="R14" s="30">
        <f t="shared" si="6"/>
        <v>53.158799999999999</v>
      </c>
      <c r="S14" s="30">
        <v>54.02</v>
      </c>
      <c r="T14" s="29">
        <f t="shared" si="7"/>
        <v>71.449999999999989</v>
      </c>
      <c r="U14" s="29">
        <f t="shared" si="8"/>
        <v>85.74</v>
      </c>
      <c r="V14" s="29">
        <f t="shared" si="9"/>
        <v>114.32</v>
      </c>
      <c r="W14" s="29">
        <f t="shared" si="10"/>
        <v>53.464287460331768</v>
      </c>
      <c r="X14" s="30">
        <v>54.75</v>
      </c>
      <c r="Y14" s="5">
        <f t="shared" si="11"/>
        <v>-4.7635301643576135E-2</v>
      </c>
      <c r="Z14" s="6">
        <f t="shared" si="12"/>
        <v>8.1397673594079359E-2</v>
      </c>
      <c r="AB14" s="31">
        <v>45407</v>
      </c>
      <c r="AC14" s="9">
        <v>95</v>
      </c>
      <c r="AD14" t="s">
        <v>108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44729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91.8</v>
      </c>
      <c r="F16" s="57">
        <f t="shared" si="0"/>
        <v>25467.945480000002</v>
      </c>
      <c r="G16" s="38">
        <v>25401.360000000001</v>
      </c>
      <c r="H16" s="39">
        <f t="shared" si="1"/>
        <v>91.559990570546802</v>
      </c>
      <c r="I16" s="38">
        <f t="shared" si="2"/>
        <v>66.585480000001553</v>
      </c>
      <c r="J16" s="37">
        <f t="shared" si="3"/>
        <v>0.24000942945319537</v>
      </c>
      <c r="K16" s="40"/>
      <c r="L16" s="35"/>
      <c r="M16" s="41">
        <f t="shared" si="5"/>
        <v>2.6213352355937457E-3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85.150791230608519</v>
      </c>
      <c r="X16" s="43"/>
      <c r="Y16" s="41">
        <f t="shared" si="11"/>
        <v>-1</v>
      </c>
      <c r="Z16" s="44">
        <f t="shared" si="12"/>
        <v>4.1952143937746898E-2</v>
      </c>
      <c r="AB16" s="31"/>
      <c r="AC16" s="9"/>
    </row>
    <row r="17" spans="1:26" x14ac:dyDescent="0.25">
      <c r="A17" t="s">
        <v>53</v>
      </c>
      <c r="F17" s="3">
        <f>SUM(F6:F16)</f>
        <v>547119.369649</v>
      </c>
      <c r="G17" s="3">
        <f>SUM(G6:G16)</f>
        <v>402305.18999999994</v>
      </c>
      <c r="H17" s="4"/>
      <c r="I17" s="3">
        <f>SUM(I6:I16)</f>
        <v>144814.179649</v>
      </c>
      <c r="M17" s="5"/>
      <c r="Z17" s="6"/>
    </row>
    <row r="18" spans="1:26" x14ac:dyDescent="0.25">
      <c r="D18" s="2" t="s">
        <v>54</v>
      </c>
      <c r="F18" s="3">
        <v>59952</v>
      </c>
      <c r="G18" s="6">
        <f>F18/F19</f>
        <v>9.8756098536920606E-2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607071.369649</v>
      </c>
      <c r="H19" s="46"/>
      <c r="M19" s="5"/>
      <c r="Z19" s="6"/>
    </row>
    <row r="20" spans="1:26" x14ac:dyDescent="0.25">
      <c r="F20" s="4"/>
      <c r="H20" s="46" t="s">
        <v>56</v>
      </c>
      <c r="I20" s="47">
        <f>'03-22-24'!F19</f>
        <v>576219.20629299991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5.3542407158695383E-2</v>
      </c>
      <c r="K21" s="9" t="s">
        <v>58</v>
      </c>
      <c r="L21" s="6">
        <f>(F19-L20)/L20</f>
        <v>0.2749298653626529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4" si="13">F25/D25</f>
        <v>47.428061535569462</v>
      </c>
      <c r="F25" s="3">
        <v>38349.050000000003</v>
      </c>
      <c r="G25" s="3">
        <v>35186.18</v>
      </c>
      <c r="H25" s="3">
        <f t="shared" ref="H25:H34" si="14">G25/D25</f>
        <v>43.516392459307944</v>
      </c>
      <c r="I25" s="3">
        <f t="shared" ref="I25:I34" si="15">G25-F25</f>
        <v>-3162.8700000000026</v>
      </c>
      <c r="J25" s="5">
        <f t="shared" ref="J25:J34" si="16">I25/F25</f>
        <v>-8.2475837080710018E-2</v>
      </c>
      <c r="K25" s="1">
        <v>45286</v>
      </c>
      <c r="L25" s="1">
        <v>45302</v>
      </c>
      <c r="M25">
        <f t="shared" ref="M25:M3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C35" s="26"/>
      <c r="E35" s="3"/>
      <c r="J35" s="5"/>
      <c r="K35" s="1"/>
      <c r="L35" s="1"/>
      <c r="M35" s="54"/>
    </row>
    <row r="36" spans="1:15" x14ac:dyDescent="0.25">
      <c r="C36" s="26"/>
      <c r="E36" s="3"/>
      <c r="J36" s="5"/>
      <c r="K36" s="53"/>
      <c r="L36" s="53"/>
      <c r="M36" s="54"/>
    </row>
    <row r="37" spans="1:15" x14ac:dyDescent="0.25">
      <c r="C37" s="26"/>
      <c r="E37" s="3"/>
      <c r="I37" s="3">
        <f>SUM(I25:I36)</f>
        <v>-6082.3700000000208</v>
      </c>
      <c r="J37" s="5"/>
      <c r="K37" s="53"/>
      <c r="L37" s="53"/>
      <c r="M37" s="54"/>
    </row>
    <row r="38" spans="1:15" x14ac:dyDescent="0.25">
      <c r="C38" s="26"/>
      <c r="E38" s="3"/>
      <c r="J38" s="5"/>
      <c r="K38" s="53"/>
      <c r="L38" s="53"/>
      <c r="M38" s="54"/>
    </row>
    <row r="39" spans="1:15" x14ac:dyDescent="0.25">
      <c r="J39" s="13" t="s">
        <v>68</v>
      </c>
    </row>
    <row r="40" spans="1:15" x14ac:dyDescent="0.25">
      <c r="H40" s="3" t="s">
        <v>69</v>
      </c>
      <c r="I40" s="55">
        <v>6</v>
      </c>
      <c r="J40" s="5">
        <v>-9.1399999999999995E-2</v>
      </c>
    </row>
    <row r="41" spans="1:15" x14ac:dyDescent="0.25">
      <c r="H41" s="3" t="s">
        <v>70</v>
      </c>
      <c r="I41" s="55">
        <v>4</v>
      </c>
      <c r="J41" s="5">
        <v>0.21279999999999999</v>
      </c>
    </row>
    <row r="42" spans="1:15" x14ac:dyDescent="0.25">
      <c r="J42" s="5"/>
    </row>
    <row r="43" spans="1:15" x14ac:dyDescent="0.25">
      <c r="J43" s="5"/>
    </row>
    <row r="44" spans="1:15" x14ac:dyDescent="0.25">
      <c r="J44" s="5"/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048C-7836-4617-8513-42B630066FF4}">
  <dimension ref="A1:AE19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45387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309.89999999999998</v>
      </c>
      <c r="F7" s="3">
        <f t="shared" ref="F7:F16" si="0">E7*D7</f>
        <v>83004.576689999987</v>
      </c>
      <c r="G7" s="3">
        <v>61166.239999999998</v>
      </c>
      <c r="H7" s="4">
        <f t="shared" ref="H7:H16" si="1">G7/D7</f>
        <v>228.36593513142583</v>
      </c>
      <c r="I7" s="3">
        <f t="shared" ref="I7:I16" si="2">F7-G7</f>
        <v>21838.336689999989</v>
      </c>
      <c r="J7" s="27">
        <f t="shared" ref="J7:J16" si="3">E7-H7</f>
        <v>81.534064868574148</v>
      </c>
      <c r="K7" s="28">
        <v>45238</v>
      </c>
      <c r="L7">
        <f t="shared" ref="L7:L15" si="4">DAYS360(K7,$C$1)</f>
        <v>147</v>
      </c>
      <c r="M7" s="5">
        <f t="shared" ref="M7:M16" si="5">(I7/G7)</f>
        <v>0.35703251810148851</v>
      </c>
      <c r="N7">
        <v>15</v>
      </c>
      <c r="O7">
        <v>92</v>
      </c>
      <c r="P7">
        <v>99</v>
      </c>
      <c r="Q7" s="29">
        <v>223.3</v>
      </c>
      <c r="R7" s="30">
        <f t="shared" ref="R7:R16" si="6">Q7*0.93</f>
        <v>207.66900000000001</v>
      </c>
      <c r="S7" s="30">
        <v>255.68</v>
      </c>
      <c r="T7" s="29">
        <f t="shared" ref="T7:T16" si="7">Q7*1.25</f>
        <v>279.125</v>
      </c>
      <c r="U7" s="29">
        <f t="shared" ref="U7:U16" si="8">Q7*1.5</f>
        <v>334.95000000000005</v>
      </c>
      <c r="V7" s="29">
        <f t="shared" ref="V7:V16" si="9">Q7*2</f>
        <v>446.6</v>
      </c>
      <c r="W7" s="29">
        <f t="shared" ref="W7:W16" si="10">H7-(H7*0.07)</f>
        <v>212.38031967222602</v>
      </c>
      <c r="X7" s="30">
        <v>290</v>
      </c>
      <c r="Y7" s="5">
        <f t="shared" ref="Y7:Y16" si="11">(X7-H7)/H7</f>
        <v>0.26989167553866311</v>
      </c>
      <c r="Z7" s="6">
        <f t="shared" ref="Z7:Z16" si="12">F7/F$19</f>
        <v>0.13844108930028146</v>
      </c>
      <c r="AB7" s="31">
        <v>45421</v>
      </c>
      <c r="AC7" s="9">
        <v>99</v>
      </c>
      <c r="AD7" t="s">
        <v>41</v>
      </c>
    </row>
    <row r="8" spans="1:31" x14ac:dyDescent="0.25">
      <c r="A8" t="s">
        <v>78</v>
      </c>
      <c r="B8" t="s">
        <v>33</v>
      </c>
      <c r="C8" s="26" t="s">
        <v>79</v>
      </c>
      <c r="D8" s="2">
        <f>1286.8297+948.5633-808.6324</f>
        <v>1426.7606000000001</v>
      </c>
      <c r="E8" s="27">
        <v>76.45</v>
      </c>
      <c r="F8" s="3">
        <f t="shared" si="0"/>
        <v>109075.84787000001</v>
      </c>
      <c r="G8" s="3">
        <f>28174.78+19947.6-17409.86</f>
        <v>30712.519999999997</v>
      </c>
      <c r="H8" s="4">
        <f t="shared" si="1"/>
        <v>21.526049990446886</v>
      </c>
      <c r="I8" s="3">
        <f t="shared" si="2"/>
        <v>78363.327870000008</v>
      </c>
      <c r="J8" s="27">
        <f t="shared" si="3"/>
        <v>54.923950009553117</v>
      </c>
      <c r="K8" s="28">
        <v>45309</v>
      </c>
      <c r="L8">
        <f t="shared" si="4"/>
        <v>77</v>
      </c>
      <c r="M8" s="5">
        <f t="shared" si="5"/>
        <v>2.5515108454141835</v>
      </c>
      <c r="N8">
        <v>13</v>
      </c>
      <c r="O8">
        <v>99</v>
      </c>
      <c r="P8">
        <v>22</v>
      </c>
      <c r="Q8" s="29">
        <v>20.03</v>
      </c>
      <c r="R8" s="30">
        <f t="shared" si="6"/>
        <v>18.6279</v>
      </c>
      <c r="S8" s="30">
        <v>34.04</v>
      </c>
      <c r="T8" s="32">
        <f t="shared" si="7"/>
        <v>25.037500000000001</v>
      </c>
      <c r="U8" s="29">
        <f t="shared" si="8"/>
        <v>30.045000000000002</v>
      </c>
      <c r="V8" s="29">
        <f t="shared" si="9"/>
        <v>40.06</v>
      </c>
      <c r="W8" s="29">
        <f t="shared" si="10"/>
        <v>20.019226491115603</v>
      </c>
      <c r="X8" s="30">
        <v>55</v>
      </c>
      <c r="Y8" s="5">
        <f t="shared" si="11"/>
        <v>1.5550437736792688</v>
      </c>
      <c r="Z8" s="33">
        <f t="shared" si="12"/>
        <v>0.18192465762305171</v>
      </c>
      <c r="AA8" s="9"/>
      <c r="AB8" s="31">
        <v>45406</v>
      </c>
      <c r="AC8" s="9">
        <v>74</v>
      </c>
      <c r="AD8" t="s">
        <v>80</v>
      </c>
    </row>
    <row r="9" spans="1:31" x14ac:dyDescent="0.25">
      <c r="A9" t="s">
        <v>81</v>
      </c>
      <c r="B9" t="s">
        <v>33</v>
      </c>
      <c r="C9" s="26" t="s">
        <v>81</v>
      </c>
      <c r="D9" s="2">
        <f>532.4164+77.1815</f>
        <v>609.59789999999998</v>
      </c>
      <c r="E9" s="27">
        <v>89.92</v>
      </c>
      <c r="F9" s="3">
        <f t="shared" si="0"/>
        <v>54815.043167999997</v>
      </c>
      <c r="G9" s="3">
        <f>38270.34+5640.4</f>
        <v>43910.74</v>
      </c>
      <c r="H9" s="4">
        <f t="shared" si="1"/>
        <v>72.032301948546731</v>
      </c>
      <c r="I9" s="3">
        <f t="shared" si="2"/>
        <v>10904.303167999999</v>
      </c>
      <c r="J9" s="27">
        <f t="shared" si="3"/>
        <v>17.88769805145327</v>
      </c>
      <c r="K9" s="28">
        <v>45313</v>
      </c>
      <c r="L9">
        <f t="shared" si="4"/>
        <v>73</v>
      </c>
      <c r="M9" s="5">
        <f t="shared" si="5"/>
        <v>0.24832884091682353</v>
      </c>
      <c r="N9">
        <v>22</v>
      </c>
      <c r="O9">
        <v>90</v>
      </c>
      <c r="P9" s="34">
        <v>96</v>
      </c>
      <c r="Q9" s="29">
        <v>71.39</v>
      </c>
      <c r="R9" s="30">
        <f t="shared" si="6"/>
        <v>66.392700000000005</v>
      </c>
      <c r="S9" s="30">
        <v>78.709999999999994</v>
      </c>
      <c r="T9" s="32">
        <f t="shared" si="7"/>
        <v>89.237499999999997</v>
      </c>
      <c r="U9" s="29">
        <f t="shared" si="8"/>
        <v>107.08500000000001</v>
      </c>
      <c r="V9" s="29">
        <f t="shared" si="9"/>
        <v>142.78</v>
      </c>
      <c r="W9" s="29">
        <f t="shared" si="10"/>
        <v>66.990040812148465</v>
      </c>
      <c r="X9" s="30">
        <v>77</v>
      </c>
      <c r="Y9" s="5">
        <f t="shared" si="11"/>
        <v>6.8964865998614566E-2</v>
      </c>
      <c r="Z9" s="6">
        <f t="shared" si="12"/>
        <v>9.1424528487886583E-2</v>
      </c>
      <c r="AB9" s="31">
        <v>45414</v>
      </c>
      <c r="AC9" s="9">
        <v>98</v>
      </c>
      <c r="AD9" t="s">
        <v>80</v>
      </c>
    </row>
    <row r="10" spans="1:31" x14ac:dyDescent="0.25">
      <c r="A10" t="s">
        <v>82</v>
      </c>
      <c r="B10" t="s">
        <v>33</v>
      </c>
      <c r="C10" s="26" t="s">
        <v>83</v>
      </c>
      <c r="D10" s="2">
        <f>952.002+512.6146</f>
        <v>1464.6165999999998</v>
      </c>
      <c r="E10" s="27">
        <v>37.43</v>
      </c>
      <c r="F10" s="3">
        <f t="shared" si="0"/>
        <v>54820.599337999993</v>
      </c>
      <c r="G10" s="3">
        <f>28303.96+15646.4</f>
        <v>43950.36</v>
      </c>
      <c r="H10" s="4">
        <f t="shared" si="1"/>
        <v>30.008099047901005</v>
      </c>
      <c r="I10" s="3">
        <f t="shared" si="2"/>
        <v>10870.239337999992</v>
      </c>
      <c r="J10" s="27">
        <f t="shared" si="3"/>
        <v>7.4219009520989943</v>
      </c>
      <c r="K10" s="28">
        <v>45321</v>
      </c>
      <c r="L10">
        <f t="shared" si="4"/>
        <v>65</v>
      </c>
      <c r="M10" s="5">
        <f t="shared" si="5"/>
        <v>0.24732992717238247</v>
      </c>
      <c r="N10">
        <v>18</v>
      </c>
      <c r="O10">
        <v>96</v>
      </c>
      <c r="P10">
        <v>81</v>
      </c>
      <c r="Q10" s="29">
        <v>28.39</v>
      </c>
      <c r="R10" s="30">
        <f t="shared" si="6"/>
        <v>26.402700000000003</v>
      </c>
      <c r="S10" s="30">
        <v>31.42</v>
      </c>
      <c r="T10" s="29">
        <f t="shared" si="7"/>
        <v>35.487499999999997</v>
      </c>
      <c r="U10" s="29">
        <f t="shared" si="8"/>
        <v>42.585000000000001</v>
      </c>
      <c r="V10" s="29">
        <f t="shared" si="9"/>
        <v>56.78</v>
      </c>
      <c r="W10" s="29">
        <f t="shared" si="10"/>
        <v>27.907532114547934</v>
      </c>
      <c r="X10" s="30">
        <v>32</v>
      </c>
      <c r="Y10" s="5">
        <f t="shared" si="11"/>
        <v>6.6378778239814001E-2</v>
      </c>
      <c r="Z10" s="6">
        <f t="shared" si="12"/>
        <v>9.1433795473609664E-2</v>
      </c>
      <c r="AB10" s="31">
        <v>45421</v>
      </c>
      <c r="AC10" s="9">
        <v>99</v>
      </c>
      <c r="AD10" t="s">
        <v>84</v>
      </c>
    </row>
    <row r="11" spans="1:31" x14ac:dyDescent="0.25">
      <c r="A11" t="s">
        <v>95</v>
      </c>
      <c r="B11" t="s">
        <v>33</v>
      </c>
      <c r="C11" s="26" t="s">
        <v>96</v>
      </c>
      <c r="D11" s="2">
        <f>464.2554+269.0604</f>
        <v>733.31580000000008</v>
      </c>
      <c r="E11" s="27">
        <v>91.65</v>
      </c>
      <c r="F11" s="3">
        <f t="shared" si="0"/>
        <v>67208.393070000006</v>
      </c>
      <c r="G11" s="3">
        <f>45518.9+25760.58</f>
        <v>71279.48000000001</v>
      </c>
      <c r="H11" s="4">
        <f t="shared" si="1"/>
        <v>97.201614911338339</v>
      </c>
      <c r="I11" s="3">
        <f t="shared" si="2"/>
        <v>-4071.0869300000049</v>
      </c>
      <c r="J11" s="27">
        <f t="shared" si="3"/>
        <v>-5.5516149113383335</v>
      </c>
      <c r="K11" s="28">
        <v>45349</v>
      </c>
      <c r="L11">
        <f t="shared" si="4"/>
        <v>38</v>
      </c>
      <c r="M11" s="5">
        <f t="shared" si="5"/>
        <v>-5.7114430829181197E-2</v>
      </c>
      <c r="N11">
        <v>13</v>
      </c>
      <c r="O11">
        <v>94</v>
      </c>
      <c r="P11" s="34">
        <v>33</v>
      </c>
      <c r="Q11" s="29">
        <v>94.47</v>
      </c>
      <c r="R11" s="30">
        <f t="shared" si="6"/>
        <v>87.857100000000003</v>
      </c>
      <c r="S11" s="30">
        <v>80.42</v>
      </c>
      <c r="T11" s="29">
        <f t="shared" si="7"/>
        <v>118.08750000000001</v>
      </c>
      <c r="U11" s="29">
        <f t="shared" si="8"/>
        <v>141.70499999999998</v>
      </c>
      <c r="V11" s="29">
        <f t="shared" si="9"/>
        <v>188.94</v>
      </c>
      <c r="W11" s="29">
        <f t="shared" si="10"/>
        <v>90.397501867544662</v>
      </c>
      <c r="X11" s="30">
        <v>90</v>
      </c>
      <c r="Y11" s="5">
        <f t="shared" si="11"/>
        <v>-7.4089457442731113E-2</v>
      </c>
      <c r="Z11" s="33">
        <f t="shared" si="12"/>
        <v>0.11209506171547333</v>
      </c>
      <c r="AB11" s="31">
        <v>45413</v>
      </c>
      <c r="AC11" s="9">
        <v>81</v>
      </c>
      <c r="AD11" t="s">
        <v>97</v>
      </c>
    </row>
    <row r="12" spans="1:31" x14ac:dyDescent="0.25">
      <c r="A12" t="s">
        <v>101</v>
      </c>
      <c r="B12" t="s">
        <v>33</v>
      </c>
      <c r="C12" s="26" t="s">
        <v>102</v>
      </c>
      <c r="D12" s="2">
        <v>268.57249999999999</v>
      </c>
      <c r="E12" s="27">
        <v>250.59</v>
      </c>
      <c r="F12" s="3">
        <f t="shared" si="0"/>
        <v>67301.582775000003</v>
      </c>
      <c r="G12" s="3">
        <v>54466.53</v>
      </c>
      <c r="H12" s="4">
        <f t="shared" si="1"/>
        <v>202.80010053151383</v>
      </c>
      <c r="I12" s="3">
        <f t="shared" si="2"/>
        <v>12835.052775000004</v>
      </c>
      <c r="J12" s="27">
        <f t="shared" si="3"/>
        <v>47.789899468486169</v>
      </c>
      <c r="K12" s="28">
        <v>45370</v>
      </c>
      <c r="L12">
        <f t="shared" si="4"/>
        <v>16</v>
      </c>
      <c r="M12" s="5">
        <f t="shared" si="5"/>
        <v>0.23565027504046987</v>
      </c>
      <c r="N12">
        <v>68</v>
      </c>
      <c r="O12">
        <v>94</v>
      </c>
      <c r="P12">
        <v>94</v>
      </c>
      <c r="Q12" s="29">
        <v>200</v>
      </c>
      <c r="R12" s="30">
        <f t="shared" si="6"/>
        <v>186</v>
      </c>
      <c r="S12" s="30">
        <v>188.5</v>
      </c>
      <c r="T12" s="32">
        <f t="shared" si="7"/>
        <v>250</v>
      </c>
      <c r="U12" s="29">
        <f t="shared" si="8"/>
        <v>300</v>
      </c>
      <c r="V12" s="29">
        <f t="shared" si="9"/>
        <v>400</v>
      </c>
      <c r="W12" s="29">
        <f t="shared" si="10"/>
        <v>188.60409349430788</v>
      </c>
      <c r="X12" s="30">
        <v>202</v>
      </c>
      <c r="Y12" s="5">
        <f t="shared" si="11"/>
        <v>-3.9452669373282873E-3</v>
      </c>
      <c r="Z12" s="6">
        <f t="shared" si="12"/>
        <v>0.11225049030491069</v>
      </c>
      <c r="AB12" s="31">
        <v>45412</v>
      </c>
      <c r="AC12" s="9">
        <v>94</v>
      </c>
      <c r="AD12" t="s">
        <v>103</v>
      </c>
    </row>
    <row r="13" spans="1:31" x14ac:dyDescent="0.25">
      <c r="A13" t="s">
        <v>105</v>
      </c>
      <c r="B13" t="s">
        <v>33</v>
      </c>
      <c r="C13" s="26" t="s">
        <v>106</v>
      </c>
      <c r="D13" s="2">
        <v>2972.4371999999998</v>
      </c>
      <c r="E13" s="27">
        <v>8.84</v>
      </c>
      <c r="F13" s="3">
        <f t="shared" si="0"/>
        <v>26276.344847999997</v>
      </c>
      <c r="G13" s="3">
        <v>23794.37</v>
      </c>
      <c r="H13" s="4">
        <f t="shared" si="1"/>
        <v>8.0050034362374412</v>
      </c>
      <c r="I13" s="3">
        <f t="shared" si="2"/>
        <v>2481.974847999998</v>
      </c>
      <c r="J13" s="27">
        <f t="shared" si="3"/>
        <v>0.83499656376255871</v>
      </c>
      <c r="K13" s="28">
        <v>45378</v>
      </c>
      <c r="L13">
        <f t="shared" si="4"/>
        <v>8</v>
      </c>
      <c r="M13" s="5">
        <f t="shared" si="5"/>
        <v>0.104309332333657</v>
      </c>
      <c r="N13">
        <v>37</v>
      </c>
      <c r="O13">
        <v>97</v>
      </c>
      <c r="P13" s="34">
        <v>99</v>
      </c>
      <c r="Q13" s="29">
        <v>6.76</v>
      </c>
      <c r="R13" s="30">
        <f t="shared" si="6"/>
        <v>6.2868000000000004</v>
      </c>
      <c r="S13" s="30">
        <v>7.21</v>
      </c>
      <c r="T13" s="32">
        <f t="shared" si="7"/>
        <v>8.4499999999999993</v>
      </c>
      <c r="U13" s="29">
        <f t="shared" si="8"/>
        <v>10.14</v>
      </c>
      <c r="V13" s="29">
        <f t="shared" si="9"/>
        <v>13.52</v>
      </c>
      <c r="W13" s="29">
        <f t="shared" si="10"/>
        <v>7.4446531957008197</v>
      </c>
      <c r="X13" s="30">
        <v>7.75</v>
      </c>
      <c r="Y13" s="5">
        <f t="shared" si="11"/>
        <v>-3.1855506155447619E-2</v>
      </c>
      <c r="Z13" s="6">
        <f t="shared" si="12"/>
        <v>4.3825605149134077E-2</v>
      </c>
      <c r="AB13" s="31">
        <v>45401</v>
      </c>
      <c r="AC13" s="9">
        <v>99</v>
      </c>
    </row>
    <row r="14" spans="1:31" x14ac:dyDescent="0.25">
      <c r="A14" t="s">
        <v>109</v>
      </c>
      <c r="B14" t="s">
        <v>33</v>
      </c>
      <c r="C14" s="26" t="s">
        <v>107</v>
      </c>
      <c r="D14" s="2">
        <v>828.40229999999997</v>
      </c>
      <c r="E14" s="27">
        <v>62</v>
      </c>
      <c r="F14" s="3">
        <f t="shared" si="0"/>
        <v>51360.942599999995</v>
      </c>
      <c r="G14" s="3">
        <v>47623.59</v>
      </c>
      <c r="H14" s="4">
        <f t="shared" si="1"/>
        <v>57.488481140141687</v>
      </c>
      <c r="I14" s="3">
        <f t="shared" si="2"/>
        <v>3737.3525999999983</v>
      </c>
      <c r="J14" s="27">
        <f t="shared" si="3"/>
        <v>4.5115188598583131</v>
      </c>
      <c r="K14" s="28">
        <v>45378</v>
      </c>
      <c r="L14">
        <f t="shared" si="4"/>
        <v>8</v>
      </c>
      <c r="M14" s="5">
        <f t="shared" si="5"/>
        <v>7.8476918686726446E-2</v>
      </c>
      <c r="N14">
        <v>37</v>
      </c>
      <c r="O14">
        <v>82</v>
      </c>
      <c r="P14" s="34">
        <v>92</v>
      </c>
      <c r="Q14" s="29">
        <v>57.16</v>
      </c>
      <c r="R14" s="30">
        <f t="shared" si="6"/>
        <v>53.158799999999999</v>
      </c>
      <c r="S14" s="30">
        <v>54.02</v>
      </c>
      <c r="T14" s="29">
        <f t="shared" si="7"/>
        <v>71.449999999999989</v>
      </c>
      <c r="U14" s="29">
        <f t="shared" si="8"/>
        <v>85.74</v>
      </c>
      <c r="V14" s="29">
        <f t="shared" si="9"/>
        <v>114.32</v>
      </c>
      <c r="W14" s="29">
        <f t="shared" si="10"/>
        <v>53.464287460331768</v>
      </c>
      <c r="X14" s="30">
        <v>57</v>
      </c>
      <c r="Y14" s="5">
        <f t="shared" si="11"/>
        <v>-8.4970263686546046E-3</v>
      </c>
      <c r="Z14" s="6">
        <f t="shared" si="12"/>
        <v>8.5663527537631123E-2</v>
      </c>
      <c r="AB14" s="31">
        <v>45407</v>
      </c>
      <c r="AC14" s="9">
        <v>97</v>
      </c>
      <c r="AD14" t="s">
        <v>108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44735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56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91.5</v>
      </c>
      <c r="F16" s="57">
        <f t="shared" si="0"/>
        <v>25384.716900000003</v>
      </c>
      <c r="G16" s="38">
        <v>25401.360000000001</v>
      </c>
      <c r="H16" s="39">
        <f t="shared" si="1"/>
        <v>91.559990570546802</v>
      </c>
      <c r="I16" s="38">
        <f t="shared" si="2"/>
        <v>-16.643099999997503</v>
      </c>
      <c r="J16" s="37">
        <f t="shared" si="3"/>
        <v>-5.9990570546801791E-2</v>
      </c>
      <c r="K16" s="40"/>
      <c r="L16" s="35"/>
      <c r="M16" s="41">
        <f t="shared" si="5"/>
        <v>-6.5520507563364731E-4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85.150791230608519</v>
      </c>
      <c r="X16" s="43"/>
      <c r="Y16" s="41">
        <f t="shared" si="11"/>
        <v>-1</v>
      </c>
      <c r="Z16" s="44">
        <f t="shared" si="12"/>
        <v>4.2338483001246957E-2</v>
      </c>
      <c r="AB16" s="31"/>
      <c r="AC16" s="9"/>
    </row>
    <row r="17" spans="1:26" x14ac:dyDescent="0.25">
      <c r="A17" t="s">
        <v>53</v>
      </c>
      <c r="F17" s="3">
        <f>SUM(F6:F16)</f>
        <v>539248.04725900001</v>
      </c>
      <c r="G17" s="3">
        <f>SUM(G6:G16)</f>
        <v>402305.18999999994</v>
      </c>
      <c r="H17" s="4"/>
      <c r="I17" s="3">
        <f>SUM(I6:I16)</f>
        <v>136942.85725900001</v>
      </c>
      <c r="M17" s="5"/>
      <c r="Z17" s="6"/>
    </row>
    <row r="18" spans="1:26" x14ac:dyDescent="0.25">
      <c r="D18" s="2" t="s">
        <v>54</v>
      </c>
      <c r="F18" s="3">
        <v>60318</v>
      </c>
      <c r="G18" s="6">
        <f>F18/F19</f>
        <v>0.10060276140677439</v>
      </c>
      <c r="H18" s="4"/>
      <c r="M18" s="5"/>
      <c r="Z18" s="6"/>
    </row>
    <row r="19" spans="1:26" x14ac:dyDescent="0.25">
      <c r="D19" s="2" t="s">
        <v>55</v>
      </c>
      <c r="F19" s="3">
        <f>SUM(F17:F18)</f>
        <v>599566.04725900001</v>
      </c>
      <c r="H19" s="46"/>
      <c r="M19" s="5"/>
      <c r="Z19" s="6"/>
    </row>
    <row r="20" spans="1:26" x14ac:dyDescent="0.25">
      <c r="F20" s="4"/>
      <c r="H20" s="46" t="s">
        <v>56</v>
      </c>
      <c r="I20" s="47">
        <f>'03-29-24'!F19</f>
        <v>607071.369649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-1.2363163155494315E-2</v>
      </c>
      <c r="K21" s="9" t="s">
        <v>58</v>
      </c>
      <c r="L21" s="6">
        <f>(F19-L20)/L20</f>
        <v>0.25916769942536205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4" si="13">F25/D25</f>
        <v>47.428061535569462</v>
      </c>
      <c r="F25" s="3">
        <v>38349.050000000003</v>
      </c>
      <c r="G25" s="3">
        <v>35186.18</v>
      </c>
      <c r="H25" s="3">
        <f t="shared" ref="H25:H34" si="14">G25/D25</f>
        <v>43.516392459307944</v>
      </c>
      <c r="I25" s="3">
        <f t="shared" ref="I25:I34" si="15">G25-F25</f>
        <v>-3162.8700000000026</v>
      </c>
      <c r="J25" s="5">
        <f t="shared" ref="J25:J34" si="16">I25/F25</f>
        <v>-8.2475837080710018E-2</v>
      </c>
      <c r="K25" s="1">
        <v>45286</v>
      </c>
      <c r="L25" s="1">
        <v>45302</v>
      </c>
      <c r="M25">
        <f t="shared" ref="M25:M3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C35" s="26"/>
      <c r="E35" s="3"/>
      <c r="J35" s="5"/>
      <c r="K35" s="1"/>
      <c r="L35" s="1"/>
      <c r="M35" s="54"/>
    </row>
    <row r="36" spans="1:15" x14ac:dyDescent="0.25">
      <c r="C36" s="26"/>
      <c r="E36" s="3"/>
      <c r="J36" s="5"/>
      <c r="K36" s="53"/>
      <c r="L36" s="53"/>
      <c r="M36" s="54"/>
    </row>
    <row r="37" spans="1:15" x14ac:dyDescent="0.25">
      <c r="C37" s="26"/>
      <c r="E37" s="3"/>
      <c r="I37" s="3">
        <f>SUM(I25:I36)</f>
        <v>-6082.3700000000208</v>
      </c>
      <c r="J37" s="5"/>
      <c r="K37" s="53"/>
      <c r="L37" s="53"/>
      <c r="M37" s="54"/>
    </row>
    <row r="38" spans="1:15" x14ac:dyDescent="0.25">
      <c r="C38" s="26"/>
      <c r="E38" s="3"/>
      <c r="J38" s="5"/>
      <c r="K38" s="53"/>
      <c r="L38" s="53"/>
      <c r="M38" s="54"/>
    </row>
    <row r="39" spans="1:15" x14ac:dyDescent="0.25">
      <c r="J39" s="13" t="s">
        <v>68</v>
      </c>
    </row>
    <row r="40" spans="1:15" x14ac:dyDescent="0.25">
      <c r="H40" s="3" t="s">
        <v>69</v>
      </c>
      <c r="I40" s="55">
        <v>6</v>
      </c>
      <c r="J40" s="5">
        <v>-9.1399999999999995E-2</v>
      </c>
    </row>
    <row r="41" spans="1:15" x14ac:dyDescent="0.25">
      <c r="H41" s="3" t="s">
        <v>70</v>
      </c>
      <c r="I41" s="55">
        <v>4</v>
      </c>
      <c r="J41" s="5">
        <v>0.21279999999999999</v>
      </c>
    </row>
    <row r="42" spans="1:15" x14ac:dyDescent="0.25">
      <c r="J42" s="5"/>
    </row>
    <row r="43" spans="1:15" x14ac:dyDescent="0.25">
      <c r="J43" s="5"/>
    </row>
    <row r="44" spans="1:15" x14ac:dyDescent="0.25">
      <c r="J44" s="5"/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7D24-AE4F-4111-BB6E-A11EAC7E4FE4}">
  <dimension ref="A1:AE194"/>
  <sheetViews>
    <sheetView topLeftCell="A13" workbookViewId="0">
      <selection activeCell="A37" sqref="A37:Q38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45394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39</v>
      </c>
      <c r="B7" t="s">
        <v>33</v>
      </c>
      <c r="C7" s="26" t="s">
        <v>40</v>
      </c>
      <c r="D7" s="2">
        <v>267.84309999999999</v>
      </c>
      <c r="E7" s="27">
        <v>310.81</v>
      </c>
      <c r="F7" s="3">
        <f t="shared" ref="F7:F15" si="0">E7*D7</f>
        <v>83248.313911000005</v>
      </c>
      <c r="G7" s="3">
        <v>61166.239999999998</v>
      </c>
      <c r="H7" s="4">
        <f t="shared" ref="H7:H15" si="1">G7/D7</f>
        <v>228.36593513142583</v>
      </c>
      <c r="I7" s="3">
        <f t="shared" ref="I7:I15" si="2">F7-G7</f>
        <v>22082.073911000007</v>
      </c>
      <c r="J7" s="27">
        <f t="shared" ref="J7:J15" si="3">E7-H7</f>
        <v>82.444064868574173</v>
      </c>
      <c r="K7" s="28">
        <v>45238</v>
      </c>
      <c r="L7">
        <f t="shared" ref="L7:L15" si="4">DAYS360(K7,$C$1)</f>
        <v>154</v>
      </c>
      <c r="M7" s="5">
        <f t="shared" ref="M7:M15" si="5">(I7/G7)</f>
        <v>0.36101735060059287</v>
      </c>
      <c r="N7">
        <v>13</v>
      </c>
      <c r="O7">
        <v>93</v>
      </c>
      <c r="P7">
        <v>99</v>
      </c>
      <c r="Q7" s="29">
        <v>223.3</v>
      </c>
      <c r="R7" s="30">
        <f t="shared" ref="R7:R15" si="6">Q7*0.93</f>
        <v>207.66900000000001</v>
      </c>
      <c r="S7" s="30">
        <v>255.68</v>
      </c>
      <c r="T7" s="29">
        <f t="shared" ref="T7:T15" si="7">Q7*1.25</f>
        <v>279.125</v>
      </c>
      <c r="U7" s="29">
        <f t="shared" ref="U7:U15" si="8">Q7*1.5</f>
        <v>334.95000000000005</v>
      </c>
      <c r="V7" s="29">
        <f t="shared" ref="V7:V15" si="9">Q7*2</f>
        <v>446.6</v>
      </c>
      <c r="W7" s="29">
        <f t="shared" ref="W7:W15" si="10">H7-(H7*0.07)</f>
        <v>212.38031967222602</v>
      </c>
      <c r="X7" s="30">
        <v>300</v>
      </c>
      <c r="Y7" s="5">
        <f t="shared" ref="Y7:Y15" si="11">(X7-H7)/H7</f>
        <v>0.313681043660686</v>
      </c>
      <c r="Z7" s="6">
        <f t="shared" ref="Z7:Z15" si="12">F7/F$19</f>
        <v>0.14447472451426874</v>
      </c>
      <c r="AB7" s="31">
        <v>45421</v>
      </c>
      <c r="AC7" s="9">
        <v>99</v>
      </c>
      <c r="AD7" t="s">
        <v>41</v>
      </c>
    </row>
    <row r="8" spans="1:31" x14ac:dyDescent="0.25">
      <c r="A8" t="s">
        <v>78</v>
      </c>
      <c r="B8" t="s">
        <v>33</v>
      </c>
      <c r="C8" s="26" t="s">
        <v>79</v>
      </c>
      <c r="D8" s="2">
        <f>1286.8297+948.5633-808.6324</f>
        <v>1426.7606000000001</v>
      </c>
      <c r="E8" s="27">
        <v>68.62</v>
      </c>
      <c r="F8" s="3">
        <f t="shared" si="0"/>
        <v>97904.312372000015</v>
      </c>
      <c r="G8" s="3">
        <f>28174.78+19947.6-17409.86</f>
        <v>30712.519999999997</v>
      </c>
      <c r="H8" s="4">
        <f t="shared" si="1"/>
        <v>21.526049990446886</v>
      </c>
      <c r="I8" s="3">
        <f t="shared" si="2"/>
        <v>67191.792372000025</v>
      </c>
      <c r="J8" s="27">
        <f t="shared" si="3"/>
        <v>47.093950009553119</v>
      </c>
      <c r="K8" s="28">
        <v>45309</v>
      </c>
      <c r="L8">
        <f t="shared" si="4"/>
        <v>84</v>
      </c>
      <c r="M8" s="5">
        <f t="shared" si="5"/>
        <v>2.1877655227249355</v>
      </c>
      <c r="N8">
        <v>17</v>
      </c>
      <c r="O8">
        <v>99</v>
      </c>
      <c r="P8">
        <v>22</v>
      </c>
      <c r="Q8" s="29">
        <v>20.03</v>
      </c>
      <c r="R8" s="30">
        <f t="shared" si="6"/>
        <v>18.6279</v>
      </c>
      <c r="S8" s="30">
        <v>34.04</v>
      </c>
      <c r="T8" s="32">
        <f t="shared" si="7"/>
        <v>25.037500000000001</v>
      </c>
      <c r="U8" s="29">
        <f t="shared" si="8"/>
        <v>30.045000000000002</v>
      </c>
      <c r="V8" s="29">
        <f t="shared" si="9"/>
        <v>40.06</v>
      </c>
      <c r="W8" s="29">
        <f t="shared" si="10"/>
        <v>20.019226491115603</v>
      </c>
      <c r="X8" s="30">
        <v>55</v>
      </c>
      <c r="Y8" s="5">
        <f t="shared" si="11"/>
        <v>1.5550437736792688</v>
      </c>
      <c r="Z8" s="33">
        <f t="shared" si="12"/>
        <v>0.16990973022979874</v>
      </c>
      <c r="AA8" s="9"/>
      <c r="AB8" s="31">
        <v>45406</v>
      </c>
      <c r="AC8" s="9">
        <v>73</v>
      </c>
      <c r="AD8" t="s">
        <v>80</v>
      </c>
    </row>
    <row r="9" spans="1:31" x14ac:dyDescent="0.25">
      <c r="A9" t="s">
        <v>81</v>
      </c>
      <c r="B9" t="s">
        <v>33</v>
      </c>
      <c r="C9" s="26" t="s">
        <v>81</v>
      </c>
      <c r="D9" s="2">
        <f>532.4164+77.1815</f>
        <v>609.59789999999998</v>
      </c>
      <c r="E9" s="27">
        <v>88.01</v>
      </c>
      <c r="F9" s="3">
        <f t="shared" si="0"/>
        <v>53650.711178999998</v>
      </c>
      <c r="G9" s="3">
        <f>38270.34+5640.4</f>
        <v>43910.74</v>
      </c>
      <c r="H9" s="4">
        <f t="shared" si="1"/>
        <v>72.032301948546731</v>
      </c>
      <c r="I9" s="3">
        <f t="shared" si="2"/>
        <v>9739.9711790000001</v>
      </c>
      <c r="J9" s="27">
        <f t="shared" si="3"/>
        <v>15.977698051453274</v>
      </c>
      <c r="K9" s="28">
        <v>45313</v>
      </c>
      <c r="L9">
        <f t="shared" si="4"/>
        <v>80</v>
      </c>
      <c r="M9" s="5">
        <f t="shared" si="5"/>
        <v>0.22181295917581895</v>
      </c>
      <c r="N9">
        <v>21</v>
      </c>
      <c r="O9">
        <v>90</v>
      </c>
      <c r="P9" s="34">
        <v>96</v>
      </c>
      <c r="Q9" s="29">
        <v>71.39</v>
      </c>
      <c r="R9" s="30">
        <f t="shared" si="6"/>
        <v>66.392700000000005</v>
      </c>
      <c r="S9" s="30">
        <v>78.709999999999994</v>
      </c>
      <c r="T9" s="32">
        <f t="shared" si="7"/>
        <v>89.237499999999997</v>
      </c>
      <c r="U9" s="29">
        <f t="shared" si="8"/>
        <v>107.08500000000001</v>
      </c>
      <c r="V9" s="29">
        <f t="shared" si="9"/>
        <v>142.78</v>
      </c>
      <c r="W9" s="29">
        <f t="shared" si="10"/>
        <v>66.990040812148465</v>
      </c>
      <c r="X9" s="30">
        <v>82</v>
      </c>
      <c r="Y9" s="5">
        <f t="shared" si="11"/>
        <v>0.13837816898553759</v>
      </c>
      <c r="Z9" s="6">
        <f t="shared" si="12"/>
        <v>9.3109053546325607E-2</v>
      </c>
      <c r="AB9" s="31">
        <v>45414</v>
      </c>
      <c r="AC9" s="9">
        <v>97</v>
      </c>
      <c r="AD9" t="s">
        <v>80</v>
      </c>
    </row>
    <row r="10" spans="1:31" x14ac:dyDescent="0.25">
      <c r="A10" t="s">
        <v>82</v>
      </c>
      <c r="B10" t="s">
        <v>33</v>
      </c>
      <c r="C10" s="26" t="s">
        <v>83</v>
      </c>
      <c r="D10" s="2">
        <f>952.002+512.6146</f>
        <v>1464.6165999999998</v>
      </c>
      <c r="E10" s="27">
        <v>36.03</v>
      </c>
      <c r="F10" s="3">
        <f t="shared" si="0"/>
        <v>52770.136097999995</v>
      </c>
      <c r="G10" s="3">
        <f>28303.96+15646.4</f>
        <v>43950.36</v>
      </c>
      <c r="H10" s="4">
        <f t="shared" si="1"/>
        <v>30.008099047901005</v>
      </c>
      <c r="I10" s="3">
        <f t="shared" si="2"/>
        <v>8819.7760979999948</v>
      </c>
      <c r="J10" s="27">
        <f t="shared" si="3"/>
        <v>6.0219009520989957</v>
      </c>
      <c r="K10" s="28">
        <v>45321</v>
      </c>
      <c r="L10">
        <f t="shared" si="4"/>
        <v>72</v>
      </c>
      <c r="M10" s="5">
        <f t="shared" si="5"/>
        <v>0.20067585562439066</v>
      </c>
      <c r="N10">
        <v>15</v>
      </c>
      <c r="O10">
        <v>96</v>
      </c>
      <c r="P10">
        <v>81</v>
      </c>
      <c r="Q10" s="29">
        <v>28.39</v>
      </c>
      <c r="R10" s="30">
        <f t="shared" si="6"/>
        <v>26.402700000000003</v>
      </c>
      <c r="S10" s="30">
        <v>31.42</v>
      </c>
      <c r="T10" s="29">
        <f t="shared" si="7"/>
        <v>35.487499999999997</v>
      </c>
      <c r="U10" s="29">
        <f t="shared" si="8"/>
        <v>42.585000000000001</v>
      </c>
      <c r="V10" s="29">
        <f t="shared" si="9"/>
        <v>56.78</v>
      </c>
      <c r="W10" s="29">
        <f t="shared" si="10"/>
        <v>27.907532114547934</v>
      </c>
      <c r="X10" s="30">
        <v>32</v>
      </c>
      <c r="Y10" s="5">
        <f t="shared" si="11"/>
        <v>6.6378778239814001E-2</v>
      </c>
      <c r="Z10" s="6">
        <f t="shared" si="12"/>
        <v>9.1580844309828449E-2</v>
      </c>
      <c r="AB10" s="31">
        <v>45421</v>
      </c>
      <c r="AC10" s="9">
        <v>99</v>
      </c>
      <c r="AD10" t="s">
        <v>84</v>
      </c>
    </row>
    <row r="11" spans="1:31" x14ac:dyDescent="0.25">
      <c r="A11" t="s">
        <v>101</v>
      </c>
      <c r="B11" t="s">
        <v>33</v>
      </c>
      <c r="C11" s="26" t="s">
        <v>102</v>
      </c>
      <c r="D11" s="2">
        <v>268.57249999999999</v>
      </c>
      <c r="E11" s="27">
        <v>228.99</v>
      </c>
      <c r="F11" s="3">
        <f t="shared" si="0"/>
        <v>61500.416774999998</v>
      </c>
      <c r="G11" s="3">
        <v>54466.53</v>
      </c>
      <c r="H11" s="4">
        <f t="shared" si="1"/>
        <v>202.80010053151383</v>
      </c>
      <c r="I11" s="3">
        <f t="shared" si="2"/>
        <v>7033.886774999999</v>
      </c>
      <c r="J11" s="27">
        <f t="shared" si="3"/>
        <v>26.189899468486175</v>
      </c>
      <c r="K11" s="28">
        <v>45370</v>
      </c>
      <c r="L11">
        <f t="shared" si="4"/>
        <v>23</v>
      </c>
      <c r="M11" s="5">
        <f t="shared" si="5"/>
        <v>0.12914145209911479</v>
      </c>
      <c r="N11">
        <v>66</v>
      </c>
      <c r="O11">
        <v>92</v>
      </c>
      <c r="P11">
        <v>94</v>
      </c>
      <c r="Q11" s="29">
        <v>200</v>
      </c>
      <c r="R11" s="30">
        <f t="shared" si="6"/>
        <v>186</v>
      </c>
      <c r="S11" s="30">
        <v>188.5</v>
      </c>
      <c r="T11" s="32">
        <f t="shared" si="7"/>
        <v>250</v>
      </c>
      <c r="U11" s="29">
        <f t="shared" si="8"/>
        <v>300</v>
      </c>
      <c r="V11" s="29">
        <f t="shared" si="9"/>
        <v>400</v>
      </c>
      <c r="W11" s="29">
        <f t="shared" si="10"/>
        <v>188.60409349430788</v>
      </c>
      <c r="X11" s="30">
        <v>215</v>
      </c>
      <c r="Y11" s="5">
        <f t="shared" si="11"/>
        <v>6.0157265388487216E-2</v>
      </c>
      <c r="Z11" s="6">
        <f t="shared" si="12"/>
        <v>0.10673196072871793</v>
      </c>
      <c r="AB11" s="31">
        <v>45412</v>
      </c>
      <c r="AC11" s="9">
        <v>95</v>
      </c>
      <c r="AD11" t="s">
        <v>103</v>
      </c>
    </row>
    <row r="12" spans="1:31" x14ac:dyDescent="0.25">
      <c r="A12" t="s">
        <v>105</v>
      </c>
      <c r="B12" t="s">
        <v>33</v>
      </c>
      <c r="C12" s="26" t="s">
        <v>106</v>
      </c>
      <c r="D12" s="2">
        <v>2972.4371999999998</v>
      </c>
      <c r="E12" s="27">
        <v>9.11</v>
      </c>
      <c r="F12" s="3">
        <f t="shared" si="0"/>
        <v>27078.902891999998</v>
      </c>
      <c r="G12" s="3">
        <v>23794.37</v>
      </c>
      <c r="H12" s="4">
        <f t="shared" si="1"/>
        <v>8.0050034362374412</v>
      </c>
      <c r="I12" s="3">
        <f t="shared" si="2"/>
        <v>3284.5328919999993</v>
      </c>
      <c r="J12" s="27">
        <f t="shared" si="3"/>
        <v>1.1049965637625583</v>
      </c>
      <c r="K12" s="28">
        <v>45378</v>
      </c>
      <c r="L12">
        <f t="shared" si="4"/>
        <v>15</v>
      </c>
      <c r="M12" s="5">
        <f t="shared" si="5"/>
        <v>0.13803823728049952</v>
      </c>
      <c r="N12">
        <v>27</v>
      </c>
      <c r="O12">
        <v>97</v>
      </c>
      <c r="P12" s="34">
        <v>99</v>
      </c>
      <c r="Q12" s="29">
        <v>6.76</v>
      </c>
      <c r="R12" s="30">
        <f t="shared" si="6"/>
        <v>6.2868000000000004</v>
      </c>
      <c r="S12" s="30">
        <v>7.21</v>
      </c>
      <c r="T12" s="32">
        <f t="shared" si="7"/>
        <v>8.4499999999999993</v>
      </c>
      <c r="U12" s="29">
        <f t="shared" si="8"/>
        <v>10.14</v>
      </c>
      <c r="V12" s="29">
        <f t="shared" si="9"/>
        <v>13.52</v>
      </c>
      <c r="W12" s="29">
        <f t="shared" si="10"/>
        <v>7.4446531957008197</v>
      </c>
      <c r="X12" s="30">
        <v>7.75</v>
      </c>
      <c r="Y12" s="5">
        <f t="shared" si="11"/>
        <v>-3.1855506155447619E-2</v>
      </c>
      <c r="Z12" s="6">
        <f t="shared" si="12"/>
        <v>4.6994549819385521E-2</v>
      </c>
      <c r="AB12" s="31">
        <v>45401</v>
      </c>
      <c r="AC12" s="9">
        <v>99</v>
      </c>
    </row>
    <row r="13" spans="1:31" x14ac:dyDescent="0.25">
      <c r="A13" t="s">
        <v>109</v>
      </c>
      <c r="B13" t="s">
        <v>33</v>
      </c>
      <c r="C13" s="26" t="s">
        <v>107</v>
      </c>
      <c r="D13" s="2">
        <v>828.40229999999997</v>
      </c>
      <c r="E13" s="27">
        <v>61.45</v>
      </c>
      <c r="F13" s="3">
        <f t="shared" si="0"/>
        <v>50905.321335000001</v>
      </c>
      <c r="G13" s="3">
        <v>47623.59</v>
      </c>
      <c r="H13" s="4">
        <f t="shared" si="1"/>
        <v>57.488481140141687</v>
      </c>
      <c r="I13" s="3">
        <f t="shared" si="2"/>
        <v>3281.731335000004</v>
      </c>
      <c r="J13" s="27">
        <f t="shared" si="3"/>
        <v>3.961518859858316</v>
      </c>
      <c r="K13" s="28">
        <v>45378</v>
      </c>
      <c r="L13">
        <f t="shared" si="4"/>
        <v>15</v>
      </c>
      <c r="M13" s="5">
        <f t="shared" si="5"/>
        <v>6.8909784730634638E-2</v>
      </c>
      <c r="N13">
        <v>27</v>
      </c>
      <c r="O13">
        <v>80</v>
      </c>
      <c r="P13" s="34">
        <v>92</v>
      </c>
      <c r="Q13" s="29">
        <v>57.16</v>
      </c>
      <c r="R13" s="30">
        <f t="shared" si="6"/>
        <v>53.158799999999999</v>
      </c>
      <c r="S13" s="30">
        <v>54.02</v>
      </c>
      <c r="T13" s="29">
        <f t="shared" si="7"/>
        <v>71.449999999999989</v>
      </c>
      <c r="U13" s="29">
        <f t="shared" si="8"/>
        <v>85.74</v>
      </c>
      <c r="V13" s="29">
        <f t="shared" si="9"/>
        <v>114.32</v>
      </c>
      <c r="W13" s="29">
        <f t="shared" si="10"/>
        <v>53.464287460331768</v>
      </c>
      <c r="X13" s="30">
        <v>57</v>
      </c>
      <c r="Y13" s="5">
        <f t="shared" si="11"/>
        <v>-8.4970263686546046E-3</v>
      </c>
      <c r="Z13" s="6">
        <f t="shared" si="12"/>
        <v>8.834451931419432E-2</v>
      </c>
      <c r="AB13" s="31">
        <v>45407</v>
      </c>
      <c r="AC13" s="9">
        <v>98</v>
      </c>
      <c r="AD13" t="s">
        <v>108</v>
      </c>
    </row>
    <row r="14" spans="1:31" x14ac:dyDescent="0.25">
      <c r="A14" t="s">
        <v>110</v>
      </c>
      <c r="B14" t="s">
        <v>33</v>
      </c>
      <c r="C14" s="26" t="s">
        <v>111</v>
      </c>
      <c r="D14" s="2">
        <v>224.41749999999999</v>
      </c>
      <c r="E14" s="27">
        <v>126.33</v>
      </c>
      <c r="F14" s="3">
        <f t="shared" si="0"/>
        <v>28350.662774999997</v>
      </c>
      <c r="G14" s="3">
        <v>29415.63</v>
      </c>
      <c r="H14" s="4">
        <f t="shared" si="1"/>
        <v>131.07547316942754</v>
      </c>
      <c r="I14" s="3">
        <f t="shared" si="2"/>
        <v>-1064.967225000004</v>
      </c>
      <c r="J14" s="27">
        <f t="shared" si="3"/>
        <v>-4.7454731694275409</v>
      </c>
      <c r="K14" s="28">
        <v>45393</v>
      </c>
      <c r="L14">
        <f t="shared" si="4"/>
        <v>1</v>
      </c>
      <c r="M14" s="5">
        <f t="shared" si="5"/>
        <v>-3.6204127703537335E-2</v>
      </c>
      <c r="N14">
        <v>50</v>
      </c>
      <c r="O14">
        <v>98</v>
      </c>
      <c r="P14" s="34">
        <v>99</v>
      </c>
      <c r="Q14" s="29">
        <v>149.91999999999999</v>
      </c>
      <c r="R14" s="30">
        <f t="shared" si="6"/>
        <v>139.4256</v>
      </c>
      <c r="S14" s="30">
        <v>120.02</v>
      </c>
      <c r="T14" s="32">
        <f t="shared" si="7"/>
        <v>187.39999999999998</v>
      </c>
      <c r="U14" s="29">
        <f t="shared" si="8"/>
        <v>224.88</v>
      </c>
      <c r="V14" s="29">
        <f t="shared" si="9"/>
        <v>299.83999999999997</v>
      </c>
      <c r="W14" s="29">
        <f t="shared" si="10"/>
        <v>121.90019004756761</v>
      </c>
      <c r="X14" s="30">
        <v>122</v>
      </c>
      <c r="Y14" s="5">
        <f t="shared" si="11"/>
        <v>-6.9238530672299195E-2</v>
      </c>
      <c r="Z14" s="6">
        <f t="shared" si="12"/>
        <v>4.9201647478338169E-2</v>
      </c>
      <c r="AB14" s="31">
        <v>45420</v>
      </c>
      <c r="AC14" s="9">
        <v>99</v>
      </c>
      <c r="AD14" t="s">
        <v>112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44742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91.58</v>
      </c>
      <c r="F16" s="57">
        <f t="shared" ref="F16" si="13">E16*D16</f>
        <v>25406.911188000002</v>
      </c>
      <c r="G16" s="38">
        <v>25401.360000000001</v>
      </c>
      <c r="H16" s="39">
        <f t="shared" ref="H16" si="14">G16/D16</f>
        <v>91.559990570546802</v>
      </c>
      <c r="I16" s="38">
        <f t="shared" ref="I16" si="15">F16-G16</f>
        <v>5.5511880000012752</v>
      </c>
      <c r="J16" s="37">
        <f t="shared" ref="J16" si="16">E16-H16</f>
        <v>2.0009429453196503E-2</v>
      </c>
      <c r="K16" s="40"/>
      <c r="L16" s="35"/>
      <c r="M16" s="41">
        <f t="shared" ref="M16" si="17">(I16/G16)</f>
        <v>2.1853900736028604E-4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85.150791230608519</v>
      </c>
      <c r="X16" s="43"/>
      <c r="Y16" s="41">
        <f t="shared" ref="Y16" si="23">(X16-H16)/H16</f>
        <v>-1</v>
      </c>
      <c r="Z16" s="44">
        <f t="shared" ref="Z16" si="24">F16/F$19</f>
        <v>4.4092862932564099E-2</v>
      </c>
      <c r="AB16" s="31"/>
      <c r="AC16" s="9"/>
    </row>
    <row r="17" spans="1:26" x14ac:dyDescent="0.25">
      <c r="A17" t="s">
        <v>53</v>
      </c>
      <c r="F17" s="3">
        <f>SUM(F6:F16)</f>
        <v>480815.68852499995</v>
      </c>
      <c r="G17" s="3">
        <f>SUM(G6:G16)</f>
        <v>360441.33999999997</v>
      </c>
      <c r="H17" s="4"/>
      <c r="I17" s="3">
        <f>SUM(I6:I16)</f>
        <v>120374.34852500002</v>
      </c>
      <c r="M17" s="5"/>
      <c r="Z17" s="6"/>
    </row>
    <row r="18" spans="1:26" x14ac:dyDescent="0.25">
      <c r="D18" s="2" t="s">
        <v>54</v>
      </c>
      <c r="F18" s="3">
        <v>95398</v>
      </c>
      <c r="G18" s="6">
        <f>F18/F19</f>
        <v>0.16556010712657865</v>
      </c>
      <c r="H18" s="4"/>
      <c r="M18" s="5"/>
      <c r="Z18" s="6"/>
    </row>
    <row r="19" spans="1:26" x14ac:dyDescent="0.25">
      <c r="D19" s="2" t="s">
        <v>55</v>
      </c>
      <c r="F19" s="3">
        <f>SUM(F17:F18)</f>
        <v>576213.68852499989</v>
      </c>
      <c r="H19" s="46"/>
      <c r="M19" s="5"/>
      <c r="Z19" s="6"/>
    </row>
    <row r="20" spans="1:26" x14ac:dyDescent="0.25">
      <c r="F20" s="4"/>
      <c r="H20" s="46" t="s">
        <v>56</v>
      </c>
      <c r="I20" s="47">
        <f>'04-05-24'!F19</f>
        <v>599566.04725900001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-3.894876776421663E-2</v>
      </c>
      <c r="K21" s="9" t="s">
        <v>58</v>
      </c>
      <c r="L21" s="6">
        <f>(F19-L20)/L20</f>
        <v>0.21012466912424069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36" si="25">F25/D25</f>
        <v>47.428061535569462</v>
      </c>
      <c r="F25" s="3">
        <v>38349.050000000003</v>
      </c>
      <c r="G25" s="3">
        <v>35186.18</v>
      </c>
      <c r="H25" s="3">
        <f t="shared" ref="H25:H36" si="26">G25/D25</f>
        <v>43.516392459307944</v>
      </c>
      <c r="I25" s="3">
        <f t="shared" ref="I25:I34" si="27">G25-F25</f>
        <v>-3162.8700000000026</v>
      </c>
      <c r="J25" s="5">
        <f t="shared" ref="J25:J34" si="28">I25/F25</f>
        <v>-8.2475837080710018E-2</v>
      </c>
      <c r="K25" s="1">
        <v>45286</v>
      </c>
      <c r="L25" s="1">
        <v>45302</v>
      </c>
      <c r="M25">
        <f t="shared" ref="M25:M36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si="29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29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29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29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29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si="26"/>
        <v>48.056634487564061</v>
      </c>
      <c r="I31" s="3">
        <f t="shared" si="27"/>
        <v>-4827.3300000000017</v>
      </c>
      <c r="J31" s="5">
        <f t="shared" si="28"/>
        <v>-9.278049140508153E-2</v>
      </c>
      <c r="K31" s="1">
        <v>45344</v>
      </c>
      <c r="L31" s="1">
        <v>45351</v>
      </c>
      <c r="M31" s="54">
        <f t="shared" si="29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5"/>
        <v>130.66998915547813</v>
      </c>
      <c r="F32" s="3">
        <v>58909.52</v>
      </c>
      <c r="G32" s="3">
        <v>55702.82</v>
      </c>
      <c r="H32" s="3">
        <f t="shared" si="26"/>
        <v>123.55705640326981</v>
      </c>
      <c r="I32" s="3">
        <f t="shared" si="27"/>
        <v>-3206.6999999999971</v>
      </c>
      <c r="J32" s="5">
        <f t="shared" si="28"/>
        <v>-5.4434325725281708E-2</v>
      </c>
      <c r="K32" s="1">
        <v>45286</v>
      </c>
      <c r="L32" s="1">
        <v>45356</v>
      </c>
      <c r="M32" s="54">
        <f t="shared" si="29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5"/>
        <v>34.902742463000052</v>
      </c>
      <c r="F33" s="3">
        <f>30020.93+21858.29</f>
        <v>51879.22</v>
      </c>
      <c r="G33" s="3">
        <v>51882.03</v>
      </c>
      <c r="H33" s="3">
        <f t="shared" si="26"/>
        <v>34.904632944513089</v>
      </c>
      <c r="I33" s="3">
        <f t="shared" si="27"/>
        <v>2.8099999999976717</v>
      </c>
      <c r="J33" s="5">
        <f t="shared" si="28"/>
        <v>5.4164268468139489E-5</v>
      </c>
      <c r="K33" s="1">
        <v>45331</v>
      </c>
      <c r="L33" s="1">
        <v>45366</v>
      </c>
      <c r="M33" s="54">
        <f t="shared" si="29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5"/>
        <v>17.884521773182534</v>
      </c>
      <c r="F34" s="3">
        <f>20288.83+19170.47</f>
        <v>39459.300000000003</v>
      </c>
      <c r="G34" s="3">
        <v>47805.42</v>
      </c>
      <c r="H34" s="3">
        <f t="shared" si="26"/>
        <v>21.667314799455028</v>
      </c>
      <c r="I34" s="3">
        <f t="shared" si="27"/>
        <v>8346.1199999999953</v>
      </c>
      <c r="J34" s="5">
        <f t="shared" si="28"/>
        <v>0.21151211501471123</v>
      </c>
      <c r="K34" s="1">
        <v>45243</v>
      </c>
      <c r="L34" s="1">
        <v>45373</v>
      </c>
      <c r="M34" s="54">
        <f t="shared" si="29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5"/>
        <v>97.201614911338325</v>
      </c>
      <c r="F35" s="3">
        <v>71279.48</v>
      </c>
      <c r="G35" s="3">
        <v>66395.73</v>
      </c>
      <c r="H35" s="3">
        <f t="shared" si="26"/>
        <v>90.541796590227548</v>
      </c>
      <c r="I35" s="3">
        <f t="shared" ref="I35:I36" si="30">G35-F35</f>
        <v>-4883.75</v>
      </c>
      <c r="J35" s="5">
        <f t="shared" ref="J35:J36" si="31">I35/F35</f>
        <v>-6.85155110559168E-2</v>
      </c>
      <c r="K35" s="1">
        <v>45349</v>
      </c>
      <c r="L35" s="1">
        <v>45394</v>
      </c>
      <c r="M35" s="54">
        <f t="shared" si="29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5"/>
        <v>51.760011005615979</v>
      </c>
      <c r="F36" s="3">
        <v>46654.3</v>
      </c>
      <c r="G36" s="3">
        <v>44379.95</v>
      </c>
      <c r="H36" s="3">
        <f t="shared" si="26"/>
        <v>49.23676275131524</v>
      </c>
      <c r="I36" s="3">
        <f t="shared" si="30"/>
        <v>-2274.3500000000058</v>
      </c>
      <c r="J36" s="5">
        <f t="shared" si="31"/>
        <v>-4.874898991089794E-2</v>
      </c>
      <c r="K36" s="1">
        <v>45394</v>
      </c>
      <c r="L36" s="1">
        <v>45394</v>
      </c>
      <c r="M36" s="54">
        <f t="shared" si="29"/>
        <v>0</v>
      </c>
      <c r="O36" t="s">
        <v>116</v>
      </c>
    </row>
    <row r="37" spans="1:15" x14ac:dyDescent="0.25">
      <c r="C37" s="26"/>
      <c r="E37" s="3"/>
      <c r="J37" s="5"/>
      <c r="K37" s="1"/>
      <c r="L37" s="1"/>
      <c r="M37" s="54"/>
    </row>
    <row r="38" spans="1:15" x14ac:dyDescent="0.25">
      <c r="C38" s="26"/>
      <c r="E38" s="3"/>
      <c r="J38" s="5"/>
      <c r="K38" s="1"/>
      <c r="L38" s="1"/>
      <c r="M38" s="54"/>
    </row>
    <row r="39" spans="1:15" x14ac:dyDescent="0.25">
      <c r="J39" s="13" t="s">
        <v>68</v>
      </c>
    </row>
    <row r="40" spans="1:15" x14ac:dyDescent="0.25">
      <c r="H40" s="3" t="s">
        <v>69</v>
      </c>
      <c r="I40" s="55">
        <v>6</v>
      </c>
      <c r="J40" s="5">
        <v>-9.1399999999999995E-2</v>
      </c>
    </row>
    <row r="41" spans="1:15" x14ac:dyDescent="0.25">
      <c r="H41" s="3" t="s">
        <v>70</v>
      </c>
      <c r="I41" s="55">
        <v>4</v>
      </c>
      <c r="J41" s="5">
        <v>0.21279999999999999</v>
      </c>
    </row>
    <row r="42" spans="1:15" x14ac:dyDescent="0.25">
      <c r="J42" s="5"/>
    </row>
    <row r="43" spans="1:15" x14ac:dyDescent="0.25">
      <c r="J43" s="5"/>
    </row>
    <row r="44" spans="1:15" x14ac:dyDescent="0.25">
      <c r="J44" s="5"/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</sheetData>
  <sortState xmlns:xlrd2="http://schemas.microsoft.com/office/spreadsheetml/2017/richdata2" ref="A7:AD14">
    <sortCondition descending="1" ref="L7:L14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CA26-E34B-4708-BDCD-F43059292FE5}">
  <dimension ref="A1:AE197"/>
  <sheetViews>
    <sheetView topLeftCell="D1"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45401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63.48</v>
      </c>
      <c r="F7" s="3">
        <f t="shared" ref="F7:F15" si="0">E7*D7</f>
        <v>90570.762887999997</v>
      </c>
      <c r="G7" s="3">
        <f>28174.78+19947.6-17409.86</f>
        <v>30712.519999999997</v>
      </c>
      <c r="H7" s="4">
        <f t="shared" ref="H7:H15" si="1">G7/D7</f>
        <v>21.526049990446886</v>
      </c>
      <c r="I7" s="3">
        <f t="shared" ref="I7:I15" si="2">F7-G7</f>
        <v>59858.242888000001</v>
      </c>
      <c r="J7" s="27">
        <f t="shared" ref="J7:J15" si="3">E7-H7</f>
        <v>41.953950009553111</v>
      </c>
      <c r="K7" s="28">
        <v>45309</v>
      </c>
      <c r="L7">
        <f t="shared" ref="L7:L15" si="4">DAYS360(K7,$C$1)</f>
        <v>91</v>
      </c>
      <c r="M7" s="5">
        <f t="shared" ref="M7:M15" si="5">(I7/G7)</f>
        <v>1.948985068239272</v>
      </c>
      <c r="N7">
        <v>19</v>
      </c>
      <c r="O7">
        <v>99</v>
      </c>
      <c r="P7">
        <v>22</v>
      </c>
      <c r="Q7" s="29">
        <v>20.03</v>
      </c>
      <c r="R7" s="30">
        <f t="shared" ref="R7:R15" si="6">Q7*0.93</f>
        <v>18.6279</v>
      </c>
      <c r="S7" s="30">
        <v>34.04</v>
      </c>
      <c r="T7" s="32">
        <f t="shared" ref="T7:T15" si="7">Q7*1.25</f>
        <v>25.037500000000001</v>
      </c>
      <c r="U7" s="29">
        <f t="shared" ref="U7:U15" si="8">Q7*1.5</f>
        <v>30.045000000000002</v>
      </c>
      <c r="V7" s="29">
        <f t="shared" ref="V7:V15" si="9">Q7*2</f>
        <v>40.06</v>
      </c>
      <c r="W7" s="29">
        <f t="shared" ref="W7:W15" si="10">H7-(H7*0.07)</f>
        <v>20.019226491115603</v>
      </c>
      <c r="X7" s="30">
        <v>55</v>
      </c>
      <c r="Y7" s="5">
        <f t="shared" ref="Y7:Y15" si="11">(X7-H7)/H7</f>
        <v>1.5550437736792688</v>
      </c>
      <c r="Z7" s="33">
        <f t="shared" ref="Z7:Z15" si="12">F7/F$19</f>
        <v>0.16202302931756013</v>
      </c>
      <c r="AA7" s="9"/>
      <c r="AB7" s="31">
        <v>45406</v>
      </c>
      <c r="AC7" s="9">
        <v>72</v>
      </c>
    </row>
    <row r="8" spans="1:31" x14ac:dyDescent="0.25">
      <c r="A8" t="s">
        <v>81</v>
      </c>
      <c r="B8" t="s">
        <v>33</v>
      </c>
      <c r="C8" s="26" t="s">
        <v>81</v>
      </c>
      <c r="D8" s="2">
        <f>532.4164+77.1815</f>
        <v>609.59789999999998</v>
      </c>
      <c r="E8" s="27">
        <v>85.41</v>
      </c>
      <c r="F8" s="3">
        <f t="shared" si="0"/>
        <v>52065.756638999999</v>
      </c>
      <c r="G8" s="3">
        <f>38270.34+5640.4</f>
        <v>43910.74</v>
      </c>
      <c r="H8" s="4">
        <f t="shared" si="1"/>
        <v>72.032301948546731</v>
      </c>
      <c r="I8" s="3">
        <f t="shared" si="2"/>
        <v>8155.0166390000013</v>
      </c>
      <c r="J8" s="27">
        <f t="shared" si="3"/>
        <v>13.377698051453265</v>
      </c>
      <c r="K8" s="28">
        <v>45313</v>
      </c>
      <c r="L8">
        <f t="shared" si="4"/>
        <v>87</v>
      </c>
      <c r="M8" s="5">
        <f t="shared" si="5"/>
        <v>0.18571804162261901</v>
      </c>
      <c r="N8">
        <v>25</v>
      </c>
      <c r="O8">
        <v>92</v>
      </c>
      <c r="P8" s="34">
        <v>96</v>
      </c>
      <c r="Q8" s="29">
        <v>71.39</v>
      </c>
      <c r="R8" s="30">
        <f t="shared" si="6"/>
        <v>66.392700000000005</v>
      </c>
      <c r="S8" s="30">
        <v>78.709999999999994</v>
      </c>
      <c r="T8" s="32">
        <f t="shared" si="7"/>
        <v>89.237499999999997</v>
      </c>
      <c r="U8" s="29">
        <f t="shared" si="8"/>
        <v>107.08500000000001</v>
      </c>
      <c r="V8" s="29">
        <f t="shared" si="9"/>
        <v>142.78</v>
      </c>
      <c r="W8" s="29">
        <f t="shared" si="10"/>
        <v>66.990040812148465</v>
      </c>
      <c r="X8" s="30">
        <v>82</v>
      </c>
      <c r="Y8" s="5">
        <f t="shared" si="11"/>
        <v>0.13837816898553759</v>
      </c>
      <c r="Z8" s="6">
        <f t="shared" si="12"/>
        <v>9.3141002078048526E-2</v>
      </c>
      <c r="AB8" s="31">
        <v>45414</v>
      </c>
      <c r="AC8" s="9">
        <v>98</v>
      </c>
      <c r="AD8" t="s">
        <v>108</v>
      </c>
    </row>
    <row r="9" spans="1:31" x14ac:dyDescent="0.25">
      <c r="A9" t="s">
        <v>105</v>
      </c>
      <c r="B9" t="s">
        <v>33</v>
      </c>
      <c r="C9" s="26" t="s">
        <v>106</v>
      </c>
      <c r="D9" s="2">
        <v>2972.4371999999998</v>
      </c>
      <c r="E9" s="27">
        <v>9.2899999999999991</v>
      </c>
      <c r="F9" s="3">
        <f t="shared" si="0"/>
        <v>27613.941587999998</v>
      </c>
      <c r="G9" s="3">
        <v>23794.37</v>
      </c>
      <c r="H9" s="4">
        <f t="shared" si="1"/>
        <v>8.0050034362374412</v>
      </c>
      <c r="I9" s="3">
        <f t="shared" si="2"/>
        <v>3819.5715879999989</v>
      </c>
      <c r="J9" s="27">
        <f t="shared" si="3"/>
        <v>1.284996563762558</v>
      </c>
      <c r="K9" s="28">
        <v>45378</v>
      </c>
      <c r="L9">
        <f t="shared" si="4"/>
        <v>22</v>
      </c>
      <c r="M9" s="5">
        <f t="shared" si="5"/>
        <v>0.16052417391172782</v>
      </c>
      <c r="N9">
        <v>21</v>
      </c>
      <c r="O9">
        <v>98</v>
      </c>
      <c r="P9" s="34">
        <v>99</v>
      </c>
      <c r="Q9" s="29">
        <v>6.76</v>
      </c>
      <c r="R9" s="30">
        <f t="shared" si="6"/>
        <v>6.2868000000000004</v>
      </c>
      <c r="S9" s="30">
        <v>7.21</v>
      </c>
      <c r="T9" s="32">
        <f t="shared" si="7"/>
        <v>8.4499999999999993</v>
      </c>
      <c r="U9" s="29">
        <f t="shared" si="8"/>
        <v>10.14</v>
      </c>
      <c r="V9" s="29">
        <f t="shared" si="9"/>
        <v>13.52</v>
      </c>
      <c r="W9" s="29">
        <f t="shared" si="10"/>
        <v>7.4446531957008197</v>
      </c>
      <c r="X9" s="30">
        <v>7.75</v>
      </c>
      <c r="Y9" s="5">
        <f t="shared" si="11"/>
        <v>-3.1855506155447619E-2</v>
      </c>
      <c r="Z9" s="6">
        <f t="shared" si="12"/>
        <v>4.9398882429847607E-2</v>
      </c>
      <c r="AB9" s="31">
        <v>45401</v>
      </c>
      <c r="AC9" s="9">
        <v>99</v>
      </c>
    </row>
    <row r="10" spans="1:31" x14ac:dyDescent="0.25">
      <c r="A10" t="s">
        <v>109</v>
      </c>
      <c r="B10" t="s">
        <v>33</v>
      </c>
      <c r="C10" s="26" t="s">
        <v>107</v>
      </c>
      <c r="D10" s="2">
        <v>828.40229999999997</v>
      </c>
      <c r="E10" s="27">
        <v>63.84</v>
      </c>
      <c r="F10" s="3">
        <f t="shared" si="0"/>
        <v>52885.202832000003</v>
      </c>
      <c r="G10" s="3">
        <v>47623.59</v>
      </c>
      <c r="H10" s="4">
        <f t="shared" si="1"/>
        <v>57.488481140141687</v>
      </c>
      <c r="I10" s="3">
        <f t="shared" si="2"/>
        <v>5261.6128320000062</v>
      </c>
      <c r="J10" s="27">
        <f t="shared" si="3"/>
        <v>6.3515188598583165</v>
      </c>
      <c r="K10" s="28">
        <v>45378</v>
      </c>
      <c r="L10">
        <f t="shared" si="4"/>
        <v>22</v>
      </c>
      <c r="M10" s="5">
        <f t="shared" si="5"/>
        <v>0.11048333046710689</v>
      </c>
      <c r="N10">
        <v>21</v>
      </c>
      <c r="O10">
        <v>89</v>
      </c>
      <c r="P10" s="34">
        <v>93</v>
      </c>
      <c r="Q10" s="29">
        <v>57.16</v>
      </c>
      <c r="R10" s="30">
        <f t="shared" si="6"/>
        <v>53.158799999999999</v>
      </c>
      <c r="S10" s="30">
        <v>54.02</v>
      </c>
      <c r="T10" s="29">
        <f t="shared" si="7"/>
        <v>71.449999999999989</v>
      </c>
      <c r="U10" s="29">
        <f t="shared" si="8"/>
        <v>85.74</v>
      </c>
      <c r="V10" s="29">
        <f t="shared" si="9"/>
        <v>114.32</v>
      </c>
      <c r="W10" s="29">
        <f t="shared" si="10"/>
        <v>53.464287460331768</v>
      </c>
      <c r="X10" s="30">
        <v>57</v>
      </c>
      <c r="Y10" s="5">
        <f t="shared" si="11"/>
        <v>-8.4970263686546046E-3</v>
      </c>
      <c r="Z10" s="6">
        <f t="shared" si="12"/>
        <v>9.4606918344170579E-2</v>
      </c>
      <c r="AB10" s="31">
        <v>45407</v>
      </c>
      <c r="AC10" s="9">
        <v>99</v>
      </c>
    </row>
    <row r="11" spans="1:31" x14ac:dyDescent="0.25">
      <c r="C11" s="26"/>
      <c r="E11" s="27"/>
      <c r="F11" s="3">
        <f t="shared" si="0"/>
        <v>0</v>
      </c>
      <c r="H11" s="4" t="e">
        <f t="shared" si="1"/>
        <v>#DIV/0!</v>
      </c>
      <c r="I11" s="3">
        <f t="shared" si="2"/>
        <v>0</v>
      </c>
      <c r="J11" s="27" t="e">
        <f t="shared" si="3"/>
        <v>#DIV/0!</v>
      </c>
      <c r="K11" s="28"/>
      <c r="L11">
        <f t="shared" si="4"/>
        <v>44749</v>
      </c>
      <c r="M11" s="5" t="e">
        <f t="shared" si="5"/>
        <v>#DIV/0!</v>
      </c>
      <c r="Q11" s="29"/>
      <c r="R11" s="30">
        <f t="shared" si="6"/>
        <v>0</v>
      </c>
      <c r="S11" s="30"/>
      <c r="T11" s="29">
        <f t="shared" si="7"/>
        <v>0</v>
      </c>
      <c r="U11" s="29">
        <f t="shared" si="8"/>
        <v>0</v>
      </c>
      <c r="V11" s="29">
        <f t="shared" si="9"/>
        <v>0</v>
      </c>
      <c r="W11" s="29" t="e">
        <f t="shared" si="10"/>
        <v>#DIV/0!</v>
      </c>
      <c r="X11" s="30"/>
      <c r="Y11" s="5" t="e">
        <f t="shared" si="11"/>
        <v>#DIV/0!</v>
      </c>
      <c r="Z11" s="6">
        <f t="shared" si="12"/>
        <v>0</v>
      </c>
      <c r="AB11" s="31"/>
      <c r="AC11" s="9"/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44749</v>
      </c>
      <c r="M12" s="5" t="e">
        <f t="shared" si="5"/>
        <v>#DIV/0!</v>
      </c>
      <c r="Q12" s="29"/>
      <c r="R12" s="30">
        <f t="shared" si="6"/>
        <v>0</v>
      </c>
      <c r="S12" s="30"/>
      <c r="T12" s="29">
        <f t="shared" si="7"/>
        <v>0</v>
      </c>
      <c r="U12" s="29">
        <f t="shared" si="8"/>
        <v>0</v>
      </c>
      <c r="V12" s="29">
        <f t="shared" si="9"/>
        <v>0</v>
      </c>
      <c r="W12" s="29" t="e">
        <f t="shared" si="10"/>
        <v>#DIV/0!</v>
      </c>
      <c r="X12" s="30"/>
      <c r="Y12" s="5" t="e">
        <f t="shared" si="11"/>
        <v>#DIV/0!</v>
      </c>
      <c r="Z12" s="6">
        <f t="shared" si="12"/>
        <v>0</v>
      </c>
      <c r="AB12" s="31"/>
      <c r="AC12" s="9"/>
      <c r="AD12" t="s">
        <v>80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44749</v>
      </c>
      <c r="M13" s="5" t="e">
        <f t="shared" si="5"/>
        <v>#DIV/0!</v>
      </c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  <c r="AD13" t="s">
        <v>80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44749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44749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91.68</v>
      </c>
      <c r="F16" s="57">
        <f t="shared" ref="F16" si="13">E16*D16</f>
        <v>25434.654048000004</v>
      </c>
      <c r="G16" s="38">
        <v>25401.360000000001</v>
      </c>
      <c r="H16" s="39">
        <f t="shared" ref="H16" si="14">G16/D16</f>
        <v>91.559990570546802</v>
      </c>
      <c r="I16" s="38">
        <f t="shared" ref="I16" si="15">F16-G16</f>
        <v>33.294048000003386</v>
      </c>
      <c r="J16" s="37">
        <f t="shared" ref="J16" si="16">E16-H16</f>
        <v>0.12000942945320503</v>
      </c>
      <c r="K16" s="40"/>
      <c r="L16" s="35"/>
      <c r="M16" s="41">
        <f t="shared" ref="M16" si="17">(I16/G16)</f>
        <v>1.3107191111028458E-3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85.150791230608519</v>
      </c>
      <c r="X16" s="43"/>
      <c r="Y16" s="41">
        <f t="shared" ref="Y16" si="23">(X16-H16)/H16</f>
        <v>-1</v>
      </c>
      <c r="Z16" s="44">
        <f t="shared" ref="Z16" si="24">F16/F$19</f>
        <v>4.550033109025637E-2</v>
      </c>
      <c r="AB16" s="31"/>
      <c r="AC16" s="9"/>
    </row>
    <row r="17" spans="1:26" x14ac:dyDescent="0.25">
      <c r="A17" t="s">
        <v>53</v>
      </c>
      <c r="F17" s="3">
        <f>SUM(F6:F16)</f>
        <v>248570.31799499999</v>
      </c>
      <c r="G17" s="3">
        <f>SUM(G6:G16)</f>
        <v>171442.57999999996</v>
      </c>
      <c r="H17" s="4"/>
      <c r="I17" s="3">
        <f>SUM(I6:I16)</f>
        <v>77127.737995000032</v>
      </c>
      <c r="M17" s="5"/>
      <c r="Z17" s="6"/>
    </row>
    <row r="18" spans="1:26" x14ac:dyDescent="0.25">
      <c r="D18" s="2" t="s">
        <v>54</v>
      </c>
      <c r="F18" s="3">
        <v>310429</v>
      </c>
      <c r="G18" s="6">
        <f>F18/F19</f>
        <v>0.55532983674011693</v>
      </c>
      <c r="H18" s="4"/>
      <c r="M18" s="5"/>
      <c r="Z18" s="6"/>
    </row>
    <row r="19" spans="1:26" x14ac:dyDescent="0.25">
      <c r="D19" s="2" t="s">
        <v>55</v>
      </c>
      <c r="F19" s="3">
        <f>SUM(F17:F18)</f>
        <v>558999.31799499993</v>
      </c>
      <c r="H19" s="46"/>
      <c r="M19" s="5"/>
      <c r="Z19" s="6"/>
    </row>
    <row r="20" spans="1:26" x14ac:dyDescent="0.25">
      <c r="F20" s="4"/>
      <c r="H20" s="46" t="s">
        <v>56</v>
      </c>
      <c r="I20" s="47">
        <f>'04-12-24'!F19</f>
        <v>576213.68852499989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-2.9874976719254188E-2</v>
      </c>
      <c r="K21" s="9" t="s">
        <v>58</v>
      </c>
      <c r="L21" s="6">
        <f>(F19-L20)/L20</f>
        <v>0.17397222280675881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0" si="25">F25/D25</f>
        <v>47.428061535569462</v>
      </c>
      <c r="F25" s="3">
        <v>38349.050000000003</v>
      </c>
      <c r="G25" s="3">
        <v>35186.18</v>
      </c>
      <c r="H25" s="3">
        <f t="shared" ref="H25:H39" si="26">G25/D25</f>
        <v>43.516392459307944</v>
      </c>
      <c r="I25" s="3">
        <f t="shared" ref="I25:I38" si="27">G25-F25</f>
        <v>-3162.8700000000026</v>
      </c>
      <c r="J25" s="5">
        <f t="shared" ref="J25:J38" si="28">I25/F25</f>
        <v>-8.2475837080710018E-2</v>
      </c>
      <c r="K25" s="1">
        <v>45286</v>
      </c>
      <c r="L25" s="1">
        <v>45302</v>
      </c>
      <c r="M25">
        <f t="shared" ref="M25:M40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si="29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29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29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29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29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si="26"/>
        <v>48.056634487564061</v>
      </c>
      <c r="I31" s="3">
        <f t="shared" si="27"/>
        <v>-4827.3300000000017</v>
      </c>
      <c r="J31" s="5">
        <f t="shared" si="28"/>
        <v>-9.278049140508153E-2</v>
      </c>
      <c r="K31" s="1">
        <v>45344</v>
      </c>
      <c r="L31" s="1">
        <v>45351</v>
      </c>
      <c r="M31" s="54">
        <f t="shared" si="29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5"/>
        <v>130.66998915547813</v>
      </c>
      <c r="F32" s="3">
        <v>58909.52</v>
      </c>
      <c r="G32" s="3">
        <v>55702.82</v>
      </c>
      <c r="H32" s="3">
        <f t="shared" si="26"/>
        <v>123.55705640326981</v>
      </c>
      <c r="I32" s="3">
        <f t="shared" si="27"/>
        <v>-3206.6999999999971</v>
      </c>
      <c r="J32" s="5">
        <f t="shared" si="28"/>
        <v>-5.4434325725281708E-2</v>
      </c>
      <c r="K32" s="1">
        <v>45286</v>
      </c>
      <c r="L32" s="1">
        <v>45356</v>
      </c>
      <c r="M32" s="54">
        <f t="shared" si="29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5"/>
        <v>34.902742463000052</v>
      </c>
      <c r="F33" s="3">
        <f>30020.93+21858.29</f>
        <v>51879.22</v>
      </c>
      <c r="G33" s="3">
        <v>51882.03</v>
      </c>
      <c r="H33" s="3">
        <f t="shared" si="26"/>
        <v>34.904632944513089</v>
      </c>
      <c r="I33" s="3">
        <f t="shared" si="27"/>
        <v>2.8099999999976717</v>
      </c>
      <c r="J33" s="5">
        <f t="shared" si="28"/>
        <v>5.4164268468139489E-5</v>
      </c>
      <c r="K33" s="1">
        <v>45331</v>
      </c>
      <c r="L33" s="1">
        <v>45366</v>
      </c>
      <c r="M33" s="54">
        <f t="shared" si="29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5"/>
        <v>17.884521773182534</v>
      </c>
      <c r="F34" s="3">
        <f>20288.83+19170.47</f>
        <v>39459.300000000003</v>
      </c>
      <c r="G34" s="3">
        <v>47805.42</v>
      </c>
      <c r="H34" s="3">
        <f t="shared" si="26"/>
        <v>21.667314799455028</v>
      </c>
      <c r="I34" s="3">
        <f t="shared" si="27"/>
        <v>8346.1199999999953</v>
      </c>
      <c r="J34" s="5">
        <f t="shared" si="28"/>
        <v>0.21151211501471123</v>
      </c>
      <c r="K34" s="1">
        <v>45243</v>
      </c>
      <c r="L34" s="1">
        <v>45373</v>
      </c>
      <c r="M34" s="54">
        <f t="shared" si="29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5"/>
        <v>97.201614911338325</v>
      </c>
      <c r="F35" s="3">
        <v>71279.48</v>
      </c>
      <c r="G35" s="3">
        <v>66395.73</v>
      </c>
      <c r="H35" s="3">
        <f t="shared" si="26"/>
        <v>90.541796590227548</v>
      </c>
      <c r="I35" s="3">
        <f t="shared" si="27"/>
        <v>-4883.75</v>
      </c>
      <c r="J35" s="5">
        <f t="shared" si="28"/>
        <v>-6.85155110559168E-2</v>
      </c>
      <c r="K35" s="1">
        <v>45349</v>
      </c>
      <c r="L35" s="1">
        <v>45394</v>
      </c>
      <c r="M35" s="54">
        <f t="shared" si="29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5"/>
        <v>51.760011005615979</v>
      </c>
      <c r="F36" s="3">
        <v>46654.3</v>
      </c>
      <c r="G36" s="3">
        <v>44379.95</v>
      </c>
      <c r="H36" s="3">
        <f t="shared" si="26"/>
        <v>49.23676275131524</v>
      </c>
      <c r="I36" s="3">
        <f t="shared" si="27"/>
        <v>-2274.3500000000058</v>
      </c>
      <c r="J36" s="5">
        <f t="shared" si="28"/>
        <v>-4.874898991089794E-2</v>
      </c>
      <c r="K36" s="1">
        <v>45394</v>
      </c>
      <c r="L36" s="1">
        <v>45394</v>
      </c>
      <c r="M36" s="54">
        <f t="shared" si="29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5"/>
        <v>228.36593513142583</v>
      </c>
      <c r="F37" s="3">
        <v>61166.239999999998</v>
      </c>
      <c r="G37" s="3">
        <v>81558.94</v>
      </c>
      <c r="H37" s="3">
        <f t="shared" si="26"/>
        <v>304.50267339349045</v>
      </c>
      <c r="I37" s="3">
        <f t="shared" si="27"/>
        <v>20392.700000000004</v>
      </c>
      <c r="J37" s="5">
        <f t="shared" si="28"/>
        <v>0.33339796593676518</v>
      </c>
      <c r="K37" s="1">
        <v>45238</v>
      </c>
      <c r="L37" s="1">
        <v>45397</v>
      </c>
      <c r="M37" s="54">
        <f t="shared" si="29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5"/>
        <v>131.07547316942754</v>
      </c>
      <c r="F38" s="3">
        <v>29415.63</v>
      </c>
      <c r="G38" s="3">
        <v>27481.43</v>
      </c>
      <c r="H38" s="3">
        <f t="shared" si="26"/>
        <v>122.45671571958516</v>
      </c>
      <c r="I38" s="3">
        <f t="shared" si="27"/>
        <v>-1934.2000000000007</v>
      </c>
      <c r="J38" s="5">
        <f t="shared" si="28"/>
        <v>-6.5754158588478329E-2</v>
      </c>
      <c r="K38" s="1">
        <v>45393</v>
      </c>
      <c r="L38" s="1">
        <v>45397</v>
      </c>
      <c r="M38" s="54">
        <f t="shared" si="29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5"/>
        <v>30.008099047901005</v>
      </c>
      <c r="F39" s="3">
        <v>43950.36</v>
      </c>
      <c r="G39" s="3">
        <v>49174.83</v>
      </c>
      <c r="H39" s="3">
        <f t="shared" si="26"/>
        <v>33.575223713837467</v>
      </c>
      <c r="I39" s="3">
        <f t="shared" ref="I39" si="30">G39-F39</f>
        <v>5224.4700000000012</v>
      </c>
      <c r="J39" s="5">
        <f t="shared" ref="J39" si="31">I39/F39</f>
        <v>0.11887206384657603</v>
      </c>
      <c r="K39" s="1">
        <v>45321</v>
      </c>
      <c r="L39" s="1">
        <v>45400</v>
      </c>
      <c r="M39" s="54">
        <f t="shared" si="29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5"/>
        <v>202.80010053151383</v>
      </c>
      <c r="F40" s="3">
        <v>54466.53</v>
      </c>
      <c r="G40" s="3">
        <v>57142.12</v>
      </c>
      <c r="H40" s="3">
        <f t="shared" ref="H40" si="32">G40/D40</f>
        <v>212.76236397993094</v>
      </c>
      <c r="I40" s="3">
        <f t="shared" ref="I40" si="33">G40-F40</f>
        <v>2675.5900000000038</v>
      </c>
      <c r="J40" s="5">
        <f t="shared" ref="J40" si="34">I40/F40</f>
        <v>4.912356267234215E-2</v>
      </c>
      <c r="K40" s="1">
        <v>45370</v>
      </c>
      <c r="L40" s="1">
        <v>45401</v>
      </c>
      <c r="M40" s="54">
        <f t="shared" si="29"/>
        <v>30</v>
      </c>
      <c r="O40" t="s">
        <v>91</v>
      </c>
    </row>
    <row r="41" spans="1:15" x14ac:dyDescent="0.25">
      <c r="C41" s="26"/>
      <c r="E41" s="3"/>
      <c r="J41" s="5"/>
      <c r="K41" s="1"/>
      <c r="L41" s="1"/>
      <c r="M41" s="54"/>
    </row>
    <row r="42" spans="1:15" x14ac:dyDescent="0.25">
      <c r="J42" s="13" t="s">
        <v>68</v>
      </c>
    </row>
    <row r="43" spans="1:15" x14ac:dyDescent="0.25">
      <c r="H43" s="3" t="s">
        <v>69</v>
      </c>
      <c r="I43" s="55">
        <v>9</v>
      </c>
      <c r="J43" s="5">
        <v>-8.1299999999999997E-2</v>
      </c>
    </row>
    <row r="44" spans="1:15" x14ac:dyDescent="0.25">
      <c r="H44" s="3" t="s">
        <v>70</v>
      </c>
      <c r="I44" s="55">
        <v>7</v>
      </c>
      <c r="J44" s="5">
        <v>0.1933</v>
      </c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sortState xmlns:xlrd2="http://schemas.microsoft.com/office/spreadsheetml/2017/richdata2" ref="A7:AD10">
    <sortCondition descending="1" ref="L7:L10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5436-465A-4514-8101-471C54BDEA37}">
  <dimension ref="A1:AE197"/>
  <sheetViews>
    <sheetView topLeftCell="C1"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45415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76.97</v>
      </c>
      <c r="F7" s="3">
        <f t="shared" ref="F7:F16" si="0">E7*D7</f>
        <v>109817.763382</v>
      </c>
      <c r="G7" s="3">
        <f>28174.78+19947.6-17409.86</f>
        <v>30712.519999999997</v>
      </c>
      <c r="H7" s="4">
        <f t="shared" ref="H7:H16" si="1">G7/D7</f>
        <v>21.526049990446886</v>
      </c>
      <c r="I7" s="3">
        <f t="shared" ref="I7:I16" si="2">F7-G7</f>
        <v>79105.243382000015</v>
      </c>
      <c r="J7" s="27">
        <f t="shared" ref="J7:J16" si="3">E7-H7</f>
        <v>55.443950009553113</v>
      </c>
      <c r="K7" s="28">
        <v>45309</v>
      </c>
      <c r="L7">
        <f t="shared" ref="L7:L15" si="4">DAYS360(K7,$C$1)</f>
        <v>105</v>
      </c>
      <c r="M7" s="5">
        <f t="shared" ref="M7:M16" si="5">(I7/G7)</f>
        <v>2.5756676229107875</v>
      </c>
      <c r="N7">
        <v>26</v>
      </c>
      <c r="O7">
        <v>99</v>
      </c>
      <c r="P7">
        <v>22</v>
      </c>
      <c r="Q7" s="29">
        <v>20.03</v>
      </c>
      <c r="R7" s="30">
        <f t="shared" ref="R7:R16" si="6">Q7*0.93</f>
        <v>18.6279</v>
      </c>
      <c r="S7" s="30">
        <v>60.3</v>
      </c>
      <c r="T7" s="32">
        <f t="shared" ref="T7:T16" si="7">Q7*1.25</f>
        <v>25.037500000000001</v>
      </c>
      <c r="U7" s="29">
        <f t="shared" ref="U7:U16" si="8">Q7*1.5</f>
        <v>30.045000000000002</v>
      </c>
      <c r="V7" s="29">
        <f t="shared" ref="V7:V16" si="9">Q7*2</f>
        <v>40.06</v>
      </c>
      <c r="W7" s="29">
        <f t="shared" ref="W7:W16" si="10">H7-(H7*0.07)</f>
        <v>20.019226491115603</v>
      </c>
      <c r="X7" s="30">
        <v>55</v>
      </c>
      <c r="Y7" s="5">
        <f t="shared" ref="Y7:Y16" si="11">(X7-H7)/H7</f>
        <v>1.5550437736792688</v>
      </c>
      <c r="Z7" s="33">
        <f t="shared" ref="Z7:Z16" si="12">F7/F$19</f>
        <v>0.19166892946787278</v>
      </c>
      <c r="AA7" s="9"/>
      <c r="AB7" s="31">
        <v>45497</v>
      </c>
      <c r="AC7" s="9">
        <v>72</v>
      </c>
    </row>
    <row r="8" spans="1:31" x14ac:dyDescent="0.25">
      <c r="A8" t="s">
        <v>81</v>
      </c>
      <c r="B8" t="s">
        <v>33</v>
      </c>
      <c r="C8" s="26" t="s">
        <v>81</v>
      </c>
      <c r="D8" s="2">
        <f>532.4164+77.1815</f>
        <v>609.59789999999998</v>
      </c>
      <c r="E8" s="27">
        <v>78.400000000000006</v>
      </c>
      <c r="F8" s="3">
        <f t="shared" si="0"/>
        <v>47792.475360000004</v>
      </c>
      <c r="G8" s="3">
        <f>38270.34+5640.4</f>
        <v>43910.74</v>
      </c>
      <c r="H8" s="4">
        <f t="shared" si="1"/>
        <v>72.032301948546731</v>
      </c>
      <c r="I8" s="3">
        <f t="shared" si="2"/>
        <v>3881.735360000006</v>
      </c>
      <c r="J8" s="27">
        <f t="shared" si="3"/>
        <v>6.3676980514532744</v>
      </c>
      <c r="K8" s="28">
        <v>45313</v>
      </c>
      <c r="L8">
        <f t="shared" si="4"/>
        <v>101</v>
      </c>
      <c r="M8" s="5">
        <f t="shared" si="5"/>
        <v>8.8400590834953052E-2</v>
      </c>
      <c r="N8">
        <v>25</v>
      </c>
      <c r="O8">
        <v>92</v>
      </c>
      <c r="P8" s="34">
        <v>96</v>
      </c>
      <c r="Q8" s="29">
        <v>71.39</v>
      </c>
      <c r="R8" s="30">
        <f t="shared" si="6"/>
        <v>66.392700000000005</v>
      </c>
      <c r="S8" s="30">
        <v>84.27</v>
      </c>
      <c r="T8" s="32">
        <f t="shared" si="7"/>
        <v>89.237499999999997</v>
      </c>
      <c r="U8" s="29">
        <f t="shared" si="8"/>
        <v>107.08500000000001</v>
      </c>
      <c r="V8" s="29">
        <f t="shared" si="9"/>
        <v>142.78</v>
      </c>
      <c r="W8" s="29">
        <f t="shared" si="10"/>
        <v>66.990040812148465</v>
      </c>
      <c r="X8" s="30">
        <v>82</v>
      </c>
      <c r="Y8" s="5">
        <f t="shared" si="11"/>
        <v>0.13837816898553759</v>
      </c>
      <c r="Z8" s="6">
        <f t="shared" si="12"/>
        <v>8.3413942396611762E-2</v>
      </c>
      <c r="AB8" s="31">
        <v>45505</v>
      </c>
      <c r="AC8" s="9">
        <v>98</v>
      </c>
      <c r="AD8" t="s">
        <v>108</v>
      </c>
    </row>
    <row r="9" spans="1:31" x14ac:dyDescent="0.25">
      <c r="A9" t="s">
        <v>105</v>
      </c>
      <c r="B9" t="s">
        <v>33</v>
      </c>
      <c r="C9" s="26" t="s">
        <v>106</v>
      </c>
      <c r="D9" s="2">
        <v>2972.4371999999998</v>
      </c>
      <c r="E9" s="27">
        <v>8.57</v>
      </c>
      <c r="F9" s="3">
        <f t="shared" si="0"/>
        <v>25473.786803999999</v>
      </c>
      <c r="G9" s="3">
        <v>23794.37</v>
      </c>
      <c r="H9" s="4">
        <f t="shared" si="1"/>
        <v>8.0050034362374412</v>
      </c>
      <c r="I9" s="3">
        <f t="shared" si="2"/>
        <v>1679.4168040000004</v>
      </c>
      <c r="J9" s="27">
        <f t="shared" si="3"/>
        <v>0.56499656376255913</v>
      </c>
      <c r="K9" s="28">
        <v>45378</v>
      </c>
      <c r="L9">
        <f t="shared" si="4"/>
        <v>36</v>
      </c>
      <c r="M9" s="5">
        <f t="shared" si="5"/>
        <v>7.0580427386814637E-2</v>
      </c>
      <c r="N9">
        <v>20</v>
      </c>
      <c r="O9">
        <v>96</v>
      </c>
      <c r="P9" s="34">
        <v>98</v>
      </c>
      <c r="Q9" s="29">
        <v>6.76</v>
      </c>
      <c r="R9" s="30">
        <f t="shared" si="6"/>
        <v>6.2868000000000004</v>
      </c>
      <c r="S9" s="30">
        <v>7.21</v>
      </c>
      <c r="T9" s="32">
        <f t="shared" si="7"/>
        <v>8.4499999999999993</v>
      </c>
      <c r="U9" s="29">
        <f t="shared" si="8"/>
        <v>10.14</v>
      </c>
      <c r="V9" s="29">
        <f t="shared" si="9"/>
        <v>13.52</v>
      </c>
      <c r="W9" s="29">
        <f t="shared" si="10"/>
        <v>7.4446531957008197</v>
      </c>
      <c r="X9" s="30">
        <v>7.75</v>
      </c>
      <c r="Y9" s="5">
        <f t="shared" si="11"/>
        <v>-3.1855506155447619E-2</v>
      </c>
      <c r="Z9" s="6">
        <f t="shared" si="12"/>
        <v>4.4460324958828928E-2</v>
      </c>
      <c r="AB9" s="31">
        <v>45531</v>
      </c>
      <c r="AC9" s="9">
        <v>99</v>
      </c>
    </row>
    <row r="10" spans="1:31" x14ac:dyDescent="0.25">
      <c r="A10" t="s">
        <v>109</v>
      </c>
      <c r="B10" t="s">
        <v>33</v>
      </c>
      <c r="C10" s="26" t="s">
        <v>107</v>
      </c>
      <c r="D10" s="2">
        <v>828.40229999999997</v>
      </c>
      <c r="E10" s="27">
        <v>65.040000000000006</v>
      </c>
      <c r="F10" s="3">
        <f t="shared" si="0"/>
        <v>53879.285592</v>
      </c>
      <c r="G10" s="3">
        <v>47623.59</v>
      </c>
      <c r="H10" s="4">
        <f t="shared" si="1"/>
        <v>57.488481140141687</v>
      </c>
      <c r="I10" s="3">
        <f t="shared" si="2"/>
        <v>6255.6955920000037</v>
      </c>
      <c r="J10" s="27">
        <f t="shared" si="3"/>
        <v>7.5515188598583194</v>
      </c>
      <c r="K10" s="28">
        <v>45378</v>
      </c>
      <c r="L10">
        <f t="shared" si="4"/>
        <v>36</v>
      </c>
      <c r="M10" s="5">
        <f t="shared" si="5"/>
        <v>0.1313570772803983</v>
      </c>
      <c r="N10">
        <v>20</v>
      </c>
      <c r="O10">
        <v>89</v>
      </c>
      <c r="P10" s="34">
        <v>97</v>
      </c>
      <c r="Q10" s="29">
        <v>57.16</v>
      </c>
      <c r="R10" s="30">
        <f t="shared" si="6"/>
        <v>53.158799999999999</v>
      </c>
      <c r="S10" s="30">
        <v>60.15</v>
      </c>
      <c r="T10" s="29">
        <f t="shared" si="7"/>
        <v>71.449999999999989</v>
      </c>
      <c r="U10" s="29">
        <f t="shared" si="8"/>
        <v>85.74</v>
      </c>
      <c r="V10" s="29">
        <f t="shared" si="9"/>
        <v>114.32</v>
      </c>
      <c r="W10" s="29">
        <f t="shared" si="10"/>
        <v>53.464287460331768</v>
      </c>
      <c r="X10" s="30">
        <v>59</v>
      </c>
      <c r="Y10" s="5">
        <f t="shared" si="11"/>
        <v>2.6292551653497864E-2</v>
      </c>
      <c r="Z10" s="6">
        <f t="shared" si="12"/>
        <v>9.4037473281896183E-2</v>
      </c>
      <c r="AB10" s="31">
        <v>45504</v>
      </c>
      <c r="AC10" s="9">
        <v>99</v>
      </c>
    </row>
    <row r="11" spans="1:31" x14ac:dyDescent="0.25">
      <c r="C11" s="26"/>
      <c r="E11" s="27"/>
      <c r="F11" s="3">
        <f t="shared" si="0"/>
        <v>0</v>
      </c>
      <c r="H11" s="4" t="e">
        <f t="shared" si="1"/>
        <v>#DIV/0!</v>
      </c>
      <c r="I11" s="3">
        <f t="shared" si="2"/>
        <v>0</v>
      </c>
      <c r="J11" s="27" t="e">
        <f t="shared" si="3"/>
        <v>#DIV/0!</v>
      </c>
      <c r="K11" s="28"/>
      <c r="L11">
        <f t="shared" si="4"/>
        <v>44763</v>
      </c>
      <c r="M11" s="5" t="e">
        <f t="shared" si="5"/>
        <v>#DIV/0!</v>
      </c>
      <c r="Q11" s="29"/>
      <c r="R11" s="30">
        <f t="shared" si="6"/>
        <v>0</v>
      </c>
      <c r="S11" s="30"/>
      <c r="T11" s="29">
        <f t="shared" si="7"/>
        <v>0</v>
      </c>
      <c r="U11" s="29">
        <f t="shared" si="8"/>
        <v>0</v>
      </c>
      <c r="V11" s="29">
        <f t="shared" si="9"/>
        <v>0</v>
      </c>
      <c r="W11" s="29" t="e">
        <f t="shared" si="10"/>
        <v>#DIV/0!</v>
      </c>
      <c r="X11" s="30"/>
      <c r="Y11" s="5" t="e">
        <f t="shared" si="11"/>
        <v>#DIV/0!</v>
      </c>
      <c r="Z11" s="6">
        <f t="shared" si="12"/>
        <v>0</v>
      </c>
      <c r="AB11" s="31"/>
      <c r="AC11" s="9"/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44763</v>
      </c>
      <c r="M12" s="5" t="e">
        <f t="shared" si="5"/>
        <v>#DIV/0!</v>
      </c>
      <c r="Q12" s="29"/>
      <c r="R12" s="30">
        <f t="shared" si="6"/>
        <v>0</v>
      </c>
      <c r="S12" s="30"/>
      <c r="T12" s="29">
        <f t="shared" si="7"/>
        <v>0</v>
      </c>
      <c r="U12" s="29">
        <f t="shared" si="8"/>
        <v>0</v>
      </c>
      <c r="V12" s="29">
        <f t="shared" si="9"/>
        <v>0</v>
      </c>
      <c r="W12" s="29" t="e">
        <f t="shared" si="10"/>
        <v>#DIV/0!</v>
      </c>
      <c r="X12" s="30"/>
      <c r="Y12" s="5" t="e">
        <f t="shared" si="11"/>
        <v>#DIV/0!</v>
      </c>
      <c r="Z12" s="6">
        <f t="shared" si="12"/>
        <v>0</v>
      </c>
      <c r="AB12" s="31"/>
      <c r="AC12" s="9"/>
      <c r="AD12" t="s">
        <v>80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44763</v>
      </c>
      <c r="M13" s="5" t="e">
        <f t="shared" si="5"/>
        <v>#DIV/0!</v>
      </c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  <c r="AD13" t="s">
        <v>80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44763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44763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277.42860000000002</v>
      </c>
      <c r="E16" s="37">
        <v>91.48</v>
      </c>
      <c r="F16" s="57">
        <f t="shared" si="0"/>
        <v>25379.168328000003</v>
      </c>
      <c r="G16" s="38">
        <v>25401.360000000001</v>
      </c>
      <c r="H16" s="39">
        <f t="shared" si="1"/>
        <v>91.559990570546802</v>
      </c>
      <c r="I16" s="38">
        <f t="shared" si="2"/>
        <v>-22.191671999997197</v>
      </c>
      <c r="J16" s="37">
        <f t="shared" si="3"/>
        <v>-7.9990570546797812E-2</v>
      </c>
      <c r="K16" s="40"/>
      <c r="L16" s="35"/>
      <c r="M16" s="41">
        <f t="shared" si="5"/>
        <v>-8.7364109638213055E-4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85.150791230608519</v>
      </c>
      <c r="X16" s="43"/>
      <c r="Y16" s="41">
        <f t="shared" si="11"/>
        <v>-1</v>
      </c>
      <c r="Z16" s="44">
        <f t="shared" si="12"/>
        <v>4.4295183897453301E-2</v>
      </c>
      <c r="AB16" s="31"/>
      <c r="AC16" s="9"/>
    </row>
    <row r="17" spans="1:26" x14ac:dyDescent="0.25">
      <c r="A17" t="s">
        <v>53</v>
      </c>
      <c r="F17" s="3">
        <f>SUM(F6:F16)</f>
        <v>262342.47946600005</v>
      </c>
      <c r="G17" s="3">
        <f>SUM(G6:G16)</f>
        <v>171442.57999999996</v>
      </c>
      <c r="H17" s="4"/>
      <c r="I17" s="3">
        <f>SUM(I6:I16)</f>
        <v>90899.899466000017</v>
      </c>
      <c r="M17" s="5"/>
      <c r="Z17" s="6"/>
    </row>
    <row r="18" spans="1:26" x14ac:dyDescent="0.25">
      <c r="D18" s="2" t="s">
        <v>54</v>
      </c>
      <c r="F18" s="3">
        <v>310613</v>
      </c>
      <c r="G18" s="6">
        <f>F18/F19</f>
        <v>0.54212414599733694</v>
      </c>
      <c r="H18" s="4"/>
      <c r="M18" s="5"/>
      <c r="Z18" s="6"/>
    </row>
    <row r="19" spans="1:26" x14ac:dyDescent="0.25">
      <c r="D19" s="2" t="s">
        <v>55</v>
      </c>
      <c r="F19" s="3">
        <f>SUM(F17:F18)</f>
        <v>572955.47946600011</v>
      </c>
      <c r="H19" s="46"/>
      <c r="M19" s="5"/>
      <c r="Z19" s="6"/>
    </row>
    <row r="20" spans="1:26" x14ac:dyDescent="0.25">
      <c r="F20" s="4"/>
      <c r="H20" s="46" t="s">
        <v>119</v>
      </c>
      <c r="I20" s="47">
        <f>'04-19-24'!F19</f>
        <v>558999.31799499993</v>
      </c>
      <c r="K20" s="1">
        <v>45291</v>
      </c>
      <c r="L20" s="47">
        <v>476160.6</v>
      </c>
      <c r="M20" s="5"/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2.4966330050379432E-2</v>
      </c>
      <c r="K21" s="9" t="s">
        <v>58</v>
      </c>
      <c r="L21" s="6">
        <f>(F19-L20)/L20</f>
        <v>0.20328200079132994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0" si="13">F25/D25</f>
        <v>47.428061535569462</v>
      </c>
      <c r="F25" s="3">
        <v>38349.050000000003</v>
      </c>
      <c r="G25" s="3">
        <v>35186.18</v>
      </c>
      <c r="H25" s="3">
        <f t="shared" ref="H25:H40" si="14">G25/D25</f>
        <v>43.516392459307944</v>
      </c>
      <c r="I25" s="3">
        <f t="shared" ref="I25:I40" si="15">G25-F25</f>
        <v>-3162.8700000000026</v>
      </c>
      <c r="J25" s="5">
        <f t="shared" ref="J25:J40" si="16">I25/F25</f>
        <v>-8.2475837080710018E-2</v>
      </c>
      <c r="K25" s="1">
        <v>45286</v>
      </c>
      <c r="L25" s="1">
        <v>45302</v>
      </c>
      <c r="M25">
        <f t="shared" ref="M25:M40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C41" s="26"/>
      <c r="E41" s="3"/>
      <c r="J41" s="5"/>
      <c r="K41" s="1"/>
      <c r="L41" s="1"/>
      <c r="M41" s="54"/>
    </row>
    <row r="42" spans="1:15" x14ac:dyDescent="0.25">
      <c r="J42" s="13" t="s">
        <v>68</v>
      </c>
    </row>
    <row r="43" spans="1:15" x14ac:dyDescent="0.25">
      <c r="H43" s="3" t="s">
        <v>69</v>
      </c>
      <c r="I43" s="55">
        <v>9</v>
      </c>
      <c r="J43" s="5">
        <v>-8.1299999999999997E-2</v>
      </c>
    </row>
    <row r="44" spans="1:15" x14ac:dyDescent="0.25">
      <c r="H44" s="3" t="s">
        <v>70</v>
      </c>
      <c r="I44" s="55">
        <v>7</v>
      </c>
      <c r="J44" s="5">
        <v>0.1933</v>
      </c>
    </row>
    <row r="45" spans="1:15" x14ac:dyDescent="0.25">
      <c r="J45" s="5"/>
    </row>
    <row r="46" spans="1:15" x14ac:dyDescent="0.25">
      <c r="J46" s="5"/>
    </row>
    <row r="47" spans="1:15" x14ac:dyDescent="0.25">
      <c r="J47" s="5"/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78B-D344-4402-82E1-DF3636454F03}">
  <dimension ref="A1:AE19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45422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73.64</v>
      </c>
      <c r="F7" s="3">
        <f t="shared" ref="F7:F15" si="0">E7*D7</f>
        <v>105066.650584</v>
      </c>
      <c r="G7" s="3">
        <f>28174.78+19947.6-17409.86</f>
        <v>30712.519999999997</v>
      </c>
      <c r="H7" s="4">
        <f t="shared" ref="H7:H15" si="1">G7/D7</f>
        <v>21.526049990446886</v>
      </c>
      <c r="I7" s="3">
        <f t="shared" ref="I7:I15" si="2">F7-G7</f>
        <v>74354.130583999999</v>
      </c>
      <c r="J7" s="27">
        <f t="shared" ref="J7:J15" si="3">E7-H7</f>
        <v>52.113950009553115</v>
      </c>
      <c r="K7" s="28">
        <v>45309</v>
      </c>
      <c r="L7">
        <f t="shared" ref="L7:L15" si="4">DAYS360(K7,$C$1)</f>
        <v>112</v>
      </c>
      <c r="M7" s="5">
        <f t="shared" ref="M7:M15" si="5">(I7/G7)</f>
        <v>2.4209713362498424</v>
      </c>
      <c r="N7">
        <v>26</v>
      </c>
      <c r="O7">
        <v>99</v>
      </c>
      <c r="P7">
        <v>21</v>
      </c>
      <c r="Q7" s="29">
        <v>20.03</v>
      </c>
      <c r="R7" s="30">
        <f t="shared" ref="R7:R15" si="6">Q7*0.93</f>
        <v>18.6279</v>
      </c>
      <c r="S7" s="30">
        <v>60.3</v>
      </c>
      <c r="T7" s="32">
        <f t="shared" ref="T7:T15" si="7">Q7*1.25</f>
        <v>25.037500000000001</v>
      </c>
      <c r="U7" s="29">
        <f t="shared" ref="U7:U15" si="8">Q7*1.5</f>
        <v>30.045000000000002</v>
      </c>
      <c r="V7" s="29">
        <f t="shared" ref="V7:V15" si="9">Q7*2</f>
        <v>40.06</v>
      </c>
      <c r="W7" s="29">
        <f t="shared" ref="W7:W15" si="10">H7-(H7*0.07)</f>
        <v>20.019226491115603</v>
      </c>
      <c r="X7" s="30">
        <v>55</v>
      </c>
      <c r="Y7" s="5">
        <f t="shared" ref="Y7:Y15" si="11">(X7-H7)/H7</f>
        <v>1.5550437736792688</v>
      </c>
      <c r="Z7" s="33">
        <f t="shared" ref="Z7:Z15" si="12">F7/F$19</f>
        <v>0.14385801223314576</v>
      </c>
      <c r="AA7" s="9"/>
      <c r="AB7" s="31">
        <v>45497</v>
      </c>
      <c r="AC7" s="9">
        <v>74</v>
      </c>
    </row>
    <row r="8" spans="1:31" x14ac:dyDescent="0.25">
      <c r="A8" t="s">
        <v>105</v>
      </c>
      <c r="B8" t="s">
        <v>33</v>
      </c>
      <c r="C8" s="26" t="s">
        <v>106</v>
      </c>
      <c r="D8" s="2">
        <f>2972.4372+3509.2812</f>
        <v>6481.7183999999997</v>
      </c>
      <c r="E8" s="27">
        <v>9.2100000000000009</v>
      </c>
      <c r="F8" s="3">
        <f t="shared" si="0"/>
        <v>59696.626464000001</v>
      </c>
      <c r="G8" s="3">
        <f>23794.37+31996.67</f>
        <v>55791.039999999994</v>
      </c>
      <c r="H8" s="4">
        <f t="shared" si="1"/>
        <v>8.6074458279458721</v>
      </c>
      <c r="I8" s="3">
        <f t="shared" si="2"/>
        <v>3905.5864640000073</v>
      </c>
      <c r="J8" s="27">
        <f t="shared" si="3"/>
        <v>0.60255417205412876</v>
      </c>
      <c r="K8" s="28">
        <v>45378</v>
      </c>
      <c r="L8">
        <f t="shared" si="4"/>
        <v>43</v>
      </c>
      <c r="M8" s="5">
        <f t="shared" si="5"/>
        <v>7.0003829718894073E-2</v>
      </c>
      <c r="N8">
        <v>6</v>
      </c>
      <c r="O8">
        <v>97</v>
      </c>
      <c r="P8" s="34">
        <v>99</v>
      </c>
      <c r="Q8" s="29">
        <v>6.76</v>
      </c>
      <c r="R8" s="30">
        <f t="shared" si="6"/>
        <v>6.2868000000000004</v>
      </c>
      <c r="S8" s="30">
        <v>7.21</v>
      </c>
      <c r="T8" s="32">
        <f t="shared" si="7"/>
        <v>8.4499999999999993</v>
      </c>
      <c r="U8" s="29">
        <f t="shared" si="8"/>
        <v>10.14</v>
      </c>
      <c r="V8" s="29">
        <f t="shared" si="9"/>
        <v>13.52</v>
      </c>
      <c r="W8" s="29">
        <f t="shared" si="10"/>
        <v>8.0049246199896604</v>
      </c>
      <c r="X8" s="30">
        <v>8.25</v>
      </c>
      <c r="Y8" s="5">
        <f t="shared" si="11"/>
        <v>-4.1527514095453209E-2</v>
      </c>
      <c r="Z8" s="6">
        <f t="shared" si="12"/>
        <v>8.1737049505254122E-2</v>
      </c>
      <c r="AB8" s="31">
        <v>45531</v>
      </c>
      <c r="AC8" s="9">
        <v>99</v>
      </c>
    </row>
    <row r="9" spans="1:31" x14ac:dyDescent="0.25">
      <c r="A9" t="s">
        <v>109</v>
      </c>
      <c r="B9" t="s">
        <v>33</v>
      </c>
      <c r="C9" s="26" t="s">
        <v>107</v>
      </c>
      <c r="D9" s="2">
        <v>828.40229999999997</v>
      </c>
      <c r="E9" s="27">
        <v>68.400000000000006</v>
      </c>
      <c r="F9" s="3">
        <f t="shared" si="0"/>
        <v>56662.717320000003</v>
      </c>
      <c r="G9" s="3">
        <v>47623.59</v>
      </c>
      <c r="H9" s="4">
        <f t="shared" si="1"/>
        <v>57.488481140141687</v>
      </c>
      <c r="I9" s="3">
        <f t="shared" si="2"/>
        <v>9039.1273200000069</v>
      </c>
      <c r="J9" s="27">
        <f t="shared" si="3"/>
        <v>10.911518859858319</v>
      </c>
      <c r="K9" s="28">
        <v>45378</v>
      </c>
      <c r="L9">
        <f t="shared" si="4"/>
        <v>43</v>
      </c>
      <c r="M9" s="5">
        <f t="shared" si="5"/>
        <v>0.18980356835761453</v>
      </c>
      <c r="N9">
        <v>6</v>
      </c>
      <c r="O9">
        <v>92</v>
      </c>
      <c r="P9" s="34">
        <v>97</v>
      </c>
      <c r="Q9" s="29">
        <v>57.16</v>
      </c>
      <c r="R9" s="30">
        <f t="shared" si="6"/>
        <v>53.158799999999999</v>
      </c>
      <c r="S9" s="30">
        <v>60.15</v>
      </c>
      <c r="T9" s="29">
        <f t="shared" si="7"/>
        <v>71.449999999999989</v>
      </c>
      <c r="U9" s="29">
        <f t="shared" si="8"/>
        <v>85.74</v>
      </c>
      <c r="V9" s="29">
        <f t="shared" si="9"/>
        <v>114.32</v>
      </c>
      <c r="W9" s="29">
        <f t="shared" si="10"/>
        <v>53.464287460331768</v>
      </c>
      <c r="X9" s="30">
        <v>62</v>
      </c>
      <c r="Y9" s="5">
        <f t="shared" si="11"/>
        <v>7.8476918686726571E-2</v>
      </c>
      <c r="Z9" s="6">
        <f t="shared" si="12"/>
        <v>7.7582999325431709E-2</v>
      </c>
      <c r="AB9" s="31">
        <v>45504</v>
      </c>
      <c r="AC9" s="9">
        <v>99</v>
      </c>
    </row>
    <row r="10" spans="1:31" x14ac:dyDescent="0.25">
      <c r="A10" t="s">
        <v>121</v>
      </c>
      <c r="B10" t="s">
        <v>33</v>
      </c>
      <c r="C10" s="26" t="s">
        <v>122</v>
      </c>
      <c r="D10" s="2">
        <v>1366.874</v>
      </c>
      <c r="E10" s="27">
        <v>26.83</v>
      </c>
      <c r="F10" s="3">
        <f t="shared" si="0"/>
        <v>36673.229419999996</v>
      </c>
      <c r="G10" s="3">
        <v>36957.24</v>
      </c>
      <c r="H10" s="4">
        <f t="shared" si="1"/>
        <v>27.037781097599339</v>
      </c>
      <c r="I10" s="3">
        <f t="shared" si="2"/>
        <v>-284.01058000000194</v>
      </c>
      <c r="J10" s="27">
        <f t="shared" si="3"/>
        <v>-0.20778109759934082</v>
      </c>
      <c r="K10" s="28">
        <v>45421</v>
      </c>
      <c r="L10">
        <f t="shared" si="4"/>
        <v>1</v>
      </c>
      <c r="M10" s="5">
        <f t="shared" si="5"/>
        <v>-7.6848428075257233E-3</v>
      </c>
      <c r="N10">
        <v>50</v>
      </c>
      <c r="O10">
        <v>93</v>
      </c>
      <c r="P10" s="34">
        <v>35</v>
      </c>
      <c r="Q10" s="29">
        <v>25.63</v>
      </c>
      <c r="R10" s="30">
        <f t="shared" si="6"/>
        <v>23.835899999999999</v>
      </c>
      <c r="S10" s="30">
        <v>21.53</v>
      </c>
      <c r="T10" s="32">
        <f t="shared" si="7"/>
        <v>32.037500000000001</v>
      </c>
      <c r="U10" s="29">
        <f t="shared" si="8"/>
        <v>38.445</v>
      </c>
      <c r="V10" s="29">
        <f t="shared" si="9"/>
        <v>51.26</v>
      </c>
      <c r="W10" s="29">
        <f t="shared" si="10"/>
        <v>25.145136420767386</v>
      </c>
      <c r="X10" s="30">
        <v>24.75</v>
      </c>
      <c r="Y10" s="5">
        <f t="shared" si="11"/>
        <v>-8.4614232556327232E-2</v>
      </c>
      <c r="Z10" s="6">
        <f t="shared" si="12"/>
        <v>5.0213248992013959E-2</v>
      </c>
      <c r="AB10" s="31">
        <v>45511</v>
      </c>
      <c r="AC10" s="9">
        <v>83</v>
      </c>
    </row>
    <row r="11" spans="1:31" x14ac:dyDescent="0.25">
      <c r="A11" t="s">
        <v>126</v>
      </c>
      <c r="B11" t="s">
        <v>33</v>
      </c>
      <c r="C11" s="26" t="s">
        <v>127</v>
      </c>
      <c r="D11" s="2">
        <v>494.90359999999998</v>
      </c>
      <c r="E11" s="27">
        <v>118.75</v>
      </c>
      <c r="F11" s="3">
        <f t="shared" si="0"/>
        <v>58769.802499999998</v>
      </c>
      <c r="G11" s="3">
        <v>59378.55</v>
      </c>
      <c r="H11" s="4">
        <f t="shared" si="1"/>
        <v>119.9800324750113</v>
      </c>
      <c r="I11" s="3">
        <f t="shared" si="2"/>
        <v>-608.74750000000495</v>
      </c>
      <c r="J11" s="27">
        <f t="shared" si="3"/>
        <v>-1.2300324750112992</v>
      </c>
      <c r="K11" s="28">
        <v>45422</v>
      </c>
      <c r="L11">
        <f t="shared" si="4"/>
        <v>0</v>
      </c>
      <c r="M11" s="5">
        <f t="shared" si="5"/>
        <v>-1.0251976513404334E-2</v>
      </c>
      <c r="N11">
        <v>14</v>
      </c>
      <c r="O11">
        <v>95</v>
      </c>
      <c r="P11" s="34">
        <v>60</v>
      </c>
      <c r="Q11" s="29">
        <v>121</v>
      </c>
      <c r="R11" s="30">
        <f t="shared" si="6"/>
        <v>112.53</v>
      </c>
      <c r="S11" s="30">
        <v>110.91</v>
      </c>
      <c r="T11" s="29">
        <f t="shared" si="7"/>
        <v>151.25</v>
      </c>
      <c r="U11" s="29">
        <f t="shared" si="8"/>
        <v>181.5</v>
      </c>
      <c r="V11" s="29">
        <f t="shared" si="9"/>
        <v>242</v>
      </c>
      <c r="W11" s="29">
        <f t="shared" si="10"/>
        <v>111.58143020176051</v>
      </c>
      <c r="X11" s="30">
        <v>112</v>
      </c>
      <c r="Y11" s="5">
        <f t="shared" si="11"/>
        <v>-6.6511337848431829E-2</v>
      </c>
      <c r="Z11" s="6">
        <f t="shared" si="12"/>
        <v>8.0468035480252081E-2</v>
      </c>
      <c r="AB11" s="31">
        <v>45496</v>
      </c>
      <c r="AC11" s="9">
        <v>89</v>
      </c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44770</v>
      </c>
      <c r="M12" s="5" t="e">
        <f t="shared" si="5"/>
        <v>#DIV/0!</v>
      </c>
      <c r="Q12" s="29"/>
      <c r="R12" s="30">
        <f t="shared" si="6"/>
        <v>0</v>
      </c>
      <c r="S12" s="30"/>
      <c r="T12" s="29">
        <f t="shared" si="7"/>
        <v>0</v>
      </c>
      <c r="U12" s="29">
        <f t="shared" si="8"/>
        <v>0</v>
      </c>
      <c r="V12" s="29">
        <f t="shared" si="9"/>
        <v>0</v>
      </c>
      <c r="W12" s="29" t="e">
        <f t="shared" si="10"/>
        <v>#DIV/0!</v>
      </c>
      <c r="X12" s="30"/>
      <c r="Y12" s="5" t="e">
        <f t="shared" si="11"/>
        <v>#DIV/0!</v>
      </c>
      <c r="Z12" s="6">
        <f t="shared" si="12"/>
        <v>0</v>
      </c>
      <c r="AB12" s="31"/>
      <c r="AC12" s="9"/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44770</v>
      </c>
      <c r="M13" s="5" t="e">
        <f t="shared" si="5"/>
        <v>#DIV/0!</v>
      </c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44770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44770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91.56</v>
      </c>
      <c r="F16" s="57">
        <f t="shared" ref="F16" si="13">E16*D16</f>
        <v>33301.635527999999</v>
      </c>
      <c r="G16" s="38">
        <v>25401.360000000001</v>
      </c>
      <c r="H16" s="39">
        <f t="shared" ref="H16" si="14">G16/D16</f>
        <v>69.838867813099199</v>
      </c>
      <c r="I16" s="38">
        <f t="shared" ref="I16" si="15">F16-G16</f>
        <v>7900.2755279999983</v>
      </c>
      <c r="J16" s="37">
        <f t="shared" ref="J16" si="16">E16-H16</f>
        <v>21.721132186900803</v>
      </c>
      <c r="K16" s="40"/>
      <c r="L16" s="35"/>
      <c r="M16" s="41">
        <f t="shared" ref="M16" si="17">(I16/G16)</f>
        <v>0.31101781668383105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64.950147066182254</v>
      </c>
      <c r="X16" s="43"/>
      <c r="Y16" s="41">
        <f t="shared" ref="Y16" si="23">(X16-H16)/H16</f>
        <v>-1</v>
      </c>
      <c r="Z16" s="44">
        <f t="shared" ref="Z16" si="24">F16/F$19</f>
        <v>4.5596838431055255E-2</v>
      </c>
      <c r="AB16" s="31"/>
      <c r="AC16" s="9"/>
    </row>
    <row r="17" spans="1:26" x14ac:dyDescent="0.25">
      <c r="A17" t="s">
        <v>53</v>
      </c>
      <c r="F17" s="3">
        <f>SUM(F6:F16)</f>
        <v>350170.66181600001</v>
      </c>
      <c r="G17" s="3">
        <f>SUM(G6:G16)</f>
        <v>255864.3</v>
      </c>
      <c r="H17" s="4"/>
      <c r="I17" s="3">
        <f>SUM(I6:I16)</f>
        <v>94306.361816000019</v>
      </c>
      <c r="M17" s="5"/>
      <c r="Z17" s="6"/>
    </row>
    <row r="18" spans="1:26" x14ac:dyDescent="0.25">
      <c r="D18" s="2" t="s">
        <v>54</v>
      </c>
      <c r="F18" s="3">
        <v>380179</v>
      </c>
      <c r="G18" s="6">
        <f>F18/F19</f>
        <v>0.52054381603284705</v>
      </c>
      <c r="H18" s="4"/>
      <c r="M18" s="5"/>
      <c r="Z18" s="6"/>
    </row>
    <row r="19" spans="1:26" x14ac:dyDescent="0.25">
      <c r="D19" s="2" t="s">
        <v>55</v>
      </c>
      <c r="F19" s="3">
        <f>SUM(F17:F18)</f>
        <v>730349.66181600001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119</v>
      </c>
      <c r="I20" s="47">
        <f>'04-19-24'!F19</f>
        <v>558999.31799499993</v>
      </c>
      <c r="K20" s="1">
        <v>45291</v>
      </c>
      <c r="L20" s="47">
        <v>139707.06</v>
      </c>
      <c r="M20" s="47">
        <v>167180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0.3065305060399604</v>
      </c>
      <c r="K21" s="9" t="s">
        <v>58</v>
      </c>
      <c r="L21" s="6">
        <f>(M20-L20)/L20</f>
        <v>0.19664675500293258</v>
      </c>
      <c r="Z21" s="6"/>
    </row>
    <row r="22" spans="1:26" x14ac:dyDescent="0.25">
      <c r="H22" s="3" t="s">
        <v>125</v>
      </c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1" si="25">F25/D25</f>
        <v>47.428061535569462</v>
      </c>
      <c r="F25" s="3">
        <v>38349.050000000003</v>
      </c>
      <c r="G25" s="3">
        <v>35186.18</v>
      </c>
      <c r="H25" s="3">
        <f t="shared" ref="H25:H40" si="26">G25/D25</f>
        <v>43.516392459307944</v>
      </c>
      <c r="I25" s="3">
        <f t="shared" ref="I25:I40" si="27">G25-F25</f>
        <v>-3162.8700000000026</v>
      </c>
      <c r="J25" s="5">
        <f t="shared" ref="J25:J40" si="28">I25/F25</f>
        <v>-8.2475837080710018E-2</v>
      </c>
      <c r="K25" s="1">
        <v>45286</v>
      </c>
      <c r="L25" s="1">
        <v>45302</v>
      </c>
      <c r="M25">
        <f t="shared" ref="M25:M41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si="29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29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29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29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29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si="26"/>
        <v>48.056634487564061</v>
      </c>
      <c r="I31" s="3">
        <f t="shared" si="27"/>
        <v>-4827.3300000000017</v>
      </c>
      <c r="J31" s="5">
        <f t="shared" si="28"/>
        <v>-9.278049140508153E-2</v>
      </c>
      <c r="K31" s="1">
        <v>45344</v>
      </c>
      <c r="L31" s="1">
        <v>45351</v>
      </c>
      <c r="M31" s="54">
        <f t="shared" si="29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5"/>
        <v>130.66998915547813</v>
      </c>
      <c r="F32" s="3">
        <v>58909.52</v>
      </c>
      <c r="G32" s="3">
        <v>55702.82</v>
      </c>
      <c r="H32" s="3">
        <f t="shared" si="26"/>
        <v>123.55705640326981</v>
      </c>
      <c r="I32" s="3">
        <f t="shared" si="27"/>
        <v>-3206.6999999999971</v>
      </c>
      <c r="J32" s="5">
        <f t="shared" si="28"/>
        <v>-5.4434325725281708E-2</v>
      </c>
      <c r="K32" s="1">
        <v>45286</v>
      </c>
      <c r="L32" s="1">
        <v>45356</v>
      </c>
      <c r="M32" s="54">
        <f t="shared" si="29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5"/>
        <v>34.902742463000052</v>
      </c>
      <c r="F33" s="3">
        <f>30020.93+21858.29</f>
        <v>51879.22</v>
      </c>
      <c r="G33" s="3">
        <v>51882.03</v>
      </c>
      <c r="H33" s="3">
        <f t="shared" si="26"/>
        <v>34.904632944513089</v>
      </c>
      <c r="I33" s="3">
        <f t="shared" si="27"/>
        <v>2.8099999999976717</v>
      </c>
      <c r="J33" s="5">
        <f t="shared" si="28"/>
        <v>5.4164268468139489E-5</v>
      </c>
      <c r="K33" s="1">
        <v>45331</v>
      </c>
      <c r="L33" s="1">
        <v>45366</v>
      </c>
      <c r="M33" s="54">
        <f t="shared" si="29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5"/>
        <v>17.884521773182534</v>
      </c>
      <c r="F34" s="3">
        <f>20288.83+19170.47</f>
        <v>39459.300000000003</v>
      </c>
      <c r="G34" s="3">
        <v>47805.42</v>
      </c>
      <c r="H34" s="3">
        <f t="shared" si="26"/>
        <v>21.667314799455028</v>
      </c>
      <c r="I34" s="3">
        <f t="shared" si="27"/>
        <v>8346.1199999999953</v>
      </c>
      <c r="J34" s="5">
        <f t="shared" si="28"/>
        <v>0.21151211501471123</v>
      </c>
      <c r="K34" s="1">
        <v>45243</v>
      </c>
      <c r="L34" s="1">
        <v>45373</v>
      </c>
      <c r="M34" s="54">
        <f t="shared" si="29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5"/>
        <v>97.201614911338325</v>
      </c>
      <c r="F35" s="3">
        <v>71279.48</v>
      </c>
      <c r="G35" s="3">
        <v>66395.73</v>
      </c>
      <c r="H35" s="3">
        <f t="shared" si="26"/>
        <v>90.541796590227548</v>
      </c>
      <c r="I35" s="3">
        <f t="shared" si="27"/>
        <v>-4883.75</v>
      </c>
      <c r="J35" s="5">
        <f t="shared" si="28"/>
        <v>-6.85155110559168E-2</v>
      </c>
      <c r="K35" s="1">
        <v>45349</v>
      </c>
      <c r="L35" s="1">
        <v>45394</v>
      </c>
      <c r="M35" s="54">
        <f t="shared" si="29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5"/>
        <v>51.760011005615979</v>
      </c>
      <c r="F36" s="3">
        <v>46654.3</v>
      </c>
      <c r="G36" s="3">
        <v>44379.95</v>
      </c>
      <c r="H36" s="3">
        <f t="shared" si="26"/>
        <v>49.23676275131524</v>
      </c>
      <c r="I36" s="3">
        <f t="shared" si="27"/>
        <v>-2274.3500000000058</v>
      </c>
      <c r="J36" s="5">
        <f t="shared" si="28"/>
        <v>-4.874898991089794E-2</v>
      </c>
      <c r="K36" s="1">
        <v>45394</v>
      </c>
      <c r="L36" s="1">
        <v>45394</v>
      </c>
      <c r="M36" s="54">
        <f t="shared" si="29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5"/>
        <v>228.36593513142583</v>
      </c>
      <c r="F37" s="3">
        <v>61166.239999999998</v>
      </c>
      <c r="G37" s="3">
        <v>81558.94</v>
      </c>
      <c r="H37" s="3">
        <f t="shared" si="26"/>
        <v>304.50267339349045</v>
      </c>
      <c r="I37" s="3">
        <f t="shared" si="27"/>
        <v>20392.700000000004</v>
      </c>
      <c r="J37" s="5">
        <f t="shared" si="28"/>
        <v>0.33339796593676518</v>
      </c>
      <c r="K37" s="1">
        <v>45238</v>
      </c>
      <c r="L37" s="1">
        <v>45397</v>
      </c>
      <c r="M37" s="54">
        <f t="shared" si="29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5"/>
        <v>131.07547316942754</v>
      </c>
      <c r="F38" s="3">
        <v>29415.63</v>
      </c>
      <c r="G38" s="3">
        <v>27481.43</v>
      </c>
      <c r="H38" s="3">
        <f t="shared" si="26"/>
        <v>122.45671571958516</v>
      </c>
      <c r="I38" s="3">
        <f t="shared" si="27"/>
        <v>-1934.2000000000007</v>
      </c>
      <c r="J38" s="5">
        <f t="shared" si="28"/>
        <v>-6.5754158588478329E-2</v>
      </c>
      <c r="K38" s="1">
        <v>45393</v>
      </c>
      <c r="L38" s="1">
        <v>45397</v>
      </c>
      <c r="M38" s="54">
        <f t="shared" si="29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5"/>
        <v>30.008099047901005</v>
      </c>
      <c r="F39" s="3">
        <v>43950.36</v>
      </c>
      <c r="G39" s="3">
        <v>49174.83</v>
      </c>
      <c r="H39" s="3">
        <f t="shared" si="26"/>
        <v>33.575223713837467</v>
      </c>
      <c r="I39" s="3">
        <f t="shared" si="27"/>
        <v>5224.4700000000012</v>
      </c>
      <c r="J39" s="5">
        <f t="shared" si="28"/>
        <v>0.11887206384657603</v>
      </c>
      <c r="K39" s="1">
        <v>45321</v>
      </c>
      <c r="L39" s="1">
        <v>45400</v>
      </c>
      <c r="M39" s="54">
        <f t="shared" si="29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5"/>
        <v>202.80010053151383</v>
      </c>
      <c r="F40" s="3">
        <v>54466.53</v>
      </c>
      <c r="G40" s="3">
        <v>57142.12</v>
      </c>
      <c r="H40" s="3">
        <f t="shared" si="26"/>
        <v>212.76236397993094</v>
      </c>
      <c r="I40" s="3">
        <f t="shared" si="27"/>
        <v>2675.5900000000038</v>
      </c>
      <c r="J40" s="5">
        <f t="shared" si="28"/>
        <v>4.912356267234215E-2</v>
      </c>
      <c r="K40" s="1">
        <v>45370</v>
      </c>
      <c r="L40" s="1">
        <v>45401</v>
      </c>
      <c r="M40" s="54">
        <f t="shared" si="29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5"/>
        <v>72.032301948546731</v>
      </c>
      <c r="F41" s="3">
        <f>38270.34+5640.4</f>
        <v>43910.74</v>
      </c>
      <c r="G41" s="3">
        <v>46906.35</v>
      </c>
      <c r="H41" s="3">
        <f t="shared" ref="H41" si="30">G41/D41</f>
        <v>76.946377275905974</v>
      </c>
      <c r="I41" s="3">
        <f t="shared" ref="I41" si="31">G41-F41</f>
        <v>2995.6100000000006</v>
      </c>
      <c r="J41" s="5">
        <f t="shared" ref="J41" si="32">I41/F41</f>
        <v>6.8220439919709858E-2</v>
      </c>
      <c r="K41" s="1">
        <v>45313</v>
      </c>
      <c r="L41" s="1">
        <v>45420</v>
      </c>
      <c r="M41" s="54">
        <f t="shared" si="29"/>
        <v>106</v>
      </c>
      <c r="O41" t="s">
        <v>120</v>
      </c>
    </row>
    <row r="45" spans="1:15" x14ac:dyDescent="0.25">
      <c r="J45" s="13" t="s">
        <v>68</v>
      </c>
    </row>
    <row r="46" spans="1:15" x14ac:dyDescent="0.25">
      <c r="H46" s="3" t="s">
        <v>69</v>
      </c>
      <c r="I46" s="55">
        <v>9</v>
      </c>
      <c r="J46" s="5">
        <v>-8.1299999999999997E-2</v>
      </c>
    </row>
    <row r="47" spans="1:15" x14ac:dyDescent="0.25">
      <c r="H47" s="3" t="s">
        <v>70</v>
      </c>
      <c r="I47" s="55">
        <v>8</v>
      </c>
      <c r="J47" s="5">
        <v>0.17760000000000001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sortState xmlns:xlrd2="http://schemas.microsoft.com/office/spreadsheetml/2017/richdata2" ref="A7:AC10">
    <sortCondition descending="1" ref="L7:L10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9032-26F8-4270-A535-B664D2CF9CEC}">
  <dimension ref="A1:AE19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8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45429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67</v>
      </c>
      <c r="F7" s="3">
        <f t="shared" ref="F7:F16" si="0">E7*D7</f>
        <v>95592.960200000001</v>
      </c>
      <c r="G7" s="3">
        <f>28174.78+19947.6-17409.86</f>
        <v>30712.519999999997</v>
      </c>
      <c r="H7" s="4">
        <f t="shared" ref="H7:H16" si="1">G7/D7</f>
        <v>21.526049990446886</v>
      </c>
      <c r="I7" s="3">
        <f t="shared" ref="I7:I16" si="2">F7-G7</f>
        <v>64880.440200000005</v>
      </c>
      <c r="J7" s="27">
        <f t="shared" ref="J7:J16" si="3">E7-H7</f>
        <v>45.473950009553114</v>
      </c>
      <c r="K7" s="28">
        <v>45309</v>
      </c>
      <c r="L7">
        <f t="shared" ref="L7:L15" si="4">DAYS360(K7,$C$1)</f>
        <v>119</v>
      </c>
      <c r="M7" s="5">
        <f t="shared" ref="M7:M16" si="5">(I7/G7)</f>
        <v>2.1125078697547455</v>
      </c>
      <c r="N7">
        <v>26</v>
      </c>
      <c r="O7">
        <v>99</v>
      </c>
      <c r="P7">
        <v>21</v>
      </c>
      <c r="Q7" s="29">
        <v>20.03</v>
      </c>
      <c r="R7" s="30">
        <f t="shared" ref="R7:R16" si="6">Q7*0.93</f>
        <v>18.6279</v>
      </c>
      <c r="S7" s="30">
        <v>60.3</v>
      </c>
      <c r="T7" s="32">
        <f t="shared" ref="T7:T16" si="7">Q7*1.25</f>
        <v>25.037500000000001</v>
      </c>
      <c r="U7" s="29">
        <f t="shared" ref="U7:U16" si="8">Q7*1.5</f>
        <v>30.045000000000002</v>
      </c>
      <c r="V7" s="29">
        <f t="shared" ref="V7:V16" si="9">Q7*2</f>
        <v>40.06</v>
      </c>
      <c r="W7" s="29">
        <f t="shared" ref="W7:W16" si="10">H7-(H7*0.07)</f>
        <v>20.019226491115603</v>
      </c>
      <c r="X7" s="30">
        <v>55</v>
      </c>
      <c r="Y7" s="5">
        <f t="shared" ref="Y7:Y16" si="11">(X7-H7)/H7</f>
        <v>1.5550437736792688</v>
      </c>
      <c r="Z7" s="33">
        <f t="shared" ref="Z7:Z16" si="12">F7/F$19</f>
        <v>0.1306065665433179</v>
      </c>
      <c r="AA7" s="9"/>
      <c r="AB7" s="31">
        <v>45497</v>
      </c>
      <c r="AC7" s="9">
        <v>64</v>
      </c>
    </row>
    <row r="8" spans="1:31" x14ac:dyDescent="0.25">
      <c r="A8" t="s">
        <v>105</v>
      </c>
      <c r="B8" t="s">
        <v>33</v>
      </c>
      <c r="C8" s="26" t="s">
        <v>106</v>
      </c>
      <c r="D8" s="2">
        <f>2972.4372+3509.2812</f>
        <v>6481.7183999999997</v>
      </c>
      <c r="E8" s="27">
        <v>9.76</v>
      </c>
      <c r="F8" s="3">
        <f t="shared" si="0"/>
        <v>63261.571583999998</v>
      </c>
      <c r="G8" s="3">
        <f>23794.37+31996.67</f>
        <v>55791.039999999994</v>
      </c>
      <c r="H8" s="4">
        <f t="shared" si="1"/>
        <v>8.6074458279458721</v>
      </c>
      <c r="I8" s="3">
        <f t="shared" si="2"/>
        <v>7470.5315840000039</v>
      </c>
      <c r="J8" s="27">
        <f t="shared" si="3"/>
        <v>1.1525541720541277</v>
      </c>
      <c r="K8" s="28">
        <v>45378</v>
      </c>
      <c r="L8">
        <f t="shared" si="4"/>
        <v>50</v>
      </c>
      <c r="M8" s="5">
        <f t="shared" si="5"/>
        <v>0.13390199544586379</v>
      </c>
      <c r="N8">
        <v>8</v>
      </c>
      <c r="O8">
        <v>98</v>
      </c>
      <c r="P8" s="34">
        <v>98</v>
      </c>
      <c r="Q8" s="29">
        <v>6.76</v>
      </c>
      <c r="R8" s="30">
        <f t="shared" si="6"/>
        <v>6.2868000000000004</v>
      </c>
      <c r="S8" s="30">
        <v>7.21</v>
      </c>
      <c r="T8" s="32">
        <f t="shared" si="7"/>
        <v>8.4499999999999993</v>
      </c>
      <c r="U8" s="29">
        <f t="shared" si="8"/>
        <v>10.14</v>
      </c>
      <c r="V8" s="29">
        <f t="shared" si="9"/>
        <v>13.52</v>
      </c>
      <c r="W8" s="29">
        <f t="shared" si="10"/>
        <v>8.0049246199896604</v>
      </c>
      <c r="X8" s="30">
        <v>8.25</v>
      </c>
      <c r="Y8" s="5">
        <f t="shared" si="11"/>
        <v>-4.1527514095453209E-2</v>
      </c>
      <c r="Z8" s="6">
        <f t="shared" si="12"/>
        <v>8.6432898839349515E-2</v>
      </c>
      <c r="AB8" s="31">
        <v>45531</v>
      </c>
      <c r="AC8" s="9">
        <v>99</v>
      </c>
    </row>
    <row r="9" spans="1:31" x14ac:dyDescent="0.25">
      <c r="A9" t="s">
        <v>109</v>
      </c>
      <c r="B9" t="s">
        <v>33</v>
      </c>
      <c r="C9" s="26" t="s">
        <v>107</v>
      </c>
      <c r="D9" s="2">
        <v>828.40229999999997</v>
      </c>
      <c r="E9" s="27">
        <v>70.11</v>
      </c>
      <c r="F9" s="3">
        <f t="shared" si="0"/>
        <v>58079.285252999995</v>
      </c>
      <c r="G9" s="3">
        <v>47623.59</v>
      </c>
      <c r="H9" s="4">
        <f t="shared" si="1"/>
        <v>57.488481140141687</v>
      </c>
      <c r="I9" s="3">
        <f t="shared" si="2"/>
        <v>10455.695252999998</v>
      </c>
      <c r="J9" s="27">
        <f t="shared" si="3"/>
        <v>12.621518859858313</v>
      </c>
      <c r="K9" s="28">
        <v>45378</v>
      </c>
      <c r="L9">
        <f t="shared" si="4"/>
        <v>50</v>
      </c>
      <c r="M9" s="5">
        <f t="shared" si="5"/>
        <v>0.2195486575665547</v>
      </c>
      <c r="N9">
        <v>8</v>
      </c>
      <c r="O9">
        <v>93</v>
      </c>
      <c r="P9" s="34">
        <v>97</v>
      </c>
      <c r="Q9" s="29">
        <v>57.16</v>
      </c>
      <c r="R9" s="30">
        <f t="shared" si="6"/>
        <v>53.158799999999999</v>
      </c>
      <c r="S9" s="30">
        <v>60.15</v>
      </c>
      <c r="T9" s="29">
        <f t="shared" si="7"/>
        <v>71.449999999999989</v>
      </c>
      <c r="U9" s="29">
        <f t="shared" si="8"/>
        <v>85.74</v>
      </c>
      <c r="V9" s="29">
        <f t="shared" si="9"/>
        <v>114.32</v>
      </c>
      <c r="W9" s="29">
        <f t="shared" si="10"/>
        <v>53.464287460331768</v>
      </c>
      <c r="X9" s="30">
        <v>65</v>
      </c>
      <c r="Y9" s="5">
        <f t="shared" si="11"/>
        <v>0.13066128571995528</v>
      </c>
      <c r="Z9" s="6">
        <f t="shared" si="12"/>
        <v>7.9352454598265343E-2</v>
      </c>
      <c r="AB9" s="31">
        <v>45504</v>
      </c>
      <c r="AC9" s="9">
        <v>99</v>
      </c>
    </row>
    <row r="10" spans="1:31" x14ac:dyDescent="0.25">
      <c r="A10" t="s">
        <v>121</v>
      </c>
      <c r="B10" t="s">
        <v>33</v>
      </c>
      <c r="C10" s="26" t="s">
        <v>122</v>
      </c>
      <c r="D10" s="2">
        <v>1366.874</v>
      </c>
      <c r="E10" s="27">
        <v>26.99</v>
      </c>
      <c r="F10" s="3">
        <f t="shared" si="0"/>
        <v>36891.929259999997</v>
      </c>
      <c r="G10" s="3">
        <v>36957.24</v>
      </c>
      <c r="H10" s="4">
        <f t="shared" si="1"/>
        <v>27.037781097599339</v>
      </c>
      <c r="I10" s="3">
        <f t="shared" si="2"/>
        <v>-65.310740000000806</v>
      </c>
      <c r="J10" s="27">
        <f t="shared" si="3"/>
        <v>-4.7781097599340683E-2</v>
      </c>
      <c r="K10" s="28">
        <v>45421</v>
      </c>
      <c r="L10">
        <f t="shared" si="4"/>
        <v>8</v>
      </c>
      <c r="M10" s="5">
        <f t="shared" si="5"/>
        <v>-1.7671974422332622E-3</v>
      </c>
      <c r="N10">
        <v>49</v>
      </c>
      <c r="O10">
        <v>94</v>
      </c>
      <c r="P10" s="34">
        <v>35</v>
      </c>
      <c r="Q10" s="29">
        <v>25.63</v>
      </c>
      <c r="R10" s="30">
        <f t="shared" si="6"/>
        <v>23.835899999999999</v>
      </c>
      <c r="S10" s="30">
        <v>21.53</v>
      </c>
      <c r="T10" s="32">
        <f t="shared" si="7"/>
        <v>32.037500000000001</v>
      </c>
      <c r="U10" s="29">
        <f t="shared" si="8"/>
        <v>38.445</v>
      </c>
      <c r="V10" s="29">
        <f t="shared" si="9"/>
        <v>51.26</v>
      </c>
      <c r="W10" s="29">
        <f t="shared" si="10"/>
        <v>25.145136420767386</v>
      </c>
      <c r="X10" s="30">
        <v>24.75</v>
      </c>
      <c r="Y10" s="5">
        <f t="shared" si="11"/>
        <v>-8.4614232556327232E-2</v>
      </c>
      <c r="Z10" s="6">
        <f t="shared" si="12"/>
        <v>5.0404634438839843E-2</v>
      </c>
      <c r="AB10" s="31">
        <v>45511</v>
      </c>
      <c r="AC10" s="9">
        <v>81</v>
      </c>
    </row>
    <row r="11" spans="1:31" x14ac:dyDescent="0.25">
      <c r="A11" t="s">
        <v>126</v>
      </c>
      <c r="B11" t="s">
        <v>33</v>
      </c>
      <c r="C11" s="26" t="s">
        <v>127</v>
      </c>
      <c r="D11" s="2">
        <v>494.90359999999998</v>
      </c>
      <c r="E11" s="27">
        <v>125.39</v>
      </c>
      <c r="F11" s="3">
        <f t="shared" si="0"/>
        <v>62055.962403999998</v>
      </c>
      <c r="G11" s="3">
        <v>59378.55</v>
      </c>
      <c r="H11" s="4">
        <f t="shared" si="1"/>
        <v>119.9800324750113</v>
      </c>
      <c r="I11" s="3">
        <f t="shared" si="2"/>
        <v>2677.4124039999951</v>
      </c>
      <c r="J11" s="27">
        <f t="shared" si="3"/>
        <v>5.4099675249887014</v>
      </c>
      <c r="K11" s="28">
        <v>45422</v>
      </c>
      <c r="L11">
        <f t="shared" si="4"/>
        <v>7</v>
      </c>
      <c r="M11" s="5">
        <f t="shared" si="5"/>
        <v>4.5090565599867211E-2</v>
      </c>
      <c r="N11">
        <v>12</v>
      </c>
      <c r="O11">
        <v>95</v>
      </c>
      <c r="P11" s="34">
        <v>59</v>
      </c>
      <c r="Q11" s="29">
        <v>121</v>
      </c>
      <c r="R11" s="30">
        <f t="shared" si="6"/>
        <v>112.53</v>
      </c>
      <c r="S11" s="30">
        <v>110.91</v>
      </c>
      <c r="T11" s="29">
        <f t="shared" si="7"/>
        <v>151.25</v>
      </c>
      <c r="U11" s="29">
        <f t="shared" si="8"/>
        <v>181.5</v>
      </c>
      <c r="V11" s="29">
        <f t="shared" si="9"/>
        <v>242</v>
      </c>
      <c r="W11" s="29">
        <f t="shared" si="10"/>
        <v>111.58143020176051</v>
      </c>
      <c r="X11" s="30">
        <v>115</v>
      </c>
      <c r="Y11" s="5">
        <f t="shared" si="11"/>
        <v>-4.1507177255086257E-2</v>
      </c>
      <c r="Z11" s="6">
        <f t="shared" si="12"/>
        <v>8.4785701438374952E-2</v>
      </c>
      <c r="AB11" s="31">
        <v>45496</v>
      </c>
      <c r="AC11" s="9">
        <v>90</v>
      </c>
    </row>
    <row r="12" spans="1:31" x14ac:dyDescent="0.25">
      <c r="A12" t="s">
        <v>128</v>
      </c>
      <c r="B12" t="s">
        <v>33</v>
      </c>
      <c r="C12" s="26" t="s">
        <v>129</v>
      </c>
      <c r="D12" s="2">
        <v>390.4513</v>
      </c>
      <c r="E12" s="27">
        <v>151.68</v>
      </c>
      <c r="F12" s="3">
        <f t="shared" si="0"/>
        <v>59223.653184000003</v>
      </c>
      <c r="G12" s="3">
        <v>58706.59</v>
      </c>
      <c r="H12" s="4">
        <f t="shared" si="1"/>
        <v>150.35572938289613</v>
      </c>
      <c r="I12" s="3">
        <f t="shared" si="2"/>
        <v>517.063184000006</v>
      </c>
      <c r="J12" s="27">
        <f t="shared" si="3"/>
        <v>1.3242706171038776</v>
      </c>
      <c r="K12" s="28">
        <v>45426</v>
      </c>
      <c r="L12">
        <f t="shared" si="4"/>
        <v>3</v>
      </c>
      <c r="M12" s="5">
        <f t="shared" si="5"/>
        <v>8.8075833394514313E-3</v>
      </c>
      <c r="N12">
        <v>100</v>
      </c>
      <c r="O12">
        <v>93</v>
      </c>
      <c r="P12" s="34">
        <v>81</v>
      </c>
      <c r="Q12" s="29">
        <v>148.43</v>
      </c>
      <c r="R12" s="30">
        <f t="shared" si="6"/>
        <v>138.03990000000002</v>
      </c>
      <c r="S12" s="30">
        <v>125.78</v>
      </c>
      <c r="T12" s="29">
        <f t="shared" si="7"/>
        <v>185.53750000000002</v>
      </c>
      <c r="U12" s="29">
        <f t="shared" si="8"/>
        <v>222.64500000000001</v>
      </c>
      <c r="V12" s="29">
        <f t="shared" si="9"/>
        <v>296.86</v>
      </c>
      <c r="W12" s="29">
        <f t="shared" si="10"/>
        <v>139.83082832609341</v>
      </c>
      <c r="X12" s="30">
        <v>139</v>
      </c>
      <c r="Y12" s="5">
        <f t="shared" si="11"/>
        <v>-7.552575102726955E-2</v>
      </c>
      <c r="Z12" s="6">
        <f t="shared" si="12"/>
        <v>8.0915979422870488E-2</v>
      </c>
      <c r="AB12" s="31">
        <v>45491</v>
      </c>
      <c r="AC12" s="9">
        <v>93</v>
      </c>
    </row>
    <row r="13" spans="1:31" x14ac:dyDescent="0.25">
      <c r="A13" t="s">
        <v>131</v>
      </c>
      <c r="B13" t="s">
        <v>33</v>
      </c>
      <c r="C13" s="26" t="s">
        <v>132</v>
      </c>
      <c r="D13" s="2">
        <v>1542.0192</v>
      </c>
      <c r="E13" s="27">
        <v>30.93</v>
      </c>
      <c r="F13" s="3">
        <f t="shared" si="0"/>
        <v>47694.653855999997</v>
      </c>
      <c r="G13" s="3">
        <v>44039.07</v>
      </c>
      <c r="H13" s="4">
        <f t="shared" si="1"/>
        <v>28.559352568372692</v>
      </c>
      <c r="I13" s="3">
        <f t="shared" si="2"/>
        <v>3655.5838559999975</v>
      </c>
      <c r="J13" s="27">
        <f t="shared" si="3"/>
        <v>2.3706474316273081</v>
      </c>
      <c r="K13" s="28">
        <v>45426</v>
      </c>
      <c r="L13">
        <f t="shared" si="4"/>
        <v>3</v>
      </c>
      <c r="M13" s="5">
        <f t="shared" si="5"/>
        <v>8.3007744168984432E-2</v>
      </c>
      <c r="N13">
        <v>39</v>
      </c>
      <c r="O13">
        <v>97</v>
      </c>
      <c r="P13" s="34">
        <v>72</v>
      </c>
      <c r="Q13" s="29">
        <v>27.47</v>
      </c>
      <c r="R13" s="30">
        <f t="shared" si="6"/>
        <v>25.5471</v>
      </c>
      <c r="S13" s="30">
        <v>25.73</v>
      </c>
      <c r="T13" s="32">
        <f t="shared" si="7"/>
        <v>34.337499999999999</v>
      </c>
      <c r="U13" s="29">
        <f t="shared" si="8"/>
        <v>41.204999999999998</v>
      </c>
      <c r="V13" s="29">
        <f t="shared" si="9"/>
        <v>54.94</v>
      </c>
      <c r="W13" s="29">
        <f t="shared" si="10"/>
        <v>26.560197888586604</v>
      </c>
      <c r="X13" s="30">
        <v>27</v>
      </c>
      <c r="Y13" s="5">
        <f t="shared" si="11"/>
        <v>-5.4600417311264818E-2</v>
      </c>
      <c r="Z13" s="6">
        <f t="shared" si="12"/>
        <v>6.5164160306065907E-2</v>
      </c>
      <c r="AB13" s="31">
        <v>45513</v>
      </c>
      <c r="AC13" s="9">
        <v>99</v>
      </c>
    </row>
    <row r="14" spans="1:31" x14ac:dyDescent="0.25">
      <c r="A14" t="s">
        <v>133</v>
      </c>
      <c r="B14" t="s">
        <v>33</v>
      </c>
      <c r="C14" s="26" t="s">
        <v>134</v>
      </c>
      <c r="D14" s="2">
        <v>94.066800000000001</v>
      </c>
      <c r="E14" s="27">
        <v>924.79</v>
      </c>
      <c r="F14" s="3">
        <f t="shared" si="0"/>
        <v>86992.035971999998</v>
      </c>
      <c r="G14" s="3">
        <v>88627.87</v>
      </c>
      <c r="H14" s="4">
        <f t="shared" si="1"/>
        <v>942.18013156607856</v>
      </c>
      <c r="I14" s="3">
        <f t="shared" si="2"/>
        <v>-1635.8340279999975</v>
      </c>
      <c r="J14" s="27">
        <f t="shared" si="3"/>
        <v>-17.390131566078594</v>
      </c>
      <c r="K14" s="28">
        <v>45427</v>
      </c>
      <c r="L14">
        <f t="shared" si="4"/>
        <v>2</v>
      </c>
      <c r="M14" s="5">
        <f t="shared" si="5"/>
        <v>-1.845733207849853E-2</v>
      </c>
      <c r="N14">
        <v>15</v>
      </c>
      <c r="O14">
        <v>98</v>
      </c>
      <c r="P14" s="34">
        <v>99</v>
      </c>
      <c r="Q14" s="29">
        <v>922.2</v>
      </c>
      <c r="R14" s="30">
        <f t="shared" si="6"/>
        <v>857.64600000000007</v>
      </c>
      <c r="S14" s="30">
        <v>812.55</v>
      </c>
      <c r="T14" s="32">
        <f t="shared" si="7"/>
        <v>1152.75</v>
      </c>
      <c r="U14" s="29">
        <f t="shared" si="8"/>
        <v>1383.3000000000002</v>
      </c>
      <c r="V14" s="29">
        <f t="shared" si="9"/>
        <v>1844.4</v>
      </c>
      <c r="W14" s="29">
        <f t="shared" si="10"/>
        <v>876.22752235645305</v>
      </c>
      <c r="X14" s="30">
        <v>880</v>
      </c>
      <c r="Y14" s="5">
        <f t="shared" si="11"/>
        <v>-6.5996012315313435E-2</v>
      </c>
      <c r="Z14" s="6">
        <f t="shared" si="12"/>
        <v>0.1188553122650942</v>
      </c>
      <c r="AB14" s="31">
        <v>45434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44777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91.65</v>
      </c>
      <c r="F16" s="57">
        <f t="shared" si="0"/>
        <v>33334.369770000005</v>
      </c>
      <c r="G16" s="38">
        <v>25401.360000000001</v>
      </c>
      <c r="H16" s="39">
        <f t="shared" si="1"/>
        <v>69.838867813099199</v>
      </c>
      <c r="I16" s="38">
        <f t="shared" si="2"/>
        <v>7933.0097700000042</v>
      </c>
      <c r="J16" s="37">
        <f t="shared" si="3"/>
        <v>21.811132186900807</v>
      </c>
      <c r="K16" s="40"/>
      <c r="L16" s="35"/>
      <c r="M16" s="41">
        <f t="shared" si="5"/>
        <v>0.31230649736864496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64.950147066182254</v>
      </c>
      <c r="X16" s="43"/>
      <c r="Y16" s="41">
        <f t="shared" si="11"/>
        <v>-1</v>
      </c>
      <c r="Z16" s="44">
        <f t="shared" si="12"/>
        <v>4.5544018873735749E-2</v>
      </c>
      <c r="AB16" s="31"/>
      <c r="AC16" s="9"/>
    </row>
    <row r="17" spans="1:26" x14ac:dyDescent="0.25">
      <c r="A17" t="s">
        <v>53</v>
      </c>
      <c r="F17" s="3">
        <f>SUM(F6:F16)</f>
        <v>543126.42148299993</v>
      </c>
      <c r="G17" s="3">
        <f>SUM(G6:G16)</f>
        <v>447237.83</v>
      </c>
      <c r="H17" s="4"/>
      <c r="I17" s="3">
        <f>SUM(I6:I16)</f>
        <v>95888.591482999997</v>
      </c>
      <c r="M17" s="5"/>
      <c r="Z17" s="6"/>
    </row>
    <row r="18" spans="1:26" x14ac:dyDescent="0.25">
      <c r="D18" s="2" t="s">
        <v>54</v>
      </c>
      <c r="F18" s="3">
        <v>188789</v>
      </c>
      <c r="G18" s="6">
        <f>F18/F19</f>
        <v>0.25793827327408619</v>
      </c>
      <c r="H18" s="4"/>
      <c r="M18" s="5"/>
      <c r="Z18" s="6"/>
    </row>
    <row r="19" spans="1:26" x14ac:dyDescent="0.25">
      <c r="D19" s="2" t="s">
        <v>55</v>
      </c>
      <c r="F19" s="3">
        <f>SUM(F17:F18)</f>
        <v>731915.42148299993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'05-10-24'!F19</f>
        <v>730349.66181600001</v>
      </c>
      <c r="K20" s="1">
        <v>45291</v>
      </c>
      <c r="L20" s="47">
        <v>139707.06</v>
      </c>
      <c r="M20" s="47">
        <v>167049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2.1438493763476086E-3</v>
      </c>
      <c r="K21" s="9" t="s">
        <v>58</v>
      </c>
      <c r="L21" s="6">
        <f>(M20-L20)/L20</f>
        <v>0.19570907869652401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1" si="13">F25/D25</f>
        <v>47.428061535569462</v>
      </c>
      <c r="F25" s="3">
        <v>38349.050000000003</v>
      </c>
      <c r="G25" s="3">
        <v>35186.18</v>
      </c>
      <c r="H25" s="3">
        <f t="shared" ref="H25:H41" si="14">G25/D25</f>
        <v>43.516392459307944</v>
      </c>
      <c r="I25" s="3">
        <f t="shared" ref="I25:I41" si="15">G25-F25</f>
        <v>-3162.8700000000026</v>
      </c>
      <c r="J25" s="5">
        <f t="shared" ref="J25:J41" si="16">I25/F25</f>
        <v>-8.2475837080710018E-2</v>
      </c>
      <c r="K25" s="1">
        <v>45286</v>
      </c>
      <c r="L25" s="1">
        <v>45302</v>
      </c>
      <c r="M25">
        <f t="shared" ref="M25:M41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5" spans="1:15" x14ac:dyDescent="0.25">
      <c r="J45" s="13" t="s">
        <v>68</v>
      </c>
    </row>
    <row r="46" spans="1:15" x14ac:dyDescent="0.25">
      <c r="H46" s="3" t="s">
        <v>69</v>
      </c>
      <c r="I46" s="55">
        <v>9</v>
      </c>
      <c r="J46" s="5">
        <v>-8.1299999999999997E-2</v>
      </c>
    </row>
    <row r="47" spans="1:15" x14ac:dyDescent="0.25">
      <c r="H47" s="3" t="s">
        <v>70</v>
      </c>
      <c r="I47" s="55">
        <v>8</v>
      </c>
      <c r="J47" s="5">
        <v>0.17760000000000001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F0F4-9493-47A6-B2BD-3E820729AECB}">
  <dimension ref="A1:AE19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45436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62.75</v>
      </c>
      <c r="F7" s="3">
        <f t="shared" ref="F7:F16" si="0">E7*D7</f>
        <v>89529.227650000001</v>
      </c>
      <c r="G7" s="3">
        <f>28174.78+19947.6-17409.86</f>
        <v>30712.519999999997</v>
      </c>
      <c r="H7" s="4">
        <f t="shared" ref="H7:H16" si="1">G7/D7</f>
        <v>21.526049990446886</v>
      </c>
      <c r="I7" s="3">
        <f t="shared" ref="I7:I16" si="2">F7-G7</f>
        <v>58816.707650000004</v>
      </c>
      <c r="J7" s="27">
        <f t="shared" ref="J7:J16" si="3">E7-H7</f>
        <v>41.223950009553114</v>
      </c>
      <c r="K7" s="28">
        <v>45309</v>
      </c>
      <c r="L7">
        <f t="shared" ref="L7:L15" si="4">DAYS360(K7,$C$1)</f>
        <v>126</v>
      </c>
      <c r="M7" s="5">
        <f t="shared" ref="M7:M16" si="5">(I7/G7)</f>
        <v>1.9150726690613473</v>
      </c>
      <c r="N7">
        <v>35</v>
      </c>
      <c r="O7">
        <v>99</v>
      </c>
      <c r="P7">
        <v>21</v>
      </c>
      <c r="Q7" s="29">
        <v>20.03</v>
      </c>
      <c r="R7" s="30">
        <f t="shared" ref="R7:R16" si="6">Q7*0.93</f>
        <v>18.6279</v>
      </c>
      <c r="S7" s="30">
        <v>60.3</v>
      </c>
      <c r="T7" s="32">
        <f t="shared" ref="T7:T16" si="7">Q7*1.25</f>
        <v>25.037500000000001</v>
      </c>
      <c r="U7" s="29">
        <f t="shared" ref="U7:U16" si="8">Q7*1.5</f>
        <v>30.045000000000002</v>
      </c>
      <c r="V7" s="29">
        <f t="shared" ref="V7:V16" si="9">Q7*2</f>
        <v>40.06</v>
      </c>
      <c r="W7" s="29">
        <f t="shared" ref="W7:W16" si="10">H7-(H7*0.07)</f>
        <v>20.019226491115603</v>
      </c>
      <c r="X7" s="30">
        <v>58</v>
      </c>
      <c r="Y7" s="5">
        <f t="shared" ref="Y7:Y16" si="11">(X7-H7)/H7</f>
        <v>1.694409797698138</v>
      </c>
      <c r="Z7" s="33">
        <f t="shared" ref="Z7:Z16" si="12">F7/F$19</f>
        <v>0.12320787591487078</v>
      </c>
      <c r="AA7" s="9"/>
      <c r="AB7" s="31">
        <v>45497</v>
      </c>
      <c r="AC7" s="9">
        <v>60</v>
      </c>
    </row>
    <row r="8" spans="1:31" x14ac:dyDescent="0.25">
      <c r="A8" t="s">
        <v>105</v>
      </c>
      <c r="B8" t="s">
        <v>33</v>
      </c>
      <c r="C8" s="26" t="s">
        <v>106</v>
      </c>
      <c r="D8" s="2">
        <f>2972.4372+3509.2812</f>
        <v>6481.7183999999997</v>
      </c>
      <c r="E8" s="27">
        <v>9.25</v>
      </c>
      <c r="F8" s="3">
        <f t="shared" si="0"/>
        <v>59955.895199999999</v>
      </c>
      <c r="G8" s="3">
        <f>23794.37+31996.67</f>
        <v>55791.039999999994</v>
      </c>
      <c r="H8" s="4">
        <f t="shared" si="1"/>
        <v>8.6074458279458721</v>
      </c>
      <c r="I8" s="3">
        <f t="shared" si="2"/>
        <v>4164.8552000000054</v>
      </c>
      <c r="J8" s="27">
        <f t="shared" si="3"/>
        <v>0.6425541720541279</v>
      </c>
      <c r="K8" s="28">
        <v>45378</v>
      </c>
      <c r="L8">
        <f t="shared" si="4"/>
        <v>57</v>
      </c>
      <c r="M8" s="5">
        <f t="shared" si="5"/>
        <v>7.4650969044491838E-2</v>
      </c>
      <c r="N8">
        <v>7</v>
      </c>
      <c r="O8">
        <v>97</v>
      </c>
      <c r="P8" s="34">
        <v>99</v>
      </c>
      <c r="Q8" s="29">
        <v>6.76</v>
      </c>
      <c r="R8" s="30">
        <f t="shared" si="6"/>
        <v>6.2868000000000004</v>
      </c>
      <c r="S8" s="30">
        <v>7.21</v>
      </c>
      <c r="T8" s="32">
        <f t="shared" si="7"/>
        <v>8.4499999999999993</v>
      </c>
      <c r="U8" s="29">
        <f t="shared" si="8"/>
        <v>10.14</v>
      </c>
      <c r="V8" s="29">
        <f t="shared" si="9"/>
        <v>13.52</v>
      </c>
      <c r="W8" s="29">
        <f t="shared" si="10"/>
        <v>8.0049246199896604</v>
      </c>
      <c r="X8" s="30">
        <v>8.75</v>
      </c>
      <c r="Y8" s="5">
        <f t="shared" si="11"/>
        <v>1.6561727474519328E-2</v>
      </c>
      <c r="Z8" s="6">
        <f t="shared" si="12"/>
        <v>8.2509798085660099E-2</v>
      </c>
      <c r="AB8" s="31">
        <v>45531</v>
      </c>
      <c r="AC8" s="9">
        <v>99</v>
      </c>
    </row>
    <row r="9" spans="1:31" x14ac:dyDescent="0.25">
      <c r="A9" t="s">
        <v>109</v>
      </c>
      <c r="B9" t="s">
        <v>33</v>
      </c>
      <c r="C9" s="26" t="s">
        <v>107</v>
      </c>
      <c r="D9" s="2">
        <v>828.40229999999997</v>
      </c>
      <c r="E9" s="27">
        <v>67.709999999999994</v>
      </c>
      <c r="F9" s="3">
        <f t="shared" si="0"/>
        <v>56091.119732999992</v>
      </c>
      <c r="G9" s="3">
        <v>47623.59</v>
      </c>
      <c r="H9" s="4">
        <f t="shared" si="1"/>
        <v>57.488481140141687</v>
      </c>
      <c r="I9" s="3">
        <f t="shared" si="2"/>
        <v>8467.5297329999958</v>
      </c>
      <c r="J9" s="27">
        <f t="shared" si="3"/>
        <v>10.221518859858307</v>
      </c>
      <c r="K9" s="28">
        <v>45378</v>
      </c>
      <c r="L9">
        <f t="shared" si="4"/>
        <v>57</v>
      </c>
      <c r="M9" s="5">
        <f t="shared" si="5"/>
        <v>0.1778011639399717</v>
      </c>
      <c r="N9">
        <v>7</v>
      </c>
      <c r="O9">
        <v>92</v>
      </c>
      <c r="P9" s="34">
        <v>97</v>
      </c>
      <c r="Q9" s="29">
        <v>57.16</v>
      </c>
      <c r="R9" s="30">
        <f t="shared" si="6"/>
        <v>53.158799999999999</v>
      </c>
      <c r="S9" s="30">
        <v>60.15</v>
      </c>
      <c r="T9" s="29">
        <f t="shared" si="7"/>
        <v>71.449999999999989</v>
      </c>
      <c r="U9" s="29">
        <f t="shared" si="8"/>
        <v>85.74</v>
      </c>
      <c r="V9" s="29">
        <f t="shared" si="9"/>
        <v>114.32</v>
      </c>
      <c r="W9" s="29">
        <f t="shared" si="10"/>
        <v>53.464287460331768</v>
      </c>
      <c r="X9" s="30">
        <v>65</v>
      </c>
      <c r="Y9" s="5">
        <f t="shared" si="11"/>
        <v>0.13066128571995528</v>
      </c>
      <c r="Z9" s="6">
        <f t="shared" si="12"/>
        <v>7.7191191093555947E-2</v>
      </c>
      <c r="AB9" s="31">
        <v>45504</v>
      </c>
      <c r="AC9" s="9">
        <v>99</v>
      </c>
    </row>
    <row r="10" spans="1:31" x14ac:dyDescent="0.25">
      <c r="A10" t="s">
        <v>121</v>
      </c>
      <c r="B10" t="s">
        <v>33</v>
      </c>
      <c r="C10" s="26" t="s">
        <v>122</v>
      </c>
      <c r="D10" s="2">
        <f>1366.874+867.842</f>
        <v>2234.7159999999999</v>
      </c>
      <c r="E10" s="27">
        <v>25.46</v>
      </c>
      <c r="F10" s="3">
        <f t="shared" si="0"/>
        <v>56895.869359999997</v>
      </c>
      <c r="G10" s="3">
        <f>36957.24+22924.55</f>
        <v>59881.789999999994</v>
      </c>
      <c r="H10" s="4">
        <f t="shared" si="1"/>
        <v>26.796152173251542</v>
      </c>
      <c r="I10" s="3">
        <f t="shared" si="2"/>
        <v>-2985.9206399999966</v>
      </c>
      <c r="J10" s="27">
        <f t="shared" si="3"/>
        <v>-1.3361521732515413</v>
      </c>
      <c r="K10" s="28">
        <v>45421</v>
      </c>
      <c r="L10">
        <f t="shared" si="4"/>
        <v>15</v>
      </c>
      <c r="M10" s="5">
        <f t="shared" si="5"/>
        <v>-4.9863583570230567E-2</v>
      </c>
      <c r="N10">
        <v>85</v>
      </c>
      <c r="O10">
        <v>90</v>
      </c>
      <c r="P10" s="34">
        <v>35</v>
      </c>
      <c r="Q10" s="29">
        <v>25.63</v>
      </c>
      <c r="R10" s="30">
        <f t="shared" si="6"/>
        <v>23.835899999999999</v>
      </c>
      <c r="S10" s="30">
        <v>21.53</v>
      </c>
      <c r="T10" s="32">
        <f t="shared" si="7"/>
        <v>32.037500000000001</v>
      </c>
      <c r="U10" s="29">
        <f t="shared" si="8"/>
        <v>38.445</v>
      </c>
      <c r="V10" s="29">
        <f t="shared" si="9"/>
        <v>51.26</v>
      </c>
      <c r="W10" s="29">
        <f t="shared" si="10"/>
        <v>24.920421521123934</v>
      </c>
      <c r="X10" s="30">
        <v>24.75</v>
      </c>
      <c r="Y10" s="5">
        <f t="shared" si="11"/>
        <v>-7.6359925112458954E-2</v>
      </c>
      <c r="Z10" s="6">
        <f t="shared" si="12"/>
        <v>7.8298667331076641E-2</v>
      </c>
      <c r="AB10" s="31">
        <v>45511</v>
      </c>
      <c r="AC10" s="9">
        <v>75</v>
      </c>
    </row>
    <row r="11" spans="1:31" x14ac:dyDescent="0.25">
      <c r="A11" t="s">
        <v>126</v>
      </c>
      <c r="B11" t="s">
        <v>33</v>
      </c>
      <c r="C11" s="26" t="s">
        <v>127</v>
      </c>
      <c r="D11" s="2">
        <v>494.90359999999998</v>
      </c>
      <c r="E11" s="27">
        <v>117.51</v>
      </c>
      <c r="F11" s="3">
        <f t="shared" si="0"/>
        <v>58156.122036000001</v>
      </c>
      <c r="G11" s="3">
        <v>59378.55</v>
      </c>
      <c r="H11" s="4">
        <f t="shared" si="1"/>
        <v>119.9800324750113</v>
      </c>
      <c r="I11" s="3">
        <f t="shared" si="2"/>
        <v>-1222.4279640000022</v>
      </c>
      <c r="J11" s="27">
        <f t="shared" si="3"/>
        <v>-2.4700324750112941</v>
      </c>
      <c r="K11" s="28">
        <v>45422</v>
      </c>
      <c r="L11">
        <f t="shared" si="4"/>
        <v>14</v>
      </c>
      <c r="M11" s="5">
        <f t="shared" si="5"/>
        <v>-2.0587029558653793E-2</v>
      </c>
      <c r="N11">
        <v>15</v>
      </c>
      <c r="O11">
        <v>95</v>
      </c>
      <c r="P11" s="34">
        <v>59</v>
      </c>
      <c r="Q11" s="29">
        <v>121</v>
      </c>
      <c r="R11" s="30">
        <f t="shared" si="6"/>
        <v>112.53</v>
      </c>
      <c r="S11" s="30">
        <v>110.91</v>
      </c>
      <c r="T11" s="29">
        <f t="shared" si="7"/>
        <v>151.25</v>
      </c>
      <c r="U11" s="29">
        <f t="shared" si="8"/>
        <v>181.5</v>
      </c>
      <c r="V11" s="29">
        <f t="shared" si="9"/>
        <v>242</v>
      </c>
      <c r="W11" s="29">
        <f t="shared" si="10"/>
        <v>111.58143020176051</v>
      </c>
      <c r="X11" s="30">
        <v>115</v>
      </c>
      <c r="Y11" s="5">
        <f t="shared" si="11"/>
        <v>-4.1507177255086257E-2</v>
      </c>
      <c r="Z11" s="6">
        <f t="shared" si="12"/>
        <v>8.0032995431537954E-2</v>
      </c>
      <c r="AB11" s="31">
        <v>45496</v>
      </c>
      <c r="AC11" s="9">
        <v>90</v>
      </c>
    </row>
    <row r="12" spans="1:31" x14ac:dyDescent="0.25">
      <c r="A12" t="s">
        <v>128</v>
      </c>
      <c r="B12" t="s">
        <v>33</v>
      </c>
      <c r="C12" s="26" t="s">
        <v>129</v>
      </c>
      <c r="D12" s="2">
        <v>390.4513</v>
      </c>
      <c r="E12" s="27">
        <v>160</v>
      </c>
      <c r="F12" s="3">
        <f t="shared" si="0"/>
        <v>62472.207999999999</v>
      </c>
      <c r="G12" s="3">
        <v>58706.59</v>
      </c>
      <c r="H12" s="4">
        <f t="shared" si="1"/>
        <v>150.35572938289613</v>
      </c>
      <c r="I12" s="3">
        <f t="shared" si="2"/>
        <v>3765.6180000000022</v>
      </c>
      <c r="J12" s="27">
        <f t="shared" si="3"/>
        <v>9.6442706171038708</v>
      </c>
      <c r="K12" s="28">
        <v>45426</v>
      </c>
      <c r="L12">
        <f t="shared" si="4"/>
        <v>10</v>
      </c>
      <c r="M12" s="5">
        <f t="shared" si="5"/>
        <v>6.4143020400265163E-2</v>
      </c>
      <c r="N12">
        <v>79</v>
      </c>
      <c r="O12">
        <v>94</v>
      </c>
      <c r="P12" s="34">
        <v>81</v>
      </c>
      <c r="Q12" s="29">
        <v>148.43</v>
      </c>
      <c r="R12" s="30">
        <f t="shared" si="6"/>
        <v>138.03990000000002</v>
      </c>
      <c r="S12" s="30">
        <v>125.78</v>
      </c>
      <c r="T12" s="29">
        <f t="shared" si="7"/>
        <v>185.53750000000002</v>
      </c>
      <c r="U12" s="29">
        <f t="shared" si="8"/>
        <v>222.64500000000001</v>
      </c>
      <c r="V12" s="29">
        <f t="shared" si="9"/>
        <v>296.86</v>
      </c>
      <c r="W12" s="29">
        <f t="shared" si="10"/>
        <v>139.83082832609341</v>
      </c>
      <c r="X12" s="30">
        <v>139</v>
      </c>
      <c r="Y12" s="5">
        <f t="shared" si="11"/>
        <v>-7.552575102726955E-2</v>
      </c>
      <c r="Z12" s="6">
        <f t="shared" si="12"/>
        <v>8.5972684601753044E-2</v>
      </c>
      <c r="AB12" s="31">
        <v>45491</v>
      </c>
      <c r="AC12" s="9">
        <v>95</v>
      </c>
    </row>
    <row r="13" spans="1:31" x14ac:dyDescent="0.25">
      <c r="A13" t="s">
        <v>131</v>
      </c>
      <c r="B13" t="s">
        <v>33</v>
      </c>
      <c r="C13" s="26" t="s">
        <v>132</v>
      </c>
      <c r="D13" s="2">
        <f>1542.0192+932.4994</f>
        <v>2474.5185999999999</v>
      </c>
      <c r="E13" s="27">
        <v>29.12</v>
      </c>
      <c r="F13" s="3">
        <f t="shared" si="0"/>
        <v>72057.981631999995</v>
      </c>
      <c r="G13" s="3">
        <f>44039.07+27471.43</f>
        <v>71510.5</v>
      </c>
      <c r="H13" s="4">
        <f t="shared" si="1"/>
        <v>28.898752266400425</v>
      </c>
      <c r="I13" s="3">
        <f t="shared" si="2"/>
        <v>547.48163199999544</v>
      </c>
      <c r="J13" s="27">
        <f t="shared" si="3"/>
        <v>0.22124773359957572</v>
      </c>
      <c r="K13" s="28">
        <v>45426</v>
      </c>
      <c r="L13">
        <f t="shared" si="4"/>
        <v>10</v>
      </c>
      <c r="M13" s="5">
        <f t="shared" si="5"/>
        <v>7.6559614602050808E-3</v>
      </c>
      <c r="N13">
        <v>29</v>
      </c>
      <c r="O13">
        <v>97</v>
      </c>
      <c r="P13" s="34">
        <v>72</v>
      </c>
      <c r="Q13" s="29">
        <v>27.47</v>
      </c>
      <c r="R13" s="30">
        <f t="shared" si="6"/>
        <v>25.5471</v>
      </c>
      <c r="S13" s="30">
        <v>25.73</v>
      </c>
      <c r="T13" s="32">
        <f t="shared" si="7"/>
        <v>34.337499999999999</v>
      </c>
      <c r="U13" s="29">
        <f t="shared" si="8"/>
        <v>41.204999999999998</v>
      </c>
      <c r="V13" s="29">
        <f t="shared" si="9"/>
        <v>54.94</v>
      </c>
      <c r="W13" s="29">
        <f t="shared" si="10"/>
        <v>26.875839607752397</v>
      </c>
      <c r="X13" s="30">
        <v>27</v>
      </c>
      <c r="Y13" s="5">
        <f t="shared" si="11"/>
        <v>-6.570360716258461E-2</v>
      </c>
      <c r="Z13" s="6">
        <f t="shared" si="12"/>
        <v>9.9164385671895089E-2</v>
      </c>
      <c r="AB13" s="31">
        <v>45513</v>
      </c>
      <c r="AC13" s="9">
        <v>99</v>
      </c>
    </row>
    <row r="14" spans="1:31" x14ac:dyDescent="0.25">
      <c r="A14" t="s">
        <v>133</v>
      </c>
      <c r="B14" t="s">
        <v>33</v>
      </c>
      <c r="C14" s="26" t="s">
        <v>134</v>
      </c>
      <c r="D14" s="2">
        <v>94.066800000000001</v>
      </c>
      <c r="E14" s="27">
        <v>1060.24</v>
      </c>
      <c r="F14" s="3">
        <f t="shared" si="0"/>
        <v>99733.384032000002</v>
      </c>
      <c r="G14" s="3">
        <v>88627.87</v>
      </c>
      <c r="H14" s="4">
        <f t="shared" si="1"/>
        <v>942.18013156607856</v>
      </c>
      <c r="I14" s="3">
        <f t="shared" si="2"/>
        <v>11105.514032000006</v>
      </c>
      <c r="J14" s="27">
        <f t="shared" si="3"/>
        <v>118.05986843392145</v>
      </c>
      <c r="K14" s="28">
        <v>45427</v>
      </c>
      <c r="L14">
        <f t="shared" si="4"/>
        <v>9</v>
      </c>
      <c r="M14" s="5">
        <f t="shared" si="5"/>
        <v>0.12530498625319561</v>
      </c>
      <c r="N14">
        <v>8</v>
      </c>
      <c r="O14">
        <v>98</v>
      </c>
      <c r="P14" s="34">
        <v>99</v>
      </c>
      <c r="Q14" s="29">
        <v>922.2</v>
      </c>
      <c r="R14" s="30">
        <f t="shared" si="6"/>
        <v>857.64600000000007</v>
      </c>
      <c r="S14" s="30">
        <v>812.55</v>
      </c>
      <c r="T14" s="32">
        <f t="shared" si="7"/>
        <v>1152.75</v>
      </c>
      <c r="U14" s="29">
        <f t="shared" si="8"/>
        <v>1383.3000000000002</v>
      </c>
      <c r="V14" s="29">
        <f t="shared" si="9"/>
        <v>1844.4</v>
      </c>
      <c r="W14" s="29">
        <f t="shared" si="10"/>
        <v>876.22752235645305</v>
      </c>
      <c r="X14" s="30">
        <v>920</v>
      </c>
      <c r="Y14" s="5">
        <f t="shared" si="11"/>
        <v>-2.3541285602373143E-2</v>
      </c>
      <c r="Z14" s="6">
        <f t="shared" si="12"/>
        <v>0.13725057980420111</v>
      </c>
      <c r="AB14" s="31">
        <v>45519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44784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91.77</v>
      </c>
      <c r="F16" s="57">
        <f t="shared" si="0"/>
        <v>33378.015425999998</v>
      </c>
      <c r="G16" s="38">
        <v>25401.360000000001</v>
      </c>
      <c r="H16" s="39">
        <f t="shared" si="1"/>
        <v>69.838867813099199</v>
      </c>
      <c r="I16" s="38">
        <f t="shared" si="2"/>
        <v>7976.6554259999975</v>
      </c>
      <c r="J16" s="37">
        <f t="shared" si="3"/>
        <v>21.931132186900797</v>
      </c>
      <c r="K16" s="40"/>
      <c r="L16" s="35"/>
      <c r="M16" s="41">
        <f t="shared" si="5"/>
        <v>0.31402473828172967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64.950147066182254</v>
      </c>
      <c r="X16" s="43"/>
      <c r="Y16" s="41">
        <f t="shared" si="11"/>
        <v>-1</v>
      </c>
      <c r="Z16" s="44">
        <f t="shared" si="12"/>
        <v>4.5933987043517747E-2</v>
      </c>
      <c r="AB16" s="31"/>
      <c r="AC16" s="9"/>
    </row>
    <row r="17" spans="1:26" x14ac:dyDescent="0.25">
      <c r="A17" t="s">
        <v>53</v>
      </c>
      <c r="F17" s="3">
        <f>SUM(F6:F16)</f>
        <v>588269.82306900003</v>
      </c>
      <c r="G17" s="3">
        <f>SUM(G6:G16)</f>
        <v>497633.80999999994</v>
      </c>
      <c r="H17" s="4"/>
      <c r="I17" s="3">
        <f>SUM(I6:I16)</f>
        <v>90636.013069000008</v>
      </c>
      <c r="M17" s="5"/>
      <c r="Z17" s="6"/>
    </row>
    <row r="18" spans="1:26" x14ac:dyDescent="0.25">
      <c r="D18" s="2" t="s">
        <v>54</v>
      </c>
      <c r="F18" s="3">
        <v>138382</v>
      </c>
      <c r="G18" s="6">
        <f>F18/F19</f>
        <v>0.19043783502193151</v>
      </c>
      <c r="H18" s="4"/>
      <c r="M18" s="5"/>
      <c r="Z18" s="6"/>
    </row>
    <row r="19" spans="1:26" x14ac:dyDescent="0.25">
      <c r="D19" s="2" t="s">
        <v>55</v>
      </c>
      <c r="F19" s="3">
        <f>SUM(F17:F18)</f>
        <v>726651.82306900003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'05-17-24'!F19</f>
        <v>731915.42148299993</v>
      </c>
      <c r="K20" s="1">
        <v>45291</v>
      </c>
      <c r="L20" s="47">
        <v>139707.06</v>
      </c>
      <c r="M20" s="47">
        <v>165625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-7.1915391580831007E-3</v>
      </c>
      <c r="K21" s="9" t="s">
        <v>58</v>
      </c>
      <c r="L21" s="6">
        <f>(M20-L20)/L20</f>
        <v>0.18551632251083089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1" si="13">F25/D25</f>
        <v>47.428061535569462</v>
      </c>
      <c r="F25" s="3">
        <v>38349.050000000003</v>
      </c>
      <c r="G25" s="3">
        <v>35186.18</v>
      </c>
      <c r="H25" s="3">
        <f t="shared" ref="H25:H41" si="14">G25/D25</f>
        <v>43.516392459307944</v>
      </c>
      <c r="I25" s="3">
        <f t="shared" ref="I25:I41" si="15">G25-F25</f>
        <v>-3162.8700000000026</v>
      </c>
      <c r="J25" s="5">
        <f t="shared" ref="J25:J41" si="16">I25/F25</f>
        <v>-8.2475837080710018E-2</v>
      </c>
      <c r="K25" s="1">
        <v>45286</v>
      </c>
      <c r="L25" s="1">
        <v>45302</v>
      </c>
      <c r="M25">
        <f t="shared" ref="M25:M41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5" spans="1:15" x14ac:dyDescent="0.25">
      <c r="J45" s="13" t="s">
        <v>68</v>
      </c>
    </row>
    <row r="46" spans="1:15" x14ac:dyDescent="0.25">
      <c r="H46" s="3" t="s">
        <v>69</v>
      </c>
      <c r="I46" s="55">
        <v>9</v>
      </c>
      <c r="J46" s="5">
        <v>-8.1299999999999997E-2</v>
      </c>
    </row>
    <row r="47" spans="1:15" x14ac:dyDescent="0.25">
      <c r="H47" s="3" t="s">
        <v>70</v>
      </c>
      <c r="I47" s="55">
        <v>8</v>
      </c>
      <c r="J47" s="5">
        <v>0.17760000000000001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F657-0A44-4D19-A6B8-904E7B188875}">
  <dimension ref="A1:AE197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45443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78</v>
      </c>
      <c r="B7" t="s">
        <v>33</v>
      </c>
      <c r="C7" s="26" t="s">
        <v>79</v>
      </c>
      <c r="D7" s="2">
        <f>1286.8297+948.5633-808.6324</f>
        <v>1426.7606000000001</v>
      </c>
      <c r="E7" s="27">
        <v>62.26</v>
      </c>
      <c r="F7" s="3">
        <f t="shared" ref="F7:F15" si="0">E7*D7</f>
        <v>88830.114956000005</v>
      </c>
      <c r="G7" s="3">
        <f>28174.78+19947.6-17409.86</f>
        <v>30712.519999999997</v>
      </c>
      <c r="H7" s="4">
        <f t="shared" ref="H7:H15" si="1">G7/D7</f>
        <v>21.526049990446886</v>
      </c>
      <c r="I7" s="3">
        <f t="shared" ref="I7:I15" si="2">F7-G7</f>
        <v>58117.594956000008</v>
      </c>
      <c r="J7" s="27">
        <f t="shared" ref="J7:J15" si="3">E7-H7</f>
        <v>40.733950009553112</v>
      </c>
      <c r="K7" s="28">
        <v>45309</v>
      </c>
      <c r="L7">
        <f t="shared" ref="L7:L15" si="4">DAYS360(K7,$C$1)</f>
        <v>133</v>
      </c>
      <c r="M7" s="5">
        <f t="shared" ref="M7:M15" si="5">(I7/G7)</f>
        <v>1.8923095518049322</v>
      </c>
      <c r="N7">
        <v>36</v>
      </c>
      <c r="O7">
        <v>99</v>
      </c>
      <c r="P7">
        <v>21</v>
      </c>
      <c r="Q7" s="29">
        <v>20.03</v>
      </c>
      <c r="R7" s="30">
        <f t="shared" ref="R7:R15" si="6">Q7*0.93</f>
        <v>18.6279</v>
      </c>
      <c r="S7" s="30">
        <v>60.3</v>
      </c>
      <c r="T7" s="32">
        <f t="shared" ref="T7:T15" si="7">Q7*1.25</f>
        <v>25.037500000000001</v>
      </c>
      <c r="U7" s="29">
        <f t="shared" ref="U7:U15" si="8">Q7*1.5</f>
        <v>30.045000000000002</v>
      </c>
      <c r="V7" s="29">
        <f t="shared" ref="V7:V15" si="9">Q7*2</f>
        <v>40.06</v>
      </c>
      <c r="W7" s="29">
        <f t="shared" ref="W7:W15" si="10">H7-(H7*0.07)</f>
        <v>20.019226491115603</v>
      </c>
      <c r="X7" s="30">
        <v>58</v>
      </c>
      <c r="Y7" s="5">
        <f t="shared" ref="Y7:Y15" si="11">(X7-H7)/H7</f>
        <v>1.694409797698138</v>
      </c>
      <c r="Z7" s="33">
        <f t="shared" ref="Z7:Z15" si="12">F7/F$19</f>
        <v>0.12333782406718863</v>
      </c>
      <c r="AA7" s="9"/>
      <c r="AB7" s="31">
        <v>45497</v>
      </c>
      <c r="AC7" s="9">
        <v>59</v>
      </c>
    </row>
    <row r="8" spans="1:31" x14ac:dyDescent="0.25">
      <c r="A8" t="s">
        <v>105</v>
      </c>
      <c r="B8" t="s">
        <v>33</v>
      </c>
      <c r="C8" s="26" t="s">
        <v>106</v>
      </c>
      <c r="D8" s="2">
        <f>2972.4372+3509.2812</f>
        <v>6481.7183999999997</v>
      </c>
      <c r="E8" s="27">
        <v>9.1</v>
      </c>
      <c r="F8" s="3">
        <f t="shared" si="0"/>
        <v>58983.637439999999</v>
      </c>
      <c r="G8" s="3">
        <f>23794.37+31996.67</f>
        <v>55791.039999999994</v>
      </c>
      <c r="H8" s="4">
        <f t="shared" si="1"/>
        <v>8.6074458279458721</v>
      </c>
      <c r="I8" s="3">
        <f t="shared" si="2"/>
        <v>3192.597440000005</v>
      </c>
      <c r="J8" s="27">
        <f t="shared" si="3"/>
        <v>0.49255417205412755</v>
      </c>
      <c r="K8" s="28">
        <v>45378</v>
      </c>
      <c r="L8">
        <f t="shared" si="4"/>
        <v>64</v>
      </c>
      <c r="M8" s="5">
        <f t="shared" si="5"/>
        <v>5.7224196573500072E-2</v>
      </c>
      <c r="N8">
        <v>17</v>
      </c>
      <c r="O8">
        <v>97</v>
      </c>
      <c r="P8" s="34">
        <v>99</v>
      </c>
      <c r="Q8" s="29">
        <v>6.76</v>
      </c>
      <c r="R8" s="30">
        <f t="shared" si="6"/>
        <v>6.2868000000000004</v>
      </c>
      <c r="S8" s="30">
        <v>7.21</v>
      </c>
      <c r="T8" s="32">
        <f t="shared" si="7"/>
        <v>8.4499999999999993</v>
      </c>
      <c r="U8" s="29">
        <f t="shared" si="8"/>
        <v>10.14</v>
      </c>
      <c r="V8" s="29">
        <f t="shared" si="9"/>
        <v>13.52</v>
      </c>
      <c r="W8" s="29">
        <f t="shared" si="10"/>
        <v>8.0049246199896604</v>
      </c>
      <c r="X8" s="30">
        <v>8.75</v>
      </c>
      <c r="Y8" s="5">
        <f t="shared" si="11"/>
        <v>1.6561727474519328E-2</v>
      </c>
      <c r="Z8" s="6">
        <f t="shared" si="12"/>
        <v>8.1896927646902457E-2</v>
      </c>
      <c r="AB8" s="31">
        <v>45531</v>
      </c>
      <c r="AC8" s="9">
        <v>99</v>
      </c>
    </row>
    <row r="9" spans="1:31" x14ac:dyDescent="0.25">
      <c r="A9" t="s">
        <v>109</v>
      </c>
      <c r="B9" t="s">
        <v>33</v>
      </c>
      <c r="C9" s="26" t="s">
        <v>107</v>
      </c>
      <c r="D9" s="2">
        <v>828.40229999999997</v>
      </c>
      <c r="E9" s="27">
        <v>68.209999999999994</v>
      </c>
      <c r="F9" s="3">
        <f t="shared" si="0"/>
        <v>56505.320882999993</v>
      </c>
      <c r="G9" s="3">
        <v>47623.59</v>
      </c>
      <c r="H9" s="4">
        <f t="shared" si="1"/>
        <v>57.488481140141687</v>
      </c>
      <c r="I9" s="3">
        <f t="shared" si="2"/>
        <v>8881.7308829999965</v>
      </c>
      <c r="J9" s="27">
        <f t="shared" si="3"/>
        <v>10.721518859858307</v>
      </c>
      <c r="K9" s="28">
        <v>45378</v>
      </c>
      <c r="L9">
        <f t="shared" si="4"/>
        <v>64</v>
      </c>
      <c r="M9" s="5">
        <f t="shared" si="5"/>
        <v>0.18649855844550983</v>
      </c>
      <c r="N9">
        <v>17</v>
      </c>
      <c r="O9">
        <v>92</v>
      </c>
      <c r="P9" s="34">
        <v>97</v>
      </c>
      <c r="Q9" s="29">
        <v>57.16</v>
      </c>
      <c r="R9" s="30">
        <f t="shared" si="6"/>
        <v>53.158799999999999</v>
      </c>
      <c r="S9" s="30">
        <v>60.15</v>
      </c>
      <c r="T9" s="29">
        <f t="shared" si="7"/>
        <v>71.449999999999989</v>
      </c>
      <c r="U9" s="29">
        <f t="shared" si="8"/>
        <v>85.74</v>
      </c>
      <c r="V9" s="29">
        <f t="shared" si="9"/>
        <v>114.32</v>
      </c>
      <c r="W9" s="29">
        <f t="shared" si="10"/>
        <v>53.464287460331768</v>
      </c>
      <c r="X9" s="30">
        <v>65</v>
      </c>
      <c r="Y9" s="5">
        <f t="shared" si="11"/>
        <v>0.13066128571995528</v>
      </c>
      <c r="Z9" s="6">
        <f t="shared" si="12"/>
        <v>7.8455862962459863E-2</v>
      </c>
      <c r="AB9" s="31">
        <v>45504</v>
      </c>
      <c r="AC9" s="9">
        <v>99</v>
      </c>
    </row>
    <row r="10" spans="1:31" x14ac:dyDescent="0.25">
      <c r="A10" t="s">
        <v>126</v>
      </c>
      <c r="B10" t="s">
        <v>33</v>
      </c>
      <c r="C10" s="26" t="s">
        <v>127</v>
      </c>
      <c r="D10" s="2">
        <v>494.90359999999998</v>
      </c>
      <c r="E10" s="27">
        <v>118.63</v>
      </c>
      <c r="F10" s="3">
        <f t="shared" si="0"/>
        <v>58710.414067999998</v>
      </c>
      <c r="G10" s="3">
        <v>59378.55</v>
      </c>
      <c r="H10" s="4">
        <f t="shared" si="1"/>
        <v>119.9800324750113</v>
      </c>
      <c r="I10" s="3">
        <f t="shared" si="2"/>
        <v>-668.13593200000469</v>
      </c>
      <c r="J10" s="27">
        <f t="shared" si="3"/>
        <v>-1.3500324750113037</v>
      </c>
      <c r="K10" s="28">
        <v>45422</v>
      </c>
      <c r="L10">
        <f t="shared" si="4"/>
        <v>21</v>
      </c>
      <c r="M10" s="5">
        <f t="shared" si="5"/>
        <v>-1.1252142937138153E-2</v>
      </c>
      <c r="N10">
        <v>14</v>
      </c>
      <c r="O10">
        <v>96</v>
      </c>
      <c r="P10" s="34">
        <v>59</v>
      </c>
      <c r="Q10" s="29">
        <v>121</v>
      </c>
      <c r="R10" s="30">
        <f t="shared" si="6"/>
        <v>112.53</v>
      </c>
      <c r="S10" s="30">
        <v>110.91</v>
      </c>
      <c r="T10" s="29">
        <f t="shared" si="7"/>
        <v>151.25</v>
      </c>
      <c r="U10" s="29">
        <f t="shared" si="8"/>
        <v>181.5</v>
      </c>
      <c r="V10" s="29">
        <f t="shared" si="9"/>
        <v>242</v>
      </c>
      <c r="W10" s="29">
        <f t="shared" si="10"/>
        <v>111.58143020176051</v>
      </c>
      <c r="X10" s="30">
        <v>115</v>
      </c>
      <c r="Y10" s="5">
        <f t="shared" si="11"/>
        <v>-4.1507177255086257E-2</v>
      </c>
      <c r="Z10" s="6">
        <f t="shared" si="12"/>
        <v>8.1517565578042447E-2</v>
      </c>
      <c r="AB10" s="31">
        <v>45496</v>
      </c>
      <c r="AC10" s="9">
        <v>91</v>
      </c>
    </row>
    <row r="11" spans="1:31" x14ac:dyDescent="0.25">
      <c r="A11" t="s">
        <v>128</v>
      </c>
      <c r="B11" t="s">
        <v>33</v>
      </c>
      <c r="C11" s="26" t="s">
        <v>129</v>
      </c>
      <c r="D11" s="2">
        <v>390.4513</v>
      </c>
      <c r="E11" s="27">
        <v>151.04</v>
      </c>
      <c r="F11" s="3">
        <f t="shared" si="0"/>
        <v>58973.764351999998</v>
      </c>
      <c r="G11" s="3">
        <v>58706.59</v>
      </c>
      <c r="H11" s="4">
        <f t="shared" si="1"/>
        <v>150.35572938289613</v>
      </c>
      <c r="I11" s="3">
        <f t="shared" si="2"/>
        <v>267.17435200000182</v>
      </c>
      <c r="J11" s="27">
        <f t="shared" si="3"/>
        <v>0.68427061710386283</v>
      </c>
      <c r="K11" s="28">
        <v>45426</v>
      </c>
      <c r="L11">
        <f t="shared" si="4"/>
        <v>17</v>
      </c>
      <c r="M11" s="5">
        <f t="shared" si="5"/>
        <v>4.5510112578502999E-3</v>
      </c>
      <c r="N11">
        <v>65</v>
      </c>
      <c r="O11">
        <v>93</v>
      </c>
      <c r="P11" s="34">
        <v>81</v>
      </c>
      <c r="Q11" s="29">
        <v>148.43</v>
      </c>
      <c r="R11" s="30">
        <f t="shared" si="6"/>
        <v>138.03990000000002</v>
      </c>
      <c r="S11" s="30">
        <v>125.78</v>
      </c>
      <c r="T11" s="29">
        <f t="shared" si="7"/>
        <v>185.53750000000002</v>
      </c>
      <c r="U11" s="29">
        <f t="shared" si="8"/>
        <v>222.64500000000001</v>
      </c>
      <c r="V11" s="29">
        <f t="shared" si="9"/>
        <v>296.86</v>
      </c>
      <c r="W11" s="29">
        <f t="shared" si="10"/>
        <v>139.83082832609341</v>
      </c>
      <c r="X11" s="30">
        <v>142</v>
      </c>
      <c r="Y11" s="5">
        <f t="shared" si="11"/>
        <v>-5.5573069394764571E-2</v>
      </c>
      <c r="Z11" s="6">
        <f t="shared" si="12"/>
        <v>8.1883219174372093E-2</v>
      </c>
      <c r="AB11" s="31">
        <v>45491</v>
      </c>
      <c r="AC11" s="9">
        <v>94</v>
      </c>
    </row>
    <row r="12" spans="1:31" x14ac:dyDescent="0.25">
      <c r="A12" t="s">
        <v>131</v>
      </c>
      <c r="B12" t="s">
        <v>33</v>
      </c>
      <c r="C12" s="26" t="s">
        <v>132</v>
      </c>
      <c r="D12" s="2">
        <f>1542.0192+932.4994</f>
        <v>2474.5185999999999</v>
      </c>
      <c r="E12" s="27">
        <v>27.79</v>
      </c>
      <c r="F12" s="3">
        <f t="shared" si="0"/>
        <v>68766.871893999996</v>
      </c>
      <c r="G12" s="3">
        <f>44039.07+27471.43</f>
        <v>71510.5</v>
      </c>
      <c r="H12" s="4">
        <f t="shared" si="1"/>
        <v>28.898752266400425</v>
      </c>
      <c r="I12" s="3">
        <f t="shared" si="2"/>
        <v>-2743.6281060000038</v>
      </c>
      <c r="J12" s="27">
        <f t="shared" si="3"/>
        <v>-1.1087522664004261</v>
      </c>
      <c r="K12" s="28">
        <v>45426</v>
      </c>
      <c r="L12">
        <f t="shared" si="4"/>
        <v>17</v>
      </c>
      <c r="M12" s="5">
        <f t="shared" si="5"/>
        <v>-3.8366786779563893E-2</v>
      </c>
      <c r="N12">
        <v>34</v>
      </c>
      <c r="O12">
        <v>96</v>
      </c>
      <c r="P12" s="34">
        <v>72</v>
      </c>
      <c r="Q12" s="29">
        <v>27.47</v>
      </c>
      <c r="R12" s="30">
        <f t="shared" si="6"/>
        <v>25.5471</v>
      </c>
      <c r="S12" s="30">
        <v>25.73</v>
      </c>
      <c r="T12" s="32">
        <f t="shared" si="7"/>
        <v>34.337499999999999</v>
      </c>
      <c r="U12" s="29">
        <f t="shared" si="8"/>
        <v>41.204999999999998</v>
      </c>
      <c r="V12" s="29">
        <f t="shared" si="9"/>
        <v>54.94</v>
      </c>
      <c r="W12" s="29">
        <f t="shared" si="10"/>
        <v>26.875839607752397</v>
      </c>
      <c r="X12" s="30">
        <v>27</v>
      </c>
      <c r="Y12" s="5">
        <f t="shared" si="11"/>
        <v>-6.570360716258461E-2</v>
      </c>
      <c r="Z12" s="6">
        <f t="shared" si="12"/>
        <v>9.5480641351350468E-2</v>
      </c>
      <c r="AB12" s="31">
        <v>45513</v>
      </c>
      <c r="AC12" s="9">
        <v>99</v>
      </c>
    </row>
    <row r="13" spans="1:31" x14ac:dyDescent="0.25">
      <c r="A13" t="s">
        <v>133</v>
      </c>
      <c r="B13" t="s">
        <v>33</v>
      </c>
      <c r="C13" s="26" t="s">
        <v>134</v>
      </c>
      <c r="D13" s="2">
        <v>94.066800000000001</v>
      </c>
      <c r="E13" s="27">
        <v>1095.95</v>
      </c>
      <c r="F13" s="3">
        <f t="shared" si="0"/>
        <v>103092.50946</v>
      </c>
      <c r="G13" s="3">
        <v>88627.87</v>
      </c>
      <c r="H13" s="4">
        <f t="shared" si="1"/>
        <v>942.18013156607856</v>
      </c>
      <c r="I13" s="3">
        <f t="shared" si="2"/>
        <v>14464.639460000006</v>
      </c>
      <c r="J13" s="27">
        <f t="shared" si="3"/>
        <v>153.76986843392149</v>
      </c>
      <c r="K13" s="28">
        <v>45427</v>
      </c>
      <c r="L13">
        <f t="shared" si="4"/>
        <v>16</v>
      </c>
      <c r="M13" s="5">
        <f t="shared" si="5"/>
        <v>0.16320644352617306</v>
      </c>
      <c r="N13">
        <v>4</v>
      </c>
      <c r="O13">
        <v>98</v>
      </c>
      <c r="P13" s="34">
        <v>99</v>
      </c>
      <c r="Q13" s="29">
        <v>922.2</v>
      </c>
      <c r="R13" s="30">
        <f t="shared" si="6"/>
        <v>857.64600000000007</v>
      </c>
      <c r="S13" s="30">
        <v>812.55</v>
      </c>
      <c r="T13" s="32">
        <f t="shared" si="7"/>
        <v>1152.75</v>
      </c>
      <c r="U13" s="29">
        <f t="shared" si="8"/>
        <v>1383.3000000000002</v>
      </c>
      <c r="V13" s="29">
        <f t="shared" si="9"/>
        <v>1844.4</v>
      </c>
      <c r="W13" s="29">
        <f t="shared" si="10"/>
        <v>876.22752235645305</v>
      </c>
      <c r="X13" s="30">
        <v>945</v>
      </c>
      <c r="Y13" s="5">
        <f t="shared" si="11"/>
        <v>2.9929185932145446E-3</v>
      </c>
      <c r="Z13" s="6">
        <f t="shared" si="12"/>
        <v>0.14314071079071158</v>
      </c>
      <c r="AB13" s="31">
        <v>45519</v>
      </c>
      <c r="AC13" s="9">
        <v>99</v>
      </c>
    </row>
    <row r="14" spans="1:31" x14ac:dyDescent="0.25">
      <c r="A14" t="s">
        <v>135</v>
      </c>
      <c r="B14" t="s">
        <v>33</v>
      </c>
      <c r="C14" s="26" t="s">
        <v>136</v>
      </c>
      <c r="D14" s="2">
        <v>389.78429999999997</v>
      </c>
      <c r="E14" s="27">
        <v>155.63999999999999</v>
      </c>
      <c r="F14" s="3">
        <f t="shared" si="0"/>
        <v>60666.028451999991</v>
      </c>
      <c r="G14" s="3">
        <v>59201.71</v>
      </c>
      <c r="H14" s="4">
        <f t="shared" si="1"/>
        <v>151.88325953610754</v>
      </c>
      <c r="I14" s="3">
        <f t="shared" si="2"/>
        <v>1464.3184519999922</v>
      </c>
      <c r="J14" s="27">
        <f t="shared" si="3"/>
        <v>3.7567404638924415</v>
      </c>
      <c r="K14" s="28">
        <v>45440</v>
      </c>
      <c r="L14">
        <f t="shared" si="4"/>
        <v>3</v>
      </c>
      <c r="M14" s="5">
        <f t="shared" si="5"/>
        <v>2.4734394530157865E-2</v>
      </c>
      <c r="N14">
        <v>13</v>
      </c>
      <c r="O14">
        <v>93</v>
      </c>
      <c r="P14" s="34">
        <v>92</v>
      </c>
      <c r="Q14" s="29">
        <v>148.16</v>
      </c>
      <c r="R14" s="30">
        <f t="shared" si="6"/>
        <v>137.78880000000001</v>
      </c>
      <c r="S14" s="30">
        <v>139.01</v>
      </c>
      <c r="T14" s="29">
        <f t="shared" si="7"/>
        <v>185.2</v>
      </c>
      <c r="U14" s="29">
        <f t="shared" si="8"/>
        <v>222.24</v>
      </c>
      <c r="V14" s="29">
        <f t="shared" si="9"/>
        <v>296.32</v>
      </c>
      <c r="W14" s="29">
        <f t="shared" si="10"/>
        <v>141.25143136858003</v>
      </c>
      <c r="X14" s="30">
        <v>142</v>
      </c>
      <c r="Y14" s="5">
        <f t="shared" si="11"/>
        <v>-6.5071421078884445E-2</v>
      </c>
      <c r="Z14" s="33">
        <f t="shared" si="12"/>
        <v>8.4232874715675879E-2</v>
      </c>
      <c r="AB14" s="31">
        <v>45491</v>
      </c>
      <c r="AC14" s="9">
        <v>97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44791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91.79</v>
      </c>
      <c r="F16" s="57">
        <f t="shared" ref="F16" si="13">E16*D16</f>
        <v>33385.289702000002</v>
      </c>
      <c r="G16" s="38">
        <v>25401.360000000001</v>
      </c>
      <c r="H16" s="39">
        <f t="shared" ref="H16" si="14">G16/D16</f>
        <v>69.838867813099199</v>
      </c>
      <c r="I16" s="38">
        <f t="shared" ref="I16" si="15">F16-G16</f>
        <v>7983.9297020000013</v>
      </c>
      <c r="J16" s="37">
        <f t="shared" ref="J16" si="16">E16-H16</f>
        <v>21.951132186900807</v>
      </c>
      <c r="K16" s="40"/>
      <c r="L16" s="35"/>
      <c r="M16" s="41">
        <f t="shared" ref="M16" si="17">(I16/G16)</f>
        <v>0.31431111176724402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64.950147066182254</v>
      </c>
      <c r="X16" s="43"/>
      <c r="Y16" s="41">
        <f t="shared" ref="Y16" si="23">(X16-H16)/H16</f>
        <v>-1</v>
      </c>
      <c r="Z16" s="44">
        <f t="shared" ref="Z16" si="24">F16/F$19</f>
        <v>4.6354425970708192E-2</v>
      </c>
      <c r="AB16" s="31"/>
      <c r="AC16" s="9"/>
    </row>
    <row r="17" spans="1:26" x14ac:dyDescent="0.25">
      <c r="A17" t="s">
        <v>53</v>
      </c>
      <c r="F17" s="3">
        <f>SUM(F6:F16)</f>
        <v>587913.95120699995</v>
      </c>
      <c r="G17" s="3">
        <f>SUM(G6:G16)</f>
        <v>496953.73000000004</v>
      </c>
      <c r="H17" s="4"/>
      <c r="I17" s="3">
        <f>SUM(I6:I16)</f>
        <v>90960.221206999995</v>
      </c>
      <c r="M17" s="5"/>
      <c r="Z17" s="6"/>
    </row>
    <row r="18" spans="1:26" x14ac:dyDescent="0.25">
      <c r="D18" s="2" t="s">
        <v>54</v>
      </c>
      <c r="F18" s="3">
        <v>132304</v>
      </c>
      <c r="G18" s="6">
        <f>F18/F19</f>
        <v>0.18369994774258844</v>
      </c>
      <c r="H18" s="4"/>
      <c r="M18" s="5"/>
      <c r="Z18" s="6"/>
    </row>
    <row r="19" spans="1:26" x14ac:dyDescent="0.25">
      <c r="D19" s="2" t="s">
        <v>55</v>
      </c>
      <c r="F19" s="3">
        <f>SUM(F17:F18)</f>
        <v>720217.95120699995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'05-24-24'!F19</f>
        <v>726651.82306900003</v>
      </c>
      <c r="K20" s="1">
        <v>45291</v>
      </c>
      <c r="L20" s="47">
        <v>139707.06</v>
      </c>
      <c r="M20" s="47">
        <v>163925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-8.8541329667718351E-3</v>
      </c>
      <c r="K21" s="9" t="s">
        <v>58</v>
      </c>
      <c r="L21" s="6">
        <f>(M20-L20)/L20</f>
        <v>0.17334800403071973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2" si="25">F25/D25</f>
        <v>47.428061535569462</v>
      </c>
      <c r="F25" s="3">
        <v>38349.050000000003</v>
      </c>
      <c r="G25" s="3">
        <v>35186.18</v>
      </c>
      <c r="H25" s="3">
        <f t="shared" ref="H25:H42" si="26">G25/D25</f>
        <v>43.516392459307944</v>
      </c>
      <c r="I25" s="3">
        <f t="shared" ref="I25:I42" si="27">G25-F25</f>
        <v>-3162.8700000000026</v>
      </c>
      <c r="J25" s="5">
        <f t="shared" ref="J25:J42" si="28">I25/F25</f>
        <v>-8.2475837080710018E-2</v>
      </c>
      <c r="K25" s="1">
        <v>45286</v>
      </c>
      <c r="L25" s="1">
        <v>45302</v>
      </c>
      <c r="M25">
        <f t="shared" ref="M25:M42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si="29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29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29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29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29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si="26"/>
        <v>48.056634487564061</v>
      </c>
      <c r="I31" s="3">
        <f t="shared" si="27"/>
        <v>-4827.3300000000017</v>
      </c>
      <c r="J31" s="5">
        <f t="shared" si="28"/>
        <v>-9.278049140508153E-2</v>
      </c>
      <c r="K31" s="1">
        <v>45344</v>
      </c>
      <c r="L31" s="1">
        <v>45351</v>
      </c>
      <c r="M31" s="54">
        <f t="shared" si="29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5"/>
        <v>130.66998915547813</v>
      </c>
      <c r="F32" s="3">
        <v>58909.52</v>
      </c>
      <c r="G32" s="3">
        <v>55702.82</v>
      </c>
      <c r="H32" s="3">
        <f t="shared" si="26"/>
        <v>123.55705640326981</v>
      </c>
      <c r="I32" s="3">
        <f t="shared" si="27"/>
        <v>-3206.6999999999971</v>
      </c>
      <c r="J32" s="5">
        <f t="shared" si="28"/>
        <v>-5.4434325725281708E-2</v>
      </c>
      <c r="K32" s="1">
        <v>45286</v>
      </c>
      <c r="L32" s="1">
        <v>45356</v>
      </c>
      <c r="M32" s="54">
        <f t="shared" si="29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5"/>
        <v>34.902742463000052</v>
      </c>
      <c r="F33" s="3">
        <f>30020.93+21858.29</f>
        <v>51879.22</v>
      </c>
      <c r="G33" s="3">
        <v>51882.03</v>
      </c>
      <c r="H33" s="3">
        <f t="shared" si="26"/>
        <v>34.904632944513089</v>
      </c>
      <c r="I33" s="3">
        <f t="shared" si="27"/>
        <v>2.8099999999976717</v>
      </c>
      <c r="J33" s="5">
        <f t="shared" si="28"/>
        <v>5.4164268468139489E-5</v>
      </c>
      <c r="K33" s="1">
        <v>45331</v>
      </c>
      <c r="L33" s="1">
        <v>45366</v>
      </c>
      <c r="M33" s="54">
        <f t="shared" si="29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5"/>
        <v>17.884521773182534</v>
      </c>
      <c r="F34" s="3">
        <f>20288.83+19170.47</f>
        <v>39459.300000000003</v>
      </c>
      <c r="G34" s="3">
        <v>47805.42</v>
      </c>
      <c r="H34" s="3">
        <f t="shared" si="26"/>
        <v>21.667314799455028</v>
      </c>
      <c r="I34" s="3">
        <f t="shared" si="27"/>
        <v>8346.1199999999953</v>
      </c>
      <c r="J34" s="5">
        <f t="shared" si="28"/>
        <v>0.21151211501471123</v>
      </c>
      <c r="K34" s="1">
        <v>45243</v>
      </c>
      <c r="L34" s="1">
        <v>45373</v>
      </c>
      <c r="M34" s="54">
        <f t="shared" si="29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5"/>
        <v>97.201614911338325</v>
      </c>
      <c r="F35" s="3">
        <v>71279.48</v>
      </c>
      <c r="G35" s="3">
        <v>66395.73</v>
      </c>
      <c r="H35" s="3">
        <f t="shared" si="26"/>
        <v>90.541796590227548</v>
      </c>
      <c r="I35" s="3">
        <f t="shared" si="27"/>
        <v>-4883.75</v>
      </c>
      <c r="J35" s="5">
        <f t="shared" si="28"/>
        <v>-6.85155110559168E-2</v>
      </c>
      <c r="K35" s="1">
        <v>45349</v>
      </c>
      <c r="L35" s="1">
        <v>45394</v>
      </c>
      <c r="M35" s="54">
        <f t="shared" si="29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5"/>
        <v>51.760011005615979</v>
      </c>
      <c r="F36" s="3">
        <v>46654.3</v>
      </c>
      <c r="G36" s="3">
        <v>44379.95</v>
      </c>
      <c r="H36" s="3">
        <f t="shared" si="26"/>
        <v>49.23676275131524</v>
      </c>
      <c r="I36" s="3">
        <f t="shared" si="27"/>
        <v>-2274.3500000000058</v>
      </c>
      <c r="J36" s="5">
        <f t="shared" si="28"/>
        <v>-4.874898991089794E-2</v>
      </c>
      <c r="K36" s="1">
        <v>45394</v>
      </c>
      <c r="L36" s="1">
        <v>45394</v>
      </c>
      <c r="M36" s="54">
        <f t="shared" si="29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5"/>
        <v>228.36593513142583</v>
      </c>
      <c r="F37" s="3">
        <v>61166.239999999998</v>
      </c>
      <c r="G37" s="3">
        <v>81558.94</v>
      </c>
      <c r="H37" s="3">
        <f t="shared" si="26"/>
        <v>304.50267339349045</v>
      </c>
      <c r="I37" s="3">
        <f t="shared" si="27"/>
        <v>20392.700000000004</v>
      </c>
      <c r="J37" s="5">
        <f t="shared" si="28"/>
        <v>0.33339796593676518</v>
      </c>
      <c r="K37" s="1">
        <v>45238</v>
      </c>
      <c r="L37" s="1">
        <v>45397</v>
      </c>
      <c r="M37" s="54">
        <f t="shared" si="29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5"/>
        <v>131.07547316942754</v>
      </c>
      <c r="F38" s="3">
        <v>29415.63</v>
      </c>
      <c r="G38" s="3">
        <v>27481.43</v>
      </c>
      <c r="H38" s="3">
        <f t="shared" si="26"/>
        <v>122.45671571958516</v>
      </c>
      <c r="I38" s="3">
        <f t="shared" si="27"/>
        <v>-1934.2000000000007</v>
      </c>
      <c r="J38" s="5">
        <f t="shared" si="28"/>
        <v>-6.5754158588478329E-2</v>
      </c>
      <c r="K38" s="1">
        <v>45393</v>
      </c>
      <c r="L38" s="1">
        <v>45397</v>
      </c>
      <c r="M38" s="54">
        <f t="shared" si="29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5"/>
        <v>30.008099047901005</v>
      </c>
      <c r="F39" s="3">
        <v>43950.36</v>
      </c>
      <c r="G39" s="3">
        <v>49174.83</v>
      </c>
      <c r="H39" s="3">
        <f t="shared" si="26"/>
        <v>33.575223713837467</v>
      </c>
      <c r="I39" s="3">
        <f t="shared" si="27"/>
        <v>5224.4700000000012</v>
      </c>
      <c r="J39" s="5">
        <f t="shared" si="28"/>
        <v>0.11887206384657603</v>
      </c>
      <c r="K39" s="1">
        <v>45321</v>
      </c>
      <c r="L39" s="1">
        <v>45400</v>
      </c>
      <c r="M39" s="54">
        <f t="shared" si="29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5"/>
        <v>202.80010053151383</v>
      </c>
      <c r="F40" s="3">
        <v>54466.53</v>
      </c>
      <c r="G40" s="3">
        <v>57142.12</v>
      </c>
      <c r="H40" s="3">
        <f t="shared" si="26"/>
        <v>212.76236397993094</v>
      </c>
      <c r="I40" s="3">
        <f t="shared" si="27"/>
        <v>2675.5900000000038</v>
      </c>
      <c r="J40" s="5">
        <f t="shared" si="28"/>
        <v>4.912356267234215E-2</v>
      </c>
      <c r="K40" s="1">
        <v>45370</v>
      </c>
      <c r="L40" s="1">
        <v>45401</v>
      </c>
      <c r="M40" s="54">
        <f t="shared" si="29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5"/>
        <v>72.032301948546731</v>
      </c>
      <c r="F41" s="3">
        <f>38270.34+5640.4</f>
        <v>43910.74</v>
      </c>
      <c r="G41" s="3">
        <v>46906.35</v>
      </c>
      <c r="H41" s="3">
        <f t="shared" si="26"/>
        <v>76.946377275905974</v>
      </c>
      <c r="I41" s="3">
        <f t="shared" si="27"/>
        <v>2995.6100000000006</v>
      </c>
      <c r="J41" s="5">
        <f t="shared" si="28"/>
        <v>6.8220439919709858E-2</v>
      </c>
      <c r="K41" s="1">
        <v>45313</v>
      </c>
      <c r="L41" s="1">
        <v>45420</v>
      </c>
      <c r="M41" s="54">
        <f t="shared" si="29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5"/>
        <v>26.796152173251542</v>
      </c>
      <c r="F42" s="3">
        <f>36957.24+22924.55</f>
        <v>59881.789999999994</v>
      </c>
      <c r="G42" s="3">
        <v>53143.62</v>
      </c>
      <c r="H42" s="3">
        <f t="shared" si="26"/>
        <v>23.780927867344218</v>
      </c>
      <c r="I42" s="3">
        <f t="shared" si="27"/>
        <v>-6738.169999999991</v>
      </c>
      <c r="J42" s="5">
        <f t="shared" si="28"/>
        <v>-0.11252452540246362</v>
      </c>
      <c r="K42" s="1">
        <v>45421</v>
      </c>
      <c r="L42" s="1">
        <v>45441</v>
      </c>
      <c r="M42" s="54">
        <f t="shared" si="29"/>
        <v>20</v>
      </c>
      <c r="O42" t="s">
        <v>137</v>
      </c>
    </row>
    <row r="43" spans="1:15" x14ac:dyDescent="0.25">
      <c r="K43" s="1"/>
      <c r="L43" s="1"/>
    </row>
    <row r="44" spans="1:15" x14ac:dyDescent="0.25">
      <c r="K44" s="1"/>
      <c r="L44" s="1"/>
    </row>
    <row r="45" spans="1:15" x14ac:dyDescent="0.25">
      <c r="I45" s="3">
        <f>SUM(I25:I44)</f>
        <v>9375.5299999999916</v>
      </c>
      <c r="J45" s="13" t="s">
        <v>68</v>
      </c>
    </row>
    <row r="46" spans="1:15" x14ac:dyDescent="0.25">
      <c r="H46" s="3" t="s">
        <v>69</v>
      </c>
      <c r="I46" s="55">
        <v>10</v>
      </c>
      <c r="J46" s="5">
        <v>-8.4400000000000003E-2</v>
      </c>
    </row>
    <row r="47" spans="1:15" x14ac:dyDescent="0.25">
      <c r="H47" s="3" t="s">
        <v>70</v>
      </c>
      <c r="I47" s="55">
        <v>8</v>
      </c>
      <c r="J47" s="5">
        <v>0.17760000000000001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05CF-A787-4176-8B85-13B4747952A1}">
  <dimension ref="A1:AE19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45450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8.24</v>
      </c>
      <c r="F7" s="3">
        <f t="shared" ref="F7:F15" si="0">E7*D7</f>
        <v>53409.359616000002</v>
      </c>
      <c r="G7" s="3">
        <f>23794.37+31996.67</f>
        <v>55791.039999999994</v>
      </c>
      <c r="H7" s="4">
        <f t="shared" ref="H7:H15" si="1">G7/D7</f>
        <v>8.6074458279458721</v>
      </c>
      <c r="I7" s="3">
        <f t="shared" ref="I7:I15" si="2">F7-G7</f>
        <v>-2381.680383999992</v>
      </c>
      <c r="J7" s="27">
        <f t="shared" ref="J7:J15" si="3">E7-H7</f>
        <v>-0.36744582794587188</v>
      </c>
      <c r="K7" s="28">
        <v>45378</v>
      </c>
      <c r="L7">
        <f t="shared" ref="L7:L15" si="4">DAYS360(K7,$C$1)</f>
        <v>70</v>
      </c>
      <c r="M7" s="5">
        <f t="shared" ref="M7:M15" si="5">(I7/G7)</f>
        <v>-4.268929892685263E-2</v>
      </c>
      <c r="N7">
        <v>19</v>
      </c>
      <c r="O7">
        <v>96</v>
      </c>
      <c r="P7" s="34">
        <v>99</v>
      </c>
      <c r="Q7" s="29">
        <v>6.76</v>
      </c>
      <c r="R7" s="30">
        <f t="shared" ref="R7:R15" si="6">Q7*0.93</f>
        <v>6.2868000000000004</v>
      </c>
      <c r="S7" s="30">
        <v>7.21</v>
      </c>
      <c r="T7" s="32">
        <f t="shared" ref="T7:T15" si="7">Q7*1.25</f>
        <v>8.4499999999999993</v>
      </c>
      <c r="U7" s="29">
        <f t="shared" ref="U7:U15" si="8">Q7*1.5</f>
        <v>10.14</v>
      </c>
      <c r="V7" s="29">
        <f t="shared" ref="V7:V15" si="9">Q7*2</f>
        <v>13.52</v>
      </c>
      <c r="W7" s="29">
        <f t="shared" ref="W7:W15" si="10">H7-(H7*0.07)</f>
        <v>8.0049246199896604</v>
      </c>
      <c r="X7" s="30">
        <v>8.75</v>
      </c>
      <c r="Y7" s="5">
        <f t="shared" ref="Y7:Y15" si="11">(X7-H7)/H7</f>
        <v>1.6561727474519328E-2</v>
      </c>
      <c r="Z7" s="6">
        <f t="shared" ref="Z7:Z15" si="12">F7/F$19</f>
        <v>7.5085426877150918E-2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63.8</v>
      </c>
      <c r="F8" s="3">
        <f t="shared" si="0"/>
        <v>52852.066739999995</v>
      </c>
      <c r="G8" s="3">
        <v>47623.59</v>
      </c>
      <c r="H8" s="4">
        <f t="shared" si="1"/>
        <v>57.488481140141687</v>
      </c>
      <c r="I8" s="3">
        <f t="shared" si="2"/>
        <v>5228.4767399999982</v>
      </c>
      <c r="J8" s="27">
        <f t="shared" si="3"/>
        <v>6.3115188598583103</v>
      </c>
      <c r="K8" s="28">
        <v>45378</v>
      </c>
      <c r="L8">
        <f t="shared" si="4"/>
        <v>70</v>
      </c>
      <c r="M8" s="5">
        <f t="shared" si="5"/>
        <v>0.10978753890666366</v>
      </c>
      <c r="N8">
        <v>19</v>
      </c>
      <c r="O8">
        <v>89</v>
      </c>
      <c r="P8" s="34">
        <v>97</v>
      </c>
      <c r="Q8" s="29">
        <v>57.16</v>
      </c>
      <c r="R8" s="30">
        <f t="shared" si="6"/>
        <v>53.158799999999999</v>
      </c>
      <c r="S8" s="30">
        <v>60.15</v>
      </c>
      <c r="T8" s="29">
        <f t="shared" si="7"/>
        <v>71.449999999999989</v>
      </c>
      <c r="U8" s="29">
        <f t="shared" si="8"/>
        <v>85.74</v>
      </c>
      <c r="V8" s="29">
        <f t="shared" si="9"/>
        <v>114.32</v>
      </c>
      <c r="W8" s="29">
        <f t="shared" si="10"/>
        <v>53.464287460331768</v>
      </c>
      <c r="X8" s="30">
        <v>65</v>
      </c>
      <c r="Y8" s="5">
        <f t="shared" si="11"/>
        <v>0.13066128571995528</v>
      </c>
      <c r="Z8" s="6">
        <f t="shared" si="12"/>
        <v>7.4301957953522041E-2</v>
      </c>
      <c r="AB8" s="31">
        <v>45504</v>
      </c>
      <c r="AC8" s="9">
        <v>98</v>
      </c>
    </row>
    <row r="9" spans="1:31" x14ac:dyDescent="0.25">
      <c r="A9" t="s">
        <v>126</v>
      </c>
      <c r="B9" t="s">
        <v>33</v>
      </c>
      <c r="C9" s="26" t="s">
        <v>127</v>
      </c>
      <c r="D9" s="2">
        <v>494.90359999999998</v>
      </c>
      <c r="E9" s="27">
        <v>108.9</v>
      </c>
      <c r="F9" s="3">
        <f t="shared" si="0"/>
        <v>53895.002039999999</v>
      </c>
      <c r="G9" s="3">
        <v>59378.55</v>
      </c>
      <c r="H9" s="4">
        <f t="shared" si="1"/>
        <v>119.9800324750113</v>
      </c>
      <c r="I9" s="3">
        <f t="shared" si="2"/>
        <v>-5483.5479600000035</v>
      </c>
      <c r="J9" s="27">
        <f t="shared" si="3"/>
        <v>-11.080032475011294</v>
      </c>
      <c r="K9" s="28">
        <v>45422</v>
      </c>
      <c r="L9">
        <f t="shared" si="4"/>
        <v>27</v>
      </c>
      <c r="M9" s="5">
        <f t="shared" si="5"/>
        <v>-9.2348970461555616E-2</v>
      </c>
      <c r="N9">
        <v>18</v>
      </c>
      <c r="O9">
        <v>96</v>
      </c>
      <c r="P9" s="34">
        <v>59</v>
      </c>
      <c r="Q9" s="29">
        <v>121</v>
      </c>
      <c r="R9" s="30">
        <f t="shared" si="6"/>
        <v>112.53</v>
      </c>
      <c r="S9" s="30">
        <v>110.91</v>
      </c>
      <c r="T9" s="29">
        <f t="shared" si="7"/>
        <v>151.25</v>
      </c>
      <c r="U9" s="29">
        <f t="shared" si="8"/>
        <v>181.5</v>
      </c>
      <c r="V9" s="29">
        <f t="shared" si="9"/>
        <v>242</v>
      </c>
      <c r="W9" s="29">
        <f t="shared" si="10"/>
        <v>111.58143020176051</v>
      </c>
      <c r="X9" s="30">
        <v>115</v>
      </c>
      <c r="Y9" s="5">
        <f t="shared" si="11"/>
        <v>-4.1507177255086257E-2</v>
      </c>
      <c r="Z9" s="6">
        <f t="shared" si="12"/>
        <v>7.576816617561595E-2</v>
      </c>
      <c r="AB9" s="31">
        <v>45496</v>
      </c>
      <c r="AC9" s="9">
        <v>84</v>
      </c>
    </row>
    <row r="10" spans="1:31" x14ac:dyDescent="0.25">
      <c r="A10" t="s">
        <v>128</v>
      </c>
      <c r="B10" t="s">
        <v>33</v>
      </c>
      <c r="C10" s="26" t="s">
        <v>129</v>
      </c>
      <c r="D10" s="2">
        <v>390.4513</v>
      </c>
      <c r="E10" s="27">
        <v>164.39</v>
      </c>
      <c r="F10" s="3">
        <f t="shared" si="0"/>
        <v>64186.289206999994</v>
      </c>
      <c r="G10" s="3">
        <v>58706.59</v>
      </c>
      <c r="H10" s="4">
        <f t="shared" si="1"/>
        <v>150.35572938289613</v>
      </c>
      <c r="I10" s="3">
        <f t="shared" si="2"/>
        <v>5479.6992069999978</v>
      </c>
      <c r="J10" s="27">
        <f t="shared" si="3"/>
        <v>14.034270617103857</v>
      </c>
      <c r="K10" s="28">
        <v>45426</v>
      </c>
      <c r="L10">
        <f t="shared" si="4"/>
        <v>23</v>
      </c>
      <c r="M10" s="5">
        <f t="shared" si="5"/>
        <v>9.3340444522497359E-2</v>
      </c>
      <c r="N10">
        <v>52</v>
      </c>
      <c r="O10">
        <v>95</v>
      </c>
      <c r="P10" s="34">
        <v>81</v>
      </c>
      <c r="Q10" s="29">
        <v>148.43</v>
      </c>
      <c r="R10" s="30">
        <f t="shared" si="6"/>
        <v>138.03990000000002</v>
      </c>
      <c r="S10" s="30">
        <v>125.78</v>
      </c>
      <c r="T10" s="29">
        <f t="shared" si="7"/>
        <v>185.53750000000002</v>
      </c>
      <c r="U10" s="29">
        <f t="shared" si="8"/>
        <v>222.64500000000001</v>
      </c>
      <c r="V10" s="29">
        <f t="shared" si="9"/>
        <v>296.86</v>
      </c>
      <c r="W10" s="29">
        <f t="shared" si="10"/>
        <v>139.83082832609341</v>
      </c>
      <c r="X10" s="30">
        <v>142</v>
      </c>
      <c r="Y10" s="5">
        <f t="shared" si="11"/>
        <v>-5.5573069394764571E-2</v>
      </c>
      <c r="Z10" s="6">
        <f t="shared" si="12"/>
        <v>9.0236148858899273E-2</v>
      </c>
      <c r="AB10" s="31">
        <v>45491</v>
      </c>
      <c r="AC10" s="9">
        <v>96</v>
      </c>
    </row>
    <row r="11" spans="1:31" x14ac:dyDescent="0.25">
      <c r="A11" t="s">
        <v>131</v>
      </c>
      <c r="B11" t="s">
        <v>33</v>
      </c>
      <c r="C11" s="26" t="s">
        <v>132</v>
      </c>
      <c r="D11" s="2">
        <f>1542.0192+932.4994</f>
        <v>2474.5185999999999</v>
      </c>
      <c r="E11" s="27">
        <v>28.85</v>
      </c>
      <c r="F11" s="3">
        <f t="shared" si="0"/>
        <v>71389.861610000007</v>
      </c>
      <c r="G11" s="3">
        <f>44039.07+27471.43</f>
        <v>71510.5</v>
      </c>
      <c r="H11" s="4">
        <f t="shared" si="1"/>
        <v>28.898752266400425</v>
      </c>
      <c r="I11" s="3">
        <f t="shared" si="2"/>
        <v>-120.6383899999928</v>
      </c>
      <c r="J11" s="27">
        <f t="shared" si="3"/>
        <v>-4.8752266400423849E-2</v>
      </c>
      <c r="K11" s="28">
        <v>45426</v>
      </c>
      <c r="L11">
        <f t="shared" si="4"/>
        <v>23</v>
      </c>
      <c r="M11" s="5">
        <f t="shared" si="5"/>
        <v>-1.6870024681689094E-3</v>
      </c>
      <c r="N11">
        <v>30</v>
      </c>
      <c r="O11">
        <v>97</v>
      </c>
      <c r="P11" s="34">
        <v>73</v>
      </c>
      <c r="Q11" s="29">
        <v>27.47</v>
      </c>
      <c r="R11" s="30">
        <f t="shared" si="6"/>
        <v>25.5471</v>
      </c>
      <c r="S11" s="30">
        <v>25.73</v>
      </c>
      <c r="T11" s="32">
        <f t="shared" si="7"/>
        <v>34.337499999999999</v>
      </c>
      <c r="U11" s="29">
        <f t="shared" si="8"/>
        <v>41.204999999999998</v>
      </c>
      <c r="V11" s="29">
        <f t="shared" si="9"/>
        <v>54.94</v>
      </c>
      <c r="W11" s="29">
        <f t="shared" si="10"/>
        <v>26.875839607752397</v>
      </c>
      <c r="X11" s="30">
        <v>27</v>
      </c>
      <c r="Y11" s="5">
        <f t="shared" si="11"/>
        <v>-6.570360716258461E-2</v>
      </c>
      <c r="Z11" s="6">
        <f t="shared" si="12"/>
        <v>0.10036327475609289</v>
      </c>
      <c r="AB11" s="31">
        <v>45513</v>
      </c>
      <c r="AC11" s="9">
        <v>99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94.066800000000001</v>
      </c>
      <c r="E12" s="27">
        <v>1208.8800000000001</v>
      </c>
      <c r="F12" s="3">
        <f t="shared" si="0"/>
        <v>113715.47318400002</v>
      </c>
      <c r="G12" s="3">
        <v>88627.87</v>
      </c>
      <c r="H12" s="4">
        <f t="shared" si="1"/>
        <v>942.18013156607856</v>
      </c>
      <c r="I12" s="3">
        <f t="shared" si="2"/>
        <v>25087.603184000021</v>
      </c>
      <c r="J12" s="27">
        <f t="shared" si="3"/>
        <v>266.69986843392155</v>
      </c>
      <c r="K12" s="28">
        <v>45427</v>
      </c>
      <c r="L12">
        <f t="shared" si="4"/>
        <v>22</v>
      </c>
      <c r="M12" s="5">
        <f t="shared" si="5"/>
        <v>0.28306675071848192</v>
      </c>
      <c r="N12">
        <v>2</v>
      </c>
      <c r="O12">
        <v>99</v>
      </c>
      <c r="P12" s="34">
        <v>99</v>
      </c>
      <c r="Q12" s="29">
        <v>922.2</v>
      </c>
      <c r="R12" s="30">
        <f t="shared" si="6"/>
        <v>857.64600000000007</v>
      </c>
      <c r="S12" s="30">
        <v>812.55</v>
      </c>
      <c r="T12" s="32">
        <f t="shared" si="7"/>
        <v>1152.75</v>
      </c>
      <c r="U12" s="29">
        <f t="shared" si="8"/>
        <v>1383.3000000000002</v>
      </c>
      <c r="V12" s="29">
        <f t="shared" si="9"/>
        <v>1844.4</v>
      </c>
      <c r="W12" s="29">
        <f t="shared" si="10"/>
        <v>876.22752235645305</v>
      </c>
      <c r="X12" s="30">
        <v>945</v>
      </c>
      <c r="Y12" s="5">
        <f t="shared" si="11"/>
        <v>2.9929185932145446E-3</v>
      </c>
      <c r="Z12" s="6">
        <f t="shared" si="12"/>
        <v>0.15986663962920805</v>
      </c>
      <c r="AB12" s="31">
        <v>45519</v>
      </c>
      <c r="AC12" s="9">
        <v>99</v>
      </c>
    </row>
    <row r="13" spans="1:31" x14ac:dyDescent="0.25">
      <c r="A13" t="s">
        <v>135</v>
      </c>
      <c r="B13" t="s">
        <v>33</v>
      </c>
      <c r="C13" s="26" t="s">
        <v>136</v>
      </c>
      <c r="D13" s="2">
        <v>389.78429999999997</v>
      </c>
      <c r="E13" s="27">
        <v>147</v>
      </c>
      <c r="F13" s="3">
        <f t="shared" si="0"/>
        <v>57298.292099999999</v>
      </c>
      <c r="G13" s="3">
        <v>59201.71</v>
      </c>
      <c r="H13" s="4">
        <f t="shared" si="1"/>
        <v>151.88325953610754</v>
      </c>
      <c r="I13" s="3">
        <f t="shared" si="2"/>
        <v>-1903.4179000000004</v>
      </c>
      <c r="J13" s="27">
        <f t="shared" si="3"/>
        <v>-4.8832595361075448</v>
      </c>
      <c r="K13" s="28">
        <v>45440</v>
      </c>
      <c r="L13">
        <f t="shared" si="4"/>
        <v>9</v>
      </c>
      <c r="M13" s="5">
        <f t="shared" si="5"/>
        <v>-3.2151400694338056E-2</v>
      </c>
      <c r="N13">
        <v>12</v>
      </c>
      <c r="O13">
        <v>92</v>
      </c>
      <c r="P13" s="34">
        <v>92</v>
      </c>
      <c r="Q13" s="29">
        <v>148.16</v>
      </c>
      <c r="R13" s="30">
        <f t="shared" si="6"/>
        <v>137.78880000000001</v>
      </c>
      <c r="S13" s="30">
        <v>139.01</v>
      </c>
      <c r="T13" s="29">
        <f t="shared" si="7"/>
        <v>185.2</v>
      </c>
      <c r="U13" s="29">
        <f t="shared" si="8"/>
        <v>222.24</v>
      </c>
      <c r="V13" s="29">
        <f t="shared" si="9"/>
        <v>296.32</v>
      </c>
      <c r="W13" s="29">
        <f t="shared" si="10"/>
        <v>141.25143136858003</v>
      </c>
      <c r="X13" s="30">
        <v>142</v>
      </c>
      <c r="Y13" s="5">
        <f t="shared" si="11"/>
        <v>-6.5071421078884445E-2</v>
      </c>
      <c r="Z13" s="33">
        <f t="shared" si="12"/>
        <v>8.0552673774641953E-2</v>
      </c>
      <c r="AB13" s="31">
        <v>45491</v>
      </c>
      <c r="AC13" s="9">
        <v>97</v>
      </c>
    </row>
    <row r="14" spans="1:31" x14ac:dyDescent="0.25">
      <c r="A14" t="s">
        <v>138</v>
      </c>
      <c r="B14" t="s">
        <v>33</v>
      </c>
      <c r="C14" s="26" t="s">
        <v>139</v>
      </c>
      <c r="D14" s="2">
        <f>1465.9283+649.0589</f>
        <v>2114.9872</v>
      </c>
      <c r="E14" s="27">
        <v>39.42</v>
      </c>
      <c r="F14" s="3">
        <f t="shared" si="0"/>
        <v>83372.795424000011</v>
      </c>
      <c r="G14" s="3">
        <f>58372.3+26484.85</f>
        <v>84857.15</v>
      </c>
      <c r="H14" s="4">
        <f t="shared" si="1"/>
        <v>40.121826742024723</v>
      </c>
      <c r="I14" s="3">
        <f t="shared" si="2"/>
        <v>-1484.3545759999834</v>
      </c>
      <c r="J14" s="27">
        <f t="shared" si="3"/>
        <v>-0.70182674202472128</v>
      </c>
      <c r="K14" s="28">
        <v>45446</v>
      </c>
      <c r="L14">
        <f t="shared" si="4"/>
        <v>4</v>
      </c>
      <c r="M14" s="5">
        <f t="shared" si="5"/>
        <v>-1.7492392520842184E-2</v>
      </c>
      <c r="O14">
        <v>92</v>
      </c>
      <c r="P14" s="58" t="s">
        <v>141</v>
      </c>
      <c r="Q14" s="29">
        <v>40.67</v>
      </c>
      <c r="R14" s="30">
        <f t="shared" si="6"/>
        <v>37.823100000000004</v>
      </c>
      <c r="S14" s="30">
        <v>37.92</v>
      </c>
      <c r="T14" s="32">
        <f t="shared" si="7"/>
        <v>50.837500000000006</v>
      </c>
      <c r="U14" s="29">
        <f t="shared" si="8"/>
        <v>61.005000000000003</v>
      </c>
      <c r="V14" s="29">
        <f t="shared" si="9"/>
        <v>81.34</v>
      </c>
      <c r="W14" s="29">
        <f t="shared" si="10"/>
        <v>37.313298870082988</v>
      </c>
      <c r="X14" s="30">
        <v>37.31</v>
      </c>
      <c r="Y14" s="5">
        <f t="shared" si="11"/>
        <v>-7.0082221333146205E-2</v>
      </c>
      <c r="Z14" s="6">
        <f t="shared" si="12"/>
        <v>0.11720945503486367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44797</v>
      </c>
      <c r="M15" s="5" t="e">
        <f t="shared" si="5"/>
        <v>#DIV/0!</v>
      </c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A15" s="9"/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91.51</v>
      </c>
      <c r="F16" s="57">
        <f t="shared" ref="F16" si="13">E16*D16</f>
        <v>33283.449838</v>
      </c>
      <c r="G16" s="38">
        <v>33268.9</v>
      </c>
      <c r="H16" s="39">
        <f t="shared" ref="H16" si="14">G16/D16</f>
        <v>91.469996464252944</v>
      </c>
      <c r="I16" s="38">
        <f t="shared" ref="I16" si="15">F16-G16</f>
        <v>14.549837999998999</v>
      </c>
      <c r="J16" s="37">
        <f t="shared" ref="J16" si="16">E16-H16</f>
        <v>4.0003535747061392E-2</v>
      </c>
      <c r="K16" s="40"/>
      <c r="L16" s="35"/>
      <c r="M16" s="41">
        <f t="shared" ref="M16" si="17">(I16/G16)</f>
        <v>4.3734051922362924E-4</v>
      </c>
      <c r="N16" s="35"/>
      <c r="O16" s="35"/>
      <c r="P16" s="35"/>
      <c r="Q16" s="42"/>
      <c r="R16" s="43">
        <f t="shared" ref="R16" si="18">Q16*0.93</f>
        <v>0</v>
      </c>
      <c r="S16" s="43"/>
      <c r="T16" s="42">
        <f t="shared" ref="T16" si="19">Q16*1.25</f>
        <v>0</v>
      </c>
      <c r="U16" s="42">
        <f t="shared" ref="U16" si="20">Q16*1.5</f>
        <v>0</v>
      </c>
      <c r="V16" s="42">
        <f t="shared" ref="V16" si="21">Q16*2</f>
        <v>0</v>
      </c>
      <c r="W16" s="42">
        <f t="shared" ref="W16" si="22">H16-(H16*0.07)</f>
        <v>85.067096711755241</v>
      </c>
      <c r="X16" s="43"/>
      <c r="Y16" s="41">
        <f t="shared" ref="Y16" si="23">(X16-H16)/H16</f>
        <v>-1</v>
      </c>
      <c r="Z16" s="44">
        <f t="shared" ref="Z16" si="24">F16/F$19</f>
        <v>4.6791462339155369E-2</v>
      </c>
      <c r="AB16" s="31"/>
      <c r="AC16" s="9"/>
    </row>
    <row r="17" spans="1:26" x14ac:dyDescent="0.25">
      <c r="A17" t="s">
        <v>53</v>
      </c>
      <c r="F17" s="3">
        <f>SUM(F6:F16)</f>
        <v>583402.58975899999</v>
      </c>
      <c r="G17" s="3">
        <f>SUM(G6:G16)</f>
        <v>558965.9</v>
      </c>
      <c r="H17" s="4"/>
      <c r="I17" s="3">
        <f>SUM(I6:I16)</f>
        <v>24436.689759000044</v>
      </c>
      <c r="M17" s="5"/>
      <c r="Z17" s="6"/>
    </row>
    <row r="18" spans="1:26" x14ac:dyDescent="0.25">
      <c r="D18" s="2" t="s">
        <v>54</v>
      </c>
      <c r="F18" s="3">
        <v>127912</v>
      </c>
      <c r="G18" s="6">
        <f>F18/F19</f>
        <v>0.17982479460084994</v>
      </c>
      <c r="H18" s="4"/>
      <c r="M18" s="5"/>
      <c r="Z18" s="6"/>
    </row>
    <row r="19" spans="1:26" x14ac:dyDescent="0.25">
      <c r="D19" s="2" t="s">
        <v>55</v>
      </c>
      <c r="F19" s="3">
        <f>SUM(F17:F18)</f>
        <v>711314.58975899999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'05-31-24'!F19</f>
        <v>720217.95120699995</v>
      </c>
      <c r="K20" s="1">
        <v>45291</v>
      </c>
      <c r="L20" s="47">
        <v>139707.06</v>
      </c>
      <c r="M20" s="47">
        <v>161441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-1.2362037676343631E-2</v>
      </c>
      <c r="K21" s="9" t="s">
        <v>58</v>
      </c>
      <c r="L21" s="6">
        <f>(M20-L20)/L20</f>
        <v>0.15556794338095728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3" si="25">F25/D25</f>
        <v>47.428061535569462</v>
      </c>
      <c r="F25" s="3">
        <v>38349.050000000003</v>
      </c>
      <c r="G25" s="3">
        <v>35186.18</v>
      </c>
      <c r="H25" s="3">
        <f t="shared" ref="H25:H43" si="26">G25/D25</f>
        <v>43.516392459307944</v>
      </c>
      <c r="I25" s="3">
        <f t="shared" ref="I25:I43" si="27">G25-F25</f>
        <v>-3162.8700000000026</v>
      </c>
      <c r="J25" s="5">
        <f t="shared" ref="J25:J43" si="28">I25/F25</f>
        <v>-8.2475837080710018E-2</v>
      </c>
      <c r="K25" s="1">
        <v>45286</v>
      </c>
      <c r="L25" s="1">
        <v>45302</v>
      </c>
      <c r="M25">
        <f t="shared" ref="M25:M43" si="29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5"/>
        <v>35.085004734625322</v>
      </c>
      <c r="F26" s="3">
        <v>40941.919999999998</v>
      </c>
      <c r="G26" s="3">
        <v>36634.589999999997</v>
      </c>
      <c r="H26" s="3">
        <f t="shared" si="26"/>
        <v>31.393856555849297</v>
      </c>
      <c r="I26" s="3">
        <f t="shared" si="27"/>
        <v>-4307.3300000000017</v>
      </c>
      <c r="J26" s="5">
        <f t="shared" si="28"/>
        <v>-0.10520586235330444</v>
      </c>
      <c r="K26" s="1">
        <v>45233</v>
      </c>
      <c r="L26" s="1">
        <v>45307</v>
      </c>
      <c r="M26">
        <f t="shared" si="29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5"/>
        <v>20.491040268725982</v>
      </c>
      <c r="F27" s="3">
        <v>41317.9</v>
      </c>
      <c r="G27" s="3">
        <v>42071.53</v>
      </c>
      <c r="H27" s="3">
        <f t="shared" si="26"/>
        <v>20.86479262975401</v>
      </c>
      <c r="I27" s="3">
        <f t="shared" si="27"/>
        <v>753.62999999999738</v>
      </c>
      <c r="J27" s="5">
        <f t="shared" si="28"/>
        <v>1.8239794374835056E-2</v>
      </c>
      <c r="K27" s="1">
        <v>45135</v>
      </c>
      <c r="L27" s="1">
        <v>45308</v>
      </c>
      <c r="M27">
        <f t="shared" si="29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5"/>
        <v>21.193736358158553</v>
      </c>
      <c r="F28" s="3">
        <f>28457.8+19398.39</f>
        <v>47856.19</v>
      </c>
      <c r="G28" s="3">
        <v>39178.269999999997</v>
      </c>
      <c r="H28" s="3">
        <f t="shared" si="26"/>
        <v>17.350606585036385</v>
      </c>
      <c r="I28" s="3">
        <f t="shared" si="27"/>
        <v>-8677.9200000000055</v>
      </c>
      <c r="J28" s="5">
        <f t="shared" si="28"/>
        <v>-0.18133328206863114</v>
      </c>
      <c r="K28" s="1">
        <v>45302</v>
      </c>
      <c r="L28" s="1">
        <v>45322</v>
      </c>
      <c r="M28">
        <f t="shared" si="29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5"/>
        <v>450.27964205816556</v>
      </c>
      <c r="F29" s="3">
        <v>56759.55</v>
      </c>
      <c r="G29" s="3">
        <v>54939.360000000001</v>
      </c>
      <c r="H29" s="3">
        <f t="shared" si="26"/>
        <v>435.83987814746064</v>
      </c>
      <c r="I29" s="3">
        <f t="shared" si="27"/>
        <v>-1820.1900000000023</v>
      </c>
      <c r="J29" s="5">
        <f t="shared" si="28"/>
        <v>-3.2068436060539635E-2</v>
      </c>
      <c r="K29" s="1">
        <v>45327</v>
      </c>
      <c r="L29" s="1">
        <v>45342</v>
      </c>
      <c r="M29">
        <f t="shared" si="29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5"/>
        <v>21.530005475912173</v>
      </c>
      <c r="F30" s="3">
        <v>17409.86</v>
      </c>
      <c r="G30" s="3">
        <v>28227.27</v>
      </c>
      <c r="H30" s="3">
        <f t="shared" si="26"/>
        <v>34.907418995330886</v>
      </c>
      <c r="I30" s="3">
        <f t="shared" si="27"/>
        <v>10817.41</v>
      </c>
      <c r="J30" s="5">
        <f t="shared" si="28"/>
        <v>0.62133813827336914</v>
      </c>
      <c r="K30" s="1">
        <v>45309</v>
      </c>
      <c r="L30" s="1">
        <v>45343</v>
      </c>
      <c r="M30" s="54">
        <f t="shared" si="29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5"/>
        <v>52.971341590739279</v>
      </c>
      <c r="F31" s="3">
        <v>52029.58</v>
      </c>
      <c r="G31" s="3">
        <v>47202.25</v>
      </c>
      <c r="H31" s="3">
        <f t="shared" si="26"/>
        <v>48.056634487564061</v>
      </c>
      <c r="I31" s="3">
        <f t="shared" si="27"/>
        <v>-4827.3300000000017</v>
      </c>
      <c r="J31" s="5">
        <f t="shared" si="28"/>
        <v>-9.278049140508153E-2</v>
      </c>
      <c r="K31" s="1">
        <v>45344</v>
      </c>
      <c r="L31" s="1">
        <v>45351</v>
      </c>
      <c r="M31" s="54">
        <f t="shared" si="29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5"/>
        <v>130.66998915547813</v>
      </c>
      <c r="F32" s="3">
        <v>58909.52</v>
      </c>
      <c r="G32" s="3">
        <v>55702.82</v>
      </c>
      <c r="H32" s="3">
        <f t="shared" si="26"/>
        <v>123.55705640326981</v>
      </c>
      <c r="I32" s="3">
        <f t="shared" si="27"/>
        <v>-3206.6999999999971</v>
      </c>
      <c r="J32" s="5">
        <f t="shared" si="28"/>
        <v>-5.4434325725281708E-2</v>
      </c>
      <c r="K32" s="1">
        <v>45286</v>
      </c>
      <c r="L32" s="1">
        <v>45356</v>
      </c>
      <c r="M32" s="54">
        <f t="shared" si="29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5"/>
        <v>34.902742463000052</v>
      </c>
      <c r="F33" s="3">
        <f>30020.93+21858.29</f>
        <v>51879.22</v>
      </c>
      <c r="G33" s="3">
        <v>51882.03</v>
      </c>
      <c r="H33" s="3">
        <f t="shared" si="26"/>
        <v>34.904632944513089</v>
      </c>
      <c r="I33" s="3">
        <f t="shared" si="27"/>
        <v>2.8099999999976717</v>
      </c>
      <c r="J33" s="5">
        <f t="shared" si="28"/>
        <v>5.4164268468139489E-5</v>
      </c>
      <c r="K33" s="1">
        <v>45331</v>
      </c>
      <c r="L33" s="1">
        <v>45366</v>
      </c>
      <c r="M33" s="54">
        <f t="shared" si="29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5"/>
        <v>17.884521773182534</v>
      </c>
      <c r="F34" s="3">
        <f>20288.83+19170.47</f>
        <v>39459.300000000003</v>
      </c>
      <c r="G34" s="3">
        <v>47805.42</v>
      </c>
      <c r="H34" s="3">
        <f t="shared" si="26"/>
        <v>21.667314799455028</v>
      </c>
      <c r="I34" s="3">
        <f t="shared" si="27"/>
        <v>8346.1199999999953</v>
      </c>
      <c r="J34" s="5">
        <f t="shared" si="28"/>
        <v>0.21151211501471123</v>
      </c>
      <c r="K34" s="1">
        <v>45243</v>
      </c>
      <c r="L34" s="1">
        <v>45373</v>
      </c>
      <c r="M34" s="54">
        <f t="shared" si="29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5"/>
        <v>97.201614911338325</v>
      </c>
      <c r="F35" s="3">
        <v>71279.48</v>
      </c>
      <c r="G35" s="3">
        <v>66395.73</v>
      </c>
      <c r="H35" s="3">
        <f t="shared" si="26"/>
        <v>90.541796590227548</v>
      </c>
      <c r="I35" s="3">
        <f t="shared" si="27"/>
        <v>-4883.75</v>
      </c>
      <c r="J35" s="5">
        <f t="shared" si="28"/>
        <v>-6.85155110559168E-2</v>
      </c>
      <c r="K35" s="1">
        <v>45349</v>
      </c>
      <c r="L35" s="1">
        <v>45394</v>
      </c>
      <c r="M35" s="54">
        <f t="shared" si="29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5"/>
        <v>51.760011005615979</v>
      </c>
      <c r="F36" s="3">
        <v>46654.3</v>
      </c>
      <c r="G36" s="3">
        <v>44379.95</v>
      </c>
      <c r="H36" s="3">
        <f t="shared" si="26"/>
        <v>49.23676275131524</v>
      </c>
      <c r="I36" s="3">
        <f t="shared" si="27"/>
        <v>-2274.3500000000058</v>
      </c>
      <c r="J36" s="5">
        <f t="shared" si="28"/>
        <v>-4.874898991089794E-2</v>
      </c>
      <c r="K36" s="1">
        <v>45394</v>
      </c>
      <c r="L36" s="1">
        <v>45394</v>
      </c>
      <c r="M36" s="54">
        <f t="shared" si="29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5"/>
        <v>228.36593513142583</v>
      </c>
      <c r="F37" s="3">
        <v>61166.239999999998</v>
      </c>
      <c r="G37" s="3">
        <v>81558.94</v>
      </c>
      <c r="H37" s="3">
        <f t="shared" si="26"/>
        <v>304.50267339349045</v>
      </c>
      <c r="I37" s="3">
        <f t="shared" si="27"/>
        <v>20392.700000000004</v>
      </c>
      <c r="J37" s="5">
        <f t="shared" si="28"/>
        <v>0.33339796593676518</v>
      </c>
      <c r="K37" s="1">
        <v>45238</v>
      </c>
      <c r="L37" s="1">
        <v>45397</v>
      </c>
      <c r="M37" s="54">
        <f t="shared" si="29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5"/>
        <v>131.07547316942754</v>
      </c>
      <c r="F38" s="3">
        <v>29415.63</v>
      </c>
      <c r="G38" s="3">
        <v>27481.43</v>
      </c>
      <c r="H38" s="3">
        <f t="shared" si="26"/>
        <v>122.45671571958516</v>
      </c>
      <c r="I38" s="3">
        <f t="shared" si="27"/>
        <v>-1934.2000000000007</v>
      </c>
      <c r="J38" s="5">
        <f t="shared" si="28"/>
        <v>-6.5754158588478329E-2</v>
      </c>
      <c r="K38" s="1">
        <v>45393</v>
      </c>
      <c r="L38" s="1">
        <v>45397</v>
      </c>
      <c r="M38" s="54">
        <f t="shared" si="29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5"/>
        <v>30.008099047901005</v>
      </c>
      <c r="F39" s="3">
        <v>43950.36</v>
      </c>
      <c r="G39" s="3">
        <v>49174.83</v>
      </c>
      <c r="H39" s="3">
        <f t="shared" si="26"/>
        <v>33.575223713837467</v>
      </c>
      <c r="I39" s="3">
        <f t="shared" si="27"/>
        <v>5224.4700000000012</v>
      </c>
      <c r="J39" s="5">
        <f t="shared" si="28"/>
        <v>0.11887206384657603</v>
      </c>
      <c r="K39" s="1">
        <v>45321</v>
      </c>
      <c r="L39" s="1">
        <v>45400</v>
      </c>
      <c r="M39" s="54">
        <f t="shared" si="29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5"/>
        <v>202.80010053151383</v>
      </c>
      <c r="F40" s="3">
        <v>54466.53</v>
      </c>
      <c r="G40" s="3">
        <v>57142.12</v>
      </c>
      <c r="H40" s="3">
        <f t="shared" si="26"/>
        <v>212.76236397993094</v>
      </c>
      <c r="I40" s="3">
        <f t="shared" si="27"/>
        <v>2675.5900000000038</v>
      </c>
      <c r="J40" s="5">
        <f t="shared" si="28"/>
        <v>4.912356267234215E-2</v>
      </c>
      <c r="K40" s="1">
        <v>45370</v>
      </c>
      <c r="L40" s="1">
        <v>45401</v>
      </c>
      <c r="M40" s="54">
        <f t="shared" si="29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5"/>
        <v>72.032301948546731</v>
      </c>
      <c r="F41" s="3">
        <f>38270.34+5640.4</f>
        <v>43910.74</v>
      </c>
      <c r="G41" s="3">
        <v>46906.35</v>
      </c>
      <c r="H41" s="3">
        <f t="shared" si="26"/>
        <v>76.946377275905974</v>
      </c>
      <c r="I41" s="3">
        <f t="shared" si="27"/>
        <v>2995.6100000000006</v>
      </c>
      <c r="J41" s="5">
        <f t="shared" si="28"/>
        <v>6.8220439919709858E-2</v>
      </c>
      <c r="K41" s="1">
        <v>45313</v>
      </c>
      <c r="L41" s="1">
        <v>45420</v>
      </c>
      <c r="M41" s="54">
        <f t="shared" si="29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5"/>
        <v>26.796152173251542</v>
      </c>
      <c r="F42" s="3">
        <f>36957.24+22924.55</f>
        <v>59881.789999999994</v>
      </c>
      <c r="G42" s="3">
        <v>53143.62</v>
      </c>
      <c r="H42" s="3">
        <f t="shared" si="26"/>
        <v>23.780927867344218</v>
      </c>
      <c r="I42" s="3">
        <f t="shared" si="27"/>
        <v>-6738.169999999991</v>
      </c>
      <c r="J42" s="5">
        <f t="shared" si="28"/>
        <v>-0.11252452540246362</v>
      </c>
      <c r="K42" s="1">
        <v>45421</v>
      </c>
      <c r="L42" s="1">
        <v>45441</v>
      </c>
      <c r="M42" s="54">
        <f t="shared" si="29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5"/>
        <v>21.526049990446886</v>
      </c>
      <c r="F43" s="3">
        <f>28174.78+19947.6-17409.86</f>
        <v>30712.519999999997</v>
      </c>
      <c r="G43" s="3">
        <v>80427.22</v>
      </c>
      <c r="H43" s="3">
        <f t="shared" si="26"/>
        <v>56.370508128693771</v>
      </c>
      <c r="I43" s="3">
        <f t="shared" si="27"/>
        <v>49714.700000000004</v>
      </c>
      <c r="J43" s="5">
        <f t="shared" si="28"/>
        <v>1.6187111966064658</v>
      </c>
      <c r="K43" s="1">
        <v>45309</v>
      </c>
      <c r="L43" s="1">
        <v>45447</v>
      </c>
      <c r="M43" s="54">
        <f t="shared" si="29"/>
        <v>136</v>
      </c>
      <c r="O43" t="s">
        <v>140</v>
      </c>
    </row>
    <row r="44" spans="1:15" x14ac:dyDescent="0.25">
      <c r="K44" s="1"/>
      <c r="L44" s="1"/>
    </row>
    <row r="45" spans="1:15" x14ac:dyDescent="0.25">
      <c r="I45" s="3">
        <f>SUM(I25:I44)</f>
        <v>59090.229999999996</v>
      </c>
      <c r="J45" s="13" t="s">
        <v>68</v>
      </c>
    </row>
    <row r="46" spans="1:15" x14ac:dyDescent="0.25">
      <c r="H46" s="3" t="s">
        <v>69</v>
      </c>
      <c r="I46" s="55">
        <v>10</v>
      </c>
      <c r="J46" s="5">
        <v>-8.4400000000000003E-2</v>
      </c>
    </row>
    <row r="47" spans="1:15" x14ac:dyDescent="0.25">
      <c r="H47" s="3" t="s">
        <v>70</v>
      </c>
      <c r="I47" s="55">
        <v>9</v>
      </c>
      <c r="J47" s="5">
        <v>0.34739999999999999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7437-8AA1-45FB-B386-75E91BDB1C25}">
  <dimension ref="A1:AE19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45457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8.42</v>
      </c>
      <c r="F7" s="3">
        <f t="shared" ref="F7:F14" si="0">E7*D7</f>
        <v>54576.068928000001</v>
      </c>
      <c r="G7" s="3">
        <f>23794.37+31996.67</f>
        <v>55791.039999999994</v>
      </c>
      <c r="H7" s="4">
        <f t="shared" ref="H7:H14" si="1">G7/D7</f>
        <v>8.6074458279458721</v>
      </c>
      <c r="I7" s="3">
        <f t="shared" ref="I7:I14" si="2">F7-G7</f>
        <v>-1214.971071999993</v>
      </c>
      <c r="J7" s="27">
        <f t="shared" ref="J7:J14" si="3">E7-H7</f>
        <v>-0.18744582794587217</v>
      </c>
      <c r="K7" s="28">
        <v>45378</v>
      </c>
      <c r="L7">
        <f t="shared" ref="L7:L14" si="4">DAYS360(K7,$C$1)</f>
        <v>77</v>
      </c>
      <c r="M7" s="5">
        <f t="shared" ref="M7:M14" si="5">(I7/G7)</f>
        <v>-2.1777171961662539E-2</v>
      </c>
      <c r="N7">
        <v>19</v>
      </c>
      <c r="O7">
        <v>96</v>
      </c>
      <c r="P7" s="34">
        <v>99</v>
      </c>
      <c r="Q7" s="29">
        <v>6.76</v>
      </c>
      <c r="R7" s="30">
        <f t="shared" ref="R7:R14" si="6">Q7*0.93</f>
        <v>6.2868000000000004</v>
      </c>
      <c r="S7" s="30">
        <v>7.21</v>
      </c>
      <c r="T7" s="32">
        <f t="shared" ref="T7:T14" si="7">Q7*1.25</f>
        <v>8.4499999999999993</v>
      </c>
      <c r="U7" s="29">
        <f t="shared" ref="U7:U14" si="8">Q7*1.5</f>
        <v>10.14</v>
      </c>
      <c r="V7" s="29">
        <f t="shared" ref="V7:V14" si="9">Q7*2</f>
        <v>13.52</v>
      </c>
      <c r="W7" s="29">
        <f t="shared" ref="W7:W14" si="10">H7-(H7*0.07)</f>
        <v>8.0049246199896604</v>
      </c>
      <c r="X7" s="30">
        <v>8.75</v>
      </c>
      <c r="Y7" s="5">
        <f t="shared" ref="Y7:Y14" si="11">(X7-H7)/H7</f>
        <v>1.6561727474519328E-2</v>
      </c>
      <c r="Z7" s="6">
        <f t="shared" ref="Z7:Z14" si="12">F7/F$19</f>
        <v>7.5493175354526862E-2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64.25</v>
      </c>
      <c r="F8" s="3">
        <f t="shared" si="0"/>
        <v>53224.847774999995</v>
      </c>
      <c r="G8" s="3">
        <v>47623.59</v>
      </c>
      <c r="H8" s="4">
        <f t="shared" si="1"/>
        <v>57.488481140141687</v>
      </c>
      <c r="I8" s="3">
        <f t="shared" si="2"/>
        <v>5601.2577749999982</v>
      </c>
      <c r="J8" s="27">
        <f t="shared" si="3"/>
        <v>6.7615188598583131</v>
      </c>
      <c r="K8" s="28">
        <v>45378</v>
      </c>
      <c r="L8">
        <f t="shared" si="4"/>
        <v>77</v>
      </c>
      <c r="M8" s="5">
        <f t="shared" si="5"/>
        <v>0.11761519396164798</v>
      </c>
      <c r="N8">
        <v>19</v>
      </c>
      <c r="O8">
        <v>89</v>
      </c>
      <c r="P8" s="34">
        <v>97</v>
      </c>
      <c r="Q8" s="29">
        <v>57.16</v>
      </c>
      <c r="R8" s="30">
        <f t="shared" si="6"/>
        <v>53.158799999999999</v>
      </c>
      <c r="S8" s="30">
        <v>60.15</v>
      </c>
      <c r="T8" s="29">
        <f t="shared" si="7"/>
        <v>71.449999999999989</v>
      </c>
      <c r="U8" s="29">
        <f t="shared" si="8"/>
        <v>85.74</v>
      </c>
      <c r="V8" s="29">
        <f t="shared" si="9"/>
        <v>114.32</v>
      </c>
      <c r="W8" s="29">
        <f t="shared" si="10"/>
        <v>53.464287460331768</v>
      </c>
      <c r="X8" s="30">
        <v>65</v>
      </c>
      <c r="Y8" s="5">
        <f t="shared" si="11"/>
        <v>0.13066128571995528</v>
      </c>
      <c r="Z8" s="6">
        <f t="shared" si="12"/>
        <v>7.3624078194364034E-2</v>
      </c>
      <c r="AB8" s="31">
        <v>45504</v>
      </c>
      <c r="AC8" s="9">
        <v>98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172.51</v>
      </c>
      <c r="F9" s="3">
        <f t="shared" si="0"/>
        <v>67356.753763000001</v>
      </c>
      <c r="G9" s="3">
        <v>58706.59</v>
      </c>
      <c r="H9" s="4">
        <f t="shared" si="1"/>
        <v>150.35572938289613</v>
      </c>
      <c r="I9" s="3">
        <f t="shared" si="2"/>
        <v>8650.1637630000041</v>
      </c>
      <c r="J9" s="27">
        <f t="shared" si="3"/>
        <v>22.154270617103862</v>
      </c>
      <c r="K9" s="28">
        <v>45426</v>
      </c>
      <c r="L9">
        <f t="shared" si="4"/>
        <v>30</v>
      </c>
      <c r="M9" s="5">
        <f t="shared" si="5"/>
        <v>0.14734570280781092</v>
      </c>
      <c r="N9">
        <v>52</v>
      </c>
      <c r="O9">
        <v>95</v>
      </c>
      <c r="P9" s="34">
        <v>81</v>
      </c>
      <c r="Q9" s="29">
        <v>148.43</v>
      </c>
      <c r="R9" s="30">
        <f t="shared" si="6"/>
        <v>138.03990000000002</v>
      </c>
      <c r="S9" s="30">
        <v>125.78</v>
      </c>
      <c r="T9" s="29">
        <f t="shared" si="7"/>
        <v>185.53750000000002</v>
      </c>
      <c r="U9" s="29">
        <f t="shared" si="8"/>
        <v>222.64500000000001</v>
      </c>
      <c r="V9" s="29">
        <f t="shared" si="9"/>
        <v>296.86</v>
      </c>
      <c r="W9" s="29">
        <f t="shared" si="10"/>
        <v>139.83082832609341</v>
      </c>
      <c r="X9" s="30">
        <v>148</v>
      </c>
      <c r="Y9" s="5">
        <f t="shared" si="11"/>
        <v>-1.5667706129754624E-2</v>
      </c>
      <c r="Z9" s="6">
        <f t="shared" si="12"/>
        <v>9.3172251556817839E-2</v>
      </c>
      <c r="AB9" s="31">
        <v>45491</v>
      </c>
      <c r="AC9" s="9">
        <v>96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27.73</v>
      </c>
      <c r="F10" s="3">
        <f t="shared" si="0"/>
        <v>68618.400777999996</v>
      </c>
      <c r="G10" s="3">
        <f>44039.07+27471.43</f>
        <v>71510.5</v>
      </c>
      <c r="H10" s="4">
        <f t="shared" si="1"/>
        <v>28.898752266400425</v>
      </c>
      <c r="I10" s="3">
        <f t="shared" si="2"/>
        <v>-2892.0992220000044</v>
      </c>
      <c r="J10" s="27">
        <f t="shared" si="3"/>
        <v>-1.1687522664004248</v>
      </c>
      <c r="K10" s="28">
        <v>45426</v>
      </c>
      <c r="L10">
        <f t="shared" si="4"/>
        <v>30</v>
      </c>
      <c r="M10" s="5">
        <f t="shared" si="5"/>
        <v>-4.0443000985869268E-2</v>
      </c>
      <c r="N10">
        <v>30</v>
      </c>
      <c r="O10">
        <v>97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 t="shared" si="7"/>
        <v>34.337499999999999</v>
      </c>
      <c r="U10" s="29">
        <f t="shared" si="8"/>
        <v>41.204999999999998</v>
      </c>
      <c r="V10" s="29">
        <f t="shared" si="9"/>
        <v>54.94</v>
      </c>
      <c r="W10" s="29">
        <f t="shared" si="10"/>
        <v>26.875839607752397</v>
      </c>
      <c r="X10" s="30">
        <v>27</v>
      </c>
      <c r="Y10" s="5">
        <f t="shared" si="11"/>
        <v>-6.570360716258461E-2</v>
      </c>
      <c r="Z10" s="6">
        <f t="shared" si="12"/>
        <v>9.4917443931603285E-2</v>
      </c>
      <c r="AB10" s="31">
        <v>45513</v>
      </c>
      <c r="AC10" s="9">
        <v>99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v>940.66800000000001</v>
      </c>
      <c r="E11" s="27">
        <v>131.88</v>
      </c>
      <c r="F11" s="3">
        <f t="shared" si="0"/>
        <v>124055.29583999999</v>
      </c>
      <c r="G11" s="3">
        <v>88627.87</v>
      </c>
      <c r="H11" s="4">
        <f t="shared" si="1"/>
        <v>94.218013156607853</v>
      </c>
      <c r="I11" s="3">
        <f t="shared" si="2"/>
        <v>35427.425839999996</v>
      </c>
      <c r="J11" s="27">
        <f t="shared" si="3"/>
        <v>37.661986843392143</v>
      </c>
      <c r="K11" s="28">
        <v>45427</v>
      </c>
      <c r="L11">
        <f t="shared" si="4"/>
        <v>29</v>
      </c>
      <c r="M11" s="5">
        <f t="shared" si="5"/>
        <v>0.39973233972564159</v>
      </c>
      <c r="N11">
        <v>2</v>
      </c>
      <c r="O11">
        <v>99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f t="shared" si="7"/>
        <v>1152.75</v>
      </c>
      <c r="U11" s="29">
        <f t="shared" si="8"/>
        <v>1383.3000000000002</v>
      </c>
      <c r="V11" s="29">
        <f t="shared" si="9"/>
        <v>1844.4</v>
      </c>
      <c r="W11" s="29">
        <f t="shared" si="10"/>
        <v>87.622752235645308</v>
      </c>
      <c r="X11" s="30">
        <v>110</v>
      </c>
      <c r="Y11" s="5">
        <f t="shared" si="11"/>
        <v>0.16750498460585825</v>
      </c>
      <c r="Z11" s="6">
        <f t="shared" si="12"/>
        <v>0.17160137009615192</v>
      </c>
      <c r="AB11" s="31">
        <v>45519</v>
      </c>
      <c r="AC11" s="9">
        <v>99</v>
      </c>
    </row>
    <row r="12" spans="1:31" x14ac:dyDescent="0.25">
      <c r="A12" t="s">
        <v>135</v>
      </c>
      <c r="B12" t="s">
        <v>33</v>
      </c>
      <c r="C12" s="26" t="s">
        <v>136</v>
      </c>
      <c r="D12" s="2">
        <v>389.78429999999997</v>
      </c>
      <c r="E12" s="27">
        <v>156.97999999999999</v>
      </c>
      <c r="F12" s="3">
        <f t="shared" si="0"/>
        <v>61188.339413999995</v>
      </c>
      <c r="G12" s="3">
        <v>59201.71</v>
      </c>
      <c r="H12" s="4">
        <f t="shared" si="1"/>
        <v>151.88325953610754</v>
      </c>
      <c r="I12" s="3">
        <f t="shared" si="2"/>
        <v>1986.6294139999954</v>
      </c>
      <c r="J12" s="27">
        <f t="shared" si="3"/>
        <v>5.096740463892445</v>
      </c>
      <c r="K12" s="28">
        <v>45440</v>
      </c>
      <c r="L12">
        <f t="shared" si="4"/>
        <v>16</v>
      </c>
      <c r="M12" s="5">
        <f t="shared" si="5"/>
        <v>3.3556959993216333E-2</v>
      </c>
      <c r="N12">
        <v>12</v>
      </c>
      <c r="O12">
        <v>92</v>
      </c>
      <c r="P12" s="34">
        <v>92</v>
      </c>
      <c r="Q12" s="29">
        <v>148.16</v>
      </c>
      <c r="R12" s="30">
        <f t="shared" si="6"/>
        <v>137.78880000000001</v>
      </c>
      <c r="S12" s="30">
        <v>139.01</v>
      </c>
      <c r="T12" s="29">
        <f t="shared" si="7"/>
        <v>185.2</v>
      </c>
      <c r="U12" s="29">
        <f t="shared" si="8"/>
        <v>222.24</v>
      </c>
      <c r="V12" s="29">
        <f t="shared" si="9"/>
        <v>296.32</v>
      </c>
      <c r="W12" s="29">
        <f t="shared" si="10"/>
        <v>141.25143136858003</v>
      </c>
      <c r="X12" s="30">
        <v>142</v>
      </c>
      <c r="Y12" s="5">
        <f t="shared" si="11"/>
        <v>-6.5071421078884445E-2</v>
      </c>
      <c r="Z12" s="33">
        <f t="shared" si="12"/>
        <v>8.4639698823443424E-2</v>
      </c>
      <c r="AB12" s="31">
        <v>45491</v>
      </c>
      <c r="AC12" s="9">
        <v>97</v>
      </c>
    </row>
    <row r="13" spans="1:31" x14ac:dyDescent="0.25">
      <c r="A13" t="s">
        <v>138</v>
      </c>
      <c r="B13" t="s">
        <v>33</v>
      </c>
      <c r="C13" s="26" t="s">
        <v>139</v>
      </c>
      <c r="D13" s="2">
        <f>1465.9283+649.0589</f>
        <v>2114.9872</v>
      </c>
      <c r="E13" s="27">
        <v>37.299999999999997</v>
      </c>
      <c r="F13" s="3">
        <f t="shared" si="0"/>
        <v>78889.022559999998</v>
      </c>
      <c r="G13" s="3">
        <f>58372.3+26484.85</f>
        <v>84857.15</v>
      </c>
      <c r="H13" s="4">
        <f t="shared" si="1"/>
        <v>40.121826742024723</v>
      </c>
      <c r="I13" s="3">
        <f t="shared" si="2"/>
        <v>-5968.1274399999966</v>
      </c>
      <c r="J13" s="27">
        <f t="shared" si="3"/>
        <v>-2.8218267420247258</v>
      </c>
      <c r="K13" s="28">
        <v>45446</v>
      </c>
      <c r="L13">
        <f t="shared" si="4"/>
        <v>11</v>
      </c>
      <c r="M13" s="5">
        <f t="shared" si="5"/>
        <v>-7.0331462227991359E-2</v>
      </c>
      <c r="O13">
        <v>92</v>
      </c>
      <c r="P13" s="58" t="s">
        <v>141</v>
      </c>
      <c r="Q13" s="29">
        <v>40.67</v>
      </c>
      <c r="R13" s="30">
        <f t="shared" si="6"/>
        <v>37.823100000000004</v>
      </c>
      <c r="S13" s="30">
        <v>37.92</v>
      </c>
      <c r="T13" s="32">
        <f t="shared" si="7"/>
        <v>50.837500000000006</v>
      </c>
      <c r="U13" s="29">
        <f t="shared" si="8"/>
        <v>61.005000000000003</v>
      </c>
      <c r="V13" s="29">
        <f t="shared" si="9"/>
        <v>81.34</v>
      </c>
      <c r="W13" s="29">
        <f t="shared" si="10"/>
        <v>37.313298870082988</v>
      </c>
      <c r="X13" s="30">
        <v>37.31</v>
      </c>
      <c r="Y13" s="5">
        <f t="shared" si="11"/>
        <v>-7.0082221333146205E-2</v>
      </c>
      <c r="Z13" s="6">
        <f t="shared" si="12"/>
        <v>0.10912443733399459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44804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29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ref="F15:F16" si="13">E15*D15</f>
        <v>0</v>
      </c>
      <c r="H15" s="4" t="e">
        <f t="shared" ref="H15:H16" si="14">G15/D15</f>
        <v>#DIV/0!</v>
      </c>
      <c r="I15" s="3">
        <f t="shared" ref="I15:I16" si="15">F15-G15</f>
        <v>0</v>
      </c>
      <c r="J15" s="27" t="e">
        <f t="shared" ref="J15:J16" si="16">E15-H15</f>
        <v>#DIV/0!</v>
      </c>
      <c r="K15" s="28"/>
      <c r="L15">
        <f t="shared" ref="L15" si="17">DAYS360(K15,$C$1)</f>
        <v>44804</v>
      </c>
      <c r="M15" s="5" t="e">
        <f t="shared" ref="M15:M16" si="18">(I15/G15)</f>
        <v>#DIV/0!</v>
      </c>
      <c r="Q15" s="29"/>
      <c r="R15" s="30">
        <f t="shared" ref="R15:R16" si="19">Q15*0.93</f>
        <v>0</v>
      </c>
      <c r="S15" s="30"/>
      <c r="T15" s="32">
        <f t="shared" ref="T15:T16" si="20">Q15*1.25</f>
        <v>0</v>
      </c>
      <c r="U15" s="29">
        <f t="shared" ref="U15:U16" si="21">Q15*1.5</f>
        <v>0</v>
      </c>
      <c r="V15" s="29">
        <f t="shared" ref="V15:V16" si="22">Q15*2</f>
        <v>0</v>
      </c>
      <c r="W15" s="29" t="e">
        <f t="shared" ref="W15:W16" si="23">H15-(H15*0.07)</f>
        <v>#DIV/0!</v>
      </c>
      <c r="X15" s="30"/>
      <c r="Y15" s="5" t="e">
        <f t="shared" ref="Y15:Y16" si="24">(X15-H15)/H15</f>
        <v>#DIV/0!</v>
      </c>
      <c r="Z15" s="33">
        <f t="shared" ref="Z15:Z16" si="25">F15/F$19</f>
        <v>0</v>
      </c>
      <c r="AA15" s="9"/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91.62</v>
      </c>
      <c r="F16" s="57">
        <f t="shared" si="13"/>
        <v>33323.458356000003</v>
      </c>
      <c r="G16" s="38">
        <v>33268.9</v>
      </c>
      <c r="H16" s="39">
        <f t="shared" si="14"/>
        <v>91.469996464252944</v>
      </c>
      <c r="I16" s="38">
        <f t="shared" si="15"/>
        <v>54.558356000001368</v>
      </c>
      <c r="J16" s="37">
        <f t="shared" si="16"/>
        <v>0.15000353574706082</v>
      </c>
      <c r="K16" s="40"/>
      <c r="L16" s="35"/>
      <c r="M16" s="41">
        <f t="shared" si="18"/>
        <v>1.6399206466099379E-3</v>
      </c>
      <c r="N16" s="35"/>
      <c r="O16" s="35"/>
      <c r="P16" s="35"/>
      <c r="Q16" s="42"/>
      <c r="R16" s="43">
        <f t="shared" si="19"/>
        <v>0</v>
      </c>
      <c r="S16" s="43"/>
      <c r="T16" s="42">
        <f t="shared" si="20"/>
        <v>0</v>
      </c>
      <c r="U16" s="42">
        <f t="shared" si="21"/>
        <v>0</v>
      </c>
      <c r="V16" s="42">
        <f t="shared" si="22"/>
        <v>0</v>
      </c>
      <c r="W16" s="42">
        <f t="shared" si="23"/>
        <v>85.067096711755241</v>
      </c>
      <c r="X16" s="43"/>
      <c r="Y16" s="41">
        <f t="shared" si="24"/>
        <v>-1</v>
      </c>
      <c r="Z16" s="44">
        <f t="shared" si="25"/>
        <v>4.6095179343305842E-2</v>
      </c>
      <c r="AB16" s="31"/>
      <c r="AC16" s="9"/>
    </row>
    <row r="17" spans="1:26" x14ac:dyDescent="0.25">
      <c r="A17" t="s">
        <v>53</v>
      </c>
      <c r="F17" s="3">
        <f>SUM(F6:F16)</f>
        <v>541232.18741399993</v>
      </c>
      <c r="G17" s="3">
        <f>SUM(G6:G16)</f>
        <v>499587.35</v>
      </c>
      <c r="H17" s="4"/>
      <c r="I17" s="3">
        <f>SUM(I6:I16)</f>
        <v>41644.837414000001</v>
      </c>
      <c r="M17" s="5"/>
      <c r="Z17" s="6"/>
    </row>
    <row r="18" spans="1:26" x14ac:dyDescent="0.25">
      <c r="D18" s="2" t="s">
        <v>54</v>
      </c>
      <c r="F18" s="3">
        <v>181695</v>
      </c>
      <c r="G18" s="6">
        <f>F18/F19</f>
        <v>0.25133236536579223</v>
      </c>
      <c r="H18" s="4"/>
      <c r="M18" s="5"/>
      <c r="Z18" s="6"/>
    </row>
    <row r="19" spans="1:26" x14ac:dyDescent="0.25">
      <c r="D19" s="2" t="s">
        <v>55</v>
      </c>
      <c r="F19" s="3">
        <f>SUM(F17:F18)</f>
        <v>722927.18741399993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'06-07-24'!F19</f>
        <v>711314.58975899999</v>
      </c>
      <c r="K20" s="1">
        <v>45291</v>
      </c>
      <c r="L20" s="47">
        <v>139707.06</v>
      </c>
      <c r="M20" s="47">
        <v>163828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1.6325544030995329E-2</v>
      </c>
      <c r="K21" s="9" t="s">
        <v>58</v>
      </c>
      <c r="L21" s="6">
        <f>(M20-L20)/L20</f>
        <v>0.17265369409391337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4" si="26">F25/D25</f>
        <v>47.428061535569462</v>
      </c>
      <c r="F25" s="3">
        <v>38349.050000000003</v>
      </c>
      <c r="G25" s="3">
        <v>35186.18</v>
      </c>
      <c r="H25" s="3">
        <f t="shared" ref="H25:H44" si="27">G25/D25</f>
        <v>43.516392459307944</v>
      </c>
      <c r="I25" s="3">
        <f t="shared" ref="I25:I43" si="28">G25-F25</f>
        <v>-3162.8700000000026</v>
      </c>
      <c r="J25" s="5">
        <f t="shared" ref="J25:J43" si="29">I25/F25</f>
        <v>-8.2475837080710018E-2</v>
      </c>
      <c r="K25" s="1">
        <v>45286</v>
      </c>
      <c r="L25" s="1">
        <v>45302</v>
      </c>
      <c r="M25">
        <f t="shared" ref="M25:M44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si="27"/>
        <v>34.904632944513089</v>
      </c>
      <c r="I33" s="3">
        <f t="shared" si="28"/>
        <v>2.8099999999976717</v>
      </c>
      <c r="J33" s="5">
        <f t="shared" si="29"/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6"/>
        <v>17.884521773182534</v>
      </c>
      <c r="F34" s="3">
        <f>20288.83+19170.47</f>
        <v>39459.300000000003</v>
      </c>
      <c r="G34" s="3">
        <v>47805.42</v>
      </c>
      <c r="H34" s="3">
        <f t="shared" si="27"/>
        <v>21.667314799455028</v>
      </c>
      <c r="I34" s="3">
        <f t="shared" si="28"/>
        <v>8346.1199999999953</v>
      </c>
      <c r="J34" s="5">
        <f t="shared" si="29"/>
        <v>0.21151211501471123</v>
      </c>
      <c r="K34" s="1">
        <v>45243</v>
      </c>
      <c r="L34" s="1">
        <v>45373</v>
      </c>
      <c r="M34" s="54">
        <f t="shared" si="30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6"/>
        <v>97.201614911338325</v>
      </c>
      <c r="F35" s="3">
        <v>71279.48</v>
      </c>
      <c r="G35" s="3">
        <v>66395.73</v>
      </c>
      <c r="H35" s="3">
        <f t="shared" si="27"/>
        <v>90.541796590227548</v>
      </c>
      <c r="I35" s="3">
        <f t="shared" si="28"/>
        <v>-4883.75</v>
      </c>
      <c r="J35" s="5">
        <f t="shared" si="29"/>
        <v>-6.85155110559168E-2</v>
      </c>
      <c r="K35" s="1">
        <v>45349</v>
      </c>
      <c r="L35" s="1">
        <v>45394</v>
      </c>
      <c r="M35" s="54">
        <f t="shared" si="30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6"/>
        <v>51.760011005615979</v>
      </c>
      <c r="F36" s="3">
        <v>46654.3</v>
      </c>
      <c r="G36" s="3">
        <v>44379.95</v>
      </c>
      <c r="H36" s="3">
        <f t="shared" si="27"/>
        <v>49.23676275131524</v>
      </c>
      <c r="I36" s="3">
        <f t="shared" si="28"/>
        <v>-2274.3500000000058</v>
      </c>
      <c r="J36" s="5">
        <f t="shared" si="29"/>
        <v>-4.874898991089794E-2</v>
      </c>
      <c r="K36" s="1">
        <v>45394</v>
      </c>
      <c r="L36" s="1">
        <v>45394</v>
      </c>
      <c r="M36" s="54">
        <f t="shared" si="30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6"/>
        <v>228.36593513142583</v>
      </c>
      <c r="F37" s="3">
        <v>61166.239999999998</v>
      </c>
      <c r="G37" s="3">
        <v>81558.94</v>
      </c>
      <c r="H37" s="3">
        <f t="shared" si="27"/>
        <v>304.50267339349045</v>
      </c>
      <c r="I37" s="3">
        <f t="shared" si="28"/>
        <v>20392.700000000004</v>
      </c>
      <c r="J37" s="5">
        <f t="shared" si="29"/>
        <v>0.33339796593676518</v>
      </c>
      <c r="K37" s="1">
        <v>45238</v>
      </c>
      <c r="L37" s="1">
        <v>45397</v>
      </c>
      <c r="M37" s="54">
        <f t="shared" si="30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6"/>
        <v>131.07547316942754</v>
      </c>
      <c r="F38" s="3">
        <v>29415.63</v>
      </c>
      <c r="G38" s="3">
        <v>27481.43</v>
      </c>
      <c r="H38" s="3">
        <f t="shared" si="27"/>
        <v>122.45671571958516</v>
      </c>
      <c r="I38" s="3">
        <f t="shared" si="28"/>
        <v>-1934.2000000000007</v>
      </c>
      <c r="J38" s="5">
        <f t="shared" si="29"/>
        <v>-6.5754158588478329E-2</v>
      </c>
      <c r="K38" s="1">
        <v>45393</v>
      </c>
      <c r="L38" s="1">
        <v>45397</v>
      </c>
      <c r="M38" s="54">
        <f t="shared" si="30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6"/>
        <v>30.008099047901005</v>
      </c>
      <c r="F39" s="3">
        <v>43950.36</v>
      </c>
      <c r="G39" s="3">
        <v>49174.83</v>
      </c>
      <c r="H39" s="3">
        <f t="shared" si="27"/>
        <v>33.575223713837467</v>
      </c>
      <c r="I39" s="3">
        <f t="shared" si="28"/>
        <v>5224.4700000000012</v>
      </c>
      <c r="J39" s="5">
        <f t="shared" si="29"/>
        <v>0.11887206384657603</v>
      </c>
      <c r="K39" s="1">
        <v>45321</v>
      </c>
      <c r="L39" s="1">
        <v>45400</v>
      </c>
      <c r="M39" s="54">
        <f t="shared" si="30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6"/>
        <v>202.80010053151383</v>
      </c>
      <c r="F40" s="3">
        <v>54466.53</v>
      </c>
      <c r="G40" s="3">
        <v>57142.12</v>
      </c>
      <c r="H40" s="3">
        <f t="shared" si="27"/>
        <v>212.76236397993094</v>
      </c>
      <c r="I40" s="3">
        <f t="shared" si="28"/>
        <v>2675.5900000000038</v>
      </c>
      <c r="J40" s="5">
        <f t="shared" si="29"/>
        <v>4.912356267234215E-2</v>
      </c>
      <c r="K40" s="1">
        <v>45370</v>
      </c>
      <c r="L40" s="1">
        <v>45401</v>
      </c>
      <c r="M40" s="54">
        <f t="shared" si="30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6"/>
        <v>72.032301948546731</v>
      </c>
      <c r="F41" s="3">
        <f>38270.34+5640.4</f>
        <v>43910.74</v>
      </c>
      <c r="G41" s="3">
        <v>46906.35</v>
      </c>
      <c r="H41" s="3">
        <f t="shared" si="27"/>
        <v>76.946377275905974</v>
      </c>
      <c r="I41" s="3">
        <f t="shared" si="28"/>
        <v>2995.6100000000006</v>
      </c>
      <c r="J41" s="5">
        <f t="shared" si="29"/>
        <v>6.8220439919709858E-2</v>
      </c>
      <c r="K41" s="1">
        <v>45313</v>
      </c>
      <c r="L41" s="1">
        <v>45420</v>
      </c>
      <c r="M41" s="54">
        <f t="shared" si="30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6"/>
        <v>26.796152173251542</v>
      </c>
      <c r="F42" s="3">
        <f>36957.24+22924.55</f>
        <v>59881.789999999994</v>
      </c>
      <c r="G42" s="3">
        <v>53143.62</v>
      </c>
      <c r="H42" s="3">
        <f t="shared" si="27"/>
        <v>23.780927867344218</v>
      </c>
      <c r="I42" s="3">
        <f t="shared" si="28"/>
        <v>-6738.169999999991</v>
      </c>
      <c r="J42" s="5">
        <f t="shared" si="29"/>
        <v>-0.11252452540246362</v>
      </c>
      <c r="K42" s="1">
        <v>45421</v>
      </c>
      <c r="L42" s="1">
        <v>45441</v>
      </c>
      <c r="M42" s="54">
        <f t="shared" si="30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6"/>
        <v>21.526049990446886</v>
      </c>
      <c r="F43" s="3">
        <f>28174.78+19947.6-17409.86</f>
        <v>30712.519999999997</v>
      </c>
      <c r="G43" s="3">
        <v>80427.22</v>
      </c>
      <c r="H43" s="3">
        <f t="shared" si="27"/>
        <v>56.370508128693771</v>
      </c>
      <c r="I43" s="3">
        <f t="shared" si="28"/>
        <v>49714.700000000004</v>
      </c>
      <c r="J43" s="5">
        <f t="shared" si="29"/>
        <v>1.6187111966064658</v>
      </c>
      <c r="K43" s="1">
        <v>45309</v>
      </c>
      <c r="L43" s="1">
        <v>45447</v>
      </c>
      <c r="M43" s="54">
        <f t="shared" si="30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6"/>
        <v>119.9800324750113</v>
      </c>
      <c r="F44" s="3">
        <v>59378.55</v>
      </c>
      <c r="G44" s="3">
        <v>52305.62</v>
      </c>
      <c r="H44" s="3">
        <f t="shared" si="27"/>
        <v>105.68850176074695</v>
      </c>
      <c r="I44" s="3">
        <f t="shared" ref="I44" si="31">G44-F44</f>
        <v>-7072.93</v>
      </c>
      <c r="J44" s="5">
        <f t="shared" ref="J44" si="32">I44/F44</f>
        <v>-0.1191159097013989</v>
      </c>
      <c r="K44" s="1">
        <v>45422</v>
      </c>
      <c r="L44" s="1">
        <v>45456</v>
      </c>
      <c r="M44" s="54">
        <f t="shared" si="30"/>
        <v>33</v>
      </c>
    </row>
    <row r="45" spans="1:15" x14ac:dyDescent="0.25">
      <c r="I45" s="3">
        <f>SUM(I25:I44)</f>
        <v>52017.299999999996</v>
      </c>
      <c r="J45" s="13" t="s">
        <v>68</v>
      </c>
    </row>
    <row r="46" spans="1:15" x14ac:dyDescent="0.25">
      <c r="H46" s="3" t="s">
        <v>69</v>
      </c>
      <c r="I46" s="55">
        <v>11</v>
      </c>
      <c r="J46" s="5">
        <v>-8.7599999999999997E-2</v>
      </c>
    </row>
    <row r="47" spans="1:15" x14ac:dyDescent="0.25">
      <c r="H47" s="3" t="s">
        <v>70</v>
      </c>
      <c r="I47" s="55">
        <v>9</v>
      </c>
      <c r="J47" s="5">
        <v>0.34739999999999999</v>
      </c>
    </row>
    <row r="48" spans="1:15" x14ac:dyDescent="0.25">
      <c r="J48" s="5"/>
    </row>
    <row r="49" spans="10:10" x14ac:dyDescent="0.25">
      <c r="J49" s="5"/>
    </row>
    <row r="50" spans="10:10" x14ac:dyDescent="0.25">
      <c r="J50" s="5"/>
    </row>
    <row r="51" spans="10:10" x14ac:dyDescent="0.25">
      <c r="J51" s="5"/>
    </row>
    <row r="52" spans="10:10" x14ac:dyDescent="0.25">
      <c r="J52" s="5"/>
    </row>
    <row r="53" spans="10:10" x14ac:dyDescent="0.25">
      <c r="J53" s="5"/>
    </row>
    <row r="54" spans="10:10" x14ac:dyDescent="0.25">
      <c r="J54" s="5"/>
    </row>
    <row r="55" spans="10:10" x14ac:dyDescent="0.25">
      <c r="J55" s="5"/>
    </row>
    <row r="56" spans="10:10" x14ac:dyDescent="0.25">
      <c r="J56" s="5"/>
    </row>
    <row r="57" spans="10:10" x14ac:dyDescent="0.25">
      <c r="J57" s="5"/>
    </row>
    <row r="58" spans="10:10" x14ac:dyDescent="0.25">
      <c r="J58" s="5"/>
    </row>
    <row r="59" spans="10:10" x14ac:dyDescent="0.25">
      <c r="J59" s="5"/>
    </row>
    <row r="60" spans="10:10" x14ac:dyDescent="0.25">
      <c r="J60" s="5"/>
    </row>
    <row r="61" spans="10:10" x14ac:dyDescent="0.25">
      <c r="J61" s="5"/>
    </row>
    <row r="62" spans="10:10" x14ac:dyDescent="0.25">
      <c r="J62" s="5"/>
    </row>
    <row r="63" spans="10:10" x14ac:dyDescent="0.25">
      <c r="J63" s="5"/>
    </row>
    <row r="64" spans="10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85B6-451B-46D5-8830-291197CF933C}">
  <dimension ref="A1:AE20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45464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9.02</v>
      </c>
      <c r="F7" s="3">
        <f t="shared" ref="F7:F16" si="0">E7*D7</f>
        <v>58465.099967999995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2674.0599680000014</v>
      </c>
      <c r="J7" s="27">
        <f t="shared" ref="J7:J16" si="3">E7-H7</f>
        <v>0.41255417205412748</v>
      </c>
      <c r="K7" s="28">
        <v>45378</v>
      </c>
      <c r="L7">
        <f t="shared" ref="L7:L15" si="4">DAYS360(K7,$C$1)</f>
        <v>84</v>
      </c>
      <c r="M7" s="5">
        <f t="shared" ref="M7:M16" si="5">(I7/G7)</f>
        <v>4.7929917922304402E-2</v>
      </c>
      <c r="N7">
        <v>33</v>
      </c>
      <c r="O7">
        <v>97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8.1411782159358445E-2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65.23</v>
      </c>
      <c r="F8" s="3">
        <f t="shared" si="0"/>
        <v>54036.682029000003</v>
      </c>
      <c r="G8" s="3">
        <v>47623.59</v>
      </c>
      <c r="H8" s="4">
        <f t="shared" si="1"/>
        <v>57.488481140141687</v>
      </c>
      <c r="I8" s="3">
        <f t="shared" si="2"/>
        <v>6413.0920290000067</v>
      </c>
      <c r="J8" s="27">
        <f t="shared" si="3"/>
        <v>7.7415188598583171</v>
      </c>
      <c r="K8" s="28">
        <v>45378</v>
      </c>
      <c r="L8">
        <f t="shared" si="4"/>
        <v>84</v>
      </c>
      <c r="M8" s="5">
        <f t="shared" si="5"/>
        <v>0.13466208719250286</v>
      </c>
      <c r="N8">
        <v>33</v>
      </c>
      <c r="O8">
        <v>90</v>
      </c>
      <c r="P8" s="34">
        <v>97</v>
      </c>
      <c r="Q8" s="29">
        <v>57.16</v>
      </c>
      <c r="R8" s="30">
        <f t="shared" si="6"/>
        <v>53.158799999999999</v>
      </c>
      <c r="S8" s="30">
        <v>60.15</v>
      </c>
      <c r="T8" s="29">
        <f t="shared" si="7"/>
        <v>71.449999999999989</v>
      </c>
      <c r="U8" s="29">
        <f t="shared" si="8"/>
        <v>85.74</v>
      </c>
      <c r="V8" s="29">
        <f t="shared" si="9"/>
        <v>114.32</v>
      </c>
      <c r="W8" s="29">
        <f t="shared" si="10"/>
        <v>53.464287460331768</v>
      </c>
      <c r="X8" s="30">
        <v>65</v>
      </c>
      <c r="Y8" s="5">
        <f t="shared" si="11"/>
        <v>0.13066128571995528</v>
      </c>
      <c r="Z8" s="6">
        <f t="shared" si="12"/>
        <v>7.5245276042755702E-2</v>
      </c>
      <c r="AB8" s="31">
        <v>45504</v>
      </c>
      <c r="AC8" s="9">
        <v>98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173.96</v>
      </c>
      <c r="F9" s="3">
        <f t="shared" si="0"/>
        <v>67922.908148000002</v>
      </c>
      <c r="G9" s="3">
        <v>58706.59</v>
      </c>
      <c r="H9" s="4">
        <f t="shared" si="1"/>
        <v>150.35572938289613</v>
      </c>
      <c r="I9" s="3">
        <f t="shared" si="2"/>
        <v>9216.3181480000057</v>
      </c>
      <c r="J9" s="27">
        <f t="shared" si="3"/>
        <v>23.604270617103879</v>
      </c>
      <c r="K9" s="28">
        <v>45426</v>
      </c>
      <c r="L9">
        <f t="shared" si="4"/>
        <v>37</v>
      </c>
      <c r="M9" s="5">
        <f t="shared" si="5"/>
        <v>0.15698949893018835</v>
      </c>
      <c r="N9">
        <v>50</v>
      </c>
      <c r="O9">
        <v>97</v>
      </c>
      <c r="P9" s="34">
        <v>82</v>
      </c>
      <c r="Q9" s="29">
        <v>148.43</v>
      </c>
      <c r="R9" s="30">
        <f t="shared" si="6"/>
        <v>138.03990000000002</v>
      </c>
      <c r="S9" s="30">
        <v>125.78</v>
      </c>
      <c r="T9" s="29">
        <f t="shared" si="7"/>
        <v>185.53750000000002</v>
      </c>
      <c r="U9" s="29">
        <f t="shared" si="8"/>
        <v>222.64500000000001</v>
      </c>
      <c r="V9" s="29">
        <f t="shared" si="9"/>
        <v>296.86</v>
      </c>
      <c r="W9" s="29">
        <f t="shared" si="10"/>
        <v>139.83082832609341</v>
      </c>
      <c r="X9" s="30">
        <v>148</v>
      </c>
      <c r="Y9" s="5">
        <f t="shared" si="11"/>
        <v>-1.5667706129754624E-2</v>
      </c>
      <c r="Z9" s="6">
        <f t="shared" si="12"/>
        <v>9.458163938489289E-2</v>
      </c>
      <c r="AB9" s="31">
        <v>45491</v>
      </c>
      <c r="AC9" s="9">
        <v>97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27.63</v>
      </c>
      <c r="F10" s="3">
        <f t="shared" si="0"/>
        <v>68370.948917999995</v>
      </c>
      <c r="G10" s="3">
        <f>44039.07+27471.43</f>
        <v>71510.5</v>
      </c>
      <c r="H10" s="4">
        <f t="shared" si="1"/>
        <v>28.898752266400425</v>
      </c>
      <c r="I10" s="3">
        <f t="shared" si="2"/>
        <v>-3139.5510820000054</v>
      </c>
      <c r="J10" s="27">
        <f t="shared" si="3"/>
        <v>-1.2687522664004263</v>
      </c>
      <c r="K10" s="28">
        <v>45426</v>
      </c>
      <c r="L10">
        <f t="shared" si="4"/>
        <v>37</v>
      </c>
      <c r="M10" s="5">
        <f t="shared" si="5"/>
        <v>-4.3903357996378227E-2</v>
      </c>
      <c r="N10">
        <v>20</v>
      </c>
      <c r="O10">
        <v>96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 t="shared" si="7"/>
        <v>34.337499999999999</v>
      </c>
      <c r="U10" s="29">
        <f t="shared" si="8"/>
        <v>41.204999999999998</v>
      </c>
      <c r="V10" s="29">
        <f t="shared" si="9"/>
        <v>54.94</v>
      </c>
      <c r="W10" s="29">
        <f t="shared" si="10"/>
        <v>26.875839607752397</v>
      </c>
      <c r="X10" s="30">
        <v>27</v>
      </c>
      <c r="Y10" s="5">
        <f t="shared" si="11"/>
        <v>-6.570360716258461E-2</v>
      </c>
      <c r="Z10" s="6">
        <f t="shared" si="12"/>
        <v>9.5205529493448515E-2</v>
      </c>
      <c r="AB10" s="31">
        <v>45513</v>
      </c>
      <c r="AC10" s="9">
        <v>98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v>940.66800000000001</v>
      </c>
      <c r="E11" s="27">
        <v>126.57</v>
      </c>
      <c r="F11" s="3">
        <f t="shared" si="0"/>
        <v>119060.34875999999</v>
      </c>
      <c r="G11" s="3">
        <v>88627.87</v>
      </c>
      <c r="H11" s="4">
        <f t="shared" si="1"/>
        <v>94.218013156607853</v>
      </c>
      <c r="I11" s="3">
        <f t="shared" si="2"/>
        <v>30432.478759999998</v>
      </c>
      <c r="J11" s="27">
        <f t="shared" si="3"/>
        <v>32.35198684339214</v>
      </c>
      <c r="K11" s="28">
        <v>45427</v>
      </c>
      <c r="L11">
        <f t="shared" si="4"/>
        <v>36</v>
      </c>
      <c r="M11" s="5">
        <f t="shared" si="5"/>
        <v>0.34337369001421336</v>
      </c>
      <c r="N11">
        <v>2</v>
      </c>
      <c r="O11">
        <v>99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v>115.28</v>
      </c>
      <c r="U11" s="29">
        <v>138.33000000000001</v>
      </c>
      <c r="V11" s="29">
        <v>184.44</v>
      </c>
      <c r="W11" s="29">
        <f t="shared" si="10"/>
        <v>87.622752235645308</v>
      </c>
      <c r="X11" s="30">
        <v>118</v>
      </c>
      <c r="Y11" s="5">
        <f t="shared" si="11"/>
        <v>0.25241443803173885</v>
      </c>
      <c r="Z11" s="6">
        <f t="shared" si="12"/>
        <v>0.16578976487462838</v>
      </c>
      <c r="AB11" s="31">
        <v>45519</v>
      </c>
      <c r="AC11" s="9">
        <v>99</v>
      </c>
    </row>
    <row r="12" spans="1:31" x14ac:dyDescent="0.25">
      <c r="A12" t="s">
        <v>135</v>
      </c>
      <c r="B12" t="s">
        <v>33</v>
      </c>
      <c r="C12" s="26" t="s">
        <v>136</v>
      </c>
      <c r="D12" s="2">
        <v>389.78429999999997</v>
      </c>
      <c r="E12" s="27">
        <v>154.74</v>
      </c>
      <c r="F12" s="3">
        <f t="shared" si="0"/>
        <v>60315.222582000002</v>
      </c>
      <c r="G12" s="3">
        <v>59201.71</v>
      </c>
      <c r="H12" s="4">
        <f t="shared" si="1"/>
        <v>151.88325953610754</v>
      </c>
      <c r="I12" s="3">
        <f t="shared" si="2"/>
        <v>1113.512582000003</v>
      </c>
      <c r="J12" s="27">
        <f t="shared" si="3"/>
        <v>2.8567404638924643</v>
      </c>
      <c r="K12" s="28">
        <v>45440</v>
      </c>
      <c r="L12">
        <f t="shared" si="4"/>
        <v>23</v>
      </c>
      <c r="M12" s="5">
        <f t="shared" si="5"/>
        <v>1.8808790860939711E-2</v>
      </c>
      <c r="N12">
        <v>5</v>
      </c>
      <c r="O12">
        <v>95</v>
      </c>
      <c r="P12" s="34">
        <v>92</v>
      </c>
      <c r="Q12" s="29">
        <v>148.16</v>
      </c>
      <c r="R12" s="30">
        <f t="shared" si="6"/>
        <v>137.78880000000001</v>
      </c>
      <c r="S12" s="30">
        <v>139.01</v>
      </c>
      <c r="T12" s="29">
        <f t="shared" si="7"/>
        <v>185.2</v>
      </c>
      <c r="U12" s="29">
        <f t="shared" si="8"/>
        <v>222.24</v>
      </c>
      <c r="V12" s="29">
        <f t="shared" si="9"/>
        <v>296.32</v>
      </c>
      <c r="W12" s="29">
        <f t="shared" si="10"/>
        <v>141.25143136858003</v>
      </c>
      <c r="X12" s="30">
        <v>149</v>
      </c>
      <c r="Y12" s="5">
        <f t="shared" si="11"/>
        <v>-1.8983392540519589E-2</v>
      </c>
      <c r="Z12" s="33">
        <f t="shared" si="12"/>
        <v>8.3988050382649115E-2</v>
      </c>
      <c r="AB12" s="31">
        <v>45491</v>
      </c>
      <c r="AC12" s="9">
        <v>97</v>
      </c>
    </row>
    <row r="13" spans="1:31" x14ac:dyDescent="0.25">
      <c r="A13" t="s">
        <v>144</v>
      </c>
      <c r="B13" t="s">
        <v>33</v>
      </c>
      <c r="C13" s="26" t="s">
        <v>145</v>
      </c>
      <c r="D13" s="2">
        <v>275.726</v>
      </c>
      <c r="E13" s="27">
        <v>205.91</v>
      </c>
      <c r="F13" s="3">
        <f t="shared" si="0"/>
        <v>56774.740659999996</v>
      </c>
      <c r="G13" s="3">
        <v>58138.05</v>
      </c>
      <c r="H13" s="4">
        <f t="shared" si="1"/>
        <v>210.8544352001625</v>
      </c>
      <c r="I13" s="3">
        <f t="shared" si="2"/>
        <v>-1363.3093400000071</v>
      </c>
      <c r="J13" s="27">
        <f t="shared" si="3"/>
        <v>-4.944435200162502</v>
      </c>
      <c r="K13" s="28">
        <v>45461</v>
      </c>
      <c r="L13">
        <f t="shared" si="4"/>
        <v>3</v>
      </c>
      <c r="M13" s="5">
        <f t="shared" si="5"/>
        <v>-2.3449519548729394E-2</v>
      </c>
      <c r="N13">
        <v>56</v>
      </c>
      <c r="O13">
        <v>96</v>
      </c>
      <c r="P13" s="58">
        <v>98</v>
      </c>
      <c r="Q13" s="29">
        <v>202.58</v>
      </c>
      <c r="R13" s="30">
        <f t="shared" si="6"/>
        <v>188.39940000000001</v>
      </c>
      <c r="S13" s="30">
        <v>195.41</v>
      </c>
      <c r="T13" s="32">
        <f t="shared" si="7"/>
        <v>253.22500000000002</v>
      </c>
      <c r="U13" s="29">
        <f t="shared" si="8"/>
        <v>303.87</v>
      </c>
      <c r="V13" s="29">
        <f t="shared" si="9"/>
        <v>405.16</v>
      </c>
      <c r="W13" s="29">
        <f t="shared" si="10"/>
        <v>196.09462473615113</v>
      </c>
      <c r="X13" s="30">
        <v>196</v>
      </c>
      <c r="Y13" s="5">
        <f t="shared" si="11"/>
        <v>-7.0448768061536368E-2</v>
      </c>
      <c r="Z13" s="6">
        <f t="shared" si="12"/>
        <v>7.9057981963527743E-2</v>
      </c>
      <c r="AB13" s="31">
        <v>45512</v>
      </c>
      <c r="AC13" s="9">
        <v>97</v>
      </c>
    </row>
    <row r="14" spans="1:31" x14ac:dyDescent="0.25">
      <c r="A14" t="s">
        <v>142</v>
      </c>
      <c r="B14" t="s">
        <v>33</v>
      </c>
      <c r="C14" s="26" t="s">
        <v>143</v>
      </c>
      <c r="D14" s="2">
        <v>305.40449999999998</v>
      </c>
      <c r="E14" s="27">
        <v>189.1</v>
      </c>
      <c r="F14" s="3">
        <f t="shared" si="0"/>
        <v>57751.990949999992</v>
      </c>
      <c r="G14" s="3">
        <v>58070.69</v>
      </c>
      <c r="H14" s="4">
        <f t="shared" si="1"/>
        <v>190.14353095648559</v>
      </c>
      <c r="I14" s="3">
        <f t="shared" si="2"/>
        <v>-318.69905000001017</v>
      </c>
      <c r="J14" s="27">
        <f t="shared" si="3"/>
        <v>-1.043530956485597</v>
      </c>
      <c r="K14" s="28">
        <v>45460</v>
      </c>
      <c r="L14">
        <f t="shared" si="4"/>
        <v>4</v>
      </c>
      <c r="M14" s="5">
        <f t="shared" si="5"/>
        <v>-5.4881223212606941E-3</v>
      </c>
      <c r="N14">
        <v>14</v>
      </c>
      <c r="O14">
        <v>88</v>
      </c>
      <c r="P14" s="34">
        <v>82</v>
      </c>
      <c r="Q14" s="29">
        <v>182.88</v>
      </c>
      <c r="R14" s="30">
        <f t="shared" si="6"/>
        <v>170.07840000000002</v>
      </c>
      <c r="S14" s="30">
        <v>174.28</v>
      </c>
      <c r="T14" s="29">
        <f t="shared" si="7"/>
        <v>228.6</v>
      </c>
      <c r="U14" s="29">
        <f t="shared" si="8"/>
        <v>274.32</v>
      </c>
      <c r="V14" s="29">
        <f t="shared" si="9"/>
        <v>365.76</v>
      </c>
      <c r="W14" s="29">
        <f t="shared" si="10"/>
        <v>176.83348378953161</v>
      </c>
      <c r="X14" s="30">
        <v>182</v>
      </c>
      <c r="Y14" s="5">
        <f t="shared" si="11"/>
        <v>-4.2828335602693952E-2</v>
      </c>
      <c r="Z14" s="6">
        <f t="shared" si="12"/>
        <v>8.041878845779861E-2</v>
      </c>
      <c r="AB14" s="31">
        <v>45495</v>
      </c>
      <c r="AC14" s="9">
        <v>97</v>
      </c>
    </row>
    <row r="15" spans="1:31" x14ac:dyDescent="0.25">
      <c r="A15" t="s">
        <v>146</v>
      </c>
      <c r="B15" t="s">
        <v>33</v>
      </c>
      <c r="C15" s="26" t="s">
        <v>147</v>
      </c>
      <c r="D15" s="2">
        <v>341.96359999999999</v>
      </c>
      <c r="E15" s="27">
        <v>207.49</v>
      </c>
      <c r="F15" s="3">
        <f t="shared" si="0"/>
        <v>70954.027363999994</v>
      </c>
      <c r="G15" s="3">
        <v>72116.02</v>
      </c>
      <c r="H15" s="4">
        <f t="shared" si="1"/>
        <v>210.88800094512985</v>
      </c>
      <c r="I15" s="3">
        <f t="shared" si="2"/>
        <v>-1161.99263600001</v>
      </c>
      <c r="J15" s="27">
        <f t="shared" si="3"/>
        <v>-3.3980009451298372</v>
      </c>
      <c r="K15" s="28">
        <v>45464</v>
      </c>
      <c r="L15">
        <f t="shared" si="4"/>
        <v>0</v>
      </c>
      <c r="M15" s="5">
        <f t="shared" si="5"/>
        <v>-1.611282258782459E-2</v>
      </c>
      <c r="N15">
        <v>38</v>
      </c>
      <c r="O15">
        <v>84</v>
      </c>
      <c r="P15" s="34">
        <v>87</v>
      </c>
      <c r="Q15" s="29">
        <v>199.62</v>
      </c>
      <c r="R15" s="30">
        <f t="shared" si="6"/>
        <v>185.64660000000001</v>
      </c>
      <c r="S15" s="30">
        <v>192.15</v>
      </c>
      <c r="T15" s="32">
        <f t="shared" si="7"/>
        <v>249.52500000000001</v>
      </c>
      <c r="U15" s="29">
        <f t="shared" si="8"/>
        <v>299.43</v>
      </c>
      <c r="V15" s="29">
        <f t="shared" si="9"/>
        <v>399.24</v>
      </c>
      <c r="W15" s="29">
        <f t="shared" si="10"/>
        <v>196.12584087897076</v>
      </c>
      <c r="X15" s="30">
        <v>197</v>
      </c>
      <c r="Y15" s="5">
        <f t="shared" si="11"/>
        <v>-6.5854865534731452E-2</v>
      </c>
      <c r="Z15" s="33">
        <f t="shared" si="12"/>
        <v>9.8802427811614163E-2</v>
      </c>
      <c r="AA15" s="9"/>
      <c r="AB15" s="31">
        <v>45497</v>
      </c>
      <c r="AC15" s="9">
        <v>90</v>
      </c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</v>
      </c>
      <c r="F16" s="57">
        <f t="shared" si="0"/>
        <v>33352.555460000003</v>
      </c>
      <c r="G16" s="38">
        <v>33268.9</v>
      </c>
      <c r="H16" s="39">
        <f t="shared" si="1"/>
        <v>91.469996464252944</v>
      </c>
      <c r="I16" s="38">
        <f t="shared" si="2"/>
        <v>83.655460000001767</v>
      </c>
      <c r="J16" s="37">
        <f t="shared" si="3"/>
        <v>0.23000353574705912</v>
      </c>
      <c r="K16" s="40"/>
      <c r="L16" s="35"/>
      <c r="M16" s="41">
        <f t="shared" si="5"/>
        <v>2.5145243756181227E-3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4.6442937428544814E-2</v>
      </c>
      <c r="AB16" s="31"/>
      <c r="AC16" s="9"/>
    </row>
    <row r="17" spans="1:26" x14ac:dyDescent="0.25">
      <c r="A17" t="s">
        <v>53</v>
      </c>
      <c r="F17" s="3">
        <f>SUM(F6:F16)</f>
        <v>647004.52483899985</v>
      </c>
      <c r="G17" s="3">
        <f>SUM(G6:G16)</f>
        <v>603054.96</v>
      </c>
      <c r="H17" s="4"/>
      <c r="I17" s="3">
        <f>SUM(I6:I16)</f>
        <v>43949.564838999984</v>
      </c>
      <c r="M17" s="5"/>
      <c r="Z17" s="6"/>
    </row>
    <row r="18" spans="1:26" x14ac:dyDescent="0.25">
      <c r="D18" s="2" t="s">
        <v>54</v>
      </c>
      <c r="F18" s="3">
        <v>71136</v>
      </c>
      <c r="G18" s="6">
        <f>F18/F19</f>
        <v>9.9055822000781821E-2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718140.52483899985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'06-14-24'!F19</f>
        <v>722927.18741399993</v>
      </c>
      <c r="K20" s="1">
        <v>45291</v>
      </c>
      <c r="L20" s="47">
        <v>139707.06</v>
      </c>
      <c r="M20" s="47">
        <v>162956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-6.6212236285130826E-3</v>
      </c>
      <c r="K21" s="9" t="s">
        <v>58</v>
      </c>
      <c r="L21" s="6">
        <f>(M20-L20)/L20</f>
        <v>0.16641206249705637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7" si="13">F25/D25</f>
        <v>47.428061535569462</v>
      </c>
      <c r="F25" s="3">
        <v>38349.050000000003</v>
      </c>
      <c r="G25" s="3">
        <v>35186.18</v>
      </c>
      <c r="H25" s="3">
        <f t="shared" ref="H25:H44" si="14">G25/D25</f>
        <v>43.516392459307944</v>
      </c>
      <c r="I25" s="3">
        <f t="shared" ref="I25:I44" si="15">G25-F25</f>
        <v>-3162.8700000000026</v>
      </c>
      <c r="J25" s="5">
        <f t="shared" ref="J25:J44" si="16">I25/F25</f>
        <v>-8.2475837080710018E-2</v>
      </c>
      <c r="K25" s="1">
        <v>45286</v>
      </c>
      <c r="L25" s="1">
        <v>45302</v>
      </c>
      <c r="M25">
        <f t="shared" ref="M25:M47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ref="H45:H47" si="18">G45/D45</f>
        <v>36.784998036867556</v>
      </c>
      <c r="I45" s="3">
        <f t="shared" ref="I45:I47" si="19">G45-F45</f>
        <v>-7057.3499999999913</v>
      </c>
      <c r="J45" s="5">
        <f t="shared" ref="J45:J47" si="20">I45/F45</f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C46" s="26"/>
      <c r="E46" s="3" t="e">
        <f t="shared" si="13"/>
        <v>#DIV/0!</v>
      </c>
      <c r="H46" s="3" t="e">
        <f t="shared" si="18"/>
        <v>#DIV/0!</v>
      </c>
      <c r="I46" s="3">
        <f t="shared" si="19"/>
        <v>0</v>
      </c>
      <c r="J46" s="5" t="e">
        <f t="shared" si="20"/>
        <v>#DIV/0!</v>
      </c>
      <c r="K46" s="1"/>
      <c r="L46" s="1"/>
      <c r="M46" s="54">
        <f t="shared" si="17"/>
        <v>0</v>
      </c>
    </row>
    <row r="47" spans="1:15" x14ac:dyDescent="0.25">
      <c r="C47" s="26"/>
      <c r="E47" s="3" t="e">
        <f t="shared" si="13"/>
        <v>#DIV/0!</v>
      </c>
      <c r="H47" s="3" t="e">
        <f t="shared" si="18"/>
        <v>#DIV/0!</v>
      </c>
      <c r="I47" s="3">
        <f t="shared" si="19"/>
        <v>0</v>
      </c>
      <c r="J47" s="5" t="e">
        <f t="shared" si="20"/>
        <v>#DIV/0!</v>
      </c>
      <c r="K47" s="1"/>
      <c r="L47" s="1"/>
      <c r="M47" s="54">
        <f t="shared" si="17"/>
        <v>0</v>
      </c>
    </row>
    <row r="48" spans="1:15" x14ac:dyDescent="0.25">
      <c r="I48" s="3">
        <f>SUM(I25:I44)</f>
        <v>52017.299999999996</v>
      </c>
      <c r="J48" s="13" t="s">
        <v>68</v>
      </c>
    </row>
    <row r="49" spans="8:10" x14ac:dyDescent="0.25">
      <c r="H49" s="3" t="s">
        <v>69</v>
      </c>
      <c r="I49" s="55">
        <v>11</v>
      </c>
      <c r="J49" s="5">
        <v>-8.7599999999999997E-2</v>
      </c>
    </row>
    <row r="50" spans="8:10" x14ac:dyDescent="0.25">
      <c r="H50" s="3" t="s">
        <v>70</v>
      </c>
      <c r="I50" s="55">
        <v>9</v>
      </c>
      <c r="J50" s="5">
        <v>0.34739999999999999</v>
      </c>
    </row>
    <row r="51" spans="8:10" x14ac:dyDescent="0.25">
      <c r="J51" s="5"/>
    </row>
    <row r="52" spans="8:10" x14ac:dyDescent="0.25">
      <c r="J52" s="5"/>
    </row>
    <row r="53" spans="8:10" x14ac:dyDescent="0.25">
      <c r="J53" s="5"/>
    </row>
    <row r="54" spans="8:10" x14ac:dyDescent="0.25">
      <c r="J54" s="5"/>
    </row>
    <row r="55" spans="8:10" x14ac:dyDescent="0.25">
      <c r="J55" s="5"/>
    </row>
    <row r="56" spans="8:10" x14ac:dyDescent="0.25">
      <c r="J56" s="5"/>
    </row>
    <row r="57" spans="8:10" x14ac:dyDescent="0.25">
      <c r="J57" s="5"/>
    </row>
    <row r="58" spans="8:10" x14ac:dyDescent="0.25">
      <c r="J58" s="5"/>
    </row>
    <row r="59" spans="8:10" x14ac:dyDescent="0.25">
      <c r="J59" s="5"/>
    </row>
    <row r="60" spans="8:10" x14ac:dyDescent="0.25">
      <c r="J60" s="5"/>
    </row>
    <row r="61" spans="8:10" x14ac:dyDescent="0.25">
      <c r="J61" s="5"/>
    </row>
    <row r="62" spans="8:10" x14ac:dyDescent="0.25">
      <c r="J62" s="5"/>
    </row>
    <row r="63" spans="8:10" x14ac:dyDescent="0.25">
      <c r="J63" s="5"/>
    </row>
    <row r="64" spans="8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5BEF-4691-4723-B1C3-F3EA57C705CD}">
  <dimension ref="A1:AE20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45469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9.17</v>
      </c>
      <c r="F7" s="3">
        <f t="shared" ref="F7:F16" si="0">E7*D7</f>
        <v>59437.357727999995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3646.3177280000018</v>
      </c>
      <c r="J7" s="27">
        <f t="shared" ref="J7:J16" si="3">E7-H7</f>
        <v>0.56255417205412783</v>
      </c>
      <c r="K7" s="28">
        <v>45378</v>
      </c>
      <c r="L7">
        <f t="shared" ref="L7:L15" si="4">DAYS360(K7,$C$1)</f>
        <v>89</v>
      </c>
      <c r="M7" s="5">
        <f t="shared" ref="M7:M16" si="5">(I7/G7)</f>
        <v>6.5356690393296168E-2</v>
      </c>
      <c r="N7">
        <v>34</v>
      </c>
      <c r="O7">
        <v>98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8.3681654871586048E-2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65.400000000000006</v>
      </c>
      <c r="F8" s="3">
        <f t="shared" si="0"/>
        <v>54177.510420000006</v>
      </c>
      <c r="G8" s="3">
        <v>47623.59</v>
      </c>
      <c r="H8" s="4">
        <f t="shared" si="1"/>
        <v>57.488481140141687</v>
      </c>
      <c r="I8" s="3">
        <f t="shared" si="2"/>
        <v>6553.9204200000095</v>
      </c>
      <c r="J8" s="27">
        <f t="shared" si="3"/>
        <v>7.9115188598583188</v>
      </c>
      <c r="K8" s="28">
        <v>45378</v>
      </c>
      <c r="L8">
        <f t="shared" si="4"/>
        <v>89</v>
      </c>
      <c r="M8" s="5">
        <f t="shared" si="5"/>
        <v>0.13761920132438588</v>
      </c>
      <c r="N8">
        <v>34</v>
      </c>
      <c r="O8">
        <v>91</v>
      </c>
      <c r="P8" s="34">
        <v>97</v>
      </c>
      <c r="Q8" s="29">
        <v>57.16</v>
      </c>
      <c r="R8" s="30">
        <f t="shared" si="6"/>
        <v>53.158799999999999</v>
      </c>
      <c r="S8" s="30">
        <v>60.15</v>
      </c>
      <c r="T8" s="29">
        <f t="shared" si="7"/>
        <v>71.449999999999989</v>
      </c>
      <c r="U8" s="29">
        <f t="shared" si="8"/>
        <v>85.74</v>
      </c>
      <c r="V8" s="29">
        <f t="shared" si="9"/>
        <v>114.32</v>
      </c>
      <c r="W8" s="29">
        <f t="shared" si="10"/>
        <v>53.464287460331768</v>
      </c>
      <c r="X8" s="30">
        <v>65</v>
      </c>
      <c r="Y8" s="5">
        <f t="shared" si="11"/>
        <v>0.13066128571995528</v>
      </c>
      <c r="Z8" s="6">
        <f t="shared" si="12"/>
        <v>7.6276333640458244E-2</v>
      </c>
      <c r="AB8" s="31">
        <v>45504</v>
      </c>
      <c r="AC8" s="9">
        <v>98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173.81</v>
      </c>
      <c r="F9" s="3">
        <f t="shared" si="0"/>
        <v>67864.340452999997</v>
      </c>
      <c r="G9" s="3">
        <v>58706.59</v>
      </c>
      <c r="H9" s="4">
        <f t="shared" si="1"/>
        <v>150.35572938289613</v>
      </c>
      <c r="I9" s="3">
        <f t="shared" si="2"/>
        <v>9157.7504530000006</v>
      </c>
      <c r="J9" s="27">
        <f t="shared" si="3"/>
        <v>23.454270617103873</v>
      </c>
      <c r="K9" s="28">
        <v>45426</v>
      </c>
      <c r="L9">
        <f t="shared" si="4"/>
        <v>42</v>
      </c>
      <c r="M9" s="5">
        <f t="shared" si="5"/>
        <v>0.15599186484856301</v>
      </c>
      <c r="N9">
        <v>57</v>
      </c>
      <c r="O9">
        <v>97</v>
      </c>
      <c r="P9" s="34">
        <v>81</v>
      </c>
      <c r="Q9" s="29">
        <v>148.43</v>
      </c>
      <c r="R9" s="30">
        <f t="shared" si="6"/>
        <v>138.03990000000002</v>
      </c>
      <c r="S9" s="30">
        <v>125.78</v>
      </c>
      <c r="T9" s="29">
        <f t="shared" si="7"/>
        <v>185.53750000000002</v>
      </c>
      <c r="U9" s="29">
        <f t="shared" si="8"/>
        <v>222.64500000000001</v>
      </c>
      <c r="V9" s="29">
        <f t="shared" si="9"/>
        <v>296.86</v>
      </c>
      <c r="W9" s="29">
        <f t="shared" si="10"/>
        <v>139.83082832609341</v>
      </c>
      <c r="X9" s="30">
        <v>162</v>
      </c>
      <c r="Y9" s="5">
        <f t="shared" si="11"/>
        <v>7.744480815526858E-2</v>
      </c>
      <c r="Z9" s="6">
        <f t="shared" si="12"/>
        <v>9.5545975342044426E-2</v>
      </c>
      <c r="AB9" s="31">
        <v>45491</v>
      </c>
      <c r="AC9" s="9">
        <v>95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25.8</v>
      </c>
      <c r="F10" s="3">
        <f t="shared" si="0"/>
        <v>63842.579879999998</v>
      </c>
      <c r="G10" s="3">
        <f>44039.07+27471.43</f>
        <v>71510.5</v>
      </c>
      <c r="H10" s="4">
        <f t="shared" si="1"/>
        <v>28.898752266400425</v>
      </c>
      <c r="I10" s="3">
        <f t="shared" si="2"/>
        <v>-7667.9201200000025</v>
      </c>
      <c r="J10" s="27">
        <f t="shared" si="3"/>
        <v>-3.0987522664004246</v>
      </c>
      <c r="K10" s="28">
        <v>45426</v>
      </c>
      <c r="L10">
        <f t="shared" si="4"/>
        <v>42</v>
      </c>
      <c r="M10" s="5">
        <f t="shared" si="5"/>
        <v>-0.10722789128869191</v>
      </c>
      <c r="N10">
        <v>29</v>
      </c>
      <c r="O10">
        <v>96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 t="shared" si="7"/>
        <v>34.337499999999999</v>
      </c>
      <c r="U10" s="29">
        <f t="shared" si="8"/>
        <v>41.204999999999998</v>
      </c>
      <c r="V10" s="29">
        <f t="shared" si="9"/>
        <v>54.94</v>
      </c>
      <c r="W10" s="29">
        <f t="shared" si="10"/>
        <v>26.875839607752397</v>
      </c>
      <c r="X10" s="30">
        <v>27</v>
      </c>
      <c r="Y10" s="5">
        <f t="shared" si="11"/>
        <v>-6.570360716258461E-2</v>
      </c>
      <c r="Z10" s="6">
        <f t="shared" si="12"/>
        <v>8.9883752236736433E-2</v>
      </c>
      <c r="AB10" s="31">
        <v>45513</v>
      </c>
      <c r="AC10" s="9">
        <v>97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v>940.66800000000001</v>
      </c>
      <c r="E11" s="27">
        <v>123.47</v>
      </c>
      <c r="F11" s="3">
        <f t="shared" si="0"/>
        <v>116144.27796000001</v>
      </c>
      <c r="G11" s="3">
        <v>88627.87</v>
      </c>
      <c r="H11" s="4">
        <f t="shared" si="1"/>
        <v>94.218013156607853</v>
      </c>
      <c r="I11" s="3">
        <f t="shared" si="2"/>
        <v>27516.407960000011</v>
      </c>
      <c r="J11" s="27">
        <f t="shared" si="3"/>
        <v>29.251986843392146</v>
      </c>
      <c r="K11" s="28">
        <v>45427</v>
      </c>
      <c r="L11">
        <f t="shared" si="4"/>
        <v>41</v>
      </c>
      <c r="M11" s="5">
        <f t="shared" si="5"/>
        <v>0.31047127681168479</v>
      </c>
      <c r="N11">
        <v>4</v>
      </c>
      <c r="O11">
        <v>99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v>115.28</v>
      </c>
      <c r="U11" s="29">
        <v>138.33000000000001</v>
      </c>
      <c r="V11" s="29">
        <v>184.44</v>
      </c>
      <c r="W11" s="29">
        <f t="shared" si="10"/>
        <v>87.622752235645308</v>
      </c>
      <c r="X11" s="30">
        <v>118</v>
      </c>
      <c r="Y11" s="5">
        <f t="shared" si="11"/>
        <v>0.25241443803173885</v>
      </c>
      <c r="Z11" s="6">
        <f t="shared" si="12"/>
        <v>0.16351913602948981</v>
      </c>
      <c r="AB11" s="31">
        <v>45519</v>
      </c>
      <c r="AC11" s="9">
        <v>99</v>
      </c>
    </row>
    <row r="12" spans="1:31" x14ac:dyDescent="0.25">
      <c r="A12" t="s">
        <v>135</v>
      </c>
      <c r="B12" t="s">
        <v>33</v>
      </c>
      <c r="C12" s="26" t="s">
        <v>136</v>
      </c>
      <c r="D12" s="2">
        <v>389.78429999999997</v>
      </c>
      <c r="E12" s="27">
        <v>145.94</v>
      </c>
      <c r="F12" s="3">
        <f t="shared" si="0"/>
        <v>56885.120741999992</v>
      </c>
      <c r="G12" s="3">
        <v>59201.71</v>
      </c>
      <c r="H12" s="4">
        <f t="shared" si="1"/>
        <v>151.88325953610754</v>
      </c>
      <c r="I12" s="3">
        <f t="shared" si="2"/>
        <v>-2316.5892580000072</v>
      </c>
      <c r="J12" s="27">
        <f t="shared" si="3"/>
        <v>-5.9432595361075471</v>
      </c>
      <c r="K12" s="28">
        <v>45440</v>
      </c>
      <c r="L12">
        <f t="shared" si="4"/>
        <v>28</v>
      </c>
      <c r="M12" s="5">
        <f t="shared" si="5"/>
        <v>-3.9130445015861999E-2</v>
      </c>
      <c r="N12">
        <v>1</v>
      </c>
      <c r="O12">
        <v>94</v>
      </c>
      <c r="P12" s="34">
        <v>92</v>
      </c>
      <c r="Q12" s="29">
        <v>148.16</v>
      </c>
      <c r="R12" s="30">
        <f t="shared" si="6"/>
        <v>137.78880000000001</v>
      </c>
      <c r="S12" s="30">
        <v>139.01</v>
      </c>
      <c r="T12" s="29">
        <f t="shared" si="7"/>
        <v>185.2</v>
      </c>
      <c r="U12" s="29">
        <f t="shared" si="8"/>
        <v>222.24</v>
      </c>
      <c r="V12" s="29">
        <f t="shared" si="9"/>
        <v>296.32</v>
      </c>
      <c r="W12" s="29">
        <f t="shared" si="10"/>
        <v>141.25143136858003</v>
      </c>
      <c r="X12" s="30">
        <v>149</v>
      </c>
      <c r="Y12" s="5">
        <f t="shared" si="11"/>
        <v>-1.8983392540519589E-2</v>
      </c>
      <c r="Z12" s="33">
        <f t="shared" si="12"/>
        <v>8.0088369053089151E-2</v>
      </c>
      <c r="AB12" s="31">
        <v>45491</v>
      </c>
      <c r="AC12" s="9">
        <v>97</v>
      </c>
    </row>
    <row r="13" spans="1:31" x14ac:dyDescent="0.25">
      <c r="A13" t="s">
        <v>144</v>
      </c>
      <c r="B13" t="s">
        <v>33</v>
      </c>
      <c r="C13" s="26" t="s">
        <v>145</v>
      </c>
      <c r="D13" s="2">
        <v>275.726</v>
      </c>
      <c r="E13" s="27">
        <v>210.72</v>
      </c>
      <c r="F13" s="3">
        <f t="shared" si="0"/>
        <v>58100.98272</v>
      </c>
      <c r="G13" s="3">
        <v>58138.05</v>
      </c>
      <c r="H13" s="4">
        <f t="shared" si="1"/>
        <v>210.8544352001625</v>
      </c>
      <c r="I13" s="3">
        <f t="shared" si="2"/>
        <v>-37.067280000002938</v>
      </c>
      <c r="J13" s="27">
        <f t="shared" si="3"/>
        <v>-0.13443520016249977</v>
      </c>
      <c r="K13" s="28">
        <v>45461</v>
      </c>
      <c r="L13">
        <f t="shared" si="4"/>
        <v>8</v>
      </c>
      <c r="M13" s="5">
        <f t="shared" si="5"/>
        <v>-6.3757349962723097E-4</v>
      </c>
      <c r="N13">
        <v>49</v>
      </c>
      <c r="O13">
        <v>97</v>
      </c>
      <c r="P13" s="58">
        <v>98</v>
      </c>
      <c r="Q13" s="29">
        <v>202.58</v>
      </c>
      <c r="R13" s="30">
        <f t="shared" si="6"/>
        <v>188.39940000000001</v>
      </c>
      <c r="S13" s="30">
        <v>195.41</v>
      </c>
      <c r="T13" s="32">
        <f t="shared" si="7"/>
        <v>253.22500000000002</v>
      </c>
      <c r="U13" s="29">
        <f t="shared" si="8"/>
        <v>303.87</v>
      </c>
      <c r="V13" s="29">
        <f t="shared" si="9"/>
        <v>405.16</v>
      </c>
      <c r="W13" s="29">
        <f t="shared" si="10"/>
        <v>196.09462473615113</v>
      </c>
      <c r="X13" s="30">
        <v>196</v>
      </c>
      <c r="Y13" s="5">
        <f t="shared" si="11"/>
        <v>-7.0448768061536368E-2</v>
      </c>
      <c r="Z13" s="6">
        <f t="shared" si="12"/>
        <v>8.1800177018713935E-2</v>
      </c>
      <c r="AB13" s="31">
        <v>45512</v>
      </c>
      <c r="AC13" s="9">
        <v>97</v>
      </c>
    </row>
    <row r="14" spans="1:31" x14ac:dyDescent="0.25">
      <c r="A14" t="s">
        <v>142</v>
      </c>
      <c r="B14" t="s">
        <v>33</v>
      </c>
      <c r="C14" s="26" t="s">
        <v>143</v>
      </c>
      <c r="D14" s="2">
        <v>305.40449999999998</v>
      </c>
      <c r="E14" s="27">
        <v>184.93</v>
      </c>
      <c r="F14" s="3">
        <f t="shared" si="0"/>
        <v>56478.454185000002</v>
      </c>
      <c r="G14" s="3">
        <v>58070.69</v>
      </c>
      <c r="H14" s="4">
        <f t="shared" si="1"/>
        <v>190.14353095648559</v>
      </c>
      <c r="I14" s="3">
        <f t="shared" si="2"/>
        <v>-1592.235815</v>
      </c>
      <c r="J14" s="27">
        <f t="shared" si="3"/>
        <v>-5.2135309564855845</v>
      </c>
      <c r="K14" s="28">
        <v>45460</v>
      </c>
      <c r="L14">
        <f t="shared" si="4"/>
        <v>9</v>
      </c>
      <c r="M14" s="5">
        <f t="shared" si="5"/>
        <v>-2.7418923642891103E-2</v>
      </c>
      <c r="N14">
        <v>9</v>
      </c>
      <c r="O14">
        <v>90</v>
      </c>
      <c r="P14" s="34">
        <v>82</v>
      </c>
      <c r="Q14" s="29">
        <v>182.88</v>
      </c>
      <c r="R14" s="30">
        <f t="shared" si="6"/>
        <v>170.07840000000002</v>
      </c>
      <c r="S14" s="30">
        <v>174.28</v>
      </c>
      <c r="T14" s="29">
        <f t="shared" si="7"/>
        <v>228.6</v>
      </c>
      <c r="U14" s="29">
        <f t="shared" si="8"/>
        <v>274.32</v>
      </c>
      <c r="V14" s="29">
        <f t="shared" si="9"/>
        <v>365.76</v>
      </c>
      <c r="W14" s="29">
        <f t="shared" si="10"/>
        <v>176.83348378953161</v>
      </c>
      <c r="X14" s="30">
        <v>182</v>
      </c>
      <c r="Y14" s="5">
        <f t="shared" si="11"/>
        <v>-4.2828335602693952E-2</v>
      </c>
      <c r="Z14" s="6">
        <f t="shared" si="12"/>
        <v>7.9515824583221872E-2</v>
      </c>
      <c r="AB14" s="31">
        <v>45495</v>
      </c>
      <c r="AC14" s="9">
        <v>97</v>
      </c>
    </row>
    <row r="15" spans="1:31" x14ac:dyDescent="0.25">
      <c r="A15" t="s">
        <v>146</v>
      </c>
      <c r="B15" t="s">
        <v>33</v>
      </c>
      <c r="C15" s="26" t="s">
        <v>147</v>
      </c>
      <c r="D15" s="2">
        <v>341.96359999999999</v>
      </c>
      <c r="E15" s="27">
        <v>212.95</v>
      </c>
      <c r="F15" s="3">
        <f t="shared" si="0"/>
        <v>72821.148619999993</v>
      </c>
      <c r="G15" s="3">
        <v>72116.02</v>
      </c>
      <c r="H15" s="4">
        <f t="shared" si="1"/>
        <v>210.88800094512985</v>
      </c>
      <c r="I15" s="3">
        <f t="shared" si="2"/>
        <v>705.12861999998859</v>
      </c>
      <c r="J15" s="27">
        <f t="shared" si="3"/>
        <v>2.0619990548701423</v>
      </c>
      <c r="K15" s="28">
        <v>45464</v>
      </c>
      <c r="L15">
        <f t="shared" si="4"/>
        <v>5</v>
      </c>
      <c r="M15" s="5">
        <f t="shared" si="5"/>
        <v>9.7776973826341016E-3</v>
      </c>
      <c r="N15">
        <v>40</v>
      </c>
      <c r="O15">
        <v>88</v>
      </c>
      <c r="P15" s="34">
        <v>87</v>
      </c>
      <c r="Q15" s="29">
        <v>199.62</v>
      </c>
      <c r="R15" s="30">
        <f t="shared" si="6"/>
        <v>185.64660000000001</v>
      </c>
      <c r="S15" s="30">
        <v>192.15</v>
      </c>
      <c r="T15" s="32">
        <f t="shared" si="7"/>
        <v>249.52500000000001</v>
      </c>
      <c r="U15" s="29">
        <f t="shared" si="8"/>
        <v>299.43</v>
      </c>
      <c r="V15" s="29">
        <f t="shared" si="9"/>
        <v>399.24</v>
      </c>
      <c r="W15" s="29">
        <f t="shared" si="10"/>
        <v>196.12584087897076</v>
      </c>
      <c r="X15" s="30">
        <v>197</v>
      </c>
      <c r="Y15" s="5">
        <f t="shared" si="11"/>
        <v>-6.5854865534731452E-2</v>
      </c>
      <c r="Z15" s="33">
        <f t="shared" si="12"/>
        <v>0.10252464879172488</v>
      </c>
      <c r="AA15" s="9"/>
      <c r="AB15" s="31">
        <v>45497</v>
      </c>
      <c r="AC15" s="9">
        <v>91</v>
      </c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91.78</v>
      </c>
      <c r="F16" s="57">
        <f t="shared" si="0"/>
        <v>33381.652563999996</v>
      </c>
      <c r="G16" s="38">
        <v>33268.9</v>
      </c>
      <c r="H16" s="39">
        <f t="shared" si="1"/>
        <v>91.469996464252944</v>
      </c>
      <c r="I16" s="38">
        <f t="shared" si="2"/>
        <v>112.75256399999489</v>
      </c>
      <c r="J16" s="37">
        <f t="shared" si="3"/>
        <v>0.31000353574705741</v>
      </c>
      <c r="K16" s="40"/>
      <c r="L16" s="35"/>
      <c r="M16" s="41">
        <f t="shared" si="5"/>
        <v>3.389128104626089E-3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4.69979157163627E-2</v>
      </c>
      <c r="AB16" s="31"/>
      <c r="AC16" s="9"/>
    </row>
    <row r="17" spans="1:26" x14ac:dyDescent="0.25">
      <c r="A17" t="s">
        <v>53</v>
      </c>
      <c r="F17" s="3">
        <f>SUM(F6:F16)</f>
        <v>639133.42527200002</v>
      </c>
      <c r="G17" s="3">
        <f>SUM(G6:G16)</f>
        <v>603054.96</v>
      </c>
      <c r="H17" s="4"/>
      <c r="I17" s="3">
        <f>SUM(I6:I16)</f>
        <v>36078.465271999994</v>
      </c>
      <c r="M17" s="5"/>
      <c r="Z17" s="6"/>
    </row>
    <row r="18" spans="1:26" x14ac:dyDescent="0.25">
      <c r="D18" s="2" t="s">
        <v>54</v>
      </c>
      <c r="F18" s="3">
        <v>71146</v>
      </c>
      <c r="G18" s="6">
        <f>F18/F19</f>
        <v>0.10016621271657247</v>
      </c>
      <c r="H18" s="4"/>
      <c r="M18" s="5"/>
      <c r="Z18" s="6"/>
    </row>
    <row r="19" spans="1:26" x14ac:dyDescent="0.25">
      <c r="D19" s="2" t="s">
        <v>55</v>
      </c>
      <c r="F19" s="3">
        <f>SUM(F17:F18)</f>
        <v>710279.42527200002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'06-21-24'!F19</f>
        <v>718140.52483899985</v>
      </c>
      <c r="K20" s="1">
        <v>45291</v>
      </c>
      <c r="L20" s="47">
        <v>139707.06</v>
      </c>
      <c r="M20" s="47">
        <v>161047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-1.0946464229632779E-2</v>
      </c>
      <c r="K21" s="9" t="s">
        <v>58</v>
      </c>
      <c r="L21" s="6">
        <f>(M20-L20)/L20</f>
        <v>0.15274775662733153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7" si="13">F25/D25</f>
        <v>47.428061535569462</v>
      </c>
      <c r="F25" s="3">
        <v>38349.050000000003</v>
      </c>
      <c r="G25" s="3">
        <v>35186.18</v>
      </c>
      <c r="H25" s="3">
        <f t="shared" ref="H25:H47" si="14">G25/D25</f>
        <v>43.516392459307944</v>
      </c>
      <c r="I25" s="3">
        <f t="shared" ref="I25:I47" si="15">G25-F25</f>
        <v>-3162.8700000000026</v>
      </c>
      <c r="J25" s="5">
        <f t="shared" ref="J25:J47" si="16">I25/F25</f>
        <v>-8.2475837080710018E-2</v>
      </c>
      <c r="K25" s="1">
        <v>45286</v>
      </c>
      <c r="L25" s="1">
        <v>45302</v>
      </c>
      <c r="M25">
        <f t="shared" ref="M25:M47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C46" s="26"/>
      <c r="E46" s="3" t="e">
        <f t="shared" si="13"/>
        <v>#DIV/0!</v>
      </c>
      <c r="H46" s="3" t="e">
        <f t="shared" si="14"/>
        <v>#DIV/0!</v>
      </c>
      <c r="I46" s="3">
        <f t="shared" si="15"/>
        <v>0</v>
      </c>
      <c r="J46" s="5" t="e">
        <f t="shared" si="16"/>
        <v>#DIV/0!</v>
      </c>
      <c r="K46" s="1"/>
      <c r="L46" s="1"/>
      <c r="M46" s="54">
        <f t="shared" si="17"/>
        <v>0</v>
      </c>
    </row>
    <row r="47" spans="1:15" x14ac:dyDescent="0.25">
      <c r="C47" s="26"/>
      <c r="E47" s="3" t="e">
        <f t="shared" si="13"/>
        <v>#DIV/0!</v>
      </c>
      <c r="H47" s="3" t="e">
        <f t="shared" si="14"/>
        <v>#DIV/0!</v>
      </c>
      <c r="I47" s="3">
        <f t="shared" si="15"/>
        <v>0</v>
      </c>
      <c r="J47" s="5" t="e">
        <f t="shared" si="16"/>
        <v>#DIV/0!</v>
      </c>
      <c r="K47" s="1"/>
      <c r="L47" s="1"/>
      <c r="M47" s="54">
        <f t="shared" si="17"/>
        <v>0</v>
      </c>
    </row>
    <row r="48" spans="1:15" x14ac:dyDescent="0.25">
      <c r="I48" s="3">
        <f>SUM(I25:I44)</f>
        <v>52017.299999999996</v>
      </c>
      <c r="J48" s="13" t="s">
        <v>68</v>
      </c>
    </row>
    <row r="49" spans="8:10" x14ac:dyDescent="0.25">
      <c r="H49" s="3" t="s">
        <v>69</v>
      </c>
      <c r="I49" s="55">
        <v>11</v>
      </c>
      <c r="J49" s="5">
        <v>-8.7599999999999997E-2</v>
      </c>
    </row>
    <row r="50" spans="8:10" x14ac:dyDescent="0.25">
      <c r="H50" s="3" t="s">
        <v>70</v>
      </c>
      <c r="I50" s="55">
        <v>9</v>
      </c>
      <c r="J50" s="5">
        <v>0.34739999999999999</v>
      </c>
    </row>
    <row r="51" spans="8:10" x14ac:dyDescent="0.25">
      <c r="J51" s="5"/>
    </row>
    <row r="52" spans="8:10" x14ac:dyDescent="0.25">
      <c r="J52" s="5"/>
    </row>
    <row r="53" spans="8:10" x14ac:dyDescent="0.25">
      <c r="J53" s="5"/>
    </row>
    <row r="54" spans="8:10" x14ac:dyDescent="0.25">
      <c r="J54" s="5"/>
    </row>
    <row r="55" spans="8:10" x14ac:dyDescent="0.25">
      <c r="J55" s="5"/>
    </row>
    <row r="56" spans="8:10" x14ac:dyDescent="0.25">
      <c r="J56" s="5"/>
    </row>
    <row r="57" spans="8:10" x14ac:dyDescent="0.25">
      <c r="J57" s="5"/>
    </row>
    <row r="58" spans="8:10" x14ac:dyDescent="0.25">
      <c r="J58" s="5"/>
    </row>
    <row r="59" spans="8:10" x14ac:dyDescent="0.25">
      <c r="J59" s="5"/>
    </row>
    <row r="60" spans="8:10" x14ac:dyDescent="0.25">
      <c r="J60" s="5"/>
    </row>
    <row r="61" spans="8:10" x14ac:dyDescent="0.25">
      <c r="J61" s="5"/>
    </row>
    <row r="62" spans="8:10" x14ac:dyDescent="0.25">
      <c r="J62" s="5"/>
    </row>
    <row r="63" spans="8:10" x14ac:dyDescent="0.25">
      <c r="J63" s="5"/>
    </row>
    <row r="64" spans="8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E271-19F8-478D-B8CA-50096E0EA255}">
  <dimension ref="A1:AE20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45478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9.7100000000000009</v>
      </c>
      <c r="F7" s="3">
        <f t="shared" ref="F7:F15" si="0">E7*D7</f>
        <v>62937.485664</v>
      </c>
      <c r="G7" s="3">
        <f>23794.37+31996.67</f>
        <v>55791.039999999994</v>
      </c>
      <c r="H7" s="4">
        <f t="shared" ref="H7:H15" si="1">G7/D7</f>
        <v>8.6074458279458721</v>
      </c>
      <c r="I7" s="3">
        <f t="shared" ref="I7:I15" si="2">F7-G7</f>
        <v>7146.4456640000062</v>
      </c>
      <c r="J7" s="27">
        <f t="shared" ref="J7:J15" si="3">E7-H7</f>
        <v>1.1025541720541288</v>
      </c>
      <c r="K7" s="28">
        <v>45378</v>
      </c>
      <c r="L7">
        <f t="shared" ref="L7:L15" si="4">DAYS360(K7,$C$1)</f>
        <v>98</v>
      </c>
      <c r="M7" s="5">
        <f t="shared" ref="M7:M15" si="5">(I7/G7)</f>
        <v>0.12809307128886657</v>
      </c>
      <c r="N7">
        <v>25</v>
      </c>
      <c r="O7">
        <v>98</v>
      </c>
      <c r="P7" s="34">
        <v>99</v>
      </c>
      <c r="Q7" s="29">
        <v>6.76</v>
      </c>
      <c r="R7" s="30">
        <f t="shared" ref="R7:R15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5" si="7">H7-(H7*0.07)</f>
        <v>8.0049246199896604</v>
      </c>
      <c r="X7" s="30">
        <v>8.75</v>
      </c>
      <c r="Y7" s="5">
        <f t="shared" ref="Y7:Y15" si="8">(X7-H7)/H7</f>
        <v>1.6561727474519328E-2</v>
      </c>
      <c r="Z7" s="6">
        <f t="shared" ref="Z7:Z15" si="9">F7/F$19</f>
        <v>8.6912908160174079E-2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69.8</v>
      </c>
      <c r="F8" s="3">
        <f t="shared" si="0"/>
        <v>57822.480539999997</v>
      </c>
      <c r="G8" s="3">
        <v>47623.59</v>
      </c>
      <c r="H8" s="4">
        <f t="shared" si="1"/>
        <v>57.488481140141687</v>
      </c>
      <c r="I8" s="3">
        <f t="shared" si="2"/>
        <v>10198.89054</v>
      </c>
      <c r="J8" s="27">
        <f t="shared" si="3"/>
        <v>12.31151885985831</v>
      </c>
      <c r="K8" s="28">
        <v>45378</v>
      </c>
      <c r="L8">
        <f t="shared" si="4"/>
        <v>98</v>
      </c>
      <c r="M8" s="5">
        <f t="shared" si="5"/>
        <v>0.21415627297312112</v>
      </c>
      <c r="N8">
        <v>25</v>
      </c>
      <c r="O8">
        <v>91</v>
      </c>
      <c r="P8" s="34">
        <v>97</v>
      </c>
      <c r="Q8" s="29">
        <v>57.16</v>
      </c>
      <c r="R8" s="30">
        <f t="shared" si="6"/>
        <v>53.158799999999999</v>
      </c>
      <c r="S8" s="30">
        <v>60.15</v>
      </c>
      <c r="T8" s="29">
        <f>Q8*1.25</f>
        <v>71.449999999999989</v>
      </c>
      <c r="U8" s="29">
        <f>Q8*1.5</f>
        <v>85.74</v>
      </c>
      <c r="V8" s="29">
        <f>Q8*2</f>
        <v>114.32</v>
      </c>
      <c r="W8" s="29">
        <f t="shared" si="7"/>
        <v>53.464287460331768</v>
      </c>
      <c r="X8" s="30">
        <v>65</v>
      </c>
      <c r="Y8" s="5">
        <f t="shared" si="8"/>
        <v>0.13066128571995528</v>
      </c>
      <c r="Z8" s="6">
        <f t="shared" si="9"/>
        <v>7.9849391626412733E-2</v>
      </c>
      <c r="AB8" s="31">
        <v>45504</v>
      </c>
      <c r="AC8" s="9">
        <v>98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183.99</v>
      </c>
      <c r="F9" s="3">
        <f t="shared" si="0"/>
        <v>71839.134686999998</v>
      </c>
      <c r="G9" s="3">
        <v>58706.59</v>
      </c>
      <c r="H9" s="4">
        <f t="shared" si="1"/>
        <v>150.35572938289613</v>
      </c>
      <c r="I9" s="3">
        <f t="shared" si="2"/>
        <v>13132.544687000001</v>
      </c>
      <c r="J9" s="27">
        <f t="shared" si="3"/>
        <v>33.63427061710388</v>
      </c>
      <c r="K9" s="28">
        <v>45426</v>
      </c>
      <c r="L9">
        <f t="shared" si="4"/>
        <v>51</v>
      </c>
      <c r="M9" s="5">
        <f t="shared" si="5"/>
        <v>0.2236979645215299</v>
      </c>
      <c r="N9">
        <v>35</v>
      </c>
      <c r="O9">
        <v>97</v>
      </c>
      <c r="P9" s="34">
        <v>81</v>
      </c>
      <c r="Q9" s="29">
        <v>148.43</v>
      </c>
      <c r="R9" s="30">
        <f t="shared" si="6"/>
        <v>138.03990000000002</v>
      </c>
      <c r="S9" s="30">
        <v>125.78</v>
      </c>
      <c r="T9" s="29">
        <f>Q9*1.25</f>
        <v>185.53750000000002</v>
      </c>
      <c r="U9" s="29">
        <f>Q9*1.5</f>
        <v>222.64500000000001</v>
      </c>
      <c r="V9" s="29">
        <f>Q9*2</f>
        <v>296.86</v>
      </c>
      <c r="W9" s="29">
        <f t="shared" si="7"/>
        <v>139.83082832609341</v>
      </c>
      <c r="X9" s="30">
        <v>162</v>
      </c>
      <c r="Y9" s="5">
        <f t="shared" si="8"/>
        <v>7.744480815526858E-2</v>
      </c>
      <c r="Z9" s="6">
        <f t="shared" si="9"/>
        <v>9.9205553725019671E-2</v>
      </c>
      <c r="AB9" s="31">
        <v>45491</v>
      </c>
      <c r="AC9" s="9">
        <v>97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26.17</v>
      </c>
      <c r="F10" s="3">
        <f t="shared" si="0"/>
        <v>64758.151762000001</v>
      </c>
      <c r="G10" s="3">
        <f>44039.07+27471.43</f>
        <v>71510.5</v>
      </c>
      <c r="H10" s="4">
        <f t="shared" si="1"/>
        <v>28.898752266400425</v>
      </c>
      <c r="I10" s="3">
        <f t="shared" si="2"/>
        <v>-6752.3482379999987</v>
      </c>
      <c r="J10" s="27">
        <f t="shared" si="3"/>
        <v>-2.7287522664004236</v>
      </c>
      <c r="K10" s="28">
        <v>45426</v>
      </c>
      <c r="L10">
        <f t="shared" si="4"/>
        <v>51</v>
      </c>
      <c r="M10" s="5">
        <f t="shared" si="5"/>
        <v>-9.4424570349808751E-2</v>
      </c>
      <c r="N10">
        <v>30</v>
      </c>
      <c r="O10">
        <v>96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>Q10*1.25</f>
        <v>34.337499999999999</v>
      </c>
      <c r="U10" s="29">
        <f>Q10*1.5</f>
        <v>41.204999999999998</v>
      </c>
      <c r="V10" s="29">
        <f>Q10*2</f>
        <v>54.94</v>
      </c>
      <c r="W10" s="29">
        <f t="shared" si="7"/>
        <v>26.875839607752397</v>
      </c>
      <c r="X10" s="30">
        <v>27</v>
      </c>
      <c r="Y10" s="5">
        <f t="shared" si="8"/>
        <v>-6.570360716258461E-2</v>
      </c>
      <c r="Z10" s="6">
        <f t="shared" si="9"/>
        <v>8.9427139284858639E-2</v>
      </c>
      <c r="AB10" s="31">
        <v>45513</v>
      </c>
      <c r="AC10" s="9">
        <v>97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v>940.66800000000001</v>
      </c>
      <c r="E11" s="27">
        <v>125.82</v>
      </c>
      <c r="F11" s="3">
        <f t="shared" si="0"/>
        <v>118354.84775999999</v>
      </c>
      <c r="G11" s="3">
        <v>88627.87</v>
      </c>
      <c r="H11" s="4">
        <f t="shared" si="1"/>
        <v>94.218013156607853</v>
      </c>
      <c r="I11" s="3">
        <f t="shared" si="2"/>
        <v>29726.977759999994</v>
      </c>
      <c r="J11" s="27">
        <f t="shared" si="3"/>
        <v>31.60198684339214</v>
      </c>
      <c r="K11" s="28">
        <v>45427</v>
      </c>
      <c r="L11">
        <f t="shared" si="4"/>
        <v>50</v>
      </c>
      <c r="M11" s="5">
        <f t="shared" si="5"/>
        <v>0.33541342875553704</v>
      </c>
      <c r="N11">
        <v>1</v>
      </c>
      <c r="O11">
        <v>99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v>115.28</v>
      </c>
      <c r="U11" s="29">
        <v>138.33000000000001</v>
      </c>
      <c r="V11" s="29">
        <v>184.44</v>
      </c>
      <c r="W11" s="29">
        <f t="shared" si="7"/>
        <v>87.622752235645308</v>
      </c>
      <c r="X11" s="30">
        <v>118</v>
      </c>
      <c r="Y11" s="5">
        <f t="shared" si="8"/>
        <v>0.25241443803173885</v>
      </c>
      <c r="Z11" s="6">
        <f t="shared" si="9"/>
        <v>0.16344097488406881</v>
      </c>
      <c r="AB11" s="31">
        <v>45519</v>
      </c>
      <c r="AC11" s="9">
        <v>99</v>
      </c>
    </row>
    <row r="12" spans="1:31" x14ac:dyDescent="0.25">
      <c r="A12" t="s">
        <v>135</v>
      </c>
      <c r="B12" t="s">
        <v>33</v>
      </c>
      <c r="C12" s="26" t="s">
        <v>136</v>
      </c>
      <c r="D12" s="2">
        <v>389.78429999999997</v>
      </c>
      <c r="E12" s="27">
        <v>143.54</v>
      </c>
      <c r="F12" s="3">
        <f t="shared" si="0"/>
        <v>55949.638421999996</v>
      </c>
      <c r="G12" s="3">
        <v>59201.71</v>
      </c>
      <c r="H12" s="4">
        <f t="shared" si="1"/>
        <v>151.88325953610754</v>
      </c>
      <c r="I12" s="3">
        <f t="shared" si="2"/>
        <v>-3252.0715780000028</v>
      </c>
      <c r="J12" s="27">
        <f t="shared" si="3"/>
        <v>-8.3432595361075528</v>
      </c>
      <c r="K12" s="28">
        <v>45440</v>
      </c>
      <c r="L12">
        <f t="shared" si="4"/>
        <v>37</v>
      </c>
      <c r="M12" s="5">
        <f t="shared" si="5"/>
        <v>-5.4932054800444156E-2</v>
      </c>
      <c r="N12">
        <v>5</v>
      </c>
      <c r="O12">
        <v>93</v>
      </c>
      <c r="P12" s="34">
        <v>92</v>
      </c>
      <c r="Q12" s="29">
        <v>148.16</v>
      </c>
      <c r="R12" s="30">
        <f t="shared" si="6"/>
        <v>137.78880000000001</v>
      </c>
      <c r="S12" s="30">
        <v>139.01</v>
      </c>
      <c r="T12" s="29">
        <f>Q12*1.25</f>
        <v>185.2</v>
      </c>
      <c r="U12" s="29">
        <f>Q12*1.5</f>
        <v>222.24</v>
      </c>
      <c r="V12" s="29">
        <f>Q12*2</f>
        <v>296.32</v>
      </c>
      <c r="W12" s="29">
        <f t="shared" si="7"/>
        <v>141.25143136858003</v>
      </c>
      <c r="X12" s="30">
        <v>149</v>
      </c>
      <c r="Y12" s="5">
        <f t="shared" si="8"/>
        <v>-1.8983392540519589E-2</v>
      </c>
      <c r="Z12" s="33">
        <f t="shared" si="9"/>
        <v>7.7263108534818783E-2</v>
      </c>
      <c r="AB12" s="31">
        <v>45491</v>
      </c>
      <c r="AC12" s="9">
        <v>97</v>
      </c>
    </row>
    <row r="13" spans="1:31" x14ac:dyDescent="0.25">
      <c r="A13" t="s">
        <v>144</v>
      </c>
      <c r="B13" t="s">
        <v>33</v>
      </c>
      <c r="C13" s="26" t="s">
        <v>145</v>
      </c>
      <c r="D13" s="2">
        <v>275.726</v>
      </c>
      <c r="E13" s="27">
        <v>200.24</v>
      </c>
      <c r="F13" s="3">
        <f t="shared" si="0"/>
        <v>55211.374240000005</v>
      </c>
      <c r="G13" s="3">
        <v>58138.05</v>
      </c>
      <c r="H13" s="4">
        <f t="shared" si="1"/>
        <v>210.8544352001625</v>
      </c>
      <c r="I13" s="3">
        <f t="shared" si="2"/>
        <v>-2926.6757599999983</v>
      </c>
      <c r="J13" s="27">
        <f t="shared" si="3"/>
        <v>-10.61443520016249</v>
      </c>
      <c r="K13" s="28">
        <v>45461</v>
      </c>
      <c r="L13">
        <f t="shared" si="4"/>
        <v>17</v>
      </c>
      <c r="M13" s="5">
        <f t="shared" si="5"/>
        <v>-5.0340108758377654E-2</v>
      </c>
      <c r="N13">
        <v>72</v>
      </c>
      <c r="O13">
        <v>97</v>
      </c>
      <c r="P13" s="58">
        <v>98</v>
      </c>
      <c r="Q13" s="29">
        <v>202.58</v>
      </c>
      <c r="R13" s="30">
        <f t="shared" si="6"/>
        <v>188.39940000000001</v>
      </c>
      <c r="S13" s="30">
        <v>195.41</v>
      </c>
      <c r="T13" s="32">
        <f>Q13*1.25</f>
        <v>253.22500000000002</v>
      </c>
      <c r="U13" s="29">
        <f>Q13*1.5</f>
        <v>303.87</v>
      </c>
      <c r="V13" s="29">
        <f>Q13*2</f>
        <v>405.16</v>
      </c>
      <c r="W13" s="29">
        <f t="shared" si="7"/>
        <v>196.09462473615113</v>
      </c>
      <c r="X13" s="30">
        <v>196</v>
      </c>
      <c r="Y13" s="5">
        <f t="shared" si="8"/>
        <v>-7.0448768061536368E-2</v>
      </c>
      <c r="Z13" s="6">
        <f t="shared" si="9"/>
        <v>7.6243609799348744E-2</v>
      </c>
      <c r="AB13" s="31">
        <v>45512</v>
      </c>
      <c r="AC13" s="9">
        <v>97</v>
      </c>
    </row>
    <row r="14" spans="1:31" x14ac:dyDescent="0.25">
      <c r="A14" t="s">
        <v>146</v>
      </c>
      <c r="B14" t="s">
        <v>33</v>
      </c>
      <c r="C14" s="26" t="s">
        <v>147</v>
      </c>
      <c r="D14" s="2">
        <v>341.96359999999999</v>
      </c>
      <c r="E14" s="27">
        <v>226.34</v>
      </c>
      <c r="F14" s="3">
        <f t="shared" si="0"/>
        <v>77400.041224000001</v>
      </c>
      <c r="G14" s="3">
        <v>72116.02</v>
      </c>
      <c r="H14" s="4">
        <f t="shared" si="1"/>
        <v>210.88800094512985</v>
      </c>
      <c r="I14" s="3">
        <f t="shared" si="2"/>
        <v>5284.0212239999964</v>
      </c>
      <c r="J14" s="27">
        <f t="shared" si="3"/>
        <v>15.451999054870157</v>
      </c>
      <c r="K14" s="28">
        <v>45464</v>
      </c>
      <c r="L14">
        <f t="shared" si="4"/>
        <v>14</v>
      </c>
      <c r="M14" s="5">
        <f t="shared" si="5"/>
        <v>7.3271115405425816E-2</v>
      </c>
      <c r="N14">
        <v>43</v>
      </c>
      <c r="O14">
        <v>90</v>
      </c>
      <c r="P14" s="34">
        <v>87</v>
      </c>
      <c r="Q14" s="29">
        <v>199.62</v>
      </c>
      <c r="R14" s="30">
        <f t="shared" si="6"/>
        <v>185.64660000000001</v>
      </c>
      <c r="S14" s="30">
        <v>192.15</v>
      </c>
      <c r="T14" s="32">
        <f>Q14*1.25</f>
        <v>249.52500000000001</v>
      </c>
      <c r="U14" s="29">
        <f>Q14*1.5</f>
        <v>299.43</v>
      </c>
      <c r="V14" s="29">
        <f>Q14*2</f>
        <v>399.24</v>
      </c>
      <c r="W14" s="29">
        <f t="shared" si="7"/>
        <v>196.12584087897076</v>
      </c>
      <c r="X14" s="30">
        <v>197</v>
      </c>
      <c r="Y14" s="5">
        <f t="shared" si="8"/>
        <v>-6.5854865534731452E-2</v>
      </c>
      <c r="Z14" s="33">
        <f t="shared" si="9"/>
        <v>0.10688483347441784</v>
      </c>
      <c r="AA14" s="9"/>
      <c r="AB14" s="31">
        <v>45497</v>
      </c>
      <c r="AC14" s="9">
        <v>89</v>
      </c>
    </row>
    <row r="15" spans="1:31" x14ac:dyDescent="0.25">
      <c r="A15" t="s">
        <v>148</v>
      </c>
      <c r="B15" t="s">
        <v>33</v>
      </c>
      <c r="C15" s="26" t="s">
        <v>149</v>
      </c>
      <c r="D15" s="2">
        <v>1873.41</v>
      </c>
      <c r="E15" s="27">
        <v>27.23</v>
      </c>
      <c r="F15" s="3">
        <f t="shared" si="0"/>
        <v>51012.954300000005</v>
      </c>
      <c r="G15" s="3">
        <v>50873.97</v>
      </c>
      <c r="H15" s="4">
        <f t="shared" si="1"/>
        <v>27.155812128685124</v>
      </c>
      <c r="I15" s="3">
        <f t="shared" si="2"/>
        <v>138.98430000000371</v>
      </c>
      <c r="J15" s="27">
        <f t="shared" si="3"/>
        <v>7.4187871314876475E-2</v>
      </c>
      <c r="K15" s="28">
        <v>45478</v>
      </c>
      <c r="L15">
        <f t="shared" si="4"/>
        <v>0</v>
      </c>
      <c r="M15" s="5">
        <f t="shared" si="5"/>
        <v>2.7319334425837754E-3</v>
      </c>
      <c r="N15">
        <v>83</v>
      </c>
      <c r="O15">
        <v>95</v>
      </c>
      <c r="P15" s="34">
        <v>95</v>
      </c>
      <c r="Q15" s="29">
        <v>26.57</v>
      </c>
      <c r="R15" s="30">
        <f t="shared" si="6"/>
        <v>24.710100000000001</v>
      </c>
      <c r="S15" s="30">
        <v>23.3</v>
      </c>
      <c r="T15" s="29">
        <f>Q15*1.25</f>
        <v>33.212499999999999</v>
      </c>
      <c r="U15" s="29">
        <f>Q15*1.5</f>
        <v>39.855000000000004</v>
      </c>
      <c r="V15" s="29">
        <f>Q15*2</f>
        <v>53.14</v>
      </c>
      <c r="W15" s="29">
        <f t="shared" si="7"/>
        <v>25.254905279677164</v>
      </c>
      <c r="X15" s="30">
        <v>25</v>
      </c>
      <c r="Y15" s="5">
        <f t="shared" si="8"/>
        <v>-7.9386766945846732E-2</v>
      </c>
      <c r="Z15" s="6">
        <f t="shared" si="9"/>
        <v>7.0445842652896259E-2</v>
      </c>
      <c r="AB15" s="31">
        <v>45509</v>
      </c>
      <c r="AC15" s="9">
        <v>98</v>
      </c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91.49</v>
      </c>
      <c r="F16" s="57">
        <f t="shared" ref="F16" si="10">E16*D16</f>
        <v>33276.175561999997</v>
      </c>
      <c r="G16" s="38">
        <v>33268.9</v>
      </c>
      <c r="H16" s="39">
        <f t="shared" ref="H16" si="11">G16/D16</f>
        <v>91.469996464252944</v>
      </c>
      <c r="I16" s="38">
        <f t="shared" ref="I16" si="12">F16-G16</f>
        <v>7.2755619999952614</v>
      </c>
      <c r="J16" s="37">
        <f t="shared" ref="J16" si="13">E16-H16</f>
        <v>2.000353574705116E-2</v>
      </c>
      <c r="K16" s="40"/>
      <c r="L16" s="35"/>
      <c r="M16" s="41">
        <f t="shared" ref="M16" si="14">(I16/G16)</f>
        <v>2.186895869714737E-4</v>
      </c>
      <c r="N16" s="35"/>
      <c r="O16" s="35"/>
      <c r="P16" s="35"/>
      <c r="Q16" s="42"/>
      <c r="R16" s="43">
        <f t="shared" ref="R16" si="15">Q16*0.93</f>
        <v>0</v>
      </c>
      <c r="S16" s="43"/>
      <c r="T16" s="42">
        <f t="shared" ref="T16" si="16">Q16*1.25</f>
        <v>0</v>
      </c>
      <c r="U16" s="42">
        <f t="shared" ref="U16" si="17">Q16*1.5</f>
        <v>0</v>
      </c>
      <c r="V16" s="42">
        <f t="shared" ref="V16" si="18">Q16*2</f>
        <v>0</v>
      </c>
      <c r="W16" s="42">
        <f t="shared" ref="W16" si="19">H16-(H16*0.07)</f>
        <v>85.067096711755241</v>
      </c>
      <c r="X16" s="43"/>
      <c r="Y16" s="41">
        <f t="shared" ref="Y16" si="20">(X16-H16)/H16</f>
        <v>-1</v>
      </c>
      <c r="Z16" s="44">
        <f t="shared" ref="Z16" si="21">F16/F$19</f>
        <v>4.5952410714052747E-2</v>
      </c>
      <c r="AB16" s="31"/>
      <c r="AC16" s="9"/>
    </row>
    <row r="17" spans="1:26" x14ac:dyDescent="0.25">
      <c r="A17" t="s">
        <v>53</v>
      </c>
      <c r="F17" s="3">
        <f>SUM(F6:F16)</f>
        <v>648562.28416100005</v>
      </c>
      <c r="G17" s="3">
        <f>SUM(G6:G16)</f>
        <v>595858.24</v>
      </c>
      <c r="H17" s="4"/>
      <c r="I17" s="3">
        <f>SUM(I6:I16)</f>
        <v>52704.044160999998</v>
      </c>
      <c r="M17" s="5"/>
      <c r="Z17" s="6"/>
    </row>
    <row r="18" spans="1:26" x14ac:dyDescent="0.25">
      <c r="D18" s="2" t="s">
        <v>54</v>
      </c>
      <c r="F18" s="3">
        <v>75582</v>
      </c>
      <c r="G18" s="6">
        <f>F18/F19</f>
        <v>0.10437422714393164</v>
      </c>
      <c r="H18" s="4"/>
      <c r="M18" s="5"/>
      <c r="Z18" s="6"/>
    </row>
    <row r="19" spans="1:26" x14ac:dyDescent="0.25">
      <c r="D19" s="2" t="s">
        <v>55</v>
      </c>
      <c r="F19" s="3">
        <f>SUM(F17:F18)</f>
        <v>724144.28416100005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'06-28-24'!F19</f>
        <v>710279.42527200002</v>
      </c>
      <c r="K20" s="1">
        <v>45291</v>
      </c>
      <c r="L20" s="47">
        <v>139707.06</v>
      </c>
      <c r="M20" s="47">
        <v>164521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1.9520287925685734E-2</v>
      </c>
      <c r="K21" s="9" t="s">
        <v>58</v>
      </c>
      <c r="L21" s="6">
        <f>(M20-L20)/L20</f>
        <v>0.17761407333315871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7" si="22">F25/D25</f>
        <v>47.428061535569462</v>
      </c>
      <c r="F25" s="3">
        <v>38349.050000000003</v>
      </c>
      <c r="G25" s="3">
        <v>35186.18</v>
      </c>
      <c r="H25" s="3">
        <f t="shared" ref="H25:H47" si="23">G25/D25</f>
        <v>43.516392459307944</v>
      </c>
      <c r="I25" s="3">
        <f t="shared" ref="I25:I47" si="24">G25-F25</f>
        <v>-3162.8700000000026</v>
      </c>
      <c r="J25" s="5">
        <f t="shared" ref="J25:J47" si="25">I25/F25</f>
        <v>-8.2475837080710018E-2</v>
      </c>
      <c r="K25" s="1">
        <v>45286</v>
      </c>
      <c r="L25" s="1">
        <v>45302</v>
      </c>
      <c r="M25">
        <f t="shared" ref="M25:M47" si="26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2"/>
        <v>35.085004734625322</v>
      </c>
      <c r="F26" s="3">
        <v>40941.919999999998</v>
      </c>
      <c r="G26" s="3">
        <v>36634.589999999997</v>
      </c>
      <c r="H26" s="3">
        <f t="shared" si="23"/>
        <v>31.393856555849297</v>
      </c>
      <c r="I26" s="3">
        <f t="shared" si="24"/>
        <v>-4307.3300000000017</v>
      </c>
      <c r="J26" s="5">
        <f t="shared" si="25"/>
        <v>-0.10520586235330444</v>
      </c>
      <c r="K26" s="1">
        <v>45233</v>
      </c>
      <c r="L26" s="1">
        <v>45307</v>
      </c>
      <c r="M26">
        <f t="shared" si="26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2"/>
        <v>20.491040268725982</v>
      </c>
      <c r="F27" s="3">
        <v>41317.9</v>
      </c>
      <c r="G27" s="3">
        <v>42071.53</v>
      </c>
      <c r="H27" s="3">
        <f t="shared" si="23"/>
        <v>20.86479262975401</v>
      </c>
      <c r="I27" s="3">
        <f t="shared" si="24"/>
        <v>753.62999999999738</v>
      </c>
      <c r="J27" s="5">
        <f t="shared" si="25"/>
        <v>1.8239794374835056E-2</v>
      </c>
      <c r="K27" s="1">
        <v>45135</v>
      </c>
      <c r="L27" s="1">
        <v>45308</v>
      </c>
      <c r="M27">
        <f t="shared" si="26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2"/>
        <v>21.193736358158553</v>
      </c>
      <c r="F28" s="3">
        <f>28457.8+19398.39</f>
        <v>47856.19</v>
      </c>
      <c r="G28" s="3">
        <v>39178.269999999997</v>
      </c>
      <c r="H28" s="3">
        <f t="shared" si="23"/>
        <v>17.350606585036385</v>
      </c>
      <c r="I28" s="3">
        <f t="shared" si="24"/>
        <v>-8677.9200000000055</v>
      </c>
      <c r="J28" s="5">
        <f t="shared" si="25"/>
        <v>-0.18133328206863114</v>
      </c>
      <c r="K28" s="1">
        <v>45302</v>
      </c>
      <c r="L28" s="1">
        <v>45322</v>
      </c>
      <c r="M28">
        <f t="shared" si="26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2"/>
        <v>450.27964205816556</v>
      </c>
      <c r="F29" s="3">
        <v>56759.55</v>
      </c>
      <c r="G29" s="3">
        <v>54939.360000000001</v>
      </c>
      <c r="H29" s="3">
        <f t="shared" si="23"/>
        <v>435.83987814746064</v>
      </c>
      <c r="I29" s="3">
        <f t="shared" si="24"/>
        <v>-1820.1900000000023</v>
      </c>
      <c r="J29" s="5">
        <f t="shared" si="25"/>
        <v>-3.2068436060539635E-2</v>
      </c>
      <c r="K29" s="1">
        <v>45327</v>
      </c>
      <c r="L29" s="1">
        <v>45342</v>
      </c>
      <c r="M29">
        <f t="shared" si="26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2"/>
        <v>21.530005475912173</v>
      </c>
      <c r="F30" s="3">
        <v>17409.86</v>
      </c>
      <c r="G30" s="3">
        <v>28227.27</v>
      </c>
      <c r="H30" s="3">
        <f t="shared" si="23"/>
        <v>34.907418995330886</v>
      </c>
      <c r="I30" s="3">
        <f t="shared" si="24"/>
        <v>10817.41</v>
      </c>
      <c r="J30" s="5">
        <f t="shared" si="25"/>
        <v>0.62133813827336914</v>
      </c>
      <c r="K30" s="1">
        <v>45309</v>
      </c>
      <c r="L30" s="1">
        <v>45343</v>
      </c>
      <c r="M30" s="54">
        <f t="shared" si="26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2"/>
        <v>52.971341590739279</v>
      </c>
      <c r="F31" s="3">
        <v>52029.58</v>
      </c>
      <c r="G31" s="3">
        <v>47202.25</v>
      </c>
      <c r="H31" s="3">
        <f t="shared" si="23"/>
        <v>48.056634487564061</v>
      </c>
      <c r="I31" s="3">
        <f t="shared" si="24"/>
        <v>-4827.3300000000017</v>
      </c>
      <c r="J31" s="5">
        <f t="shared" si="25"/>
        <v>-9.278049140508153E-2</v>
      </c>
      <c r="K31" s="1">
        <v>45344</v>
      </c>
      <c r="L31" s="1">
        <v>45351</v>
      </c>
      <c r="M31" s="54">
        <f t="shared" si="26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2"/>
        <v>130.66998915547813</v>
      </c>
      <c r="F32" s="3">
        <v>58909.52</v>
      </c>
      <c r="G32" s="3">
        <v>55702.82</v>
      </c>
      <c r="H32" s="3">
        <f t="shared" si="23"/>
        <v>123.55705640326981</v>
      </c>
      <c r="I32" s="3">
        <f t="shared" si="24"/>
        <v>-3206.6999999999971</v>
      </c>
      <c r="J32" s="5">
        <f t="shared" si="25"/>
        <v>-5.4434325725281708E-2</v>
      </c>
      <c r="K32" s="1">
        <v>45286</v>
      </c>
      <c r="L32" s="1">
        <v>45356</v>
      </c>
      <c r="M32" s="54">
        <f t="shared" si="26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2"/>
        <v>34.902742463000052</v>
      </c>
      <c r="F33" s="3">
        <f>30020.93+21858.29</f>
        <v>51879.22</v>
      </c>
      <c r="G33" s="3">
        <v>51882.03</v>
      </c>
      <c r="H33" s="3">
        <f t="shared" si="23"/>
        <v>34.904632944513089</v>
      </c>
      <c r="I33" s="3">
        <f t="shared" si="24"/>
        <v>2.8099999999976717</v>
      </c>
      <c r="J33" s="5">
        <f t="shared" si="25"/>
        <v>5.4164268468139489E-5</v>
      </c>
      <c r="K33" s="1">
        <v>45331</v>
      </c>
      <c r="L33" s="1">
        <v>45366</v>
      </c>
      <c r="M33" s="54">
        <f t="shared" si="26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2"/>
        <v>17.884521773182534</v>
      </c>
      <c r="F34" s="3">
        <f>20288.83+19170.47</f>
        <v>39459.300000000003</v>
      </c>
      <c r="G34" s="3">
        <v>47805.42</v>
      </c>
      <c r="H34" s="3">
        <f t="shared" si="23"/>
        <v>21.667314799455028</v>
      </c>
      <c r="I34" s="3">
        <f t="shared" si="24"/>
        <v>8346.1199999999953</v>
      </c>
      <c r="J34" s="5">
        <f t="shared" si="25"/>
        <v>0.21151211501471123</v>
      </c>
      <c r="K34" s="1">
        <v>45243</v>
      </c>
      <c r="L34" s="1">
        <v>45373</v>
      </c>
      <c r="M34" s="54">
        <f t="shared" si="26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2"/>
        <v>97.201614911338325</v>
      </c>
      <c r="F35" s="3">
        <v>71279.48</v>
      </c>
      <c r="G35" s="3">
        <v>66395.73</v>
      </c>
      <c r="H35" s="3">
        <f t="shared" si="23"/>
        <v>90.541796590227548</v>
      </c>
      <c r="I35" s="3">
        <f t="shared" si="24"/>
        <v>-4883.75</v>
      </c>
      <c r="J35" s="5">
        <f t="shared" si="25"/>
        <v>-6.85155110559168E-2</v>
      </c>
      <c r="K35" s="1">
        <v>45349</v>
      </c>
      <c r="L35" s="1">
        <v>45394</v>
      </c>
      <c r="M35" s="54">
        <f t="shared" si="26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2"/>
        <v>51.760011005615979</v>
      </c>
      <c r="F36" s="3">
        <v>46654.3</v>
      </c>
      <c r="G36" s="3">
        <v>44379.95</v>
      </c>
      <c r="H36" s="3">
        <f t="shared" si="23"/>
        <v>49.23676275131524</v>
      </c>
      <c r="I36" s="3">
        <f t="shared" si="24"/>
        <v>-2274.3500000000058</v>
      </c>
      <c r="J36" s="5">
        <f t="shared" si="25"/>
        <v>-4.874898991089794E-2</v>
      </c>
      <c r="K36" s="1">
        <v>45394</v>
      </c>
      <c r="L36" s="1">
        <v>45394</v>
      </c>
      <c r="M36" s="54">
        <f t="shared" si="26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2"/>
        <v>228.36593513142583</v>
      </c>
      <c r="F37" s="3">
        <v>61166.239999999998</v>
      </c>
      <c r="G37" s="3">
        <v>81558.94</v>
      </c>
      <c r="H37" s="3">
        <f t="shared" si="23"/>
        <v>304.50267339349045</v>
      </c>
      <c r="I37" s="3">
        <f t="shared" si="24"/>
        <v>20392.700000000004</v>
      </c>
      <c r="J37" s="5">
        <f t="shared" si="25"/>
        <v>0.33339796593676518</v>
      </c>
      <c r="K37" s="1">
        <v>45238</v>
      </c>
      <c r="L37" s="1">
        <v>45397</v>
      </c>
      <c r="M37" s="54">
        <f t="shared" si="26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2"/>
        <v>131.07547316942754</v>
      </c>
      <c r="F38" s="3">
        <v>29415.63</v>
      </c>
      <c r="G38" s="3">
        <v>27481.43</v>
      </c>
      <c r="H38" s="3">
        <f t="shared" si="23"/>
        <v>122.45671571958516</v>
      </c>
      <c r="I38" s="3">
        <f t="shared" si="24"/>
        <v>-1934.2000000000007</v>
      </c>
      <c r="J38" s="5">
        <f t="shared" si="25"/>
        <v>-6.5754158588478329E-2</v>
      </c>
      <c r="K38" s="1">
        <v>45393</v>
      </c>
      <c r="L38" s="1">
        <v>45397</v>
      </c>
      <c r="M38" s="54">
        <f t="shared" si="26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2"/>
        <v>30.008099047901005</v>
      </c>
      <c r="F39" s="3">
        <v>43950.36</v>
      </c>
      <c r="G39" s="3">
        <v>49174.83</v>
      </c>
      <c r="H39" s="3">
        <f t="shared" si="23"/>
        <v>33.575223713837467</v>
      </c>
      <c r="I39" s="3">
        <f t="shared" si="24"/>
        <v>5224.4700000000012</v>
      </c>
      <c r="J39" s="5">
        <f t="shared" si="25"/>
        <v>0.11887206384657603</v>
      </c>
      <c r="K39" s="1">
        <v>45321</v>
      </c>
      <c r="L39" s="1">
        <v>45400</v>
      </c>
      <c r="M39" s="54">
        <f t="shared" si="26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2"/>
        <v>202.80010053151383</v>
      </c>
      <c r="F40" s="3">
        <v>54466.53</v>
      </c>
      <c r="G40" s="3">
        <v>57142.12</v>
      </c>
      <c r="H40" s="3">
        <f t="shared" si="23"/>
        <v>212.76236397993094</v>
      </c>
      <c r="I40" s="3">
        <f t="shared" si="24"/>
        <v>2675.5900000000038</v>
      </c>
      <c r="J40" s="5">
        <f t="shared" si="25"/>
        <v>4.912356267234215E-2</v>
      </c>
      <c r="K40" s="1">
        <v>45370</v>
      </c>
      <c r="L40" s="1">
        <v>45401</v>
      </c>
      <c r="M40" s="54">
        <f t="shared" si="26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2"/>
        <v>72.032301948546731</v>
      </c>
      <c r="F41" s="3">
        <f>38270.34+5640.4</f>
        <v>43910.74</v>
      </c>
      <c r="G41" s="3">
        <v>46906.35</v>
      </c>
      <c r="H41" s="3">
        <f t="shared" si="23"/>
        <v>76.946377275905974</v>
      </c>
      <c r="I41" s="3">
        <f t="shared" si="24"/>
        <v>2995.6100000000006</v>
      </c>
      <c r="J41" s="5">
        <f t="shared" si="25"/>
        <v>6.8220439919709858E-2</v>
      </c>
      <c r="K41" s="1">
        <v>45313</v>
      </c>
      <c r="L41" s="1">
        <v>45420</v>
      </c>
      <c r="M41" s="54">
        <f t="shared" si="26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2"/>
        <v>26.796152173251542</v>
      </c>
      <c r="F42" s="3">
        <f>36957.24+22924.55</f>
        <v>59881.789999999994</v>
      </c>
      <c r="G42" s="3">
        <v>53143.62</v>
      </c>
      <c r="H42" s="3">
        <f t="shared" si="23"/>
        <v>23.780927867344218</v>
      </c>
      <c r="I42" s="3">
        <f t="shared" si="24"/>
        <v>-6738.169999999991</v>
      </c>
      <c r="J42" s="5">
        <f t="shared" si="25"/>
        <v>-0.11252452540246362</v>
      </c>
      <c r="K42" s="1">
        <v>45421</v>
      </c>
      <c r="L42" s="1">
        <v>45441</v>
      </c>
      <c r="M42" s="54">
        <f t="shared" si="26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2"/>
        <v>21.526049990446886</v>
      </c>
      <c r="F43" s="3">
        <f>28174.78+19947.6-17409.86</f>
        <v>30712.519999999997</v>
      </c>
      <c r="G43" s="3">
        <v>80427.22</v>
      </c>
      <c r="H43" s="3">
        <f t="shared" si="23"/>
        <v>56.370508128693771</v>
      </c>
      <c r="I43" s="3">
        <f t="shared" si="24"/>
        <v>49714.700000000004</v>
      </c>
      <c r="J43" s="5">
        <f t="shared" si="25"/>
        <v>1.6187111966064658</v>
      </c>
      <c r="K43" s="1">
        <v>45309</v>
      </c>
      <c r="L43" s="1">
        <v>45447</v>
      </c>
      <c r="M43" s="54">
        <f t="shared" si="26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2"/>
        <v>119.9800324750113</v>
      </c>
      <c r="F44" s="3">
        <v>59378.55</v>
      </c>
      <c r="G44" s="3">
        <v>52305.62</v>
      </c>
      <c r="H44" s="3">
        <f t="shared" si="23"/>
        <v>105.68850176074695</v>
      </c>
      <c r="I44" s="3">
        <f t="shared" si="24"/>
        <v>-7072.93</v>
      </c>
      <c r="J44" s="5">
        <f t="shared" si="25"/>
        <v>-0.1191159097013989</v>
      </c>
      <c r="K44" s="1">
        <v>45422</v>
      </c>
      <c r="L44" s="1">
        <v>45456</v>
      </c>
      <c r="M44" s="54">
        <f t="shared" si="26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2"/>
        <v>40.121826742024723</v>
      </c>
      <c r="F45" s="3">
        <v>84857.15</v>
      </c>
      <c r="G45" s="3">
        <v>77799.8</v>
      </c>
      <c r="H45" s="3">
        <f t="shared" si="23"/>
        <v>36.784998036867556</v>
      </c>
      <c r="I45" s="3">
        <f t="shared" si="24"/>
        <v>-7057.3499999999913</v>
      </c>
      <c r="J45" s="5">
        <f t="shared" si="25"/>
        <v>-8.3167417241799796E-2</v>
      </c>
      <c r="K45" s="1">
        <v>45446</v>
      </c>
      <c r="L45" s="1">
        <v>45461</v>
      </c>
      <c r="M45" s="54">
        <f t="shared" si="26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2"/>
        <v>190.14353095648559</v>
      </c>
      <c r="F46" s="3">
        <v>58070.69</v>
      </c>
      <c r="G46" s="3">
        <v>55002.36</v>
      </c>
      <c r="H46" s="3">
        <f t="shared" si="23"/>
        <v>180.0967569240139</v>
      </c>
      <c r="I46" s="3">
        <f t="shared" si="24"/>
        <v>-3068.3300000000017</v>
      </c>
      <c r="J46" s="5">
        <f t="shared" si="25"/>
        <v>-5.2837842980684432E-2</v>
      </c>
      <c r="K46" s="1">
        <v>45460</v>
      </c>
      <c r="L46" s="1">
        <v>45478</v>
      </c>
      <c r="M46" s="54">
        <f t="shared" si="26"/>
        <v>18</v>
      </c>
      <c r="O46" t="s">
        <v>91</v>
      </c>
    </row>
    <row r="47" spans="1:15" x14ac:dyDescent="0.25">
      <c r="C47" s="26"/>
      <c r="E47" s="3" t="e">
        <f t="shared" si="22"/>
        <v>#DIV/0!</v>
      </c>
      <c r="H47" s="3" t="e">
        <f t="shared" si="23"/>
        <v>#DIV/0!</v>
      </c>
      <c r="I47" s="3">
        <f t="shared" si="24"/>
        <v>0</v>
      </c>
      <c r="J47" s="5" t="e">
        <f t="shared" si="25"/>
        <v>#DIV/0!</v>
      </c>
      <c r="K47" s="1"/>
      <c r="L47" s="1"/>
      <c r="M47" s="54">
        <f t="shared" si="26"/>
        <v>0</v>
      </c>
    </row>
    <row r="48" spans="1:15" x14ac:dyDescent="0.25">
      <c r="I48" s="3">
        <f>SUM(I25:I44)</f>
        <v>52017.299999999996</v>
      </c>
      <c r="J48" s="13" t="s">
        <v>68</v>
      </c>
    </row>
    <row r="49" spans="8:10" x14ac:dyDescent="0.25">
      <c r="H49" s="3" t="s">
        <v>69</v>
      </c>
      <c r="I49" s="55">
        <v>12</v>
      </c>
      <c r="J49" s="5">
        <v>-8.4599999999999995E-2</v>
      </c>
    </row>
    <row r="50" spans="8:10" x14ac:dyDescent="0.25">
      <c r="H50" s="3" t="s">
        <v>70</v>
      </c>
      <c r="I50" s="55">
        <v>9</v>
      </c>
      <c r="J50" s="5">
        <v>0.34739999999999999</v>
      </c>
    </row>
    <row r="51" spans="8:10" x14ac:dyDescent="0.25">
      <c r="J51" s="5"/>
    </row>
    <row r="52" spans="8:10" x14ac:dyDescent="0.25">
      <c r="J52" s="5"/>
    </row>
    <row r="53" spans="8:10" x14ac:dyDescent="0.25">
      <c r="J53" s="5"/>
    </row>
    <row r="54" spans="8:10" x14ac:dyDescent="0.25">
      <c r="J54" s="5"/>
    </row>
    <row r="55" spans="8:10" x14ac:dyDescent="0.25">
      <c r="J55" s="5"/>
    </row>
    <row r="56" spans="8:10" x14ac:dyDescent="0.25">
      <c r="J56" s="5"/>
    </row>
    <row r="57" spans="8:10" x14ac:dyDescent="0.25">
      <c r="J57" s="5"/>
    </row>
    <row r="58" spans="8:10" x14ac:dyDescent="0.25">
      <c r="J58" s="5"/>
    </row>
    <row r="59" spans="8:10" x14ac:dyDescent="0.25">
      <c r="J59" s="5"/>
    </row>
    <row r="60" spans="8:10" x14ac:dyDescent="0.25">
      <c r="J60" s="5"/>
    </row>
    <row r="61" spans="8:10" x14ac:dyDescent="0.25">
      <c r="J61" s="5"/>
    </row>
    <row r="62" spans="8:10" x14ac:dyDescent="0.25">
      <c r="J62" s="5"/>
    </row>
    <row r="63" spans="8:10" x14ac:dyDescent="0.25">
      <c r="J63" s="5"/>
    </row>
    <row r="64" spans="8:10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</sheetData>
  <sortState xmlns:xlrd2="http://schemas.microsoft.com/office/spreadsheetml/2017/richdata2" ref="A7:AC15">
    <sortCondition descending="1" ref="L7:L15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ABF5-DF91-4193-BD4B-98471D5DE1E4}">
  <dimension ref="A1:AE20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45485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9.6199999999999992</v>
      </c>
      <c r="F7" s="3">
        <f t="shared" ref="F7:F15" si="0">E7*D7</f>
        <v>62354.131007999989</v>
      </c>
      <c r="G7" s="3">
        <f>23794.37+31996.67</f>
        <v>55791.039999999994</v>
      </c>
      <c r="H7" s="4">
        <f t="shared" ref="H7:H15" si="1">G7/D7</f>
        <v>8.6074458279458721</v>
      </c>
      <c r="I7" s="3">
        <f t="shared" ref="I7:I15" si="2">F7-G7</f>
        <v>6563.0910079999958</v>
      </c>
      <c r="J7" s="27">
        <f t="shared" ref="J7:J15" si="3">E7-H7</f>
        <v>1.0125541720541271</v>
      </c>
      <c r="K7" s="28">
        <v>45378</v>
      </c>
      <c r="L7">
        <f t="shared" ref="L7:L15" si="4">DAYS360(K7,$C$1)</f>
        <v>105</v>
      </c>
      <c r="M7" s="5">
        <f t="shared" ref="M7:M15" si="5">(I7/G7)</f>
        <v>0.11763700780627134</v>
      </c>
      <c r="N7">
        <v>9</v>
      </c>
      <c r="O7">
        <v>97</v>
      </c>
      <c r="P7" s="34">
        <v>99</v>
      </c>
      <c r="Q7" s="29">
        <v>6.76</v>
      </c>
      <c r="R7" s="30">
        <f t="shared" ref="R7:R15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5" si="7">H7-(H7*0.07)</f>
        <v>8.0049246199896604</v>
      </c>
      <c r="X7" s="30">
        <v>8.75</v>
      </c>
      <c r="Y7" s="5">
        <f t="shared" ref="Y7:Y15" si="8">(X7-H7)/H7</f>
        <v>1.6561727474519328E-2</v>
      </c>
      <c r="Z7" s="6">
        <f t="shared" ref="Z7:Z15" si="9">F7/F$19</f>
        <v>8.3474918082260569E-2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75.12</v>
      </c>
      <c r="F8" s="3">
        <f t="shared" si="0"/>
        <v>62229.580776000003</v>
      </c>
      <c r="G8" s="3">
        <v>47623.59</v>
      </c>
      <c r="H8" s="4">
        <f t="shared" si="1"/>
        <v>57.488481140141687</v>
      </c>
      <c r="I8" s="3">
        <f t="shared" si="2"/>
        <v>14605.990776000006</v>
      </c>
      <c r="J8" s="27">
        <f t="shared" si="3"/>
        <v>17.631518859858318</v>
      </c>
      <c r="K8" s="28">
        <v>45378</v>
      </c>
      <c r="L8">
        <f t="shared" si="4"/>
        <v>105</v>
      </c>
      <c r="M8" s="5">
        <f t="shared" si="5"/>
        <v>0.30669655051204681</v>
      </c>
      <c r="N8">
        <v>9</v>
      </c>
      <c r="O8">
        <v>93</v>
      </c>
      <c r="P8" s="34">
        <v>97</v>
      </c>
      <c r="Q8" s="29">
        <v>70.47</v>
      </c>
      <c r="R8" s="30">
        <f t="shared" si="6"/>
        <v>65.537100000000009</v>
      </c>
      <c r="S8" s="30">
        <v>60.15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65</v>
      </c>
      <c r="Y8" s="5">
        <f t="shared" si="8"/>
        <v>0.13066128571995528</v>
      </c>
      <c r="Z8" s="6">
        <f t="shared" si="9"/>
        <v>8.3308179804535379E-2</v>
      </c>
      <c r="AB8" s="31">
        <v>45504</v>
      </c>
      <c r="AC8" s="9">
        <v>99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187.34</v>
      </c>
      <c r="F9" s="3">
        <f t="shared" si="0"/>
        <v>73147.146542000002</v>
      </c>
      <c r="G9" s="3">
        <v>58706.59</v>
      </c>
      <c r="H9" s="4">
        <f t="shared" si="1"/>
        <v>150.35572938289613</v>
      </c>
      <c r="I9" s="3">
        <f t="shared" si="2"/>
        <v>14440.556542000006</v>
      </c>
      <c r="J9" s="27">
        <f t="shared" si="3"/>
        <v>36.984270617103874</v>
      </c>
      <c r="K9" s="28">
        <v>45426</v>
      </c>
      <c r="L9">
        <f t="shared" si="4"/>
        <v>58</v>
      </c>
      <c r="M9" s="5">
        <f t="shared" si="5"/>
        <v>0.24597845901116053</v>
      </c>
      <c r="N9">
        <v>30</v>
      </c>
      <c r="O9">
        <v>97</v>
      </c>
      <c r="P9" s="34">
        <v>81</v>
      </c>
      <c r="Q9" s="29">
        <v>148.43</v>
      </c>
      <c r="R9" s="30">
        <f t="shared" si="6"/>
        <v>138.03990000000002</v>
      </c>
      <c r="S9" s="30">
        <v>125.78</v>
      </c>
      <c r="T9" s="29">
        <f>Q9*1.25</f>
        <v>185.53750000000002</v>
      </c>
      <c r="U9" s="29">
        <f>Q9*1.5</f>
        <v>222.64500000000001</v>
      </c>
      <c r="V9" s="29">
        <f>Q9*2</f>
        <v>296.86</v>
      </c>
      <c r="W9" s="29">
        <f t="shared" si="7"/>
        <v>139.83082832609341</v>
      </c>
      <c r="X9" s="30">
        <v>169</v>
      </c>
      <c r="Y9" s="5">
        <f t="shared" si="8"/>
        <v>0.1240010652977802</v>
      </c>
      <c r="Z9" s="6">
        <f t="shared" si="9"/>
        <v>9.7923777732724246E-2</v>
      </c>
      <c r="AB9" s="31">
        <v>45491</v>
      </c>
      <c r="AC9" s="9">
        <v>97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29.41</v>
      </c>
      <c r="F10" s="3">
        <f t="shared" si="0"/>
        <v>72775.592025999998</v>
      </c>
      <c r="G10" s="3">
        <f>44039.07+27471.43</f>
        <v>71510.5</v>
      </c>
      <c r="H10" s="4">
        <f t="shared" si="1"/>
        <v>28.898752266400425</v>
      </c>
      <c r="I10" s="3">
        <f t="shared" si="2"/>
        <v>1265.0920259999984</v>
      </c>
      <c r="J10" s="27">
        <f t="shared" si="3"/>
        <v>0.51124773359957487</v>
      </c>
      <c r="K10" s="28">
        <v>45426</v>
      </c>
      <c r="L10">
        <f t="shared" si="4"/>
        <v>58</v>
      </c>
      <c r="M10" s="5">
        <f t="shared" si="5"/>
        <v>1.7690996790681066E-2</v>
      </c>
      <c r="N10">
        <v>39</v>
      </c>
      <c r="O10">
        <v>97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>Q10*1.25</f>
        <v>34.337499999999999</v>
      </c>
      <c r="U10" s="29">
        <f>Q10*1.5</f>
        <v>41.204999999999998</v>
      </c>
      <c r="V10" s="29">
        <f>Q10*2</f>
        <v>54.94</v>
      </c>
      <c r="W10" s="29">
        <f t="shared" si="7"/>
        <v>26.875839607752397</v>
      </c>
      <c r="X10" s="30">
        <v>27</v>
      </c>
      <c r="Y10" s="5">
        <f t="shared" si="8"/>
        <v>-6.570360716258461E-2</v>
      </c>
      <c r="Z10" s="6">
        <f t="shared" si="9"/>
        <v>9.7426369104221117E-2</v>
      </c>
      <c r="AB10" s="31">
        <v>45513</v>
      </c>
      <c r="AC10" s="9">
        <v>97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v>940.66800000000001</v>
      </c>
      <c r="E11" s="27">
        <v>129.28</v>
      </c>
      <c r="F11" s="3">
        <f t="shared" si="0"/>
        <v>121609.55904000001</v>
      </c>
      <c r="G11" s="3">
        <v>88627.87</v>
      </c>
      <c r="H11" s="4">
        <f t="shared" si="1"/>
        <v>94.218013156607853</v>
      </c>
      <c r="I11" s="3">
        <f t="shared" si="2"/>
        <v>32981.689040000012</v>
      </c>
      <c r="J11" s="27">
        <f t="shared" si="3"/>
        <v>35.061986843392148</v>
      </c>
      <c r="K11" s="28">
        <v>45427</v>
      </c>
      <c r="L11">
        <f t="shared" si="4"/>
        <v>57</v>
      </c>
      <c r="M11" s="5">
        <f t="shared" si="5"/>
        <v>0.37213676736223056</v>
      </c>
      <c r="N11">
        <v>1</v>
      </c>
      <c r="O11">
        <v>99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v>115.28</v>
      </c>
      <c r="U11" s="29">
        <v>138.33000000000001</v>
      </c>
      <c r="V11" s="29">
        <v>184.44</v>
      </c>
      <c r="W11" s="29">
        <f t="shared" si="7"/>
        <v>87.622752235645308</v>
      </c>
      <c r="X11" s="30">
        <v>118</v>
      </c>
      <c r="Y11" s="5">
        <f t="shared" si="8"/>
        <v>0.25241443803173885</v>
      </c>
      <c r="Z11" s="6">
        <f t="shared" si="9"/>
        <v>0.16280153078520845</v>
      </c>
      <c r="AB11" s="31">
        <v>45519</v>
      </c>
      <c r="AC11" s="9">
        <v>99</v>
      </c>
    </row>
    <row r="12" spans="1:31" x14ac:dyDescent="0.25">
      <c r="A12" t="s">
        <v>144</v>
      </c>
      <c r="B12" t="s">
        <v>33</v>
      </c>
      <c r="C12" s="26" t="s">
        <v>145</v>
      </c>
      <c r="D12" s="2">
        <v>275.726</v>
      </c>
      <c r="E12" s="27">
        <v>210.9</v>
      </c>
      <c r="F12" s="3">
        <f t="shared" si="0"/>
        <v>58150.613400000002</v>
      </c>
      <c r="G12" s="3">
        <v>58138.05</v>
      </c>
      <c r="H12" s="4">
        <f t="shared" si="1"/>
        <v>210.8544352001625</v>
      </c>
      <c r="I12" s="3">
        <f t="shared" si="2"/>
        <v>12.563399999999092</v>
      </c>
      <c r="J12" s="27">
        <f t="shared" si="3"/>
        <v>4.5564799837507053E-2</v>
      </c>
      <c r="K12" s="28">
        <v>45461</v>
      </c>
      <c r="L12">
        <f t="shared" si="4"/>
        <v>24</v>
      </c>
      <c r="M12" s="5">
        <f t="shared" si="5"/>
        <v>2.1609599909180118E-4</v>
      </c>
      <c r="N12">
        <v>81</v>
      </c>
      <c r="O12">
        <v>96</v>
      </c>
      <c r="P12" s="58">
        <v>98</v>
      </c>
      <c r="Q12" s="29">
        <v>202.58</v>
      </c>
      <c r="R12" s="30">
        <f t="shared" si="6"/>
        <v>188.39940000000001</v>
      </c>
      <c r="S12" s="30">
        <v>195.41</v>
      </c>
      <c r="T12" s="32">
        <f>Q12*1.25</f>
        <v>253.22500000000002</v>
      </c>
      <c r="U12" s="29">
        <f>Q12*1.5</f>
        <v>303.87</v>
      </c>
      <c r="V12" s="29">
        <f>Q12*2</f>
        <v>405.16</v>
      </c>
      <c r="W12" s="29">
        <f t="shared" si="7"/>
        <v>196.09462473615113</v>
      </c>
      <c r="X12" s="30">
        <v>196</v>
      </c>
      <c r="Y12" s="5">
        <f t="shared" si="8"/>
        <v>-7.0448768061536368E-2</v>
      </c>
      <c r="Z12" s="6">
        <f t="shared" si="9"/>
        <v>7.784757178919588E-2</v>
      </c>
      <c r="AB12" s="31">
        <v>45512</v>
      </c>
      <c r="AC12" s="9">
        <v>96</v>
      </c>
    </row>
    <row r="13" spans="1:31" x14ac:dyDescent="0.25">
      <c r="A13" t="s">
        <v>146</v>
      </c>
      <c r="B13" t="s">
        <v>33</v>
      </c>
      <c r="C13" s="26" t="s">
        <v>147</v>
      </c>
      <c r="D13" s="2">
        <v>341.96359999999999</v>
      </c>
      <c r="E13" s="27">
        <v>230.54</v>
      </c>
      <c r="F13" s="3">
        <f t="shared" si="0"/>
        <v>78836.288344000001</v>
      </c>
      <c r="G13" s="3">
        <v>72116.02</v>
      </c>
      <c r="H13" s="4">
        <f t="shared" si="1"/>
        <v>210.88800094512985</v>
      </c>
      <c r="I13" s="3">
        <f t="shared" si="2"/>
        <v>6720.2683439999964</v>
      </c>
      <c r="J13" s="27">
        <f t="shared" si="3"/>
        <v>19.651999054870146</v>
      </c>
      <c r="K13" s="28">
        <v>45464</v>
      </c>
      <c r="L13">
        <f t="shared" si="4"/>
        <v>21</v>
      </c>
      <c r="M13" s="5">
        <f t="shared" si="5"/>
        <v>9.3186899998086367E-2</v>
      </c>
      <c r="N13">
        <v>44</v>
      </c>
      <c r="O13">
        <v>89</v>
      </c>
      <c r="P13" s="34">
        <v>87</v>
      </c>
      <c r="Q13" s="29">
        <v>199.62</v>
      </c>
      <c r="R13" s="30">
        <f t="shared" si="6"/>
        <v>185.64660000000001</v>
      </c>
      <c r="S13" s="30">
        <v>192.15</v>
      </c>
      <c r="T13" s="32">
        <f>Q13*1.25</f>
        <v>249.52500000000001</v>
      </c>
      <c r="U13" s="29">
        <f>Q13*1.5</f>
        <v>299.43</v>
      </c>
      <c r="V13" s="29">
        <f>Q13*2</f>
        <v>399.24</v>
      </c>
      <c r="W13" s="29">
        <f t="shared" si="7"/>
        <v>196.12584087897076</v>
      </c>
      <c r="X13" s="30">
        <v>210</v>
      </c>
      <c r="Y13" s="5">
        <f t="shared" si="8"/>
        <v>-4.2107703669726181E-3</v>
      </c>
      <c r="Z13" s="33">
        <f t="shared" si="9"/>
        <v>0.10553996351229007</v>
      </c>
      <c r="AA13" s="9"/>
      <c r="AB13" s="31">
        <v>45497</v>
      </c>
      <c r="AC13" s="9">
        <v>89</v>
      </c>
    </row>
    <row r="14" spans="1:31" x14ac:dyDescent="0.25">
      <c r="A14" t="s">
        <v>148</v>
      </c>
      <c r="B14" t="s">
        <v>33</v>
      </c>
      <c r="C14" s="26" t="s">
        <v>149</v>
      </c>
      <c r="D14" s="2">
        <v>1873.41</v>
      </c>
      <c r="E14" s="27">
        <v>28.07</v>
      </c>
      <c r="F14" s="3">
        <f t="shared" si="0"/>
        <v>52586.618700000006</v>
      </c>
      <c r="G14" s="3">
        <v>50873.97</v>
      </c>
      <c r="H14" s="4">
        <f t="shared" si="1"/>
        <v>27.155812128685124</v>
      </c>
      <c r="I14" s="3">
        <f t="shared" si="2"/>
        <v>1712.6487000000052</v>
      </c>
      <c r="J14" s="27">
        <f t="shared" si="3"/>
        <v>0.91418787131487633</v>
      </c>
      <c r="K14" s="28">
        <v>45478</v>
      </c>
      <c r="L14">
        <f t="shared" si="4"/>
        <v>7</v>
      </c>
      <c r="M14" s="5">
        <f t="shared" si="5"/>
        <v>3.3664538073203354E-2</v>
      </c>
      <c r="N14">
        <v>131</v>
      </c>
      <c r="O14">
        <v>95</v>
      </c>
      <c r="P14" s="34">
        <v>95</v>
      </c>
      <c r="Q14" s="29">
        <v>26.57</v>
      </c>
      <c r="R14" s="30">
        <f t="shared" si="6"/>
        <v>24.710100000000001</v>
      </c>
      <c r="S14" s="30">
        <v>23.3</v>
      </c>
      <c r="T14" s="29">
        <f>Q14*1.25</f>
        <v>33.212499999999999</v>
      </c>
      <c r="U14" s="29">
        <f>Q14*1.5</f>
        <v>39.855000000000004</v>
      </c>
      <c r="V14" s="29">
        <f>Q14*2</f>
        <v>53.14</v>
      </c>
      <c r="W14" s="29">
        <f t="shared" si="7"/>
        <v>25.254905279677164</v>
      </c>
      <c r="X14" s="30">
        <v>25.25</v>
      </c>
      <c r="Y14" s="5">
        <f t="shared" si="8"/>
        <v>-7.0180634615305201E-2</v>
      </c>
      <c r="Z14" s="6">
        <f t="shared" si="9"/>
        <v>7.0398923331036103E-2</v>
      </c>
      <c r="AB14" s="31">
        <v>45509</v>
      </c>
      <c r="AC14" s="9">
        <v>98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44832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si="7"/>
        <v>#DIV/0!</v>
      </c>
      <c r="X15" s="30"/>
      <c r="Y15" s="5" t="e">
        <f t="shared" si="8"/>
        <v>#DIV/0!</v>
      </c>
      <c r="Z15" s="33">
        <f t="shared" si="9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91.58</v>
      </c>
      <c r="F16" s="57">
        <f t="shared" ref="F16" si="10">E16*D16</f>
        <v>33308.909803999995</v>
      </c>
      <c r="G16" s="38">
        <v>33268.9</v>
      </c>
      <c r="H16" s="39">
        <f t="shared" ref="H16" si="11">G16/D16</f>
        <v>91.469996464252944</v>
      </c>
      <c r="I16" s="38">
        <f t="shared" ref="I16" si="12">F16-G16</f>
        <v>40.009803999993892</v>
      </c>
      <c r="J16" s="37">
        <f t="shared" ref="J16" si="13">E16-H16</f>
        <v>0.11000353574705457</v>
      </c>
      <c r="K16" s="40"/>
      <c r="L16" s="35"/>
      <c r="M16" s="41">
        <f t="shared" ref="M16" si="14">(I16/G16)</f>
        <v>1.2026187821056269E-3</v>
      </c>
      <c r="N16" s="35"/>
      <c r="O16" s="35"/>
      <c r="P16" s="35"/>
      <c r="Q16" s="42"/>
      <c r="R16" s="43">
        <f t="shared" ref="R16" si="15">Q16*0.93</f>
        <v>0</v>
      </c>
      <c r="S16" s="43"/>
      <c r="T16" s="42">
        <f t="shared" ref="T16" si="16">Q16*1.25</f>
        <v>0</v>
      </c>
      <c r="U16" s="42">
        <f t="shared" ref="U16" si="17">Q16*1.5</f>
        <v>0</v>
      </c>
      <c r="V16" s="42">
        <f t="shared" ref="V16" si="18">Q16*2</f>
        <v>0</v>
      </c>
      <c r="W16" s="42">
        <f t="shared" ref="W16" si="19">H16-(H16*0.07)</f>
        <v>85.067096711755241</v>
      </c>
      <c r="X16" s="43"/>
      <c r="Y16" s="41">
        <f t="shared" ref="Y16" si="20">(X16-H16)/H16</f>
        <v>-1</v>
      </c>
      <c r="Z16" s="44">
        <f t="shared" ref="Z16" si="21">F16/F$19</f>
        <v>4.459140833734937E-2</v>
      </c>
      <c r="AB16" s="31"/>
      <c r="AC16" s="9"/>
    </row>
    <row r="17" spans="1:26" x14ac:dyDescent="0.25">
      <c r="A17" t="s">
        <v>53</v>
      </c>
      <c r="F17" s="3">
        <f>SUM(F6:F16)</f>
        <v>614998.43964</v>
      </c>
      <c r="G17" s="3">
        <f>SUM(G6:G16)</f>
        <v>536656.53</v>
      </c>
      <c r="H17" s="4"/>
      <c r="I17" s="3">
        <f>SUM(I6:I16)</f>
        <v>78341.909639999998</v>
      </c>
      <c r="M17" s="5"/>
      <c r="Z17" s="6"/>
    </row>
    <row r="18" spans="1:26" x14ac:dyDescent="0.25">
      <c r="D18" s="2" t="s">
        <v>54</v>
      </c>
      <c r="F18" s="3">
        <v>131982</v>
      </c>
      <c r="G18" s="6">
        <f>F18/F19</f>
        <v>0.17668735752117881</v>
      </c>
      <c r="H18" s="4"/>
      <c r="M18" s="5"/>
      <c r="Z18" s="6"/>
    </row>
    <row r="19" spans="1:26" x14ac:dyDescent="0.25">
      <c r="D19" s="2" t="s">
        <v>55</v>
      </c>
      <c r="F19" s="3">
        <f>SUM(F17:F18)</f>
        <v>746980.43964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'07-05-24'!F19</f>
        <v>724144.28416100005</v>
      </c>
      <c r="K20" s="1">
        <v>45291</v>
      </c>
      <c r="L20" s="47">
        <v>139707.06</v>
      </c>
      <c r="M20" s="47">
        <v>169622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3.153536660923606E-2</v>
      </c>
      <c r="K21" s="9" t="s">
        <v>58</v>
      </c>
      <c r="L21" s="6">
        <f>(M20-L20)/L20</f>
        <v>0.21412618660789229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7" si="22">F25/D25</f>
        <v>47.428061535569462</v>
      </c>
      <c r="F25" s="3">
        <v>38349.050000000003</v>
      </c>
      <c r="G25" s="3">
        <v>35186.18</v>
      </c>
      <c r="H25" s="3">
        <f t="shared" ref="H25:H47" si="23">G25/D25</f>
        <v>43.516392459307944</v>
      </c>
      <c r="I25" s="3">
        <f t="shared" ref="I25:I47" si="24">G25-F25</f>
        <v>-3162.8700000000026</v>
      </c>
      <c r="J25" s="5">
        <f t="shared" ref="J25:J47" si="25">I25/F25</f>
        <v>-8.2475837080710018E-2</v>
      </c>
      <c r="K25" s="1">
        <v>45286</v>
      </c>
      <c r="L25" s="1">
        <v>45302</v>
      </c>
      <c r="M25">
        <f t="shared" ref="M25:M47" si="26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2"/>
        <v>35.085004734625322</v>
      </c>
      <c r="F26" s="3">
        <v>40941.919999999998</v>
      </c>
      <c r="G26" s="3">
        <v>36634.589999999997</v>
      </c>
      <c r="H26" s="3">
        <f t="shared" si="23"/>
        <v>31.393856555849297</v>
      </c>
      <c r="I26" s="3">
        <f t="shared" si="24"/>
        <v>-4307.3300000000017</v>
      </c>
      <c r="J26" s="5">
        <f t="shared" si="25"/>
        <v>-0.10520586235330444</v>
      </c>
      <c r="K26" s="1">
        <v>45233</v>
      </c>
      <c r="L26" s="1">
        <v>45307</v>
      </c>
      <c r="M26">
        <f t="shared" si="26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2"/>
        <v>20.491040268725982</v>
      </c>
      <c r="F27" s="3">
        <v>41317.9</v>
      </c>
      <c r="G27" s="3">
        <v>42071.53</v>
      </c>
      <c r="H27" s="3">
        <f t="shared" si="23"/>
        <v>20.86479262975401</v>
      </c>
      <c r="I27" s="3">
        <f t="shared" si="24"/>
        <v>753.62999999999738</v>
      </c>
      <c r="J27" s="5">
        <f t="shared" si="25"/>
        <v>1.8239794374835056E-2</v>
      </c>
      <c r="K27" s="1">
        <v>45135</v>
      </c>
      <c r="L27" s="1">
        <v>45308</v>
      </c>
      <c r="M27">
        <f t="shared" si="26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2"/>
        <v>21.193736358158553</v>
      </c>
      <c r="F28" s="3">
        <f>28457.8+19398.39</f>
        <v>47856.19</v>
      </c>
      <c r="G28" s="3">
        <v>39178.269999999997</v>
      </c>
      <c r="H28" s="3">
        <f t="shared" si="23"/>
        <v>17.350606585036385</v>
      </c>
      <c r="I28" s="3">
        <f t="shared" si="24"/>
        <v>-8677.9200000000055</v>
      </c>
      <c r="J28" s="5">
        <f t="shared" si="25"/>
        <v>-0.18133328206863114</v>
      </c>
      <c r="K28" s="1">
        <v>45302</v>
      </c>
      <c r="L28" s="1">
        <v>45322</v>
      </c>
      <c r="M28">
        <f t="shared" si="26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2"/>
        <v>450.27964205816556</v>
      </c>
      <c r="F29" s="3">
        <v>56759.55</v>
      </c>
      <c r="G29" s="3">
        <v>54939.360000000001</v>
      </c>
      <c r="H29" s="3">
        <f t="shared" si="23"/>
        <v>435.83987814746064</v>
      </c>
      <c r="I29" s="3">
        <f t="shared" si="24"/>
        <v>-1820.1900000000023</v>
      </c>
      <c r="J29" s="5">
        <f t="shared" si="25"/>
        <v>-3.2068436060539635E-2</v>
      </c>
      <c r="K29" s="1">
        <v>45327</v>
      </c>
      <c r="L29" s="1">
        <v>45342</v>
      </c>
      <c r="M29">
        <f t="shared" si="26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2"/>
        <v>21.530005475912173</v>
      </c>
      <c r="F30" s="3">
        <v>17409.86</v>
      </c>
      <c r="G30" s="3">
        <v>28227.27</v>
      </c>
      <c r="H30" s="3">
        <f t="shared" si="23"/>
        <v>34.907418995330886</v>
      </c>
      <c r="I30" s="3">
        <f t="shared" si="24"/>
        <v>10817.41</v>
      </c>
      <c r="J30" s="5">
        <f t="shared" si="25"/>
        <v>0.62133813827336914</v>
      </c>
      <c r="K30" s="1">
        <v>45309</v>
      </c>
      <c r="L30" s="1">
        <v>45343</v>
      </c>
      <c r="M30" s="54">
        <f t="shared" si="26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2"/>
        <v>52.971341590739279</v>
      </c>
      <c r="F31" s="3">
        <v>52029.58</v>
      </c>
      <c r="G31" s="3">
        <v>47202.25</v>
      </c>
      <c r="H31" s="3">
        <f t="shared" si="23"/>
        <v>48.056634487564061</v>
      </c>
      <c r="I31" s="3">
        <f t="shared" si="24"/>
        <v>-4827.3300000000017</v>
      </c>
      <c r="J31" s="5">
        <f t="shared" si="25"/>
        <v>-9.278049140508153E-2</v>
      </c>
      <c r="K31" s="1">
        <v>45344</v>
      </c>
      <c r="L31" s="1">
        <v>45351</v>
      </c>
      <c r="M31" s="54">
        <f t="shared" si="26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2"/>
        <v>130.66998915547813</v>
      </c>
      <c r="F32" s="3">
        <v>58909.52</v>
      </c>
      <c r="G32" s="3">
        <v>55702.82</v>
      </c>
      <c r="H32" s="3">
        <f t="shared" si="23"/>
        <v>123.55705640326981</v>
      </c>
      <c r="I32" s="3">
        <f t="shared" si="24"/>
        <v>-3206.6999999999971</v>
      </c>
      <c r="J32" s="5">
        <f t="shared" si="25"/>
        <v>-5.4434325725281708E-2</v>
      </c>
      <c r="K32" s="1">
        <v>45286</v>
      </c>
      <c r="L32" s="1">
        <v>45356</v>
      </c>
      <c r="M32" s="54">
        <f t="shared" si="26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2"/>
        <v>34.902742463000052</v>
      </c>
      <c r="F33" s="3">
        <f>30020.93+21858.29</f>
        <v>51879.22</v>
      </c>
      <c r="G33" s="3">
        <v>51882.03</v>
      </c>
      <c r="H33" s="3">
        <f t="shared" si="23"/>
        <v>34.904632944513089</v>
      </c>
      <c r="I33" s="3">
        <f t="shared" si="24"/>
        <v>2.8099999999976717</v>
      </c>
      <c r="J33" s="5">
        <f t="shared" si="25"/>
        <v>5.4164268468139489E-5</v>
      </c>
      <c r="K33" s="1">
        <v>45331</v>
      </c>
      <c r="L33" s="1">
        <v>45366</v>
      </c>
      <c r="M33" s="54">
        <f t="shared" si="26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2"/>
        <v>17.884521773182534</v>
      </c>
      <c r="F34" s="3">
        <f>20288.83+19170.47</f>
        <v>39459.300000000003</v>
      </c>
      <c r="G34" s="3">
        <v>47805.42</v>
      </c>
      <c r="H34" s="3">
        <f t="shared" si="23"/>
        <v>21.667314799455028</v>
      </c>
      <c r="I34" s="3">
        <f t="shared" si="24"/>
        <v>8346.1199999999953</v>
      </c>
      <c r="J34" s="5">
        <f t="shared" si="25"/>
        <v>0.21151211501471123</v>
      </c>
      <c r="K34" s="1">
        <v>45243</v>
      </c>
      <c r="L34" s="1">
        <v>45373</v>
      </c>
      <c r="M34" s="54">
        <f t="shared" si="26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2"/>
        <v>97.201614911338325</v>
      </c>
      <c r="F35" s="3">
        <v>71279.48</v>
      </c>
      <c r="G35" s="3">
        <v>66395.73</v>
      </c>
      <c r="H35" s="3">
        <f t="shared" si="23"/>
        <v>90.541796590227548</v>
      </c>
      <c r="I35" s="3">
        <f t="shared" si="24"/>
        <v>-4883.75</v>
      </c>
      <c r="J35" s="5">
        <f t="shared" si="25"/>
        <v>-6.85155110559168E-2</v>
      </c>
      <c r="K35" s="1">
        <v>45349</v>
      </c>
      <c r="L35" s="1">
        <v>45394</v>
      </c>
      <c r="M35" s="54">
        <f t="shared" si="26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2"/>
        <v>51.760011005615979</v>
      </c>
      <c r="F36" s="3">
        <v>46654.3</v>
      </c>
      <c r="G36" s="3">
        <v>44379.95</v>
      </c>
      <c r="H36" s="3">
        <f t="shared" si="23"/>
        <v>49.23676275131524</v>
      </c>
      <c r="I36" s="3">
        <f t="shared" si="24"/>
        <v>-2274.3500000000058</v>
      </c>
      <c r="J36" s="5">
        <f t="shared" si="25"/>
        <v>-4.874898991089794E-2</v>
      </c>
      <c r="K36" s="1">
        <v>45394</v>
      </c>
      <c r="L36" s="1">
        <v>45394</v>
      </c>
      <c r="M36" s="54">
        <f t="shared" si="26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2"/>
        <v>228.36593513142583</v>
      </c>
      <c r="F37" s="3">
        <v>61166.239999999998</v>
      </c>
      <c r="G37" s="3">
        <v>81558.94</v>
      </c>
      <c r="H37" s="3">
        <f t="shared" si="23"/>
        <v>304.50267339349045</v>
      </c>
      <c r="I37" s="3">
        <f t="shared" si="24"/>
        <v>20392.700000000004</v>
      </c>
      <c r="J37" s="5">
        <f t="shared" si="25"/>
        <v>0.33339796593676518</v>
      </c>
      <c r="K37" s="1">
        <v>45238</v>
      </c>
      <c r="L37" s="1">
        <v>45397</v>
      </c>
      <c r="M37" s="54">
        <f t="shared" si="26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2"/>
        <v>131.07547316942754</v>
      </c>
      <c r="F38" s="3">
        <v>29415.63</v>
      </c>
      <c r="G38" s="3">
        <v>27481.43</v>
      </c>
      <c r="H38" s="3">
        <f t="shared" si="23"/>
        <v>122.45671571958516</v>
      </c>
      <c r="I38" s="3">
        <f t="shared" si="24"/>
        <v>-1934.2000000000007</v>
      </c>
      <c r="J38" s="5">
        <f t="shared" si="25"/>
        <v>-6.5754158588478329E-2</v>
      </c>
      <c r="K38" s="1">
        <v>45393</v>
      </c>
      <c r="L38" s="1">
        <v>45397</v>
      </c>
      <c r="M38" s="54">
        <f t="shared" si="26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2"/>
        <v>30.008099047901005</v>
      </c>
      <c r="F39" s="3">
        <v>43950.36</v>
      </c>
      <c r="G39" s="3">
        <v>49174.83</v>
      </c>
      <c r="H39" s="3">
        <f t="shared" si="23"/>
        <v>33.575223713837467</v>
      </c>
      <c r="I39" s="3">
        <f t="shared" si="24"/>
        <v>5224.4700000000012</v>
      </c>
      <c r="J39" s="5">
        <f t="shared" si="25"/>
        <v>0.11887206384657603</v>
      </c>
      <c r="K39" s="1">
        <v>45321</v>
      </c>
      <c r="L39" s="1">
        <v>45400</v>
      </c>
      <c r="M39" s="54">
        <f t="shared" si="26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2"/>
        <v>202.80010053151383</v>
      </c>
      <c r="F40" s="3">
        <v>54466.53</v>
      </c>
      <c r="G40" s="3">
        <v>57142.12</v>
      </c>
      <c r="H40" s="3">
        <f t="shared" si="23"/>
        <v>212.76236397993094</v>
      </c>
      <c r="I40" s="3">
        <f t="shared" si="24"/>
        <v>2675.5900000000038</v>
      </c>
      <c r="J40" s="5">
        <f t="shared" si="25"/>
        <v>4.912356267234215E-2</v>
      </c>
      <c r="K40" s="1">
        <v>45370</v>
      </c>
      <c r="L40" s="1">
        <v>45401</v>
      </c>
      <c r="M40" s="54">
        <f t="shared" si="26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2"/>
        <v>72.032301948546731</v>
      </c>
      <c r="F41" s="3">
        <f>38270.34+5640.4</f>
        <v>43910.74</v>
      </c>
      <c r="G41" s="3">
        <v>46906.35</v>
      </c>
      <c r="H41" s="3">
        <f t="shared" si="23"/>
        <v>76.946377275905974</v>
      </c>
      <c r="I41" s="3">
        <f t="shared" si="24"/>
        <v>2995.6100000000006</v>
      </c>
      <c r="J41" s="5">
        <f t="shared" si="25"/>
        <v>6.8220439919709858E-2</v>
      </c>
      <c r="K41" s="1">
        <v>45313</v>
      </c>
      <c r="L41" s="1">
        <v>45420</v>
      </c>
      <c r="M41" s="54">
        <f t="shared" si="26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2"/>
        <v>26.796152173251542</v>
      </c>
      <c r="F42" s="3">
        <f>36957.24+22924.55</f>
        <v>59881.789999999994</v>
      </c>
      <c r="G42" s="3">
        <v>53143.62</v>
      </c>
      <c r="H42" s="3">
        <f t="shared" si="23"/>
        <v>23.780927867344218</v>
      </c>
      <c r="I42" s="3">
        <f t="shared" si="24"/>
        <v>-6738.169999999991</v>
      </c>
      <c r="J42" s="5">
        <f t="shared" si="25"/>
        <v>-0.11252452540246362</v>
      </c>
      <c r="K42" s="1">
        <v>45421</v>
      </c>
      <c r="L42" s="1">
        <v>45441</v>
      </c>
      <c r="M42" s="54">
        <f t="shared" si="26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2"/>
        <v>21.526049990446886</v>
      </c>
      <c r="F43" s="3">
        <f>28174.78+19947.6-17409.86</f>
        <v>30712.519999999997</v>
      </c>
      <c r="G43" s="3">
        <v>80427.22</v>
      </c>
      <c r="H43" s="3">
        <f t="shared" si="23"/>
        <v>56.370508128693771</v>
      </c>
      <c r="I43" s="3">
        <f t="shared" si="24"/>
        <v>49714.700000000004</v>
      </c>
      <c r="J43" s="5">
        <f t="shared" si="25"/>
        <v>1.6187111966064658</v>
      </c>
      <c r="K43" s="1">
        <v>45309</v>
      </c>
      <c r="L43" s="1">
        <v>45447</v>
      </c>
      <c r="M43" s="54">
        <f t="shared" si="26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2"/>
        <v>119.9800324750113</v>
      </c>
      <c r="F44" s="3">
        <v>59378.55</v>
      </c>
      <c r="G44" s="3">
        <v>52305.62</v>
      </c>
      <c r="H44" s="3">
        <f t="shared" si="23"/>
        <v>105.68850176074695</v>
      </c>
      <c r="I44" s="3">
        <f t="shared" si="24"/>
        <v>-7072.93</v>
      </c>
      <c r="J44" s="5">
        <f t="shared" si="25"/>
        <v>-0.1191159097013989</v>
      </c>
      <c r="K44" s="1">
        <v>45422</v>
      </c>
      <c r="L44" s="1">
        <v>45456</v>
      </c>
      <c r="M44" s="54">
        <f t="shared" si="26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2"/>
        <v>40.121826742024723</v>
      </c>
      <c r="F45" s="3">
        <v>84857.15</v>
      </c>
      <c r="G45" s="3">
        <v>77799.8</v>
      </c>
      <c r="H45" s="3">
        <f t="shared" si="23"/>
        <v>36.784998036867556</v>
      </c>
      <c r="I45" s="3">
        <f t="shared" si="24"/>
        <v>-7057.3499999999913</v>
      </c>
      <c r="J45" s="5">
        <f t="shared" si="25"/>
        <v>-8.3167417241799796E-2</v>
      </c>
      <c r="K45" s="1">
        <v>45446</v>
      </c>
      <c r="L45" s="1">
        <v>45461</v>
      </c>
      <c r="M45" s="54">
        <f t="shared" si="26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2"/>
        <v>190.14353095648559</v>
      </c>
      <c r="F46" s="3">
        <v>58070.69</v>
      </c>
      <c r="G46" s="3">
        <v>55002.36</v>
      </c>
      <c r="H46" s="3">
        <f t="shared" si="23"/>
        <v>180.0967569240139</v>
      </c>
      <c r="I46" s="3">
        <f t="shared" si="24"/>
        <v>-3068.3300000000017</v>
      </c>
      <c r="J46" s="5">
        <f t="shared" si="25"/>
        <v>-5.2837842980684432E-2</v>
      </c>
      <c r="K46" s="1">
        <v>45460</v>
      </c>
      <c r="L46" s="1">
        <v>45478</v>
      </c>
      <c r="M46" s="54">
        <f t="shared" si="26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2"/>
        <v>151.88325953610754</v>
      </c>
      <c r="F47" s="3">
        <v>59201.71</v>
      </c>
      <c r="G47" s="3">
        <v>55840.480000000003</v>
      </c>
      <c r="H47" s="3">
        <f t="shared" si="23"/>
        <v>143.25995172201652</v>
      </c>
      <c r="I47" s="3">
        <f t="shared" si="24"/>
        <v>-3361.2299999999959</v>
      </c>
      <c r="J47" s="5">
        <f t="shared" si="25"/>
        <v>-5.6775893804418755E-2</v>
      </c>
      <c r="K47" s="1">
        <v>45440</v>
      </c>
      <c r="L47" s="1">
        <v>45482</v>
      </c>
      <c r="M47" s="54">
        <f t="shared" si="26"/>
        <v>41</v>
      </c>
      <c r="O47" t="s">
        <v>91</v>
      </c>
    </row>
    <row r="48" spans="1:15" x14ac:dyDescent="0.25">
      <c r="C48" s="26"/>
      <c r="E48" s="3"/>
      <c r="J48" s="5"/>
      <c r="K48" s="1"/>
      <c r="L48" s="1"/>
      <c r="M48" s="54"/>
    </row>
    <row r="49" spans="3:13" x14ac:dyDescent="0.25">
      <c r="C49" s="26"/>
      <c r="E49" s="3"/>
      <c r="J49" s="5"/>
      <c r="K49" s="1"/>
      <c r="L49" s="1"/>
      <c r="M49" s="54"/>
    </row>
    <row r="50" spans="3:13" x14ac:dyDescent="0.25">
      <c r="C50" s="26"/>
      <c r="E50" s="3"/>
      <c r="J50" s="5"/>
      <c r="K50" s="1"/>
      <c r="L50" s="1"/>
      <c r="M50" s="54"/>
    </row>
    <row r="51" spans="3:13" x14ac:dyDescent="0.25">
      <c r="I51" s="3">
        <f>SUM(I25:I47)</f>
        <v>38530.390000000007</v>
      </c>
      <c r="J51" s="13" t="s">
        <v>68</v>
      </c>
    </row>
    <row r="52" spans="3:13" x14ac:dyDescent="0.25">
      <c r="H52" s="3" t="s">
        <v>69</v>
      </c>
      <c r="I52" s="55">
        <v>14</v>
      </c>
      <c r="J52" s="5">
        <v>-8.2600000000000007E-2</v>
      </c>
    </row>
    <row r="53" spans="3:13" x14ac:dyDescent="0.25">
      <c r="H53" s="3" t="s">
        <v>70</v>
      </c>
      <c r="I53" s="55">
        <v>9</v>
      </c>
      <c r="J53" s="5">
        <v>0.34739999999999999</v>
      </c>
    </row>
    <row r="54" spans="3:13" x14ac:dyDescent="0.25">
      <c r="J54" s="5"/>
    </row>
    <row r="55" spans="3:13" x14ac:dyDescent="0.25">
      <c r="J55" s="5"/>
    </row>
    <row r="56" spans="3:13" x14ac:dyDescent="0.25">
      <c r="J56" s="5"/>
    </row>
    <row r="57" spans="3:13" x14ac:dyDescent="0.25">
      <c r="J57" s="5"/>
    </row>
    <row r="58" spans="3:13" x14ac:dyDescent="0.25">
      <c r="J58" s="5"/>
    </row>
    <row r="59" spans="3:13" x14ac:dyDescent="0.25">
      <c r="J59" s="5"/>
    </row>
    <row r="60" spans="3:13" x14ac:dyDescent="0.25">
      <c r="J60" s="5"/>
    </row>
    <row r="61" spans="3:13" x14ac:dyDescent="0.25">
      <c r="J61" s="5"/>
    </row>
    <row r="62" spans="3:13" x14ac:dyDescent="0.25">
      <c r="J62" s="5"/>
    </row>
    <row r="63" spans="3:13" x14ac:dyDescent="0.25">
      <c r="J63" s="5"/>
    </row>
    <row r="64" spans="3:13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24D0-33EC-42DE-88EC-A84E9E4EC687}">
  <dimension ref="A1:AE20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45492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9.36</v>
      </c>
      <c r="F7" s="3">
        <f t="shared" ref="F7:F14" si="0">E7*D7</f>
        <v>60668.884223999994</v>
      </c>
      <c r="G7" s="3">
        <f>23794.37+31996.67</f>
        <v>55791.039999999994</v>
      </c>
      <c r="H7" s="4">
        <f t="shared" ref="H7:H14" si="1">G7/D7</f>
        <v>8.6074458279458721</v>
      </c>
      <c r="I7" s="3">
        <f t="shared" ref="I7:I14" si="2">F7-G7</f>
        <v>4877.8442240000004</v>
      </c>
      <c r="J7" s="27">
        <f t="shared" ref="J7:J14" si="3">E7-H7</f>
        <v>0.75255417205412733</v>
      </c>
      <c r="K7" s="28">
        <v>45378</v>
      </c>
      <c r="L7">
        <f t="shared" ref="L7:L14" si="4">DAYS360(K7,$C$1)</f>
        <v>112</v>
      </c>
      <c r="M7" s="5">
        <f t="shared" ref="M7:M14" si="5">(I7/G7)</f>
        <v>8.7430602189885701E-2</v>
      </c>
      <c r="N7">
        <v>4</v>
      </c>
      <c r="O7">
        <v>95</v>
      </c>
      <c r="P7" s="34">
        <v>99</v>
      </c>
      <c r="Q7" s="29">
        <v>6.76</v>
      </c>
      <c r="R7" s="30">
        <f t="shared" ref="R7:R14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4" si="7">H7-(H7*0.07)</f>
        <v>8.0049246199896604</v>
      </c>
      <c r="X7" s="30">
        <v>8.75</v>
      </c>
      <c r="Y7" s="5">
        <f t="shared" ref="Y7:Y14" si="8">(X7-H7)/H7</f>
        <v>1.6561727474519328E-2</v>
      </c>
      <c r="Z7" s="6">
        <f t="shared" ref="Z7:Z14" si="9">F7/F$19</f>
        <v>8.4400275178695958E-2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74.17</v>
      </c>
      <c r="F8" s="3">
        <f t="shared" si="0"/>
        <v>61442.598591000002</v>
      </c>
      <c r="G8" s="3">
        <v>47623.59</v>
      </c>
      <c r="H8" s="4">
        <f t="shared" si="1"/>
        <v>57.488481140141687</v>
      </c>
      <c r="I8" s="3">
        <f t="shared" si="2"/>
        <v>13819.008591000005</v>
      </c>
      <c r="J8" s="27">
        <f t="shared" si="3"/>
        <v>16.681518859858315</v>
      </c>
      <c r="K8" s="28">
        <v>45378</v>
      </c>
      <c r="L8">
        <f t="shared" si="4"/>
        <v>112</v>
      </c>
      <c r="M8" s="5">
        <f t="shared" si="5"/>
        <v>0.29017150095152439</v>
      </c>
      <c r="N8">
        <v>4</v>
      </c>
      <c r="O8">
        <v>91</v>
      </c>
      <c r="P8" s="34">
        <v>97</v>
      </c>
      <c r="Q8" s="29">
        <v>70.47</v>
      </c>
      <c r="R8" s="30">
        <f t="shared" si="6"/>
        <v>65.537100000000009</v>
      </c>
      <c r="S8" s="30">
        <v>60.15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65</v>
      </c>
      <c r="Y8" s="5">
        <f t="shared" si="8"/>
        <v>0.13066128571995528</v>
      </c>
      <c r="Z8" s="6">
        <f t="shared" si="9"/>
        <v>8.5476637573023276E-2</v>
      </c>
      <c r="AB8" s="31">
        <v>45504</v>
      </c>
      <c r="AC8" s="9">
        <v>99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165.77</v>
      </c>
      <c r="F9" s="3">
        <f t="shared" si="0"/>
        <v>64725.112001000001</v>
      </c>
      <c r="G9" s="3">
        <v>58706.59</v>
      </c>
      <c r="H9" s="4">
        <f t="shared" si="1"/>
        <v>150.35572938289613</v>
      </c>
      <c r="I9" s="3">
        <f t="shared" si="2"/>
        <v>6018.5220010000048</v>
      </c>
      <c r="J9" s="27">
        <f t="shared" si="3"/>
        <v>15.414270617103881</v>
      </c>
      <c r="K9" s="28">
        <v>45426</v>
      </c>
      <c r="L9">
        <f t="shared" si="4"/>
        <v>65</v>
      </c>
      <c r="M9" s="5">
        <f t="shared" si="5"/>
        <v>0.10251867807344976</v>
      </c>
      <c r="N9">
        <v>74</v>
      </c>
      <c r="O9">
        <v>95</v>
      </c>
      <c r="P9" s="34">
        <v>93</v>
      </c>
      <c r="Q9" s="29">
        <v>148.43</v>
      </c>
      <c r="R9" s="30">
        <f t="shared" si="6"/>
        <v>138.03990000000002</v>
      </c>
      <c r="S9" s="30">
        <v>125.78</v>
      </c>
      <c r="T9" s="29">
        <f>Q9*1.25</f>
        <v>185.53750000000002</v>
      </c>
      <c r="U9" s="29">
        <f>Q9*1.5</f>
        <v>222.64500000000001</v>
      </c>
      <c r="V9" s="29">
        <f>Q9*2</f>
        <v>296.86</v>
      </c>
      <c r="W9" s="29">
        <f t="shared" si="7"/>
        <v>139.83082832609341</v>
      </c>
      <c r="X9" s="30">
        <v>169</v>
      </c>
      <c r="Y9" s="5">
        <f t="shared" si="8"/>
        <v>0.1240010652977802</v>
      </c>
      <c r="Z9" s="6">
        <f t="shared" si="9"/>
        <v>9.0043147055196407E-2</v>
      </c>
      <c r="AB9" s="31">
        <v>45582</v>
      </c>
      <c r="AC9" s="9">
        <v>96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29.75</v>
      </c>
      <c r="F10" s="3">
        <f t="shared" si="0"/>
        <v>73616.928350000002</v>
      </c>
      <c r="G10" s="3">
        <f>44039.07+27471.43</f>
        <v>71510.5</v>
      </c>
      <c r="H10" s="4">
        <f t="shared" si="1"/>
        <v>28.898752266400425</v>
      </c>
      <c r="I10" s="3">
        <f t="shared" si="2"/>
        <v>2106.428350000002</v>
      </c>
      <c r="J10" s="27">
        <f t="shared" si="3"/>
        <v>0.85124773359957473</v>
      </c>
      <c r="K10" s="28">
        <v>45426</v>
      </c>
      <c r="L10">
        <f t="shared" si="4"/>
        <v>65</v>
      </c>
      <c r="M10" s="5">
        <f t="shared" si="5"/>
        <v>2.9456210626411534E-2</v>
      </c>
      <c r="N10">
        <v>28</v>
      </c>
      <c r="O10">
        <v>97</v>
      </c>
      <c r="P10" s="34">
        <v>73</v>
      </c>
      <c r="Q10" s="29">
        <v>27.47</v>
      </c>
      <c r="R10" s="30">
        <f t="shared" si="6"/>
        <v>25.5471</v>
      </c>
      <c r="S10" s="30">
        <v>25.73</v>
      </c>
      <c r="T10" s="32">
        <f>Q10*1.25</f>
        <v>34.337499999999999</v>
      </c>
      <c r="U10" s="29">
        <f>Q10*1.5</f>
        <v>41.204999999999998</v>
      </c>
      <c r="V10" s="29">
        <f>Q10*2</f>
        <v>54.94</v>
      </c>
      <c r="W10" s="29">
        <f t="shared" si="7"/>
        <v>26.875839607752397</v>
      </c>
      <c r="X10" s="30">
        <v>27</v>
      </c>
      <c r="Y10" s="5">
        <f t="shared" si="8"/>
        <v>-6.570360716258461E-2</v>
      </c>
      <c r="Z10" s="6">
        <f t="shared" si="9"/>
        <v>0.10241310830128025</v>
      </c>
      <c r="AB10" s="31">
        <v>45512</v>
      </c>
      <c r="AC10" s="9">
        <v>98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f>940.668-261.2893</f>
        <v>679.37869999999998</v>
      </c>
      <c r="E11" s="27">
        <v>117.93</v>
      </c>
      <c r="F11" s="3">
        <f t="shared" si="0"/>
        <v>80119.130090999999</v>
      </c>
      <c r="G11" s="3">
        <f>88627.87-24618.68</f>
        <v>64009.189999999995</v>
      </c>
      <c r="H11" s="4">
        <f t="shared" si="1"/>
        <v>94.217245845358406</v>
      </c>
      <c r="I11" s="3">
        <f t="shared" si="2"/>
        <v>16109.940091000004</v>
      </c>
      <c r="J11" s="27">
        <f t="shared" si="3"/>
        <v>23.712754154641601</v>
      </c>
      <c r="K11" s="28">
        <v>45427</v>
      </c>
      <c r="L11">
        <f t="shared" si="4"/>
        <v>64</v>
      </c>
      <c r="M11" s="5">
        <f t="shared" si="5"/>
        <v>0.25168167400649821</v>
      </c>
      <c r="N11">
        <v>13</v>
      </c>
      <c r="O11">
        <v>98</v>
      </c>
      <c r="P11" s="34">
        <v>99</v>
      </c>
      <c r="Q11" s="29">
        <v>922.2</v>
      </c>
      <c r="R11" s="30">
        <f t="shared" si="6"/>
        <v>857.64600000000007</v>
      </c>
      <c r="S11" s="30">
        <v>812.55</v>
      </c>
      <c r="T11" s="32">
        <v>115.28</v>
      </c>
      <c r="U11" s="29">
        <v>138.33000000000001</v>
      </c>
      <c r="V11" s="29">
        <v>184.44</v>
      </c>
      <c r="W11" s="29">
        <f t="shared" si="7"/>
        <v>87.622038636183319</v>
      </c>
      <c r="X11" s="30">
        <v>118</v>
      </c>
      <c r="Y11" s="5">
        <f t="shared" si="8"/>
        <v>0.25242463777466967</v>
      </c>
      <c r="Z11" s="6">
        <f t="shared" si="9"/>
        <v>0.111458727373185</v>
      </c>
      <c r="AB11" s="31">
        <v>45532</v>
      </c>
      <c r="AC11" s="9">
        <v>99</v>
      </c>
    </row>
    <row r="12" spans="1:31" x14ac:dyDescent="0.25">
      <c r="A12" t="s">
        <v>146</v>
      </c>
      <c r="B12" t="s">
        <v>33</v>
      </c>
      <c r="C12" s="26" t="s">
        <v>147</v>
      </c>
      <c r="D12" s="2">
        <v>341.96359999999999</v>
      </c>
      <c r="E12" s="27">
        <v>224.31</v>
      </c>
      <c r="F12" s="3">
        <f t="shared" si="0"/>
        <v>76705.855115999992</v>
      </c>
      <c r="G12" s="3">
        <v>72116.02</v>
      </c>
      <c r="H12" s="4">
        <f t="shared" si="1"/>
        <v>210.88800094512985</v>
      </c>
      <c r="I12" s="3">
        <f t="shared" si="2"/>
        <v>4589.8351159999875</v>
      </c>
      <c r="J12" s="27">
        <f t="shared" si="3"/>
        <v>13.421999054870156</v>
      </c>
      <c r="K12" s="28">
        <v>45464</v>
      </c>
      <c r="L12">
        <f t="shared" si="4"/>
        <v>28</v>
      </c>
      <c r="M12" s="5">
        <f t="shared" si="5"/>
        <v>6.364515285230643E-2</v>
      </c>
      <c r="N12">
        <v>65</v>
      </c>
      <c r="O12">
        <v>87</v>
      </c>
      <c r="P12" s="34">
        <v>87</v>
      </c>
      <c r="Q12" s="29">
        <v>199.62</v>
      </c>
      <c r="R12" s="30">
        <f t="shared" si="6"/>
        <v>185.64660000000001</v>
      </c>
      <c r="S12" s="30">
        <v>192.15</v>
      </c>
      <c r="T12" s="32">
        <f>Q12*1.25</f>
        <v>249.52500000000001</v>
      </c>
      <c r="U12" s="29">
        <f>Q12*1.5</f>
        <v>299.43</v>
      </c>
      <c r="V12" s="29">
        <f>Q12*2</f>
        <v>399.24</v>
      </c>
      <c r="W12" s="29">
        <f t="shared" si="7"/>
        <v>196.12584087897076</v>
      </c>
      <c r="X12" s="30">
        <v>210</v>
      </c>
      <c r="Y12" s="5">
        <f t="shared" si="8"/>
        <v>-4.2107703669726181E-3</v>
      </c>
      <c r="Z12" s="33">
        <f t="shared" si="9"/>
        <v>0.10671030730851212</v>
      </c>
      <c r="AA12" s="9"/>
      <c r="AB12" s="31">
        <v>45505</v>
      </c>
      <c r="AC12" s="9">
        <v>85</v>
      </c>
    </row>
    <row r="13" spans="1:31" x14ac:dyDescent="0.25">
      <c r="A13" t="s">
        <v>148</v>
      </c>
      <c r="B13" t="s">
        <v>33</v>
      </c>
      <c r="C13" s="26" t="s">
        <v>149</v>
      </c>
      <c r="D13" s="2">
        <v>1873.41</v>
      </c>
      <c r="E13" s="27">
        <v>28.58</v>
      </c>
      <c r="F13" s="3">
        <f t="shared" si="0"/>
        <v>53542.057800000002</v>
      </c>
      <c r="G13" s="3">
        <v>50873.97</v>
      </c>
      <c r="H13" s="4">
        <f t="shared" si="1"/>
        <v>27.155812128685124</v>
      </c>
      <c r="I13" s="3">
        <f t="shared" si="2"/>
        <v>2668.0878000000012</v>
      </c>
      <c r="J13" s="27">
        <f t="shared" si="3"/>
        <v>1.4241878713148743</v>
      </c>
      <c r="K13" s="28">
        <v>45478</v>
      </c>
      <c r="L13">
        <f t="shared" si="4"/>
        <v>14</v>
      </c>
      <c r="M13" s="5">
        <f t="shared" si="5"/>
        <v>5.2445048027507997E-2</v>
      </c>
      <c r="N13">
        <v>157</v>
      </c>
      <c r="O13">
        <v>96</v>
      </c>
      <c r="P13" s="34">
        <v>95</v>
      </c>
      <c r="Q13" s="29">
        <v>26.57</v>
      </c>
      <c r="R13" s="30">
        <f t="shared" si="6"/>
        <v>24.710100000000001</v>
      </c>
      <c r="S13" s="30">
        <v>23.3</v>
      </c>
      <c r="T13" s="29">
        <f>Q13*1.25</f>
        <v>33.212499999999999</v>
      </c>
      <c r="U13" s="29">
        <f>Q13*1.5</f>
        <v>39.855000000000004</v>
      </c>
      <c r="V13" s="29">
        <f>Q13*2</f>
        <v>53.14</v>
      </c>
      <c r="W13" s="29">
        <f t="shared" si="7"/>
        <v>25.254905279677164</v>
      </c>
      <c r="X13" s="30">
        <v>26</v>
      </c>
      <c r="Y13" s="5">
        <f t="shared" si="8"/>
        <v>-4.2562237623680603E-2</v>
      </c>
      <c r="Z13" s="6">
        <f t="shared" si="9"/>
        <v>7.4485701686367728E-2</v>
      </c>
      <c r="AB13" s="31">
        <v>45509</v>
      </c>
      <c r="AC13" s="9">
        <v>98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44839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>Q14*1.25</f>
        <v>0</v>
      </c>
      <c r="U14" s="29">
        <f>Q14*1.5</f>
        <v>0</v>
      </c>
      <c r="V14" s="29">
        <f>Q14*2</f>
        <v>0</v>
      </c>
      <c r="W14" s="29" t="e">
        <f t="shared" si="7"/>
        <v>#DIV/0!</v>
      </c>
      <c r="X14" s="30"/>
      <c r="Y14" s="5" t="e">
        <f t="shared" si="8"/>
        <v>#DIV/0!</v>
      </c>
      <c r="Z14" s="6">
        <f t="shared" si="9"/>
        <v>0</v>
      </c>
      <c r="AB14" s="31"/>
      <c r="AC14" s="9"/>
    </row>
    <row r="15" spans="1:31" x14ac:dyDescent="0.25">
      <c r="C15" s="26"/>
      <c r="E15" s="27"/>
      <c r="F15" s="3">
        <f t="shared" ref="F15:F16" si="10">E15*D15</f>
        <v>0</v>
      </c>
      <c r="H15" s="4" t="e">
        <f t="shared" ref="H15:H16" si="11">G15/D15</f>
        <v>#DIV/0!</v>
      </c>
      <c r="I15" s="3">
        <f t="shared" ref="I15:I16" si="12">F15-G15</f>
        <v>0</v>
      </c>
      <c r="J15" s="27" t="e">
        <f t="shared" ref="J15:J16" si="13">E15-H15</f>
        <v>#DIV/0!</v>
      </c>
      <c r="K15" s="28"/>
      <c r="L15">
        <f t="shared" ref="L15" si="14">DAYS360(K15,$C$1)</f>
        <v>44839</v>
      </c>
      <c r="M15" s="5" t="e">
        <f t="shared" ref="M15:M16" si="15">(I15/G15)</f>
        <v>#DIV/0!</v>
      </c>
      <c r="P15" s="34"/>
      <c r="Q15" s="29"/>
      <c r="R15" s="30">
        <f t="shared" ref="R15:R16" si="16">Q15*0.93</f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ref="W15:W16" si="17">H15-(H15*0.07)</f>
        <v>#DIV/0!</v>
      </c>
      <c r="X15" s="30"/>
      <c r="Y15" s="5" t="e">
        <f t="shared" ref="Y15:Y16" si="18">(X15-H15)/H15</f>
        <v>#DIV/0!</v>
      </c>
      <c r="Z15" s="33">
        <f t="shared" ref="Z15:Z16" si="19">F15/F$19</f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91.64</v>
      </c>
      <c r="F16" s="57">
        <f t="shared" si="10"/>
        <v>33330.732631999999</v>
      </c>
      <c r="G16" s="38">
        <v>33268.9</v>
      </c>
      <c r="H16" s="39">
        <f t="shared" si="11"/>
        <v>91.469996464252944</v>
      </c>
      <c r="I16" s="38">
        <f t="shared" si="12"/>
        <v>61.83263199999783</v>
      </c>
      <c r="J16" s="37">
        <f t="shared" si="13"/>
        <v>0.17000353574705684</v>
      </c>
      <c r="K16" s="40"/>
      <c r="L16" s="35"/>
      <c r="M16" s="41">
        <f t="shared" si="15"/>
        <v>1.8585715788618747E-3</v>
      </c>
      <c r="N16" s="35"/>
      <c r="O16" s="35"/>
      <c r="P16" s="35"/>
      <c r="Q16" s="42"/>
      <c r="R16" s="43">
        <f t="shared" si="16"/>
        <v>0</v>
      </c>
      <c r="S16" s="43"/>
      <c r="T16" s="42">
        <f t="shared" ref="T16" si="20">Q16*1.25</f>
        <v>0</v>
      </c>
      <c r="U16" s="42">
        <f t="shared" ref="U16" si="21">Q16*1.5</f>
        <v>0</v>
      </c>
      <c r="V16" s="42">
        <f t="shared" ref="V16" si="22">Q16*2</f>
        <v>0</v>
      </c>
      <c r="W16" s="42">
        <f t="shared" si="17"/>
        <v>85.067096711755241</v>
      </c>
      <c r="X16" s="43"/>
      <c r="Y16" s="41">
        <f t="shared" si="18"/>
        <v>-1</v>
      </c>
      <c r="Z16" s="44">
        <f t="shared" si="19"/>
        <v>4.6368464527249346E-2</v>
      </c>
      <c r="AB16" s="31"/>
      <c r="AC16" s="9"/>
    </row>
    <row r="17" spans="1:26" x14ac:dyDescent="0.25">
      <c r="A17" t="s">
        <v>53</v>
      </c>
      <c r="F17" s="3">
        <f>SUM(F6:F16)</f>
        <v>504151.29880500003</v>
      </c>
      <c r="G17" s="3">
        <f>SUM(G6:G16)</f>
        <v>453899.80000000005</v>
      </c>
      <c r="H17" s="4"/>
      <c r="I17" s="3">
        <f>SUM(I6:I16)</f>
        <v>50251.498805000003</v>
      </c>
      <c r="M17" s="5"/>
      <c r="Z17" s="6"/>
    </row>
    <row r="18" spans="1:26" x14ac:dyDescent="0.25">
      <c r="D18" s="2" t="s">
        <v>54</v>
      </c>
      <c r="F18" s="3">
        <v>214672</v>
      </c>
      <c r="G18" s="6">
        <f>F18/F19</f>
        <v>0.29864363099648988</v>
      </c>
      <c r="H18" s="4"/>
      <c r="M18" s="5"/>
      <c r="Z18" s="6"/>
    </row>
    <row r="19" spans="1:26" x14ac:dyDescent="0.25">
      <c r="D19" s="2" t="s">
        <v>55</v>
      </c>
      <c r="F19" s="3">
        <f>SUM(F17:F18)</f>
        <v>718823.29880500003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'07-12-24'!F19</f>
        <v>746980.43964</v>
      </c>
      <c r="K20" s="1">
        <v>45291</v>
      </c>
      <c r="L20" s="47">
        <v>139707.06</v>
      </c>
      <c r="M20" s="47">
        <v>163479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-3.7694616004362885E-2</v>
      </c>
      <c r="K21" s="9" t="s">
        <v>58</v>
      </c>
      <c r="L21" s="6">
        <f>(M20-L20)/L20</f>
        <v>0.17015560988829057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9" si="23">F25/D25</f>
        <v>47.428061535569462</v>
      </c>
      <c r="F25" s="3">
        <v>38349.050000000003</v>
      </c>
      <c r="G25" s="3">
        <v>35186.18</v>
      </c>
      <c r="H25" s="3">
        <f t="shared" ref="H25:H47" si="24">G25/D25</f>
        <v>43.516392459307944</v>
      </c>
      <c r="I25" s="3">
        <f t="shared" ref="I25:I47" si="25">G25-F25</f>
        <v>-3162.8700000000026</v>
      </c>
      <c r="J25" s="5">
        <f t="shared" ref="J25:J47" si="26">I25/F25</f>
        <v>-8.2475837080710018E-2</v>
      </c>
      <c r="K25" s="1">
        <v>45286</v>
      </c>
      <c r="L25" s="1">
        <v>45302</v>
      </c>
      <c r="M25">
        <f t="shared" ref="M25:M49" si="2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3"/>
        <v>35.085004734625322</v>
      </c>
      <c r="F26" s="3">
        <v>40941.919999999998</v>
      </c>
      <c r="G26" s="3">
        <v>36634.589999999997</v>
      </c>
      <c r="H26" s="3">
        <f t="shared" si="24"/>
        <v>31.393856555849297</v>
      </c>
      <c r="I26" s="3">
        <f t="shared" si="25"/>
        <v>-4307.3300000000017</v>
      </c>
      <c r="J26" s="5">
        <f t="shared" si="26"/>
        <v>-0.10520586235330444</v>
      </c>
      <c r="K26" s="1">
        <v>45233</v>
      </c>
      <c r="L26" s="1">
        <v>45307</v>
      </c>
      <c r="M26">
        <f t="shared" si="2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3"/>
        <v>20.491040268725982</v>
      </c>
      <c r="F27" s="3">
        <v>41317.9</v>
      </c>
      <c r="G27" s="3">
        <v>42071.53</v>
      </c>
      <c r="H27" s="3">
        <f t="shared" si="24"/>
        <v>20.86479262975401</v>
      </c>
      <c r="I27" s="3">
        <f t="shared" si="25"/>
        <v>753.62999999999738</v>
      </c>
      <c r="J27" s="5">
        <f t="shared" si="26"/>
        <v>1.8239794374835056E-2</v>
      </c>
      <c r="K27" s="1">
        <v>45135</v>
      </c>
      <c r="L27" s="1">
        <v>45308</v>
      </c>
      <c r="M27">
        <f t="shared" si="2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3"/>
        <v>21.193736358158553</v>
      </c>
      <c r="F28" s="3">
        <f>28457.8+19398.39</f>
        <v>47856.19</v>
      </c>
      <c r="G28" s="3">
        <v>39178.269999999997</v>
      </c>
      <c r="H28" s="3">
        <f t="shared" si="24"/>
        <v>17.350606585036385</v>
      </c>
      <c r="I28" s="3">
        <f t="shared" si="25"/>
        <v>-8677.9200000000055</v>
      </c>
      <c r="J28" s="5">
        <f t="shared" si="26"/>
        <v>-0.18133328206863114</v>
      </c>
      <c r="K28" s="1">
        <v>45302</v>
      </c>
      <c r="L28" s="1">
        <v>45322</v>
      </c>
      <c r="M28">
        <f t="shared" si="2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3"/>
        <v>450.27964205816556</v>
      </c>
      <c r="F29" s="3">
        <v>56759.55</v>
      </c>
      <c r="G29" s="3">
        <v>54939.360000000001</v>
      </c>
      <c r="H29" s="3">
        <f t="shared" si="24"/>
        <v>435.83987814746064</v>
      </c>
      <c r="I29" s="3">
        <f t="shared" si="25"/>
        <v>-1820.1900000000023</v>
      </c>
      <c r="J29" s="5">
        <f t="shared" si="26"/>
        <v>-3.2068436060539635E-2</v>
      </c>
      <c r="K29" s="1">
        <v>45327</v>
      </c>
      <c r="L29" s="1">
        <v>45342</v>
      </c>
      <c r="M29">
        <f t="shared" si="2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3"/>
        <v>21.530005475912173</v>
      </c>
      <c r="F30" s="3">
        <v>17409.86</v>
      </c>
      <c r="G30" s="3">
        <v>28227.27</v>
      </c>
      <c r="H30" s="3">
        <f t="shared" si="24"/>
        <v>34.907418995330886</v>
      </c>
      <c r="I30" s="3">
        <f t="shared" si="25"/>
        <v>10817.41</v>
      </c>
      <c r="J30" s="5">
        <f t="shared" si="26"/>
        <v>0.62133813827336914</v>
      </c>
      <c r="K30" s="1">
        <v>45309</v>
      </c>
      <c r="L30" s="1">
        <v>45343</v>
      </c>
      <c r="M30" s="54">
        <f t="shared" si="2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3"/>
        <v>52.971341590739279</v>
      </c>
      <c r="F31" s="3">
        <v>52029.58</v>
      </c>
      <c r="G31" s="3">
        <v>47202.25</v>
      </c>
      <c r="H31" s="3">
        <f t="shared" si="24"/>
        <v>48.056634487564061</v>
      </c>
      <c r="I31" s="3">
        <f t="shared" si="25"/>
        <v>-4827.3300000000017</v>
      </c>
      <c r="J31" s="5">
        <f t="shared" si="26"/>
        <v>-9.278049140508153E-2</v>
      </c>
      <c r="K31" s="1">
        <v>45344</v>
      </c>
      <c r="L31" s="1">
        <v>45351</v>
      </c>
      <c r="M31" s="54">
        <f t="shared" si="2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3"/>
        <v>130.66998915547813</v>
      </c>
      <c r="F32" s="3">
        <v>58909.52</v>
      </c>
      <c r="G32" s="3">
        <v>55702.82</v>
      </c>
      <c r="H32" s="3">
        <f t="shared" si="24"/>
        <v>123.55705640326981</v>
      </c>
      <c r="I32" s="3">
        <f t="shared" si="25"/>
        <v>-3206.6999999999971</v>
      </c>
      <c r="J32" s="5">
        <f t="shared" si="26"/>
        <v>-5.4434325725281708E-2</v>
      </c>
      <c r="K32" s="1">
        <v>45286</v>
      </c>
      <c r="L32" s="1">
        <v>45356</v>
      </c>
      <c r="M32" s="54">
        <f t="shared" si="2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3"/>
        <v>34.902742463000052</v>
      </c>
      <c r="F33" s="3">
        <f>30020.93+21858.29</f>
        <v>51879.22</v>
      </c>
      <c r="G33" s="3">
        <v>51882.03</v>
      </c>
      <c r="H33" s="3">
        <f t="shared" si="24"/>
        <v>34.904632944513089</v>
      </c>
      <c r="I33" s="3">
        <f t="shared" si="25"/>
        <v>2.8099999999976717</v>
      </c>
      <c r="J33" s="5">
        <f t="shared" si="26"/>
        <v>5.4164268468139489E-5</v>
      </c>
      <c r="K33" s="1">
        <v>45331</v>
      </c>
      <c r="L33" s="1">
        <v>45366</v>
      </c>
      <c r="M33" s="54">
        <f t="shared" si="2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3"/>
        <v>17.884521773182534</v>
      </c>
      <c r="F34" s="3">
        <f>20288.83+19170.47</f>
        <v>39459.300000000003</v>
      </c>
      <c r="G34" s="3">
        <v>47805.42</v>
      </c>
      <c r="H34" s="3">
        <f t="shared" si="24"/>
        <v>21.667314799455028</v>
      </c>
      <c r="I34" s="3">
        <f t="shared" si="25"/>
        <v>8346.1199999999953</v>
      </c>
      <c r="J34" s="5">
        <f t="shared" si="26"/>
        <v>0.21151211501471123</v>
      </c>
      <c r="K34" s="1">
        <v>45243</v>
      </c>
      <c r="L34" s="1">
        <v>45373</v>
      </c>
      <c r="M34" s="54">
        <f t="shared" si="2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3"/>
        <v>97.201614911338325</v>
      </c>
      <c r="F35" s="3">
        <v>71279.48</v>
      </c>
      <c r="G35" s="3">
        <v>66395.73</v>
      </c>
      <c r="H35" s="3">
        <f t="shared" si="24"/>
        <v>90.541796590227548</v>
      </c>
      <c r="I35" s="3">
        <f t="shared" si="25"/>
        <v>-4883.75</v>
      </c>
      <c r="J35" s="5">
        <f t="shared" si="26"/>
        <v>-6.85155110559168E-2</v>
      </c>
      <c r="K35" s="1">
        <v>45349</v>
      </c>
      <c r="L35" s="1">
        <v>45394</v>
      </c>
      <c r="M35" s="54">
        <f t="shared" si="2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3"/>
        <v>51.760011005615979</v>
      </c>
      <c r="F36" s="3">
        <v>46654.3</v>
      </c>
      <c r="G36" s="3">
        <v>44379.95</v>
      </c>
      <c r="H36" s="3">
        <f t="shared" si="24"/>
        <v>49.23676275131524</v>
      </c>
      <c r="I36" s="3">
        <f t="shared" si="25"/>
        <v>-2274.3500000000058</v>
      </c>
      <c r="J36" s="5">
        <f t="shared" si="26"/>
        <v>-4.874898991089794E-2</v>
      </c>
      <c r="K36" s="1">
        <v>45394</v>
      </c>
      <c r="L36" s="1">
        <v>45394</v>
      </c>
      <c r="M36" s="54">
        <f t="shared" si="2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3"/>
        <v>228.36593513142583</v>
      </c>
      <c r="F37" s="3">
        <v>61166.239999999998</v>
      </c>
      <c r="G37" s="3">
        <v>81558.94</v>
      </c>
      <c r="H37" s="3">
        <f t="shared" si="24"/>
        <v>304.50267339349045</v>
      </c>
      <c r="I37" s="3">
        <f t="shared" si="25"/>
        <v>20392.700000000004</v>
      </c>
      <c r="J37" s="5">
        <f t="shared" si="26"/>
        <v>0.33339796593676518</v>
      </c>
      <c r="K37" s="1">
        <v>45238</v>
      </c>
      <c r="L37" s="1">
        <v>45397</v>
      </c>
      <c r="M37" s="54">
        <f t="shared" si="2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3"/>
        <v>131.07547316942754</v>
      </c>
      <c r="F38" s="3">
        <v>29415.63</v>
      </c>
      <c r="G38" s="3">
        <v>27481.43</v>
      </c>
      <c r="H38" s="3">
        <f t="shared" si="24"/>
        <v>122.45671571958516</v>
      </c>
      <c r="I38" s="3">
        <f t="shared" si="25"/>
        <v>-1934.2000000000007</v>
      </c>
      <c r="J38" s="5">
        <f t="shared" si="26"/>
        <v>-6.5754158588478329E-2</v>
      </c>
      <c r="K38" s="1">
        <v>45393</v>
      </c>
      <c r="L38" s="1">
        <v>45397</v>
      </c>
      <c r="M38" s="54">
        <f t="shared" si="2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3"/>
        <v>30.008099047901005</v>
      </c>
      <c r="F39" s="3">
        <v>43950.36</v>
      </c>
      <c r="G39" s="3">
        <v>49174.83</v>
      </c>
      <c r="H39" s="3">
        <f t="shared" si="24"/>
        <v>33.575223713837467</v>
      </c>
      <c r="I39" s="3">
        <f t="shared" si="25"/>
        <v>5224.4700000000012</v>
      </c>
      <c r="J39" s="5">
        <f t="shared" si="26"/>
        <v>0.11887206384657603</v>
      </c>
      <c r="K39" s="1">
        <v>45321</v>
      </c>
      <c r="L39" s="1">
        <v>45400</v>
      </c>
      <c r="M39" s="54">
        <f t="shared" si="2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3"/>
        <v>202.80010053151383</v>
      </c>
      <c r="F40" s="3">
        <v>54466.53</v>
      </c>
      <c r="G40" s="3">
        <v>57142.12</v>
      </c>
      <c r="H40" s="3">
        <f t="shared" si="24"/>
        <v>212.76236397993094</v>
      </c>
      <c r="I40" s="3">
        <f t="shared" si="25"/>
        <v>2675.5900000000038</v>
      </c>
      <c r="J40" s="5">
        <f t="shared" si="26"/>
        <v>4.912356267234215E-2</v>
      </c>
      <c r="K40" s="1">
        <v>45370</v>
      </c>
      <c r="L40" s="1">
        <v>45401</v>
      </c>
      <c r="M40" s="54">
        <f t="shared" si="2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3"/>
        <v>72.032301948546731</v>
      </c>
      <c r="F41" s="3">
        <f>38270.34+5640.4</f>
        <v>43910.74</v>
      </c>
      <c r="G41" s="3">
        <v>46906.35</v>
      </c>
      <c r="H41" s="3">
        <f t="shared" si="24"/>
        <v>76.946377275905974</v>
      </c>
      <c r="I41" s="3">
        <f t="shared" si="25"/>
        <v>2995.6100000000006</v>
      </c>
      <c r="J41" s="5">
        <f t="shared" si="26"/>
        <v>6.8220439919709858E-2</v>
      </c>
      <c r="K41" s="1">
        <v>45313</v>
      </c>
      <c r="L41" s="1">
        <v>45420</v>
      </c>
      <c r="M41" s="54">
        <f t="shared" si="2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3"/>
        <v>26.796152173251542</v>
      </c>
      <c r="F42" s="3">
        <f>36957.24+22924.55</f>
        <v>59881.789999999994</v>
      </c>
      <c r="G42" s="3">
        <v>53143.62</v>
      </c>
      <c r="H42" s="3">
        <f t="shared" si="24"/>
        <v>23.780927867344218</v>
      </c>
      <c r="I42" s="3">
        <f t="shared" si="25"/>
        <v>-6738.169999999991</v>
      </c>
      <c r="J42" s="5">
        <f t="shared" si="26"/>
        <v>-0.11252452540246362</v>
      </c>
      <c r="K42" s="1">
        <v>45421</v>
      </c>
      <c r="L42" s="1">
        <v>45441</v>
      </c>
      <c r="M42" s="54">
        <f t="shared" si="2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3"/>
        <v>21.526049990446886</v>
      </c>
      <c r="F43" s="3">
        <f>28174.78+19947.6-17409.86</f>
        <v>30712.519999999997</v>
      </c>
      <c r="G43" s="3">
        <v>80427.22</v>
      </c>
      <c r="H43" s="3">
        <f t="shared" si="24"/>
        <v>56.370508128693771</v>
      </c>
      <c r="I43" s="3">
        <f t="shared" si="25"/>
        <v>49714.700000000004</v>
      </c>
      <c r="J43" s="5">
        <f t="shared" si="26"/>
        <v>1.6187111966064658</v>
      </c>
      <c r="K43" s="1">
        <v>45309</v>
      </c>
      <c r="L43" s="1">
        <v>45447</v>
      </c>
      <c r="M43" s="54">
        <f t="shared" si="2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3"/>
        <v>119.9800324750113</v>
      </c>
      <c r="F44" s="3">
        <v>59378.55</v>
      </c>
      <c r="G44" s="3">
        <v>52305.62</v>
      </c>
      <c r="H44" s="3">
        <f t="shared" si="24"/>
        <v>105.68850176074695</v>
      </c>
      <c r="I44" s="3">
        <f t="shared" si="25"/>
        <v>-7072.93</v>
      </c>
      <c r="J44" s="5">
        <f t="shared" si="26"/>
        <v>-0.1191159097013989</v>
      </c>
      <c r="K44" s="1">
        <v>45422</v>
      </c>
      <c r="L44" s="1">
        <v>45456</v>
      </c>
      <c r="M44" s="54">
        <f t="shared" si="2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3"/>
        <v>40.121826742024723</v>
      </c>
      <c r="F45" s="3">
        <v>84857.15</v>
      </c>
      <c r="G45" s="3">
        <v>77799.8</v>
      </c>
      <c r="H45" s="3">
        <f t="shared" si="24"/>
        <v>36.784998036867556</v>
      </c>
      <c r="I45" s="3">
        <f t="shared" si="25"/>
        <v>-7057.3499999999913</v>
      </c>
      <c r="J45" s="5">
        <f t="shared" si="26"/>
        <v>-8.3167417241799796E-2</v>
      </c>
      <c r="K45" s="1">
        <v>45446</v>
      </c>
      <c r="L45" s="1">
        <v>45461</v>
      </c>
      <c r="M45" s="54">
        <f t="shared" si="2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3"/>
        <v>190.14353095648559</v>
      </c>
      <c r="F46" s="3">
        <v>58070.69</v>
      </c>
      <c r="G46" s="3">
        <v>55002.36</v>
      </c>
      <c r="H46" s="3">
        <f t="shared" si="24"/>
        <v>180.0967569240139</v>
      </c>
      <c r="I46" s="3">
        <f t="shared" si="25"/>
        <v>-3068.3300000000017</v>
      </c>
      <c r="J46" s="5">
        <f t="shared" si="26"/>
        <v>-5.2837842980684432E-2</v>
      </c>
      <c r="K46" s="1">
        <v>45460</v>
      </c>
      <c r="L46" s="1">
        <v>45478</v>
      </c>
      <c r="M46" s="54">
        <f t="shared" si="2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3"/>
        <v>151.88325953610754</v>
      </c>
      <c r="F47" s="3">
        <v>59201.71</v>
      </c>
      <c r="G47" s="3">
        <v>55840.480000000003</v>
      </c>
      <c r="H47" s="3">
        <f t="shared" si="24"/>
        <v>143.25995172201652</v>
      </c>
      <c r="I47" s="3">
        <f t="shared" si="25"/>
        <v>-3361.2299999999959</v>
      </c>
      <c r="J47" s="5">
        <f t="shared" si="26"/>
        <v>-5.6775893804418755E-2</v>
      </c>
      <c r="K47" s="1">
        <v>45440</v>
      </c>
      <c r="L47" s="1">
        <v>45482</v>
      </c>
      <c r="M47" s="54">
        <f t="shared" si="2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23"/>
        <v>210.8544352001625</v>
      </c>
      <c r="F48" s="3">
        <v>58138.05</v>
      </c>
      <c r="G48" s="3">
        <v>51919.61</v>
      </c>
      <c r="H48" s="3">
        <f t="shared" ref="H48:H49" si="28">G48/D48</f>
        <v>188.30146594807889</v>
      </c>
      <c r="I48" s="3">
        <f t="shared" ref="I48:I49" si="29">G48-F48</f>
        <v>-6218.4400000000023</v>
      </c>
      <c r="J48" s="5">
        <f t="shared" ref="J48:J49" si="30">I48/F48</f>
        <v>-0.1069598997558398</v>
      </c>
      <c r="K48" s="1">
        <v>45461</v>
      </c>
      <c r="L48" s="1">
        <v>45489</v>
      </c>
      <c r="M48" s="54">
        <f t="shared" si="2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23"/>
        <v>94.220008243735961</v>
      </c>
      <c r="F49" s="3">
        <v>24618.68</v>
      </c>
      <c r="G49" s="3">
        <v>30783.54</v>
      </c>
      <c r="H49" s="3">
        <f t="shared" si="28"/>
        <v>117.81400922272745</v>
      </c>
      <c r="I49" s="3">
        <f t="shared" si="29"/>
        <v>6164.8600000000006</v>
      </c>
      <c r="J49" s="5">
        <f t="shared" si="30"/>
        <v>0.25041391333735197</v>
      </c>
      <c r="K49" s="1">
        <v>45427</v>
      </c>
      <c r="L49" s="1">
        <v>45491</v>
      </c>
      <c r="M49" s="54">
        <f t="shared" si="27"/>
        <v>63</v>
      </c>
      <c r="O49" t="s">
        <v>150</v>
      </c>
    </row>
    <row r="50" spans="1:15" x14ac:dyDescent="0.25">
      <c r="C50" s="26"/>
      <c r="E50" s="3"/>
      <c r="J50" s="5"/>
      <c r="K50" s="1"/>
      <c r="L50" s="1"/>
      <c r="M50" s="54"/>
    </row>
    <row r="51" spans="1:15" x14ac:dyDescent="0.25">
      <c r="I51" s="3">
        <f>SUM(I25:I47)</f>
        <v>38530.390000000007</v>
      </c>
      <c r="J51" s="13" t="s">
        <v>68</v>
      </c>
    </row>
    <row r="52" spans="1:15" x14ac:dyDescent="0.25">
      <c r="H52" s="3" t="s">
        <v>69</v>
      </c>
      <c r="I52" s="55">
        <v>15</v>
      </c>
      <c r="J52" s="5">
        <v>-8.4199999999999997E-2</v>
      </c>
    </row>
    <row r="53" spans="1:15" x14ac:dyDescent="0.25">
      <c r="H53" s="3" t="s">
        <v>70</v>
      </c>
      <c r="I53" s="55">
        <v>9</v>
      </c>
      <c r="J53" s="5">
        <v>0.34739999999999999</v>
      </c>
    </row>
    <row r="54" spans="1:15" x14ac:dyDescent="0.25">
      <c r="J54" s="5"/>
    </row>
    <row r="55" spans="1:15" x14ac:dyDescent="0.25">
      <c r="J55" s="5"/>
    </row>
    <row r="56" spans="1:15" x14ac:dyDescent="0.25">
      <c r="J56" s="5"/>
    </row>
    <row r="57" spans="1:15" x14ac:dyDescent="0.25">
      <c r="J57" s="5"/>
    </row>
    <row r="58" spans="1:15" x14ac:dyDescent="0.25">
      <c r="J58" s="5"/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AB7-BD96-44D9-81EF-64769D7E75D8}">
  <dimension ref="A1:AE203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45499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8.82</v>
      </c>
      <c r="F7" s="3">
        <f t="shared" ref="F7:F16" si="0">E7*D7</f>
        <v>57168.756287999997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1377.7162880000033</v>
      </c>
      <c r="J7" s="27">
        <f t="shared" ref="J7:J16" si="3">E7-H7</f>
        <v>0.21255417205412819</v>
      </c>
      <c r="K7" s="28">
        <v>45378</v>
      </c>
      <c r="L7">
        <f t="shared" ref="L7:L15" si="4">DAYS360(K7,$C$1)</f>
        <v>119</v>
      </c>
      <c r="M7" s="5">
        <f t="shared" ref="M7:M16" si="5">(I7/G7)</f>
        <v>2.4694221294315422E-2</v>
      </c>
      <c r="N7">
        <v>5</v>
      </c>
      <c r="O7">
        <v>93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6" si="7">H7-(H7*0.07)</f>
        <v>8.0049246199896604</v>
      </c>
      <c r="X7" s="30">
        <v>8.75</v>
      </c>
      <c r="Y7" s="5">
        <f t="shared" ref="Y7:Y16" si="8">(X7-H7)/H7</f>
        <v>1.6561727474519328E-2</v>
      </c>
      <c r="Z7" s="6">
        <f t="shared" ref="Z7:Z16" si="9">F7/F$19</f>
        <v>8.1283701980823297E-2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73.400000000000006</v>
      </c>
      <c r="F8" s="3">
        <f t="shared" si="0"/>
        <v>60804.728820000004</v>
      </c>
      <c r="G8" s="3">
        <v>47623.59</v>
      </c>
      <c r="H8" s="4">
        <f t="shared" si="1"/>
        <v>57.488481140141687</v>
      </c>
      <c r="I8" s="3">
        <f t="shared" si="2"/>
        <v>13181.138820000007</v>
      </c>
      <c r="J8" s="27">
        <f t="shared" si="3"/>
        <v>15.911518859858319</v>
      </c>
      <c r="K8" s="28">
        <v>45378</v>
      </c>
      <c r="L8">
        <f t="shared" si="4"/>
        <v>119</v>
      </c>
      <c r="M8" s="5">
        <f t="shared" si="5"/>
        <v>0.27677751341299572</v>
      </c>
      <c r="N8">
        <v>5</v>
      </c>
      <c r="O8">
        <v>89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67</v>
      </c>
      <c r="Y8" s="5">
        <f t="shared" si="8"/>
        <v>0.16545086374210774</v>
      </c>
      <c r="Z8" s="6">
        <f t="shared" si="9"/>
        <v>8.6453401776506705E-2</v>
      </c>
      <c r="AB8" s="56">
        <v>45504</v>
      </c>
      <c r="AC8" s="9">
        <v>99</v>
      </c>
    </row>
    <row r="9" spans="1:31" x14ac:dyDescent="0.25">
      <c r="A9" t="s">
        <v>128</v>
      </c>
      <c r="B9" t="s">
        <v>33</v>
      </c>
      <c r="C9" s="26" t="s">
        <v>129</v>
      </c>
      <c r="D9" s="2">
        <v>390.4513</v>
      </c>
      <c r="E9" s="27">
        <v>161.94</v>
      </c>
      <c r="F9" s="3">
        <f t="shared" si="0"/>
        <v>63229.683521999999</v>
      </c>
      <c r="G9" s="3">
        <v>58706.59</v>
      </c>
      <c r="H9" s="4">
        <f t="shared" si="1"/>
        <v>150.35572938289613</v>
      </c>
      <c r="I9" s="3">
        <f t="shared" si="2"/>
        <v>4523.0935220000028</v>
      </c>
      <c r="J9" s="27">
        <f t="shared" si="3"/>
        <v>11.584270617103869</v>
      </c>
      <c r="K9" s="28">
        <v>45426</v>
      </c>
      <c r="L9">
        <f t="shared" si="4"/>
        <v>72</v>
      </c>
      <c r="M9" s="5">
        <f t="shared" si="5"/>
        <v>7.7045754522618387E-2</v>
      </c>
      <c r="N9">
        <v>67</v>
      </c>
      <c r="O9">
        <v>95</v>
      </c>
      <c r="P9" s="34">
        <v>93</v>
      </c>
      <c r="Q9" s="29">
        <v>148.43</v>
      </c>
      <c r="R9" s="30">
        <f t="shared" si="6"/>
        <v>138.03990000000002</v>
      </c>
      <c r="S9" s="30">
        <v>147.81</v>
      </c>
      <c r="T9" s="29">
        <f>Q9*1.25</f>
        <v>185.53750000000002</v>
      </c>
      <c r="U9" s="29">
        <f>Q9*1.5</f>
        <v>222.64500000000001</v>
      </c>
      <c r="V9" s="29">
        <f>Q9*2</f>
        <v>296.86</v>
      </c>
      <c r="W9" s="29">
        <f t="shared" si="7"/>
        <v>139.83082832609341</v>
      </c>
      <c r="X9" s="30">
        <v>169</v>
      </c>
      <c r="Y9" s="5">
        <f t="shared" si="8"/>
        <v>0.1240010652977802</v>
      </c>
      <c r="Z9" s="6">
        <f t="shared" si="9"/>
        <v>8.9901251758083764E-2</v>
      </c>
      <c r="AB9" s="31">
        <v>45582</v>
      </c>
      <c r="AC9" s="9">
        <v>95</v>
      </c>
    </row>
    <row r="10" spans="1:31" x14ac:dyDescent="0.25">
      <c r="A10" t="s">
        <v>131</v>
      </c>
      <c r="B10" t="s">
        <v>33</v>
      </c>
      <c r="C10" s="26" t="s">
        <v>132</v>
      </c>
      <c r="D10" s="2">
        <f>1542.0192+932.4994</f>
        <v>2474.5185999999999</v>
      </c>
      <c r="E10" s="27">
        <v>29.3</v>
      </c>
      <c r="F10" s="3">
        <f t="shared" si="0"/>
        <v>72503.394979999997</v>
      </c>
      <c r="G10" s="3">
        <f>44039.07+27471.43</f>
        <v>71510.5</v>
      </c>
      <c r="H10" s="4">
        <f t="shared" si="1"/>
        <v>28.898752266400425</v>
      </c>
      <c r="I10" s="3">
        <f t="shared" si="2"/>
        <v>992.8949799999973</v>
      </c>
      <c r="J10" s="27">
        <f t="shared" si="3"/>
        <v>0.40124773359957544</v>
      </c>
      <c r="K10" s="28">
        <v>45426</v>
      </c>
      <c r="L10">
        <f t="shared" si="4"/>
        <v>72</v>
      </c>
      <c r="M10" s="5">
        <f t="shared" si="5"/>
        <v>1.388460407912121E-2</v>
      </c>
      <c r="N10">
        <v>24</v>
      </c>
      <c r="O10">
        <v>95</v>
      </c>
      <c r="P10" s="34">
        <v>72</v>
      </c>
      <c r="Q10" s="29">
        <v>27.47</v>
      </c>
      <c r="R10" s="30">
        <f t="shared" si="6"/>
        <v>25.5471</v>
      </c>
      <c r="S10" s="30">
        <v>25.24</v>
      </c>
      <c r="T10" s="32">
        <f>Q10*1.25</f>
        <v>34.337499999999999</v>
      </c>
      <c r="U10" s="29">
        <f>Q10*1.5</f>
        <v>41.204999999999998</v>
      </c>
      <c r="V10" s="29">
        <f>Q10*2</f>
        <v>54.94</v>
      </c>
      <c r="W10" s="29">
        <f t="shared" si="7"/>
        <v>26.875839607752397</v>
      </c>
      <c r="X10" s="30">
        <v>27</v>
      </c>
      <c r="Y10" s="5">
        <f t="shared" si="8"/>
        <v>-6.570360716258461E-2</v>
      </c>
      <c r="Z10" s="6">
        <f t="shared" si="9"/>
        <v>0.1030868035761219</v>
      </c>
      <c r="AB10" s="31">
        <v>45512</v>
      </c>
      <c r="AC10" s="9">
        <v>97</v>
      </c>
    </row>
    <row r="11" spans="1:31" x14ac:dyDescent="0.25">
      <c r="A11" t="s">
        <v>133</v>
      </c>
      <c r="B11" t="s">
        <v>33</v>
      </c>
      <c r="C11" s="26" t="s">
        <v>134</v>
      </c>
      <c r="D11" s="2">
        <f>940.668-261.2893</f>
        <v>679.37869999999998</v>
      </c>
      <c r="E11" s="27">
        <v>113.08</v>
      </c>
      <c r="F11" s="3">
        <f t="shared" si="0"/>
        <v>76824.143395999999</v>
      </c>
      <c r="G11" s="3">
        <f>88627.87-24618.68</f>
        <v>64009.189999999995</v>
      </c>
      <c r="H11" s="4">
        <f t="shared" si="1"/>
        <v>94.217245845358406</v>
      </c>
      <c r="I11" s="3">
        <f t="shared" si="2"/>
        <v>12814.953396000004</v>
      </c>
      <c r="J11" s="27">
        <f t="shared" si="3"/>
        <v>18.862754154641593</v>
      </c>
      <c r="K11" s="28">
        <v>45427</v>
      </c>
      <c r="L11">
        <f t="shared" si="4"/>
        <v>71</v>
      </c>
      <c r="M11" s="5">
        <f t="shared" si="5"/>
        <v>0.20020489864033594</v>
      </c>
      <c r="N11">
        <v>14</v>
      </c>
      <c r="O11">
        <v>98</v>
      </c>
      <c r="P11" s="34">
        <v>99</v>
      </c>
      <c r="Q11" s="29">
        <v>92.22</v>
      </c>
      <c r="R11" s="30">
        <f t="shared" si="6"/>
        <v>85.764600000000002</v>
      </c>
      <c r="S11" s="30">
        <v>106.94</v>
      </c>
      <c r="T11" s="32">
        <v>115.28</v>
      </c>
      <c r="U11" s="29">
        <v>138.33000000000001</v>
      </c>
      <c r="V11" s="29">
        <v>184.44</v>
      </c>
      <c r="W11" s="29">
        <f t="shared" si="7"/>
        <v>87.622038636183319</v>
      </c>
      <c r="X11" s="30">
        <v>118</v>
      </c>
      <c r="Y11" s="5">
        <f t="shared" si="8"/>
        <v>0.25242463777466967</v>
      </c>
      <c r="Z11" s="6">
        <f t="shared" si="9"/>
        <v>0.1092301316697222</v>
      </c>
      <c r="AB11" s="31">
        <v>45532</v>
      </c>
      <c r="AC11" s="9">
        <v>99</v>
      </c>
    </row>
    <row r="12" spans="1:31" x14ac:dyDescent="0.25">
      <c r="A12" t="s">
        <v>146</v>
      </c>
      <c r="B12" t="s">
        <v>33</v>
      </c>
      <c r="C12" s="26" t="s">
        <v>147</v>
      </c>
      <c r="D12" s="2">
        <v>341.96359999999999</v>
      </c>
      <c r="E12" s="27">
        <v>217.96</v>
      </c>
      <c r="F12" s="3">
        <f t="shared" si="0"/>
        <v>74534.386255999998</v>
      </c>
      <c r="G12" s="3">
        <v>72116.02</v>
      </c>
      <c r="H12" s="4">
        <f t="shared" si="1"/>
        <v>210.88800094512985</v>
      </c>
      <c r="I12" s="3">
        <f t="shared" si="2"/>
        <v>2418.3662559999939</v>
      </c>
      <c r="J12" s="27">
        <f t="shared" si="3"/>
        <v>7.0719990548701617</v>
      </c>
      <c r="K12" s="28">
        <v>45464</v>
      </c>
      <c r="L12">
        <f t="shared" si="4"/>
        <v>35</v>
      </c>
      <c r="M12" s="5">
        <f t="shared" si="5"/>
        <v>3.3534383289593545E-2</v>
      </c>
      <c r="N12">
        <v>68</v>
      </c>
      <c r="O12">
        <v>82</v>
      </c>
      <c r="P12" s="34">
        <v>86</v>
      </c>
      <c r="Q12" s="29">
        <v>199.62</v>
      </c>
      <c r="R12" s="30">
        <f t="shared" si="6"/>
        <v>185.64660000000001</v>
      </c>
      <c r="S12" s="30">
        <v>206.59</v>
      </c>
      <c r="T12" s="32">
        <f>Q12*1.25</f>
        <v>249.52500000000001</v>
      </c>
      <c r="U12" s="29">
        <f>Q12*1.5</f>
        <v>299.43</v>
      </c>
      <c r="V12" s="29">
        <f>Q12*2</f>
        <v>399.24</v>
      </c>
      <c r="W12" s="29">
        <f t="shared" si="7"/>
        <v>196.12584087897076</v>
      </c>
      <c r="X12" s="30">
        <v>210</v>
      </c>
      <c r="Y12" s="5">
        <f t="shared" si="8"/>
        <v>-4.2107703669726181E-3</v>
      </c>
      <c r="Z12" s="33">
        <f t="shared" si="9"/>
        <v>0.10597450833521055</v>
      </c>
      <c r="AA12" s="9"/>
      <c r="AB12" s="56">
        <v>45505</v>
      </c>
      <c r="AC12" s="9">
        <v>79</v>
      </c>
    </row>
    <row r="13" spans="1:31" x14ac:dyDescent="0.25">
      <c r="A13" t="s">
        <v>148</v>
      </c>
      <c r="B13" t="s">
        <v>33</v>
      </c>
      <c r="C13" s="26" t="s">
        <v>149</v>
      </c>
      <c r="D13" s="2">
        <v>1873.41</v>
      </c>
      <c r="E13" s="27">
        <v>27.18</v>
      </c>
      <c r="F13" s="3">
        <f t="shared" si="0"/>
        <v>50919.283800000005</v>
      </c>
      <c r="G13" s="3">
        <v>50873.97</v>
      </c>
      <c r="H13" s="4">
        <f t="shared" si="1"/>
        <v>27.155812128685124</v>
      </c>
      <c r="I13" s="3">
        <f t="shared" si="2"/>
        <v>45.313800000003539</v>
      </c>
      <c r="J13" s="27">
        <f t="shared" si="3"/>
        <v>2.4187871314875764E-2</v>
      </c>
      <c r="K13" s="28">
        <v>45478</v>
      </c>
      <c r="L13">
        <f t="shared" si="4"/>
        <v>21</v>
      </c>
      <c r="M13" s="5">
        <f t="shared" si="5"/>
        <v>8.9070697647546549E-4</v>
      </c>
      <c r="N13">
        <v>129</v>
      </c>
      <c r="O13">
        <v>94</v>
      </c>
      <c r="P13" s="34">
        <v>95</v>
      </c>
      <c r="Q13" s="29">
        <v>26.57</v>
      </c>
      <c r="R13" s="30">
        <f t="shared" si="6"/>
        <v>24.710100000000001</v>
      </c>
      <c r="S13" s="30">
        <v>23.3</v>
      </c>
      <c r="T13" s="29">
        <f>Q13*1.25</f>
        <v>33.212499999999999</v>
      </c>
      <c r="U13" s="29">
        <f>Q13*1.5</f>
        <v>39.855000000000004</v>
      </c>
      <c r="V13" s="29">
        <f>Q13*2</f>
        <v>53.14</v>
      </c>
      <c r="W13" s="29">
        <f t="shared" si="7"/>
        <v>25.254905279677164</v>
      </c>
      <c r="X13" s="30">
        <v>26</v>
      </c>
      <c r="Y13" s="5">
        <f t="shared" si="8"/>
        <v>-4.2562237623680603E-2</v>
      </c>
      <c r="Z13" s="6">
        <f t="shared" si="9"/>
        <v>7.2398074721540542E-2</v>
      </c>
      <c r="AB13" s="31">
        <v>45509</v>
      </c>
      <c r="AC13" s="9">
        <v>97</v>
      </c>
    </row>
    <row r="14" spans="1:31" x14ac:dyDescent="0.25">
      <c r="A14" t="s">
        <v>151</v>
      </c>
      <c r="B14" t="s">
        <v>33</v>
      </c>
      <c r="C14" s="26" t="s">
        <v>152</v>
      </c>
      <c r="D14" s="2">
        <v>720.19590000000005</v>
      </c>
      <c r="E14" s="27">
        <v>98.7</v>
      </c>
      <c r="F14" s="3">
        <f t="shared" si="0"/>
        <v>71083.335330000002</v>
      </c>
      <c r="G14" s="3">
        <v>71786.429999999993</v>
      </c>
      <c r="H14" s="4">
        <f t="shared" si="1"/>
        <v>99.676254752352776</v>
      </c>
      <c r="I14" s="3">
        <f t="shared" si="2"/>
        <v>-703.09466999999131</v>
      </c>
      <c r="J14" s="27">
        <f t="shared" si="3"/>
        <v>-0.97625475235277293</v>
      </c>
      <c r="K14" s="28">
        <v>45495</v>
      </c>
      <c r="L14">
        <f t="shared" si="4"/>
        <v>4</v>
      </c>
      <c r="M14" s="5">
        <f t="shared" si="5"/>
        <v>-9.7942559617464099E-3</v>
      </c>
      <c r="N14">
        <v>63</v>
      </c>
      <c r="O14">
        <v>88</v>
      </c>
      <c r="P14" s="58">
        <v>94</v>
      </c>
      <c r="Q14" s="29">
        <v>96.67</v>
      </c>
      <c r="R14" s="30">
        <f t="shared" si="6"/>
        <v>89.903100000000009</v>
      </c>
      <c r="S14" s="30">
        <v>88.45</v>
      </c>
      <c r="T14" s="32">
        <f>Q14*1.25</f>
        <v>120.83750000000001</v>
      </c>
      <c r="U14" s="29">
        <f>Q14*1.5</f>
        <v>145.005</v>
      </c>
      <c r="V14" s="29">
        <f>Q14*2</f>
        <v>193.34</v>
      </c>
      <c r="W14" s="29">
        <f t="shared" si="7"/>
        <v>92.698916919688088</v>
      </c>
      <c r="X14" s="30">
        <v>93</v>
      </c>
      <c r="Y14" s="5">
        <f t="shared" si="8"/>
        <v>-6.6979390115931181E-2</v>
      </c>
      <c r="Z14" s="6">
        <f t="shared" si="9"/>
        <v>0.10106773384502439</v>
      </c>
      <c r="AB14" s="56">
        <v>45504</v>
      </c>
      <c r="AC14" s="9">
        <v>89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44846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si="7"/>
        <v>#DIV/0!</v>
      </c>
      <c r="X15" s="30"/>
      <c r="Y15" s="5" t="e">
        <f t="shared" si="8"/>
        <v>#DIV/0!</v>
      </c>
      <c r="Z15" s="33">
        <f t="shared" si="9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91.77</v>
      </c>
      <c r="F16" s="57">
        <f t="shared" si="0"/>
        <v>33378.015425999998</v>
      </c>
      <c r="G16" s="38">
        <v>33268.9</v>
      </c>
      <c r="H16" s="39">
        <f t="shared" si="1"/>
        <v>91.469996464252944</v>
      </c>
      <c r="I16" s="38">
        <f t="shared" si="2"/>
        <v>109.11542599999666</v>
      </c>
      <c r="J16" s="37">
        <f t="shared" si="3"/>
        <v>0.3000035357470523</v>
      </c>
      <c r="K16" s="40"/>
      <c r="L16" s="35"/>
      <c r="M16" s="41">
        <f t="shared" si="5"/>
        <v>3.2798026385001205E-3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ref="T16" si="10">Q16*1.25</f>
        <v>0</v>
      </c>
      <c r="U16" s="42">
        <f t="shared" ref="U16" si="11">Q16*1.5</f>
        <v>0</v>
      </c>
      <c r="V16" s="42">
        <f t="shared" ref="V16" si="12">Q16*2</f>
        <v>0</v>
      </c>
      <c r="W16" s="42">
        <f t="shared" si="7"/>
        <v>85.067096711755241</v>
      </c>
      <c r="X16" s="43"/>
      <c r="Y16" s="41">
        <f t="shared" si="8"/>
        <v>-1</v>
      </c>
      <c r="Z16" s="44">
        <f t="shared" si="9"/>
        <v>4.745754210447635E-2</v>
      </c>
      <c r="AB16" s="31"/>
      <c r="AC16" s="9"/>
    </row>
    <row r="17" spans="1:26" x14ac:dyDescent="0.25">
      <c r="A17" t="s">
        <v>53</v>
      </c>
      <c r="F17" s="3">
        <f>SUM(F6:F16)</f>
        <v>560445.72781800001</v>
      </c>
      <c r="G17" s="3">
        <f>SUM(G6:G16)</f>
        <v>525686.23</v>
      </c>
      <c r="H17" s="4"/>
      <c r="I17" s="3">
        <f>SUM(I6:I16)</f>
        <v>34759.497818000018</v>
      </c>
      <c r="M17" s="5"/>
      <c r="Z17" s="6"/>
    </row>
    <row r="18" spans="1:26" x14ac:dyDescent="0.25">
      <c r="D18" s="2" t="s">
        <v>54</v>
      </c>
      <c r="F18" s="3">
        <v>142878</v>
      </c>
      <c r="G18" s="6">
        <f>F18/F19</f>
        <v>0.20314685023249027</v>
      </c>
      <c r="H18" s="4"/>
      <c r="M18" s="5"/>
      <c r="Z18" s="6"/>
    </row>
    <row r="19" spans="1:26" x14ac:dyDescent="0.25">
      <c r="D19" s="2" t="s">
        <v>55</v>
      </c>
      <c r="F19" s="3">
        <f>SUM(F17:F18)</f>
        <v>703323.72781800001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'07-19-24'!F19</f>
        <v>718823.29880500003</v>
      </c>
      <c r="K20" s="1">
        <v>45291</v>
      </c>
      <c r="L20" s="47">
        <v>139707.06</v>
      </c>
      <c r="M20" s="47">
        <v>159836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-2.156242154750285E-2</v>
      </c>
      <c r="K21" s="9" t="s">
        <v>58</v>
      </c>
      <c r="L21" s="6">
        <f>(M20-L20)/L20</f>
        <v>0.14407961916885234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49" si="13">F25/D25</f>
        <v>47.428061535569462</v>
      </c>
      <c r="F25" s="3">
        <v>38349.050000000003</v>
      </c>
      <c r="G25" s="3">
        <v>35186.18</v>
      </c>
      <c r="H25" s="3">
        <f t="shared" ref="H25:H49" si="14">G25/D25</f>
        <v>43.516392459307944</v>
      </c>
      <c r="I25" s="3">
        <f t="shared" ref="I25:I49" si="15">G25-F25</f>
        <v>-3162.8700000000026</v>
      </c>
      <c r="J25" s="5">
        <f t="shared" ref="J25:J49" si="16">I25/F25</f>
        <v>-8.2475837080710018E-2</v>
      </c>
      <c r="K25" s="1">
        <v>45286</v>
      </c>
      <c r="L25" s="1">
        <v>45302</v>
      </c>
      <c r="M25">
        <f t="shared" ref="M25:M49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C50" s="26"/>
      <c r="E50" s="3"/>
      <c r="J50" s="5"/>
      <c r="K50" s="1"/>
      <c r="L50" s="1"/>
      <c r="M50" s="54"/>
    </row>
    <row r="51" spans="1:15" x14ac:dyDescent="0.25">
      <c r="I51" s="3">
        <f>SUM(I25:I47)</f>
        <v>38530.390000000007</v>
      </c>
      <c r="J51" s="13" t="s">
        <v>68</v>
      </c>
    </row>
    <row r="52" spans="1:15" x14ac:dyDescent="0.25">
      <c r="H52" s="3" t="s">
        <v>69</v>
      </c>
      <c r="I52" s="55">
        <v>15</v>
      </c>
      <c r="J52" s="5">
        <v>-8.4199999999999997E-2</v>
      </c>
    </row>
    <row r="53" spans="1:15" x14ac:dyDescent="0.25">
      <c r="H53" s="3" t="s">
        <v>70</v>
      </c>
      <c r="I53" s="55">
        <v>9</v>
      </c>
      <c r="J53" s="5">
        <v>0.34739999999999999</v>
      </c>
    </row>
    <row r="54" spans="1:15" x14ac:dyDescent="0.25">
      <c r="J54" s="5"/>
    </row>
    <row r="55" spans="1:15" x14ac:dyDescent="0.25">
      <c r="J55" s="5"/>
    </row>
    <row r="56" spans="1:15" x14ac:dyDescent="0.25">
      <c r="J56" s="5"/>
    </row>
    <row r="57" spans="1:15" x14ac:dyDescent="0.25">
      <c r="J57" s="5"/>
    </row>
    <row r="58" spans="1:15" x14ac:dyDescent="0.25">
      <c r="J58" s="5"/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24A2-888E-42A2-A77F-BA569A3C1069}">
  <dimension ref="A1:AE20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45506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9.1999999999999993</v>
      </c>
      <c r="F7" s="3">
        <f t="shared" ref="F7:F12" si="0">E7*D7</f>
        <v>59631.809279999994</v>
      </c>
      <c r="G7" s="3">
        <f>23794.37+31996.67</f>
        <v>55791.039999999994</v>
      </c>
      <c r="H7" s="4">
        <f t="shared" ref="H7:H12" si="1">G7/D7</f>
        <v>8.6074458279458721</v>
      </c>
      <c r="I7" s="3">
        <f t="shared" ref="I7:I12" si="2">F7-G7</f>
        <v>3840.7692800000004</v>
      </c>
      <c r="J7" s="27">
        <f t="shared" ref="J7:J12" si="3">E7-H7</f>
        <v>0.59255417205412719</v>
      </c>
      <c r="K7" s="28">
        <v>45378</v>
      </c>
      <c r="L7">
        <f t="shared" ref="L7:L12" si="4">DAYS360(K7,$C$1)</f>
        <v>125</v>
      </c>
      <c r="M7" s="5">
        <f t="shared" ref="M7:M12" si="5">(I7/G7)</f>
        <v>6.88420448874945E-2</v>
      </c>
      <c r="N7">
        <v>6</v>
      </c>
      <c r="O7">
        <v>97</v>
      </c>
      <c r="P7" s="34">
        <v>99</v>
      </c>
      <c r="Q7" s="29">
        <v>6.76</v>
      </c>
      <c r="R7" s="30">
        <f t="shared" ref="R7:R12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2" si="7">H7-(H7*0.07)</f>
        <v>8.0049246199896604</v>
      </c>
      <c r="X7" s="30">
        <v>8.75</v>
      </c>
      <c r="Y7" s="5">
        <f t="shared" ref="Y7:Y12" si="8">(X7-H7)/H7</f>
        <v>1.6561727474519328E-2</v>
      </c>
      <c r="Z7" s="6">
        <f t="shared" ref="Z7:Z12" si="9">F7/F$19</f>
        <v>8.7914057828408415E-2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75.12</v>
      </c>
      <c r="F8" s="3">
        <f t="shared" si="0"/>
        <v>62229.580776000003</v>
      </c>
      <c r="G8" s="3">
        <v>47623.59</v>
      </c>
      <c r="H8" s="4">
        <f t="shared" si="1"/>
        <v>57.488481140141687</v>
      </c>
      <c r="I8" s="3">
        <f t="shared" si="2"/>
        <v>14605.990776000006</v>
      </c>
      <c r="J8" s="27">
        <f t="shared" si="3"/>
        <v>17.631518859858318</v>
      </c>
      <c r="K8" s="28">
        <v>45378</v>
      </c>
      <c r="L8">
        <f t="shared" si="4"/>
        <v>125</v>
      </c>
      <c r="M8" s="5">
        <f t="shared" si="5"/>
        <v>0.30669655051204681</v>
      </c>
      <c r="N8">
        <v>6</v>
      </c>
      <c r="O8">
        <v>94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67</v>
      </c>
      <c r="Y8" s="5">
        <f t="shared" si="8"/>
        <v>0.16545086374210774</v>
      </c>
      <c r="Z8" s="6">
        <f t="shared" si="9"/>
        <v>9.174390361510891E-2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27.58</v>
      </c>
      <c r="F9" s="3">
        <f t="shared" si="0"/>
        <v>68247.222987999994</v>
      </c>
      <c r="G9" s="3">
        <f>44039.07+27471.43</f>
        <v>71510.5</v>
      </c>
      <c r="H9" s="4">
        <f t="shared" si="1"/>
        <v>28.898752266400425</v>
      </c>
      <c r="I9" s="3">
        <f t="shared" si="2"/>
        <v>-3263.2770120000059</v>
      </c>
      <c r="J9" s="27">
        <f t="shared" si="3"/>
        <v>-1.318752266400427</v>
      </c>
      <c r="K9" s="28">
        <v>45426</v>
      </c>
      <c r="L9">
        <f t="shared" si="4"/>
        <v>78</v>
      </c>
      <c r="M9" s="5">
        <f t="shared" si="5"/>
        <v>-4.563353650163271E-2</v>
      </c>
      <c r="N9">
        <v>34</v>
      </c>
      <c r="O9">
        <v>96</v>
      </c>
      <c r="P9" s="34">
        <v>72</v>
      </c>
      <c r="Q9" s="29">
        <v>27.47</v>
      </c>
      <c r="R9" s="30">
        <f t="shared" si="6"/>
        <v>25.5471</v>
      </c>
      <c r="S9" s="30">
        <v>25.24</v>
      </c>
      <c r="T9" s="32">
        <f>Q9*1.25</f>
        <v>34.337499999999999</v>
      </c>
      <c r="U9" s="29">
        <f>Q9*1.5</f>
        <v>41.204999999999998</v>
      </c>
      <c r="V9" s="29">
        <f>Q9*2</f>
        <v>54.94</v>
      </c>
      <c r="W9" s="29">
        <f t="shared" si="7"/>
        <v>26.875839607752397</v>
      </c>
      <c r="X9" s="30">
        <v>27</v>
      </c>
      <c r="Y9" s="5">
        <f t="shared" si="8"/>
        <v>-6.570360716258461E-2</v>
      </c>
      <c r="Z9" s="6">
        <f t="shared" si="9"/>
        <v>0.10061560064734826</v>
      </c>
      <c r="AB9" s="56">
        <v>45512</v>
      </c>
      <c r="AC9" s="9">
        <v>97</v>
      </c>
    </row>
    <row r="10" spans="1:31" x14ac:dyDescent="0.25">
      <c r="A10" t="s">
        <v>146</v>
      </c>
      <c r="B10" t="s">
        <v>33</v>
      </c>
      <c r="C10" s="26" t="s">
        <v>147</v>
      </c>
      <c r="D10" s="2">
        <v>341.96359999999999</v>
      </c>
      <c r="E10" s="27">
        <v>219.86</v>
      </c>
      <c r="F10" s="3">
        <f t="shared" si="0"/>
        <v>75184.117096000002</v>
      </c>
      <c r="G10" s="3">
        <v>72116.02</v>
      </c>
      <c r="H10" s="4">
        <f t="shared" si="1"/>
        <v>210.88800094512985</v>
      </c>
      <c r="I10" s="3">
        <f t="shared" si="2"/>
        <v>3068.0970959999977</v>
      </c>
      <c r="J10" s="27">
        <f t="shared" si="3"/>
        <v>8.9719990548701674</v>
      </c>
      <c r="K10" s="28">
        <v>45464</v>
      </c>
      <c r="L10">
        <f t="shared" si="4"/>
        <v>41</v>
      </c>
      <c r="M10" s="5">
        <f t="shared" si="5"/>
        <v>4.2543904891035274E-2</v>
      </c>
      <c r="N10">
        <v>26</v>
      </c>
      <c r="O10">
        <v>87</v>
      </c>
      <c r="P10" s="34">
        <v>86</v>
      </c>
      <c r="Q10" s="29">
        <v>199.62</v>
      </c>
      <c r="R10" s="30">
        <f t="shared" si="6"/>
        <v>185.64660000000001</v>
      </c>
      <c r="S10" s="30">
        <v>206.59</v>
      </c>
      <c r="T10" s="32">
        <f>Q10*1.25</f>
        <v>249.52500000000001</v>
      </c>
      <c r="U10" s="29">
        <f>Q10*1.5</f>
        <v>299.43</v>
      </c>
      <c r="V10" s="29">
        <f>Q10*2</f>
        <v>399.24</v>
      </c>
      <c r="W10" s="29">
        <f t="shared" si="7"/>
        <v>196.12584087897076</v>
      </c>
      <c r="X10" s="30">
        <v>210</v>
      </c>
      <c r="Y10" s="5">
        <f t="shared" si="8"/>
        <v>-4.2107703669726181E-3</v>
      </c>
      <c r="Z10" s="33">
        <f t="shared" si="9"/>
        <v>0.11084253350623097</v>
      </c>
      <c r="AA10" s="9"/>
      <c r="AB10" s="31">
        <v>45589</v>
      </c>
      <c r="AC10" s="9">
        <v>90</v>
      </c>
    </row>
    <row r="11" spans="1:31" x14ac:dyDescent="0.25">
      <c r="C11" s="26"/>
      <c r="E11" s="27"/>
      <c r="F11" s="3">
        <f t="shared" si="0"/>
        <v>0</v>
      </c>
      <c r="H11" s="4" t="e">
        <f t="shared" si="1"/>
        <v>#DIV/0!</v>
      </c>
      <c r="I11" s="3">
        <f t="shared" si="2"/>
        <v>0</v>
      </c>
      <c r="J11" s="27" t="e">
        <f t="shared" si="3"/>
        <v>#DIV/0!</v>
      </c>
      <c r="K11" s="28"/>
      <c r="L11">
        <f t="shared" si="4"/>
        <v>44852</v>
      </c>
      <c r="M11" s="5" t="e">
        <f t="shared" si="5"/>
        <v>#DIV/0!</v>
      </c>
      <c r="P11" s="34"/>
      <c r="Q11" s="29"/>
      <c r="R11" s="30">
        <f t="shared" si="6"/>
        <v>0</v>
      </c>
      <c r="S11" s="30"/>
      <c r="T11" s="29">
        <f>Q11*1.25</f>
        <v>0</v>
      </c>
      <c r="U11" s="29">
        <f>Q11*1.5</f>
        <v>0</v>
      </c>
      <c r="V11" s="29">
        <f>Q11*2</f>
        <v>0</v>
      </c>
      <c r="W11" s="29" t="e">
        <f t="shared" si="7"/>
        <v>#DIV/0!</v>
      </c>
      <c r="X11" s="30"/>
      <c r="Y11" s="5" t="e">
        <f t="shared" si="8"/>
        <v>#DIV/0!</v>
      </c>
      <c r="Z11" s="6">
        <f t="shared" si="9"/>
        <v>0</v>
      </c>
      <c r="AB11" s="31"/>
      <c r="AC11" s="9"/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44852</v>
      </c>
      <c r="M12" s="5" t="e">
        <f t="shared" si="5"/>
        <v>#DIV/0!</v>
      </c>
      <c r="P12" s="34"/>
      <c r="Q12" s="29"/>
      <c r="R12" s="30">
        <f t="shared" si="6"/>
        <v>0</v>
      </c>
      <c r="S12" s="30"/>
      <c r="T12" s="32"/>
      <c r="U12" s="29"/>
      <c r="V12" s="29"/>
      <c r="W12" s="29" t="e">
        <f t="shared" si="7"/>
        <v>#DIV/0!</v>
      </c>
      <c r="X12" s="30"/>
      <c r="Y12" s="5" t="e">
        <f t="shared" si="8"/>
        <v>#DIV/0!</v>
      </c>
      <c r="Z12" s="6">
        <f t="shared" si="9"/>
        <v>0</v>
      </c>
      <c r="AB12" s="31"/>
      <c r="AC12" s="9"/>
    </row>
    <row r="13" spans="1:31" x14ac:dyDescent="0.25">
      <c r="C13" s="26"/>
      <c r="E13" s="27"/>
      <c r="F13" s="3">
        <f t="shared" ref="F13:F16" si="10">E13*D13</f>
        <v>0</v>
      </c>
      <c r="H13" s="4" t="e">
        <f t="shared" ref="H13:H16" si="11">G13/D13</f>
        <v>#DIV/0!</v>
      </c>
      <c r="I13" s="3">
        <f t="shared" ref="I13:I16" si="12">F13-G13</f>
        <v>0</v>
      </c>
      <c r="J13" s="27" t="e">
        <f t="shared" ref="J13:J16" si="13">E13-H13</f>
        <v>#DIV/0!</v>
      </c>
      <c r="K13" s="28"/>
      <c r="L13">
        <f t="shared" ref="L13:L15" si="14">DAYS360(K13,$C$1)</f>
        <v>44852</v>
      </c>
      <c r="M13" s="5" t="e">
        <f t="shared" ref="M13:M16" si="15">(I13/G13)</f>
        <v>#DIV/0!</v>
      </c>
      <c r="P13" s="34"/>
      <c r="Q13" s="29"/>
      <c r="R13" s="30">
        <f t="shared" ref="R13:R16" si="16">Q13*0.93</f>
        <v>0</v>
      </c>
      <c r="S13" s="30"/>
      <c r="T13" s="29">
        <f>Q13*1.25</f>
        <v>0</v>
      </c>
      <c r="U13" s="29">
        <f>Q13*1.5</f>
        <v>0</v>
      </c>
      <c r="V13" s="29">
        <f>Q13*2</f>
        <v>0</v>
      </c>
      <c r="W13" s="29" t="e">
        <f t="shared" ref="W13:W16" si="17">H13-(H13*0.07)</f>
        <v>#DIV/0!</v>
      </c>
      <c r="X13" s="30"/>
      <c r="Y13" s="5" t="e">
        <f t="shared" ref="Y13:Y16" si="18">(X13-H13)/H13</f>
        <v>#DIV/0!</v>
      </c>
      <c r="Z13" s="6">
        <f t="shared" ref="Z13:Z16" si="19">F13/F$19</f>
        <v>0</v>
      </c>
      <c r="AB13" s="31"/>
      <c r="AC13" s="9"/>
    </row>
    <row r="14" spans="1:31" x14ac:dyDescent="0.25">
      <c r="C14" s="26"/>
      <c r="E14" s="27"/>
      <c r="F14" s="3">
        <f t="shared" si="10"/>
        <v>0</v>
      </c>
      <c r="H14" s="4" t="e">
        <f t="shared" si="11"/>
        <v>#DIV/0!</v>
      </c>
      <c r="I14" s="3">
        <f t="shared" si="12"/>
        <v>0</v>
      </c>
      <c r="J14" s="27" t="e">
        <f t="shared" si="13"/>
        <v>#DIV/0!</v>
      </c>
      <c r="K14" s="28"/>
      <c r="L14">
        <f t="shared" si="14"/>
        <v>44852</v>
      </c>
      <c r="M14" s="5" t="e">
        <f t="shared" si="15"/>
        <v>#DIV/0!</v>
      </c>
      <c r="P14" s="58"/>
      <c r="Q14" s="29"/>
      <c r="R14" s="30">
        <f t="shared" si="16"/>
        <v>0</v>
      </c>
      <c r="S14" s="30"/>
      <c r="T14" s="32">
        <f>Q14*1.25</f>
        <v>0</v>
      </c>
      <c r="U14" s="29">
        <f>Q14*1.5</f>
        <v>0</v>
      </c>
      <c r="V14" s="29">
        <f>Q14*2</f>
        <v>0</v>
      </c>
      <c r="W14" s="29" t="e">
        <f t="shared" si="17"/>
        <v>#DIV/0!</v>
      </c>
      <c r="X14" s="30"/>
      <c r="Y14" s="5" t="e">
        <f t="shared" si="18"/>
        <v>#DIV/0!</v>
      </c>
      <c r="Z14" s="6">
        <f t="shared" si="19"/>
        <v>0</v>
      </c>
      <c r="AB14" s="56"/>
      <c r="AC14" s="9"/>
    </row>
    <row r="15" spans="1:31" x14ac:dyDescent="0.25">
      <c r="C15" s="26"/>
      <c r="E15" s="27"/>
      <c r="F15" s="3">
        <f t="shared" si="10"/>
        <v>0</v>
      </c>
      <c r="H15" s="4" t="e">
        <f t="shared" si="11"/>
        <v>#DIV/0!</v>
      </c>
      <c r="I15" s="3">
        <f t="shared" si="12"/>
        <v>0</v>
      </c>
      <c r="J15" s="27" t="e">
        <f t="shared" si="13"/>
        <v>#DIV/0!</v>
      </c>
      <c r="K15" s="28"/>
      <c r="L15">
        <f t="shared" si="14"/>
        <v>44852</v>
      </c>
      <c r="M15" s="5" t="e">
        <f t="shared" si="15"/>
        <v>#DIV/0!</v>
      </c>
      <c r="P15" s="34"/>
      <c r="Q15" s="29"/>
      <c r="R15" s="30">
        <f t="shared" si="16"/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si="17"/>
        <v>#DIV/0!</v>
      </c>
      <c r="X15" s="30"/>
      <c r="Y15" s="5" t="e">
        <f t="shared" si="18"/>
        <v>#DIV/0!</v>
      </c>
      <c r="Z15" s="33">
        <f t="shared" si="19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91.47</v>
      </c>
      <c r="F16" s="57">
        <f t="shared" si="10"/>
        <v>33268.901286</v>
      </c>
      <c r="G16" s="38">
        <v>33268.9</v>
      </c>
      <c r="H16" s="39">
        <f t="shared" si="11"/>
        <v>91.469996464252944</v>
      </c>
      <c r="I16" s="38">
        <f t="shared" si="12"/>
        <v>1.2859999987995252E-3</v>
      </c>
      <c r="J16" s="37">
        <f t="shared" si="13"/>
        <v>3.535747055138927E-6</v>
      </c>
      <c r="K16" s="40"/>
      <c r="L16" s="35"/>
      <c r="M16" s="41">
        <f t="shared" si="15"/>
        <v>3.8654719536850485E-8</v>
      </c>
      <c r="N16" s="35"/>
      <c r="O16" s="35"/>
      <c r="P16" s="35"/>
      <c r="Q16" s="42"/>
      <c r="R16" s="43">
        <f t="shared" si="16"/>
        <v>0</v>
      </c>
      <c r="S16" s="43"/>
      <c r="T16" s="42">
        <f t="shared" ref="T16" si="20">Q16*1.25</f>
        <v>0</v>
      </c>
      <c r="U16" s="42">
        <f t="shared" ref="U16" si="21">Q16*1.5</f>
        <v>0</v>
      </c>
      <c r="V16" s="42">
        <f t="shared" ref="V16" si="22">Q16*2</f>
        <v>0</v>
      </c>
      <c r="W16" s="42">
        <f t="shared" si="17"/>
        <v>85.067096711755241</v>
      </c>
      <c r="X16" s="43"/>
      <c r="Y16" s="41">
        <f t="shared" si="18"/>
        <v>-1</v>
      </c>
      <c r="Z16" s="44">
        <f t="shared" si="19"/>
        <v>4.904771709695499E-2</v>
      </c>
      <c r="AB16" s="31"/>
      <c r="AC16" s="9"/>
    </row>
    <row r="17" spans="1:26" x14ac:dyDescent="0.25">
      <c r="A17" t="s">
        <v>53</v>
      </c>
      <c r="F17" s="3">
        <f>SUM(F6:F16)</f>
        <v>298561.63142599998</v>
      </c>
      <c r="G17" s="3">
        <f>SUM(G6:G16)</f>
        <v>280310.05000000005</v>
      </c>
      <c r="H17" s="4"/>
      <c r="I17" s="3">
        <f>SUM(I6:I16)</f>
        <v>18251.581425999997</v>
      </c>
      <c r="M17" s="5"/>
      <c r="Z17" s="6"/>
    </row>
    <row r="18" spans="1:26" x14ac:dyDescent="0.25">
      <c r="D18" s="2" t="s">
        <v>54</v>
      </c>
      <c r="F18" s="3">
        <v>379735</v>
      </c>
      <c r="G18" s="6">
        <f>F18/F19</f>
        <v>0.55983618730594842</v>
      </c>
      <c r="H18" s="4"/>
      <c r="M18" s="5"/>
      <c r="Z18" s="6"/>
    </row>
    <row r="19" spans="1:26" x14ac:dyDescent="0.25">
      <c r="D19" s="2" t="s">
        <v>55</v>
      </c>
      <c r="F19" s="3">
        <f>SUM(F17:F18)</f>
        <v>678296.63142600004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'07-26-24'!F19</f>
        <v>703323.72781800001</v>
      </c>
      <c r="K20" s="1">
        <v>45291</v>
      </c>
      <c r="L20" s="47">
        <v>139707.06</v>
      </c>
      <c r="M20" s="47">
        <v>154052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-3.5584035348337165E-2</v>
      </c>
      <c r="K21" s="9" t="s">
        <v>58</v>
      </c>
      <c r="L21" s="6">
        <f>(M20-L20)/L20</f>
        <v>0.10267870499887409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3" si="23">F25/D25</f>
        <v>47.428061535569462</v>
      </c>
      <c r="F25" s="3">
        <v>38349.050000000003</v>
      </c>
      <c r="G25" s="3">
        <v>35186.18</v>
      </c>
      <c r="H25" s="3">
        <f t="shared" ref="H25:H49" si="24">G25/D25</f>
        <v>43.516392459307944</v>
      </c>
      <c r="I25" s="3">
        <f t="shared" ref="I25:I49" si="25">G25-F25</f>
        <v>-3162.8700000000026</v>
      </c>
      <c r="J25" s="5">
        <f t="shared" ref="J25:J49" si="26">I25/F25</f>
        <v>-8.2475837080710018E-2</v>
      </c>
      <c r="K25" s="1">
        <v>45286</v>
      </c>
      <c r="L25" s="1">
        <v>45302</v>
      </c>
      <c r="M25">
        <f t="shared" ref="M25:M53" si="2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3"/>
        <v>35.085004734625322</v>
      </c>
      <c r="F26" s="3">
        <v>40941.919999999998</v>
      </c>
      <c r="G26" s="3">
        <v>36634.589999999997</v>
      </c>
      <c r="H26" s="3">
        <f t="shared" si="24"/>
        <v>31.393856555849297</v>
      </c>
      <c r="I26" s="3">
        <f t="shared" si="25"/>
        <v>-4307.3300000000017</v>
      </c>
      <c r="J26" s="5">
        <f t="shared" si="26"/>
        <v>-0.10520586235330444</v>
      </c>
      <c r="K26" s="1">
        <v>45233</v>
      </c>
      <c r="L26" s="1">
        <v>45307</v>
      </c>
      <c r="M26">
        <f t="shared" si="2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3"/>
        <v>20.491040268725982</v>
      </c>
      <c r="F27" s="3">
        <v>41317.9</v>
      </c>
      <c r="G27" s="3">
        <v>42071.53</v>
      </c>
      <c r="H27" s="3">
        <f t="shared" si="24"/>
        <v>20.86479262975401</v>
      </c>
      <c r="I27" s="3">
        <f t="shared" si="25"/>
        <v>753.62999999999738</v>
      </c>
      <c r="J27" s="5">
        <f t="shared" si="26"/>
        <v>1.8239794374835056E-2</v>
      </c>
      <c r="K27" s="1">
        <v>45135</v>
      </c>
      <c r="L27" s="1">
        <v>45308</v>
      </c>
      <c r="M27">
        <f t="shared" si="2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3"/>
        <v>21.193736358158553</v>
      </c>
      <c r="F28" s="3">
        <f>28457.8+19398.39</f>
        <v>47856.19</v>
      </c>
      <c r="G28" s="3">
        <v>39178.269999999997</v>
      </c>
      <c r="H28" s="3">
        <f t="shared" si="24"/>
        <v>17.350606585036385</v>
      </c>
      <c r="I28" s="3">
        <f t="shared" si="25"/>
        <v>-8677.9200000000055</v>
      </c>
      <c r="J28" s="5">
        <f t="shared" si="26"/>
        <v>-0.18133328206863114</v>
      </c>
      <c r="K28" s="1">
        <v>45302</v>
      </c>
      <c r="L28" s="1">
        <v>45322</v>
      </c>
      <c r="M28">
        <f t="shared" si="2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3"/>
        <v>450.27964205816556</v>
      </c>
      <c r="F29" s="3">
        <v>56759.55</v>
      </c>
      <c r="G29" s="3">
        <v>54939.360000000001</v>
      </c>
      <c r="H29" s="3">
        <f t="shared" si="24"/>
        <v>435.83987814746064</v>
      </c>
      <c r="I29" s="3">
        <f t="shared" si="25"/>
        <v>-1820.1900000000023</v>
      </c>
      <c r="J29" s="5">
        <f t="shared" si="26"/>
        <v>-3.2068436060539635E-2</v>
      </c>
      <c r="K29" s="1">
        <v>45327</v>
      </c>
      <c r="L29" s="1">
        <v>45342</v>
      </c>
      <c r="M29">
        <f t="shared" si="2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3"/>
        <v>21.530005475912173</v>
      </c>
      <c r="F30" s="3">
        <v>17409.86</v>
      </c>
      <c r="G30" s="3">
        <v>28227.27</v>
      </c>
      <c r="H30" s="3">
        <f t="shared" si="24"/>
        <v>34.907418995330886</v>
      </c>
      <c r="I30" s="3">
        <f t="shared" si="25"/>
        <v>10817.41</v>
      </c>
      <c r="J30" s="5">
        <f t="shared" si="26"/>
        <v>0.62133813827336914</v>
      </c>
      <c r="K30" s="1">
        <v>45309</v>
      </c>
      <c r="L30" s="1">
        <v>45343</v>
      </c>
      <c r="M30" s="54">
        <f t="shared" si="2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3"/>
        <v>52.971341590739279</v>
      </c>
      <c r="F31" s="3">
        <v>52029.58</v>
      </c>
      <c r="G31" s="3">
        <v>47202.25</v>
      </c>
      <c r="H31" s="3">
        <f t="shared" si="24"/>
        <v>48.056634487564061</v>
      </c>
      <c r="I31" s="3">
        <f t="shared" si="25"/>
        <v>-4827.3300000000017</v>
      </c>
      <c r="J31" s="5">
        <f t="shared" si="26"/>
        <v>-9.278049140508153E-2</v>
      </c>
      <c r="K31" s="1">
        <v>45344</v>
      </c>
      <c r="L31" s="1">
        <v>45351</v>
      </c>
      <c r="M31" s="54">
        <f t="shared" si="2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3"/>
        <v>130.66998915547813</v>
      </c>
      <c r="F32" s="3">
        <v>58909.52</v>
      </c>
      <c r="G32" s="3">
        <v>55702.82</v>
      </c>
      <c r="H32" s="3">
        <f t="shared" si="24"/>
        <v>123.55705640326981</v>
      </c>
      <c r="I32" s="3">
        <f t="shared" si="25"/>
        <v>-3206.6999999999971</v>
      </c>
      <c r="J32" s="5">
        <f t="shared" si="26"/>
        <v>-5.4434325725281708E-2</v>
      </c>
      <c r="K32" s="1">
        <v>45286</v>
      </c>
      <c r="L32" s="1">
        <v>45356</v>
      </c>
      <c r="M32" s="54">
        <f t="shared" si="2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3"/>
        <v>34.902742463000052</v>
      </c>
      <c r="F33" s="3">
        <f>30020.93+21858.29</f>
        <v>51879.22</v>
      </c>
      <c r="G33" s="3">
        <v>51882.03</v>
      </c>
      <c r="H33" s="3">
        <f t="shared" si="24"/>
        <v>34.904632944513089</v>
      </c>
      <c r="I33" s="3">
        <f t="shared" si="25"/>
        <v>2.8099999999976717</v>
      </c>
      <c r="J33" s="5">
        <f t="shared" si="26"/>
        <v>5.4164268468139489E-5</v>
      </c>
      <c r="K33" s="1">
        <v>45331</v>
      </c>
      <c r="L33" s="1">
        <v>45366</v>
      </c>
      <c r="M33" s="54">
        <f t="shared" si="2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3"/>
        <v>17.884521773182534</v>
      </c>
      <c r="F34" s="3">
        <f>20288.83+19170.47</f>
        <v>39459.300000000003</v>
      </c>
      <c r="G34" s="3">
        <v>47805.42</v>
      </c>
      <c r="H34" s="3">
        <f t="shared" si="24"/>
        <v>21.667314799455028</v>
      </c>
      <c r="I34" s="3">
        <f t="shared" si="25"/>
        <v>8346.1199999999953</v>
      </c>
      <c r="J34" s="5">
        <f t="shared" si="26"/>
        <v>0.21151211501471123</v>
      </c>
      <c r="K34" s="1">
        <v>45243</v>
      </c>
      <c r="L34" s="1">
        <v>45373</v>
      </c>
      <c r="M34" s="54">
        <f t="shared" si="2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3"/>
        <v>97.201614911338325</v>
      </c>
      <c r="F35" s="3">
        <v>71279.48</v>
      </c>
      <c r="G35" s="3">
        <v>66395.73</v>
      </c>
      <c r="H35" s="3">
        <f t="shared" si="24"/>
        <v>90.541796590227548</v>
      </c>
      <c r="I35" s="3">
        <f t="shared" si="25"/>
        <v>-4883.75</v>
      </c>
      <c r="J35" s="5">
        <f t="shared" si="26"/>
        <v>-6.85155110559168E-2</v>
      </c>
      <c r="K35" s="1">
        <v>45349</v>
      </c>
      <c r="L35" s="1">
        <v>45394</v>
      </c>
      <c r="M35" s="54">
        <f t="shared" si="2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3"/>
        <v>51.760011005615979</v>
      </c>
      <c r="F36" s="3">
        <v>46654.3</v>
      </c>
      <c r="G36" s="3">
        <v>44379.95</v>
      </c>
      <c r="H36" s="3">
        <f t="shared" si="24"/>
        <v>49.23676275131524</v>
      </c>
      <c r="I36" s="3">
        <f t="shared" si="25"/>
        <v>-2274.3500000000058</v>
      </c>
      <c r="J36" s="5">
        <f t="shared" si="26"/>
        <v>-4.874898991089794E-2</v>
      </c>
      <c r="K36" s="1">
        <v>45394</v>
      </c>
      <c r="L36" s="1">
        <v>45394</v>
      </c>
      <c r="M36" s="54">
        <f t="shared" si="2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3"/>
        <v>228.36593513142583</v>
      </c>
      <c r="F37" s="3">
        <v>61166.239999999998</v>
      </c>
      <c r="G37" s="3">
        <v>81558.94</v>
      </c>
      <c r="H37" s="3">
        <f t="shared" si="24"/>
        <v>304.50267339349045</v>
      </c>
      <c r="I37" s="3">
        <f t="shared" si="25"/>
        <v>20392.700000000004</v>
      </c>
      <c r="J37" s="5">
        <f t="shared" si="26"/>
        <v>0.33339796593676518</v>
      </c>
      <c r="K37" s="1">
        <v>45238</v>
      </c>
      <c r="L37" s="1">
        <v>45397</v>
      </c>
      <c r="M37" s="54">
        <f t="shared" si="2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3"/>
        <v>131.07547316942754</v>
      </c>
      <c r="F38" s="3">
        <v>29415.63</v>
      </c>
      <c r="G38" s="3">
        <v>27481.43</v>
      </c>
      <c r="H38" s="3">
        <f t="shared" si="24"/>
        <v>122.45671571958516</v>
      </c>
      <c r="I38" s="3">
        <f t="shared" si="25"/>
        <v>-1934.2000000000007</v>
      </c>
      <c r="J38" s="5">
        <f t="shared" si="26"/>
        <v>-6.5754158588478329E-2</v>
      </c>
      <c r="K38" s="1">
        <v>45393</v>
      </c>
      <c r="L38" s="1">
        <v>45397</v>
      </c>
      <c r="M38" s="54">
        <f t="shared" si="2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3"/>
        <v>30.008099047901005</v>
      </c>
      <c r="F39" s="3">
        <v>43950.36</v>
      </c>
      <c r="G39" s="3">
        <v>49174.83</v>
      </c>
      <c r="H39" s="3">
        <f t="shared" si="24"/>
        <v>33.575223713837467</v>
      </c>
      <c r="I39" s="3">
        <f t="shared" si="25"/>
        <v>5224.4700000000012</v>
      </c>
      <c r="J39" s="5">
        <f t="shared" si="26"/>
        <v>0.11887206384657603</v>
      </c>
      <c r="K39" s="1">
        <v>45321</v>
      </c>
      <c r="L39" s="1">
        <v>45400</v>
      </c>
      <c r="M39" s="54">
        <f t="shared" si="2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3"/>
        <v>202.80010053151383</v>
      </c>
      <c r="F40" s="3">
        <v>54466.53</v>
      </c>
      <c r="G40" s="3">
        <v>57142.12</v>
      </c>
      <c r="H40" s="3">
        <f t="shared" si="24"/>
        <v>212.76236397993094</v>
      </c>
      <c r="I40" s="3">
        <f t="shared" si="25"/>
        <v>2675.5900000000038</v>
      </c>
      <c r="J40" s="5">
        <f t="shared" si="26"/>
        <v>4.912356267234215E-2</v>
      </c>
      <c r="K40" s="1">
        <v>45370</v>
      </c>
      <c r="L40" s="1">
        <v>45401</v>
      </c>
      <c r="M40" s="54">
        <f t="shared" si="2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3"/>
        <v>72.032301948546731</v>
      </c>
      <c r="F41" s="3">
        <f>38270.34+5640.4</f>
        <v>43910.74</v>
      </c>
      <c r="G41" s="3">
        <v>46906.35</v>
      </c>
      <c r="H41" s="3">
        <f t="shared" si="24"/>
        <v>76.946377275905974</v>
      </c>
      <c r="I41" s="3">
        <f t="shared" si="25"/>
        <v>2995.6100000000006</v>
      </c>
      <c r="J41" s="5">
        <f t="shared" si="26"/>
        <v>6.8220439919709858E-2</v>
      </c>
      <c r="K41" s="1">
        <v>45313</v>
      </c>
      <c r="L41" s="1">
        <v>45420</v>
      </c>
      <c r="M41" s="54">
        <f t="shared" si="2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3"/>
        <v>26.796152173251542</v>
      </c>
      <c r="F42" s="3">
        <f>36957.24+22924.55</f>
        <v>59881.789999999994</v>
      </c>
      <c r="G42" s="3">
        <v>53143.62</v>
      </c>
      <c r="H42" s="3">
        <f t="shared" si="24"/>
        <v>23.780927867344218</v>
      </c>
      <c r="I42" s="3">
        <f t="shared" si="25"/>
        <v>-6738.169999999991</v>
      </c>
      <c r="J42" s="5">
        <f t="shared" si="26"/>
        <v>-0.11252452540246362</v>
      </c>
      <c r="K42" s="1">
        <v>45421</v>
      </c>
      <c r="L42" s="1">
        <v>45441</v>
      </c>
      <c r="M42" s="54">
        <f t="shared" si="2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3"/>
        <v>21.526049990446886</v>
      </c>
      <c r="F43" s="3">
        <f>28174.78+19947.6-17409.86</f>
        <v>30712.519999999997</v>
      </c>
      <c r="G43" s="3">
        <v>80427.22</v>
      </c>
      <c r="H43" s="3">
        <f t="shared" si="24"/>
        <v>56.370508128693771</v>
      </c>
      <c r="I43" s="3">
        <f t="shared" si="25"/>
        <v>49714.700000000004</v>
      </c>
      <c r="J43" s="5">
        <f t="shared" si="26"/>
        <v>1.6187111966064658</v>
      </c>
      <c r="K43" s="1">
        <v>45309</v>
      </c>
      <c r="L43" s="1">
        <v>45447</v>
      </c>
      <c r="M43" s="54">
        <f t="shared" si="2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3"/>
        <v>119.9800324750113</v>
      </c>
      <c r="F44" s="3">
        <v>59378.55</v>
      </c>
      <c r="G44" s="3">
        <v>52305.62</v>
      </c>
      <c r="H44" s="3">
        <f t="shared" si="24"/>
        <v>105.68850176074695</v>
      </c>
      <c r="I44" s="3">
        <f t="shared" si="25"/>
        <v>-7072.93</v>
      </c>
      <c r="J44" s="5">
        <f t="shared" si="26"/>
        <v>-0.1191159097013989</v>
      </c>
      <c r="K44" s="1">
        <v>45422</v>
      </c>
      <c r="L44" s="1">
        <v>45456</v>
      </c>
      <c r="M44" s="54">
        <f t="shared" si="2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3"/>
        <v>40.121826742024723</v>
      </c>
      <c r="F45" s="3">
        <v>84857.15</v>
      </c>
      <c r="G45" s="3">
        <v>77799.8</v>
      </c>
      <c r="H45" s="3">
        <f t="shared" si="24"/>
        <v>36.784998036867556</v>
      </c>
      <c r="I45" s="3">
        <f t="shared" si="25"/>
        <v>-7057.3499999999913</v>
      </c>
      <c r="J45" s="5">
        <f t="shared" si="26"/>
        <v>-8.3167417241799796E-2</v>
      </c>
      <c r="K45" s="1">
        <v>45446</v>
      </c>
      <c r="L45" s="1">
        <v>45461</v>
      </c>
      <c r="M45" s="54">
        <f t="shared" si="2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3"/>
        <v>190.14353095648559</v>
      </c>
      <c r="F46" s="3">
        <v>58070.69</v>
      </c>
      <c r="G46" s="3">
        <v>55002.36</v>
      </c>
      <c r="H46" s="3">
        <f t="shared" si="24"/>
        <v>180.0967569240139</v>
      </c>
      <c r="I46" s="3">
        <f t="shared" si="25"/>
        <v>-3068.3300000000017</v>
      </c>
      <c r="J46" s="5">
        <f t="shared" si="26"/>
        <v>-5.2837842980684432E-2</v>
      </c>
      <c r="K46" s="1">
        <v>45460</v>
      </c>
      <c r="L46" s="1">
        <v>45478</v>
      </c>
      <c r="M46" s="54">
        <f t="shared" si="2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3"/>
        <v>151.88325953610754</v>
      </c>
      <c r="F47" s="3">
        <v>59201.71</v>
      </c>
      <c r="G47" s="3">
        <v>55840.480000000003</v>
      </c>
      <c r="H47" s="3">
        <f t="shared" si="24"/>
        <v>143.25995172201652</v>
      </c>
      <c r="I47" s="3">
        <f t="shared" si="25"/>
        <v>-3361.2299999999959</v>
      </c>
      <c r="J47" s="5">
        <f t="shared" si="26"/>
        <v>-5.6775893804418755E-2</v>
      </c>
      <c r="K47" s="1">
        <v>45440</v>
      </c>
      <c r="L47" s="1">
        <v>45482</v>
      </c>
      <c r="M47" s="54">
        <f t="shared" si="2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23"/>
        <v>210.8544352001625</v>
      </c>
      <c r="F48" s="3">
        <v>58138.05</v>
      </c>
      <c r="G48" s="3">
        <v>51919.61</v>
      </c>
      <c r="H48" s="3">
        <f t="shared" si="24"/>
        <v>188.30146594807889</v>
      </c>
      <c r="I48" s="3">
        <f t="shared" si="25"/>
        <v>-6218.4400000000023</v>
      </c>
      <c r="J48" s="5">
        <f t="shared" si="26"/>
        <v>-0.1069598997558398</v>
      </c>
      <c r="K48" s="1">
        <v>45461</v>
      </c>
      <c r="L48" s="1">
        <v>45489</v>
      </c>
      <c r="M48" s="54">
        <f t="shared" si="2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23"/>
        <v>94.220008243735961</v>
      </c>
      <c r="F49" s="3">
        <v>24618.68</v>
      </c>
      <c r="G49" s="3">
        <v>30783.54</v>
      </c>
      <c r="H49" s="3">
        <f t="shared" si="24"/>
        <v>117.81400922272745</v>
      </c>
      <c r="I49" s="3">
        <f t="shared" si="25"/>
        <v>6164.8600000000006</v>
      </c>
      <c r="J49" s="5">
        <f t="shared" si="26"/>
        <v>0.25041391333735197</v>
      </c>
      <c r="K49" s="1">
        <v>45427</v>
      </c>
      <c r="L49" s="1">
        <v>45491</v>
      </c>
      <c r="M49" s="54">
        <f t="shared" si="2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23"/>
        <v>99.676254752352776</v>
      </c>
      <c r="F50" s="3">
        <v>71786.429999999993</v>
      </c>
      <c r="G50" s="3">
        <v>64047.02</v>
      </c>
      <c r="H50" s="3">
        <f t="shared" ref="H50:H53" si="28">G50/D50</f>
        <v>88.929998074135099</v>
      </c>
      <c r="I50" s="3">
        <f t="shared" ref="I50:I53" si="29">G50-F50</f>
        <v>-7739.4099999999962</v>
      </c>
      <c r="J50" s="5">
        <f t="shared" ref="J50:J53" si="30">I50/F50</f>
        <v>-0.10781160171915495</v>
      </c>
      <c r="K50" s="1">
        <v>45495</v>
      </c>
      <c r="L50" s="1">
        <v>45506</v>
      </c>
      <c r="M50" s="54">
        <f t="shared" si="2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23"/>
        <v>94.217245845358406</v>
      </c>
      <c r="F51" s="3">
        <f>88627.87-24618.68</f>
        <v>64009.189999999995</v>
      </c>
      <c r="G51" s="3">
        <v>69221.69</v>
      </c>
      <c r="H51" s="3">
        <f t="shared" si="28"/>
        <v>101.88969716006699</v>
      </c>
      <c r="I51" s="3">
        <f t="shared" si="29"/>
        <v>5212.5000000000073</v>
      </c>
      <c r="J51" s="5">
        <f t="shared" si="30"/>
        <v>8.1433619141251551E-2</v>
      </c>
      <c r="K51" s="1">
        <v>45427</v>
      </c>
      <c r="L51" s="1">
        <v>45506</v>
      </c>
      <c r="M51" s="54">
        <f t="shared" si="2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28"/>
        <v>24.260268707864267</v>
      </c>
      <c r="I52" s="3">
        <f t="shared" si="29"/>
        <v>-5424.5400000000009</v>
      </c>
      <c r="J52" s="5">
        <f t="shared" si="30"/>
        <v>-0.10662702360362285</v>
      </c>
      <c r="K52" s="1">
        <v>45478</v>
      </c>
      <c r="L52" s="1">
        <v>45506</v>
      </c>
      <c r="M52" s="54">
        <f t="shared" si="2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23"/>
        <v>150.35572938289613</v>
      </c>
      <c r="F53" s="3">
        <v>58706.59</v>
      </c>
      <c r="G53" s="3">
        <v>58315.35</v>
      </c>
      <c r="H53" s="3">
        <f t="shared" si="28"/>
        <v>149.35370941267195</v>
      </c>
      <c r="I53" s="3">
        <f t="shared" si="29"/>
        <v>-391.23999999999796</v>
      </c>
      <c r="J53" s="5">
        <f t="shared" si="30"/>
        <v>-6.6643284850984872E-3</v>
      </c>
      <c r="K53" s="1">
        <v>45426</v>
      </c>
      <c r="L53" s="1">
        <v>45506</v>
      </c>
      <c r="M53" s="54">
        <f t="shared" si="27"/>
        <v>78</v>
      </c>
    </row>
    <row r="54" spans="1:15" x14ac:dyDescent="0.25">
      <c r="C54" s="26"/>
      <c r="E54" s="3"/>
      <c r="J54" s="5"/>
      <c r="K54" s="1"/>
      <c r="L54" s="1"/>
      <c r="M54" s="54"/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SUM(I25:I53)</f>
        <v>30134.120000000017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11</v>
      </c>
      <c r="J58" s="5">
        <v>0.30649999999999999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sortState xmlns:xlrd2="http://schemas.microsoft.com/office/spreadsheetml/2017/richdata2" ref="A7:AC10">
    <sortCondition descending="1" ref="L7:L10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9936-69F3-4538-9B57-1555AF2A6D8C}">
  <dimension ref="A1:AE20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45513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9.5</v>
      </c>
      <c r="F7" s="3">
        <f t="shared" ref="F7:F16" si="0">E7*D7</f>
        <v>61576.324799999995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5785.2848000000013</v>
      </c>
      <c r="J7" s="27">
        <f t="shared" ref="J7:J16" si="3">E7-H7</f>
        <v>0.8925541720541279</v>
      </c>
      <c r="K7" s="28">
        <v>45378</v>
      </c>
      <c r="L7">
        <f t="shared" ref="L7:L15" si="4">DAYS360(K7,$C$1)</f>
        <v>132</v>
      </c>
      <c r="M7" s="5">
        <f t="shared" ref="M7:M16" si="5">(I7/G7)</f>
        <v>0.10369558982947803</v>
      </c>
      <c r="N7">
        <v>7</v>
      </c>
      <c r="O7">
        <v>98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6" si="7">H7-(H7*0.07)</f>
        <v>8.0049246199896604</v>
      </c>
      <c r="X7" s="30">
        <v>8.75</v>
      </c>
      <c r="Y7" s="5">
        <f t="shared" ref="Y7:Y16" si="8">(X7-H7)/H7</f>
        <v>1.6561727474519328E-2</v>
      </c>
      <c r="Z7" s="6">
        <f t="shared" ref="Z7:Z16" si="9">F7/F$19</f>
        <v>8.9722204961651869E-2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74.150000000000006</v>
      </c>
      <c r="F8" s="3">
        <f t="shared" si="0"/>
        <v>61426.030545000001</v>
      </c>
      <c r="G8" s="3">
        <v>47623.59</v>
      </c>
      <c r="H8" s="4">
        <f t="shared" si="1"/>
        <v>57.488481140141687</v>
      </c>
      <c r="I8" s="3">
        <f t="shared" si="2"/>
        <v>13802.440545000005</v>
      </c>
      <c r="J8" s="27">
        <f t="shared" si="3"/>
        <v>16.661518859858319</v>
      </c>
      <c r="K8" s="28">
        <v>45378</v>
      </c>
      <c r="L8">
        <f t="shared" si="4"/>
        <v>132</v>
      </c>
      <c r="M8" s="5">
        <f t="shared" si="5"/>
        <v>0.28982360517130284</v>
      </c>
      <c r="N8">
        <v>7</v>
      </c>
      <c r="O8">
        <v>94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67</v>
      </c>
      <c r="Y8" s="5">
        <f t="shared" si="8"/>
        <v>0.16545086374210774</v>
      </c>
      <c r="Z8" s="6">
        <f t="shared" si="9"/>
        <v>8.9503212808491273E-2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31.22</v>
      </c>
      <c r="F9" s="3">
        <f t="shared" si="0"/>
        <v>77254.470691999988</v>
      </c>
      <c r="G9" s="3">
        <f>44039.07+27471.43</f>
        <v>71510.5</v>
      </c>
      <c r="H9" s="4">
        <f t="shared" si="1"/>
        <v>28.898752266400425</v>
      </c>
      <c r="I9" s="3">
        <f t="shared" si="2"/>
        <v>5743.970691999988</v>
      </c>
      <c r="J9" s="27">
        <f t="shared" si="3"/>
        <v>2.3212477335995736</v>
      </c>
      <c r="K9" s="28">
        <v>45426</v>
      </c>
      <c r="L9">
        <f t="shared" si="4"/>
        <v>85</v>
      </c>
      <c r="M9" s="5">
        <f t="shared" si="5"/>
        <v>8.0323458680892842E-2</v>
      </c>
      <c r="N9">
        <v>24</v>
      </c>
      <c r="O9">
        <v>97</v>
      </c>
      <c r="P9" s="34">
        <v>72</v>
      </c>
      <c r="Q9" s="29">
        <v>31.27</v>
      </c>
      <c r="R9" s="30">
        <f t="shared" si="6"/>
        <v>29.081100000000003</v>
      </c>
      <c r="S9" s="30">
        <v>26.04</v>
      </c>
      <c r="T9" s="32">
        <f>Q9*1.25</f>
        <v>39.087499999999999</v>
      </c>
      <c r="U9" s="29">
        <f>Q9*1.5</f>
        <v>46.905000000000001</v>
      </c>
      <c r="V9" s="29">
        <f>Q9*2</f>
        <v>62.54</v>
      </c>
      <c r="W9" s="29">
        <f t="shared" si="7"/>
        <v>26.875839607752397</v>
      </c>
      <c r="X9" s="30">
        <v>27</v>
      </c>
      <c r="Y9" s="5">
        <f t="shared" si="8"/>
        <v>-6.570360716258461E-2</v>
      </c>
      <c r="Z9" s="6">
        <f t="shared" si="9"/>
        <v>0.11256666382972488</v>
      </c>
      <c r="AB9" s="31">
        <v>45604</v>
      </c>
      <c r="AC9" s="9">
        <v>99</v>
      </c>
    </row>
    <row r="10" spans="1:31" x14ac:dyDescent="0.25">
      <c r="C10" s="26"/>
      <c r="E10" s="27"/>
      <c r="F10" s="3">
        <f t="shared" si="0"/>
        <v>0</v>
      </c>
      <c r="H10" s="4" t="e">
        <f t="shared" si="1"/>
        <v>#DIV/0!</v>
      </c>
      <c r="I10" s="3">
        <f t="shared" si="2"/>
        <v>0</v>
      </c>
      <c r="J10" s="27" t="e">
        <f t="shared" si="3"/>
        <v>#DIV/0!</v>
      </c>
      <c r="K10" s="28"/>
      <c r="L10">
        <f t="shared" si="4"/>
        <v>44859</v>
      </c>
      <c r="M10" s="5" t="e">
        <f t="shared" si="5"/>
        <v>#DIV/0!</v>
      </c>
      <c r="P10" s="34"/>
      <c r="Q10" s="29"/>
      <c r="R10" s="30">
        <f t="shared" si="6"/>
        <v>0</v>
      </c>
      <c r="S10" s="30"/>
      <c r="T10" s="32">
        <f>Q10*1.25</f>
        <v>0</v>
      </c>
      <c r="U10" s="29">
        <f>Q10*1.5</f>
        <v>0</v>
      </c>
      <c r="V10" s="29">
        <f>Q10*2</f>
        <v>0</v>
      </c>
      <c r="W10" s="29" t="e">
        <f t="shared" si="7"/>
        <v>#DIV/0!</v>
      </c>
      <c r="X10" s="30"/>
      <c r="Y10" s="5" t="e">
        <f t="shared" si="8"/>
        <v>#DIV/0!</v>
      </c>
      <c r="Z10" s="33">
        <f t="shared" si="9"/>
        <v>0</v>
      </c>
      <c r="AA10" s="9"/>
      <c r="AB10" s="31"/>
      <c r="AC10" s="9"/>
    </row>
    <row r="11" spans="1:31" x14ac:dyDescent="0.25">
      <c r="C11" s="26"/>
      <c r="E11" s="27"/>
      <c r="F11" s="3">
        <f t="shared" si="0"/>
        <v>0</v>
      </c>
      <c r="H11" s="4" t="e">
        <f t="shared" si="1"/>
        <v>#DIV/0!</v>
      </c>
      <c r="I11" s="3">
        <f t="shared" si="2"/>
        <v>0</v>
      </c>
      <c r="J11" s="27" t="e">
        <f t="shared" si="3"/>
        <v>#DIV/0!</v>
      </c>
      <c r="K11" s="28"/>
      <c r="L11">
        <f t="shared" si="4"/>
        <v>44859</v>
      </c>
      <c r="M11" s="5" t="e">
        <f t="shared" si="5"/>
        <v>#DIV/0!</v>
      </c>
      <c r="P11" s="34"/>
      <c r="Q11" s="29"/>
      <c r="R11" s="30">
        <f t="shared" si="6"/>
        <v>0</v>
      </c>
      <c r="S11" s="30"/>
      <c r="T11" s="29">
        <f>Q11*1.25</f>
        <v>0</v>
      </c>
      <c r="U11" s="29">
        <f>Q11*1.5</f>
        <v>0</v>
      </c>
      <c r="V11" s="29">
        <f>Q11*2</f>
        <v>0</v>
      </c>
      <c r="W11" s="29" t="e">
        <f t="shared" si="7"/>
        <v>#DIV/0!</v>
      </c>
      <c r="X11" s="30"/>
      <c r="Y11" s="5" t="e">
        <f t="shared" si="8"/>
        <v>#DIV/0!</v>
      </c>
      <c r="Z11" s="6">
        <f t="shared" si="9"/>
        <v>0</v>
      </c>
      <c r="AB11" s="31"/>
      <c r="AC11" s="9"/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44859</v>
      </c>
      <c r="M12" s="5" t="e">
        <f t="shared" si="5"/>
        <v>#DIV/0!</v>
      </c>
      <c r="P12" s="34"/>
      <c r="Q12" s="29"/>
      <c r="R12" s="30">
        <f t="shared" si="6"/>
        <v>0</v>
      </c>
      <c r="S12" s="30"/>
      <c r="T12" s="32"/>
      <c r="U12" s="29"/>
      <c r="V12" s="29"/>
      <c r="W12" s="29" t="e">
        <f t="shared" si="7"/>
        <v>#DIV/0!</v>
      </c>
      <c r="X12" s="30"/>
      <c r="Y12" s="5" t="e">
        <f t="shared" si="8"/>
        <v>#DIV/0!</v>
      </c>
      <c r="Z12" s="6">
        <f t="shared" si="9"/>
        <v>0</v>
      </c>
      <c r="AB12" s="31"/>
      <c r="AC12" s="9"/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44859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29">
        <f>Q13*1.25</f>
        <v>0</v>
      </c>
      <c r="U13" s="29">
        <f>Q13*1.5</f>
        <v>0</v>
      </c>
      <c r="V13" s="29">
        <f>Q13*2</f>
        <v>0</v>
      </c>
      <c r="W13" s="29" t="e">
        <f t="shared" si="7"/>
        <v>#DIV/0!</v>
      </c>
      <c r="X13" s="30"/>
      <c r="Y13" s="5" t="e">
        <f t="shared" si="8"/>
        <v>#DIV/0!</v>
      </c>
      <c r="Z13" s="6">
        <f t="shared" si="9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44859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>Q14*1.25</f>
        <v>0</v>
      </c>
      <c r="U14" s="29">
        <f>Q14*1.5</f>
        <v>0</v>
      </c>
      <c r="V14" s="29">
        <f>Q14*2</f>
        <v>0</v>
      </c>
      <c r="W14" s="29" t="e">
        <f t="shared" si="7"/>
        <v>#DIV/0!</v>
      </c>
      <c r="X14" s="30"/>
      <c r="Y14" s="5" t="e">
        <f t="shared" si="8"/>
        <v>#DIV/0!</v>
      </c>
      <c r="Z14" s="6">
        <f t="shared" si="9"/>
        <v>0</v>
      </c>
      <c r="AB14" s="56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44859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si="7"/>
        <v>#DIV/0!</v>
      </c>
      <c r="X15" s="30"/>
      <c r="Y15" s="5" t="e">
        <f t="shared" si="8"/>
        <v>#DIV/0!</v>
      </c>
      <c r="Z15" s="33">
        <f t="shared" si="9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91.47</v>
      </c>
      <c r="F16" s="57">
        <f t="shared" si="0"/>
        <v>33268.901286</v>
      </c>
      <c r="G16" s="38">
        <v>33268.9</v>
      </c>
      <c r="H16" s="39">
        <f t="shared" si="1"/>
        <v>91.469996464252944</v>
      </c>
      <c r="I16" s="38">
        <f t="shared" si="2"/>
        <v>1.2859999987995252E-3</v>
      </c>
      <c r="J16" s="37">
        <f t="shared" si="3"/>
        <v>3.535747055138927E-6</v>
      </c>
      <c r="K16" s="40"/>
      <c r="L16" s="35"/>
      <c r="M16" s="41">
        <f t="shared" si="5"/>
        <v>3.8654719536850485E-8</v>
      </c>
      <c r="N16" s="35"/>
      <c r="O16" s="35"/>
      <c r="P16" s="35"/>
      <c r="Q16" s="42"/>
      <c r="R16" s="43">
        <f t="shared" si="6"/>
        <v>0</v>
      </c>
      <c r="S16" s="43"/>
      <c r="T16" s="42">
        <f t="shared" ref="T16" si="10">Q16*1.25</f>
        <v>0</v>
      </c>
      <c r="U16" s="42">
        <f t="shared" ref="U16" si="11">Q16*1.5</f>
        <v>0</v>
      </c>
      <c r="V16" s="42">
        <f t="shared" ref="V16" si="12">Q16*2</f>
        <v>0</v>
      </c>
      <c r="W16" s="42">
        <f t="shared" si="7"/>
        <v>85.067096711755241</v>
      </c>
      <c r="X16" s="43"/>
      <c r="Y16" s="41">
        <f t="shared" si="8"/>
        <v>-1</v>
      </c>
      <c r="Z16" s="44">
        <f t="shared" si="9"/>
        <v>4.8475760606476723E-2</v>
      </c>
      <c r="AB16" s="31"/>
      <c r="AC16" s="9"/>
    </row>
    <row r="17" spans="1:26" x14ac:dyDescent="0.25">
      <c r="A17" t="s">
        <v>53</v>
      </c>
      <c r="F17" s="3">
        <f>SUM(F6:F16)</f>
        <v>233525.727323</v>
      </c>
      <c r="G17" s="3">
        <f>SUM(G6:G16)</f>
        <v>208194.03</v>
      </c>
      <c r="H17" s="4"/>
      <c r="I17" s="3">
        <f>SUM(I6:I16)</f>
        <v>25331.697322999993</v>
      </c>
      <c r="M17" s="5"/>
      <c r="Z17" s="6"/>
    </row>
    <row r="18" spans="1:26" x14ac:dyDescent="0.25">
      <c r="D18" s="2" t="s">
        <v>54</v>
      </c>
      <c r="F18" s="3">
        <v>452774</v>
      </c>
      <c r="G18" s="6">
        <f>F18/F19</f>
        <v>0.65973215779365524</v>
      </c>
      <c r="H18" s="4"/>
      <c r="M18" s="5"/>
      <c r="Z18" s="6"/>
    </row>
    <row r="19" spans="1:26" x14ac:dyDescent="0.25">
      <c r="D19" s="2" t="s">
        <v>55</v>
      </c>
      <c r="F19" s="3">
        <f>SUM(F17:F18)</f>
        <v>686299.72732299997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'08-02-24'!F19</f>
        <v>678296.63142600004</v>
      </c>
      <c r="K20" s="1">
        <v>45291</v>
      </c>
      <c r="L20" s="47">
        <v>139707.06</v>
      </c>
      <c r="M20" s="47">
        <v>155848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1.1798814156241384E-2</v>
      </c>
      <c r="K21" s="9" t="s">
        <v>58</v>
      </c>
      <c r="L21" s="6">
        <f>(M20-L20)/L20</f>
        <v>0.11553417558139153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4" si="13">F25/D25</f>
        <v>47.428061535569462</v>
      </c>
      <c r="F25" s="3">
        <v>38349.050000000003</v>
      </c>
      <c r="G25" s="3">
        <v>35186.18</v>
      </c>
      <c r="H25" s="3">
        <f t="shared" ref="H25:H54" si="14">G25/D25</f>
        <v>43.516392459307944</v>
      </c>
      <c r="I25" s="3">
        <f t="shared" ref="I25:I54" si="15">G25-F25</f>
        <v>-3162.8700000000026</v>
      </c>
      <c r="J25" s="5">
        <f t="shared" ref="J25:J54" si="16">I25/F25</f>
        <v>-8.2475837080710018E-2</v>
      </c>
      <c r="K25" s="1">
        <v>45286</v>
      </c>
      <c r="L25" s="1">
        <v>45302</v>
      </c>
      <c r="M25">
        <f t="shared" ref="M25:M5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SUM(I25:I54)</f>
        <v>30175.880000000012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12</v>
      </c>
      <c r="J58" s="5">
        <v>0.28100000000000003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ECC4-9BF2-45E7-A78E-0347861A29B3}">
  <dimension ref="A1:AE208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45520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10.65</v>
      </c>
      <c r="F7" s="3">
        <f t="shared" ref="F7:F16" si="0">E7*D7</f>
        <v>69030.300959999993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13239.26096</v>
      </c>
      <c r="J7" s="27">
        <f t="shared" ref="J7:J16" si="3">E7-H7</f>
        <v>2.0425541720541283</v>
      </c>
      <c r="K7" s="28">
        <v>45378</v>
      </c>
      <c r="L7">
        <f t="shared" ref="L7:L15" si="4">DAYS360(K7,$C$1)</f>
        <v>139</v>
      </c>
      <c r="M7" s="5">
        <f t="shared" ref="M7:M16" si="5">(I7/G7)</f>
        <v>0.23730084544041483</v>
      </c>
      <c r="N7">
        <v>6</v>
      </c>
      <c r="O7">
        <v>98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>Q7*1.25</f>
        <v>8.4499999999999993</v>
      </c>
      <c r="U7" s="29">
        <f>Q7*1.5</f>
        <v>10.14</v>
      </c>
      <c r="V7" s="29">
        <f>Q7*2</f>
        <v>13.52</v>
      </c>
      <c r="W7" s="29">
        <f t="shared" ref="W7:W16" si="7">H7-(H7*0.07)</f>
        <v>8.0049246199896604</v>
      </c>
      <c r="X7" s="30">
        <v>8.75</v>
      </c>
      <c r="Y7" s="5">
        <f t="shared" ref="Y7:Y16" si="8">(X7-H7)/H7</f>
        <v>1.6561727474519328E-2</v>
      </c>
      <c r="Z7" s="6">
        <f t="shared" ref="Z7:Z16" si="9">F7/F$19</f>
        <v>9.8357201156576257E-2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80</v>
      </c>
      <c r="F8" s="3">
        <f t="shared" si="0"/>
        <v>66272.183999999994</v>
      </c>
      <c r="G8" s="3">
        <v>47623.59</v>
      </c>
      <c r="H8" s="4">
        <f t="shared" si="1"/>
        <v>57.488481140141687</v>
      </c>
      <c r="I8" s="3">
        <f t="shared" si="2"/>
        <v>18648.593999999997</v>
      </c>
      <c r="J8" s="27">
        <f t="shared" si="3"/>
        <v>22.511518859858313</v>
      </c>
      <c r="K8" s="28">
        <v>45378</v>
      </c>
      <c r="L8">
        <f t="shared" si="4"/>
        <v>139</v>
      </c>
      <c r="M8" s="5">
        <f t="shared" si="5"/>
        <v>0.39158312088609865</v>
      </c>
      <c r="N8">
        <v>6</v>
      </c>
      <c r="O8">
        <v>95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>Q8*1.25</f>
        <v>88.087500000000006</v>
      </c>
      <c r="U8" s="29">
        <f>Q8*1.5</f>
        <v>105.705</v>
      </c>
      <c r="V8" s="29">
        <f>Q8*2</f>
        <v>140.94</v>
      </c>
      <c r="W8" s="29">
        <f t="shared" si="7"/>
        <v>53.464287460331768</v>
      </c>
      <c r="X8" s="30">
        <v>67</v>
      </c>
      <c r="Y8" s="5">
        <f t="shared" si="8"/>
        <v>0.16545086374210774</v>
      </c>
      <c r="Z8" s="6">
        <f t="shared" si="9"/>
        <v>9.4427323104830832E-2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32.5</v>
      </c>
      <c r="F9" s="3">
        <f t="shared" si="0"/>
        <v>80421.854500000001</v>
      </c>
      <c r="G9" s="3">
        <f>44039.07+27471.43</f>
        <v>71510.5</v>
      </c>
      <c r="H9" s="4">
        <f t="shared" si="1"/>
        <v>28.898752266400425</v>
      </c>
      <c r="I9" s="3">
        <f t="shared" si="2"/>
        <v>8911.3545000000013</v>
      </c>
      <c r="J9" s="27">
        <f t="shared" si="3"/>
        <v>3.6012477335995747</v>
      </c>
      <c r="K9" s="28">
        <v>45426</v>
      </c>
      <c r="L9">
        <f t="shared" si="4"/>
        <v>92</v>
      </c>
      <c r="M9" s="5">
        <f t="shared" si="5"/>
        <v>0.12461602841540755</v>
      </c>
      <c r="N9">
        <v>20</v>
      </c>
      <c r="O9">
        <v>97</v>
      </c>
      <c r="P9" s="34">
        <v>71</v>
      </c>
      <c r="Q9" s="29">
        <v>31.4</v>
      </c>
      <c r="R9" s="30">
        <f t="shared" si="6"/>
        <v>29.202000000000002</v>
      </c>
      <c r="S9" s="30">
        <v>26.04</v>
      </c>
      <c r="T9" s="32">
        <f>Q9*1.25</f>
        <v>39.25</v>
      </c>
      <c r="U9" s="29">
        <f>Q9*1.5</f>
        <v>47.099999999999994</v>
      </c>
      <c r="V9" s="29">
        <f>Q9*2</f>
        <v>62.8</v>
      </c>
      <c r="W9" s="29">
        <f t="shared" si="7"/>
        <v>26.875839607752397</v>
      </c>
      <c r="X9" s="30">
        <v>28</v>
      </c>
      <c r="Y9" s="5">
        <f t="shared" si="8"/>
        <v>-3.1100037057495152E-2</v>
      </c>
      <c r="Z9" s="6">
        <f t="shared" si="9"/>
        <v>0.11458835338158155</v>
      </c>
      <c r="AB9" s="31">
        <v>45604</v>
      </c>
      <c r="AC9" s="9">
        <v>99</v>
      </c>
    </row>
    <row r="10" spans="1:31" x14ac:dyDescent="0.25">
      <c r="C10" s="26"/>
      <c r="E10" s="27"/>
      <c r="F10" s="3">
        <f t="shared" si="0"/>
        <v>0</v>
      </c>
      <c r="H10" s="4" t="e">
        <f t="shared" si="1"/>
        <v>#DIV/0!</v>
      </c>
      <c r="I10" s="3">
        <f t="shared" si="2"/>
        <v>0</v>
      </c>
      <c r="J10" s="27" t="e">
        <f t="shared" si="3"/>
        <v>#DIV/0!</v>
      </c>
      <c r="K10" s="28"/>
      <c r="L10">
        <f t="shared" si="4"/>
        <v>44866</v>
      </c>
      <c r="M10" s="5" t="e">
        <f t="shared" si="5"/>
        <v>#DIV/0!</v>
      </c>
      <c r="P10" s="34"/>
      <c r="Q10" s="29"/>
      <c r="R10" s="30">
        <f t="shared" si="6"/>
        <v>0</v>
      </c>
      <c r="S10" s="30"/>
      <c r="T10" s="32">
        <f>Q10*1.25</f>
        <v>0</v>
      </c>
      <c r="U10" s="29">
        <f>Q10*1.5</f>
        <v>0</v>
      </c>
      <c r="V10" s="29">
        <f>Q10*2</f>
        <v>0</v>
      </c>
      <c r="W10" s="29" t="e">
        <f t="shared" si="7"/>
        <v>#DIV/0!</v>
      </c>
      <c r="X10" s="30"/>
      <c r="Y10" s="5" t="e">
        <f t="shared" si="8"/>
        <v>#DIV/0!</v>
      </c>
      <c r="Z10" s="33">
        <f t="shared" si="9"/>
        <v>0</v>
      </c>
      <c r="AA10" s="9"/>
      <c r="AB10" s="31"/>
      <c r="AC10" s="9"/>
    </row>
    <row r="11" spans="1:31" x14ac:dyDescent="0.25">
      <c r="C11" s="26"/>
      <c r="E11" s="27"/>
      <c r="F11" s="3">
        <f t="shared" si="0"/>
        <v>0</v>
      </c>
      <c r="H11" s="4" t="e">
        <f t="shared" si="1"/>
        <v>#DIV/0!</v>
      </c>
      <c r="I11" s="3">
        <f t="shared" si="2"/>
        <v>0</v>
      </c>
      <c r="J11" s="27" t="e">
        <f t="shared" si="3"/>
        <v>#DIV/0!</v>
      </c>
      <c r="K11" s="28"/>
      <c r="L11">
        <f t="shared" si="4"/>
        <v>44866</v>
      </c>
      <c r="M11" s="5" t="e">
        <f t="shared" si="5"/>
        <v>#DIV/0!</v>
      </c>
      <c r="P11" s="34"/>
      <c r="Q11" s="29"/>
      <c r="R11" s="30">
        <f t="shared" si="6"/>
        <v>0</v>
      </c>
      <c r="S11" s="30"/>
      <c r="T11" s="29">
        <f>Q11*1.25</f>
        <v>0</v>
      </c>
      <c r="U11" s="29">
        <f>Q11*1.5</f>
        <v>0</v>
      </c>
      <c r="V11" s="29">
        <f>Q11*2</f>
        <v>0</v>
      </c>
      <c r="W11" s="29" t="e">
        <f t="shared" si="7"/>
        <v>#DIV/0!</v>
      </c>
      <c r="X11" s="30"/>
      <c r="Y11" s="5" t="e">
        <f t="shared" si="8"/>
        <v>#DIV/0!</v>
      </c>
      <c r="Z11" s="6">
        <f t="shared" si="9"/>
        <v>0</v>
      </c>
      <c r="AB11" s="31"/>
      <c r="AC11" s="9"/>
    </row>
    <row r="12" spans="1:31" x14ac:dyDescent="0.25">
      <c r="C12" s="26"/>
      <c r="E12" s="27"/>
      <c r="F12" s="3">
        <f t="shared" si="0"/>
        <v>0</v>
      </c>
      <c r="H12" s="4" t="e">
        <f t="shared" si="1"/>
        <v>#DIV/0!</v>
      </c>
      <c r="I12" s="3">
        <f t="shared" si="2"/>
        <v>0</v>
      </c>
      <c r="J12" s="27" t="e">
        <f t="shared" si="3"/>
        <v>#DIV/0!</v>
      </c>
      <c r="K12" s="28"/>
      <c r="L12">
        <f t="shared" si="4"/>
        <v>44866</v>
      </c>
      <c r="M12" s="5" t="e">
        <f t="shared" si="5"/>
        <v>#DIV/0!</v>
      </c>
      <c r="P12" s="34"/>
      <c r="Q12" s="29"/>
      <c r="R12" s="30">
        <f t="shared" si="6"/>
        <v>0</v>
      </c>
      <c r="S12" s="30"/>
      <c r="T12" s="32"/>
      <c r="U12" s="29"/>
      <c r="V12" s="29"/>
      <c r="W12" s="29" t="e">
        <f t="shared" si="7"/>
        <v>#DIV/0!</v>
      </c>
      <c r="X12" s="30"/>
      <c r="Y12" s="5" t="e">
        <f t="shared" si="8"/>
        <v>#DIV/0!</v>
      </c>
      <c r="Z12" s="6">
        <f t="shared" si="9"/>
        <v>0</v>
      </c>
      <c r="AB12" s="31"/>
      <c r="AC12" s="9"/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44866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29">
        <f>Q13*1.25</f>
        <v>0</v>
      </c>
      <c r="U13" s="29">
        <f>Q13*1.5</f>
        <v>0</v>
      </c>
      <c r="V13" s="29">
        <f>Q13*2</f>
        <v>0</v>
      </c>
      <c r="W13" s="29" t="e">
        <f t="shared" si="7"/>
        <v>#DIV/0!</v>
      </c>
      <c r="X13" s="30"/>
      <c r="Y13" s="5" t="e">
        <f t="shared" si="8"/>
        <v>#DIV/0!</v>
      </c>
      <c r="Z13" s="6">
        <f t="shared" si="9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44866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>Q14*1.25</f>
        <v>0</v>
      </c>
      <c r="U14" s="29">
        <f>Q14*1.5</f>
        <v>0</v>
      </c>
      <c r="V14" s="29">
        <f>Q14*2</f>
        <v>0</v>
      </c>
      <c r="W14" s="29" t="e">
        <f t="shared" si="7"/>
        <v>#DIV/0!</v>
      </c>
      <c r="X14" s="30"/>
      <c r="Y14" s="5" t="e">
        <f t="shared" si="8"/>
        <v>#DIV/0!</v>
      </c>
      <c r="Z14" s="6">
        <f t="shared" si="9"/>
        <v>0</v>
      </c>
      <c r="AB14" s="56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44866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>Q15*1.25</f>
        <v>0</v>
      </c>
      <c r="U15" s="29">
        <f>Q15*1.5</f>
        <v>0</v>
      </c>
      <c r="V15" s="29">
        <f>Q15*2</f>
        <v>0</v>
      </c>
      <c r="W15" s="29" t="e">
        <f t="shared" si="7"/>
        <v>#DIV/0!</v>
      </c>
      <c r="X15" s="30"/>
      <c r="Y15" s="5" t="e">
        <f t="shared" si="8"/>
        <v>#DIV/0!</v>
      </c>
      <c r="Z15" s="33">
        <f t="shared" si="9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91.65</v>
      </c>
      <c r="F16" s="57">
        <f t="shared" si="0"/>
        <v>33334.369770000005</v>
      </c>
      <c r="G16" s="38">
        <v>33268.9</v>
      </c>
      <c r="H16" s="39">
        <f t="shared" si="1"/>
        <v>91.469996464252944</v>
      </c>
      <c r="I16" s="38">
        <f t="shared" si="2"/>
        <v>65.469770000003336</v>
      </c>
      <c r="J16" s="37">
        <f t="shared" si="3"/>
        <v>0.18000353574706196</v>
      </c>
      <c r="K16" s="40"/>
      <c r="L16" s="35"/>
      <c r="M16" s="41">
        <f t="shared" si="5"/>
        <v>1.967897044988062E-3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ref="T16" si="10">Q16*1.25</f>
        <v>0</v>
      </c>
      <c r="U16" s="42">
        <f t="shared" ref="U16" si="11">Q16*1.5</f>
        <v>0</v>
      </c>
      <c r="V16" s="42">
        <f t="shared" ref="V16" si="12">Q16*2</f>
        <v>0</v>
      </c>
      <c r="W16" s="42">
        <f t="shared" si="7"/>
        <v>85.067096711755241</v>
      </c>
      <c r="X16" s="43"/>
      <c r="Y16" s="41">
        <f t="shared" si="8"/>
        <v>-1</v>
      </c>
      <c r="Z16" s="44">
        <f t="shared" si="9"/>
        <v>4.7496175843061039E-2</v>
      </c>
      <c r="AB16" s="31"/>
      <c r="AC16" s="9"/>
    </row>
    <row r="17" spans="1:26" x14ac:dyDescent="0.25">
      <c r="A17" t="s">
        <v>53</v>
      </c>
      <c r="F17" s="3">
        <f>SUM(F6:F16)</f>
        <v>249058.70922999998</v>
      </c>
      <c r="G17" s="3">
        <f>SUM(G6:G16)</f>
        <v>208194.03</v>
      </c>
      <c r="H17" s="4"/>
      <c r="I17" s="3">
        <f>SUM(I6:I16)</f>
        <v>40864.679230000002</v>
      </c>
      <c r="M17" s="5"/>
      <c r="Z17" s="6"/>
    </row>
    <row r="18" spans="1:26" x14ac:dyDescent="0.25">
      <c r="D18" s="2" t="s">
        <v>54</v>
      </c>
      <c r="F18" s="3">
        <v>452774</v>
      </c>
      <c r="G18" s="6">
        <f>F18/F19</f>
        <v>0.64513094651395042</v>
      </c>
      <c r="H18" s="4"/>
      <c r="M18" s="5"/>
      <c r="Z18" s="6"/>
    </row>
    <row r="19" spans="1:26" x14ac:dyDescent="0.25">
      <c r="D19" s="2" t="s">
        <v>55</v>
      </c>
      <c r="F19" s="3">
        <f>SUM(F17:F18)</f>
        <v>701832.70922999992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'08-09-24'!F19</f>
        <v>686299.72732299997</v>
      </c>
      <c r="K20" s="1">
        <v>45291</v>
      </c>
      <c r="L20" s="47">
        <v>139707.06</v>
      </c>
      <c r="M20" s="47">
        <v>159641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2.2632941976515622E-2</v>
      </c>
      <c r="K21" s="9" t="s">
        <v>58</v>
      </c>
      <c r="L21" s="6">
        <f>(M20-L20)/L20</f>
        <v>0.14268384146083957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4" si="13">F25/D25</f>
        <v>47.428061535569462</v>
      </c>
      <c r="F25" s="3">
        <v>38349.050000000003</v>
      </c>
      <c r="G25" s="3">
        <v>35186.18</v>
      </c>
      <c r="H25" s="3">
        <f t="shared" ref="H25:H54" si="14">G25/D25</f>
        <v>43.516392459307944</v>
      </c>
      <c r="I25" s="3">
        <f t="shared" ref="I25:I54" si="15">G25-F25</f>
        <v>-3162.8700000000026</v>
      </c>
      <c r="J25" s="5">
        <f t="shared" ref="J25:J54" si="16">I25/F25</f>
        <v>-8.2475837080710018E-2</v>
      </c>
      <c r="K25" s="1">
        <v>45286</v>
      </c>
      <c r="L25" s="1">
        <v>45302</v>
      </c>
      <c r="M25">
        <f t="shared" ref="M25:M5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SUM(I25:I54)</f>
        <v>30175.880000000012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12</v>
      </c>
      <c r="J58" s="5">
        <v>0.28100000000000003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2FC-A1D1-4DD1-AD3B-E9E8D4885275}">
  <dimension ref="A1:AE208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45527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10.37</v>
      </c>
      <c r="F7" s="3">
        <f t="shared" ref="F7:F16" si="0">E7*D7</f>
        <v>67215.419807999991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11424.379807999998</v>
      </c>
      <c r="J7" s="27">
        <f t="shared" ref="J7:J16" si="3">E7-H7</f>
        <v>1.7625541720541271</v>
      </c>
      <c r="K7" s="28">
        <v>45378</v>
      </c>
      <c r="L7">
        <f t="shared" ref="L7:L15" si="4">DAYS360(K7,$C$1)</f>
        <v>146</v>
      </c>
      <c r="M7" s="5">
        <f t="shared" ref="M7:M16" si="5">(I7/G7)</f>
        <v>0.20477087016123016</v>
      </c>
      <c r="N7">
        <v>8</v>
      </c>
      <c r="O7">
        <v>97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 t="shared" ref="T7:T15" si="7">Q7*1.25</f>
        <v>8.4499999999999993</v>
      </c>
      <c r="U7" s="29">
        <f t="shared" ref="U7:U15" si="8">Q7*1.5</f>
        <v>10.14</v>
      </c>
      <c r="V7" s="29">
        <f t="shared" ref="V7:V15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9.5409703151355565E-2</v>
      </c>
      <c r="AB7" s="31">
        <v>45531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82.79</v>
      </c>
      <c r="F8" s="3">
        <f t="shared" si="0"/>
        <v>68583.42641700001</v>
      </c>
      <c r="G8" s="3">
        <v>47623.59</v>
      </c>
      <c r="H8" s="4">
        <f t="shared" si="1"/>
        <v>57.488481140141687</v>
      </c>
      <c r="I8" s="3">
        <f t="shared" si="2"/>
        <v>20959.836417000013</v>
      </c>
      <c r="J8" s="27">
        <f t="shared" si="3"/>
        <v>25.301518859858319</v>
      </c>
      <c r="K8" s="28">
        <v>45378</v>
      </c>
      <c r="L8">
        <f t="shared" si="4"/>
        <v>146</v>
      </c>
      <c r="M8" s="5">
        <f t="shared" si="5"/>
        <v>0.44011458222700167</v>
      </c>
      <c r="N8">
        <v>8</v>
      </c>
      <c r="O8">
        <v>95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67</v>
      </c>
      <c r="Y8" s="5">
        <f t="shared" si="11"/>
        <v>0.16545086374210774</v>
      </c>
      <c r="Z8" s="6">
        <f t="shared" si="12"/>
        <v>9.7351535916019041E-2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33.68</v>
      </c>
      <c r="F9" s="3">
        <f t="shared" si="0"/>
        <v>83341.786447999999</v>
      </c>
      <c r="G9" s="3">
        <f>44039.07+27471.43</f>
        <v>71510.5</v>
      </c>
      <c r="H9" s="4">
        <f t="shared" si="1"/>
        <v>28.898752266400425</v>
      </c>
      <c r="I9" s="3">
        <f t="shared" si="2"/>
        <v>11831.286447999999</v>
      </c>
      <c r="J9" s="27">
        <f t="shared" si="3"/>
        <v>4.7812477335995744</v>
      </c>
      <c r="K9" s="28">
        <v>45426</v>
      </c>
      <c r="L9">
        <f t="shared" si="4"/>
        <v>99</v>
      </c>
      <c r="M9" s="5">
        <f t="shared" si="5"/>
        <v>0.16544824113941309</v>
      </c>
      <c r="N9">
        <v>21</v>
      </c>
      <c r="O9">
        <v>97</v>
      </c>
      <c r="P9" s="34">
        <v>71</v>
      </c>
      <c r="Q9" s="29">
        <v>31.4</v>
      </c>
      <c r="R9" s="30">
        <f t="shared" si="6"/>
        <v>29.202000000000002</v>
      </c>
      <c r="S9" s="30">
        <v>26.04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28</v>
      </c>
      <c r="Y9" s="5">
        <f t="shared" si="11"/>
        <v>-3.1100037057495152E-2</v>
      </c>
      <c r="Z9" s="6">
        <f t="shared" si="12"/>
        <v>0.11830046033813428</v>
      </c>
      <c r="AB9" s="31">
        <v>45604</v>
      </c>
      <c r="AC9" s="9">
        <v>99</v>
      </c>
    </row>
    <row r="10" spans="1:31" x14ac:dyDescent="0.25">
      <c r="A10" t="s">
        <v>155</v>
      </c>
      <c r="B10" t="s">
        <v>33</v>
      </c>
      <c r="C10" s="26" t="s">
        <v>156</v>
      </c>
      <c r="D10" s="2">
        <v>206.7054</v>
      </c>
      <c r="E10" s="27">
        <v>338.5</v>
      </c>
      <c r="F10" s="3">
        <f t="shared" si="0"/>
        <v>69969.777900000001</v>
      </c>
      <c r="G10" s="3">
        <v>70918.34</v>
      </c>
      <c r="H10" s="4">
        <f t="shared" si="1"/>
        <v>343.08895655362653</v>
      </c>
      <c r="I10" s="3">
        <f t="shared" si="2"/>
        <v>-948.56209999999555</v>
      </c>
      <c r="J10" s="27">
        <f t="shared" si="3"/>
        <v>-4.5889565536265309</v>
      </c>
      <c r="K10" s="28">
        <v>45525</v>
      </c>
      <c r="L10">
        <f t="shared" si="4"/>
        <v>2</v>
      </c>
      <c r="M10" s="5">
        <f t="shared" si="5"/>
        <v>-1.3375413186490203E-2</v>
      </c>
      <c r="N10">
        <v>32</v>
      </c>
      <c r="O10">
        <v>94</v>
      </c>
      <c r="P10" s="34">
        <v>99</v>
      </c>
      <c r="Q10" s="29">
        <v>341.17</v>
      </c>
      <c r="R10" s="30">
        <f t="shared" si="6"/>
        <v>317.28810000000004</v>
      </c>
      <c r="S10" s="30">
        <v>322.62</v>
      </c>
      <c r="T10" s="32">
        <f t="shared" si="7"/>
        <v>426.46250000000003</v>
      </c>
      <c r="U10" s="29">
        <f t="shared" si="8"/>
        <v>511.755</v>
      </c>
      <c r="V10" s="29">
        <f t="shared" si="9"/>
        <v>682.34</v>
      </c>
      <c r="W10" s="29">
        <f t="shared" si="10"/>
        <v>319.07272959487267</v>
      </c>
      <c r="X10" s="30">
        <v>319</v>
      </c>
      <c r="Y10" s="5">
        <f t="shared" si="11"/>
        <v>-7.0211984657283205E-2</v>
      </c>
      <c r="Z10" s="33">
        <f t="shared" si="12"/>
        <v>9.9319408523737662E-2</v>
      </c>
      <c r="AA10" s="9"/>
      <c r="AB10" s="31">
        <v>45589</v>
      </c>
      <c r="AC10" s="9">
        <v>99</v>
      </c>
    </row>
    <row r="11" spans="1:31" x14ac:dyDescent="0.25">
      <c r="A11" t="s">
        <v>157</v>
      </c>
      <c r="B11" t="s">
        <v>33</v>
      </c>
      <c r="C11" s="26" t="s">
        <v>159</v>
      </c>
      <c r="D11" s="2">
        <v>1263.7796000000001</v>
      </c>
      <c r="E11" s="27">
        <v>44.57</v>
      </c>
      <c r="F11" s="3">
        <f t="shared" si="0"/>
        <v>56326.656772000002</v>
      </c>
      <c r="G11" s="3">
        <v>56489.42</v>
      </c>
      <c r="H11" s="4">
        <f t="shared" si="1"/>
        <v>44.698790833464948</v>
      </c>
      <c r="I11" s="3">
        <f t="shared" si="2"/>
        <v>-162.76322799999616</v>
      </c>
      <c r="J11" s="27">
        <f t="shared" si="3"/>
        <v>-0.12879083346494724</v>
      </c>
      <c r="K11" s="28">
        <v>45527</v>
      </c>
      <c r="L11">
        <f t="shared" si="4"/>
        <v>0</v>
      </c>
      <c r="M11" s="5">
        <f t="shared" si="5"/>
        <v>-2.8813046407627509E-3</v>
      </c>
      <c r="N11">
        <v>138</v>
      </c>
      <c r="O11">
        <v>92</v>
      </c>
      <c r="P11" s="34">
        <v>81</v>
      </c>
      <c r="Q11" s="29">
        <v>43.2</v>
      </c>
      <c r="R11" s="30">
        <f t="shared" si="6"/>
        <v>40.176000000000002</v>
      </c>
      <c r="S11" s="30">
        <v>41.12</v>
      </c>
      <c r="T11" s="29">
        <f t="shared" si="7"/>
        <v>54</v>
      </c>
      <c r="U11" s="29">
        <f t="shared" si="8"/>
        <v>64.800000000000011</v>
      </c>
      <c r="V11" s="29">
        <f t="shared" si="9"/>
        <v>86.4</v>
      </c>
      <c r="W11" s="29">
        <f t="shared" si="10"/>
        <v>41.569875475122402</v>
      </c>
      <c r="X11" s="30">
        <v>41.57</v>
      </c>
      <c r="Y11" s="5">
        <f t="shared" si="11"/>
        <v>-6.9997214133195165E-2</v>
      </c>
      <c r="Z11" s="6">
        <f t="shared" si="12"/>
        <v>7.995352282967047E-2</v>
      </c>
      <c r="AB11" s="31">
        <v>45608</v>
      </c>
      <c r="AC11" s="9">
        <v>95</v>
      </c>
    </row>
    <row r="12" spans="1:31" x14ac:dyDescent="0.25">
      <c r="A12" t="s">
        <v>158</v>
      </c>
      <c r="B12" t="s">
        <v>33</v>
      </c>
      <c r="C12" s="26" t="s">
        <v>160</v>
      </c>
      <c r="D12" s="2">
        <v>3020.3485999999998</v>
      </c>
      <c r="E12" s="27">
        <v>18.82</v>
      </c>
      <c r="F12" s="3">
        <f t="shared" si="0"/>
        <v>56842.960651999994</v>
      </c>
      <c r="G12" s="3">
        <v>56486.59</v>
      </c>
      <c r="H12" s="4">
        <f t="shared" si="1"/>
        <v>18.702010092477405</v>
      </c>
      <c r="I12" s="3">
        <f t="shared" si="2"/>
        <v>356.37065199999779</v>
      </c>
      <c r="J12" s="27">
        <f t="shared" si="3"/>
        <v>0.11798990752259542</v>
      </c>
      <c r="K12" s="28">
        <v>45527</v>
      </c>
      <c r="L12">
        <f t="shared" si="4"/>
        <v>0</v>
      </c>
      <c r="M12" s="5">
        <f t="shared" si="5"/>
        <v>6.308942564952103E-3</v>
      </c>
      <c r="N12">
        <v>158</v>
      </c>
      <c r="O12">
        <v>95</v>
      </c>
      <c r="P12" s="34">
        <v>86</v>
      </c>
      <c r="Q12" s="29">
        <v>17.86</v>
      </c>
      <c r="R12" s="30">
        <f t="shared" si="6"/>
        <v>16.6098</v>
      </c>
      <c r="S12" s="30">
        <v>17.04</v>
      </c>
      <c r="T12" s="32">
        <f t="shared" si="7"/>
        <v>22.324999999999999</v>
      </c>
      <c r="U12" s="29">
        <f t="shared" si="8"/>
        <v>26.79</v>
      </c>
      <c r="V12" s="29">
        <f t="shared" si="9"/>
        <v>35.72</v>
      </c>
      <c r="W12" s="29">
        <f t="shared" si="10"/>
        <v>17.392869386003987</v>
      </c>
      <c r="X12" s="30">
        <v>17</v>
      </c>
      <c r="Y12" s="5">
        <f t="shared" si="11"/>
        <v>-9.100680002103155E-2</v>
      </c>
      <c r="Z12" s="6">
        <f t="shared" si="12"/>
        <v>8.0686396329046117E-2</v>
      </c>
      <c r="AB12" s="31">
        <v>45606</v>
      </c>
      <c r="AC12" s="9">
        <v>84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44873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29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44873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56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44873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91.73</v>
      </c>
      <c r="F16" s="57">
        <f t="shared" si="0"/>
        <v>33363.466873999998</v>
      </c>
      <c r="G16" s="38">
        <v>33268.9</v>
      </c>
      <c r="H16" s="39">
        <f t="shared" si="1"/>
        <v>91.469996464252944</v>
      </c>
      <c r="I16" s="38">
        <f t="shared" si="2"/>
        <v>94.56687399999646</v>
      </c>
      <c r="J16" s="37">
        <f t="shared" si="3"/>
        <v>0.26000353574706025</v>
      </c>
      <c r="K16" s="40"/>
      <c r="L16" s="35"/>
      <c r="M16" s="41">
        <f t="shared" si="5"/>
        <v>2.8425007739960278E-3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ref="T16" si="13">Q16*1.25</f>
        <v>0</v>
      </c>
      <c r="U16" s="42">
        <f t="shared" ref="U16" si="14">Q16*1.5</f>
        <v>0</v>
      </c>
      <c r="V16" s="42">
        <f t="shared" ref="V16" si="15">Q16*2</f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4.735815798876495E-2</v>
      </c>
      <c r="AB16" s="31"/>
      <c r="AC16" s="9"/>
    </row>
    <row r="17" spans="1:26" x14ac:dyDescent="0.25">
      <c r="A17" t="s">
        <v>53</v>
      </c>
      <c r="F17" s="3">
        <f>SUM(F6:F16)</f>
        <v>435643.49487099994</v>
      </c>
      <c r="G17" s="3">
        <f>SUM(G6:G16)</f>
        <v>392088.38</v>
      </c>
      <c r="H17" s="4"/>
      <c r="I17" s="3">
        <f>SUM(I6:I16)</f>
        <v>43555.114871000012</v>
      </c>
      <c r="M17" s="5"/>
      <c r="Z17" s="6"/>
    </row>
    <row r="18" spans="1:26" x14ac:dyDescent="0.25">
      <c r="D18" s="2" t="s">
        <v>54</v>
      </c>
      <c r="F18" s="3">
        <v>268849</v>
      </c>
      <c r="G18" s="6">
        <f>F18/F19</f>
        <v>0.38162081492327199</v>
      </c>
      <c r="H18" s="4"/>
      <c r="M18" s="5"/>
      <c r="Z18" s="6"/>
    </row>
    <row r="19" spans="1:26" x14ac:dyDescent="0.25">
      <c r="D19" s="2" t="s">
        <v>55</v>
      </c>
      <c r="F19" s="3">
        <f>SUM(F17:F18)</f>
        <v>704492.49487099994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'08-16-24'!F19</f>
        <v>701832.70922999992</v>
      </c>
      <c r="K20" s="1">
        <v>45291</v>
      </c>
      <c r="L20" s="47">
        <v>139707.06</v>
      </c>
      <c r="M20" s="47">
        <v>160410</v>
      </c>
      <c r="Z20" s="6"/>
    </row>
    <row r="21" spans="1:26" x14ac:dyDescent="0.25">
      <c r="A21" t="s">
        <v>72</v>
      </c>
      <c r="F21" s="48"/>
      <c r="G21" s="49"/>
      <c r="H21" s="4" t="s">
        <v>57</v>
      </c>
      <c r="I21" s="6">
        <f>(F19-I20)/I20</f>
        <v>3.7897715595475003E-3</v>
      </c>
      <c r="K21" s="9" t="s">
        <v>58</v>
      </c>
      <c r="L21" s="6">
        <f>(M20-L20)/L20</f>
        <v>0.14818821611448987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4" si="16">F25/D25</f>
        <v>47.428061535569462</v>
      </c>
      <c r="F25" s="3">
        <v>38349.050000000003</v>
      </c>
      <c r="G25" s="3">
        <v>35186.18</v>
      </c>
      <c r="H25" s="3">
        <f t="shared" ref="H25:H54" si="17">G25/D25</f>
        <v>43.516392459307944</v>
      </c>
      <c r="I25" s="3">
        <f t="shared" ref="I25:I54" si="18">G25-F25</f>
        <v>-3162.8700000000026</v>
      </c>
      <c r="J25" s="5">
        <f t="shared" ref="J25:J54" si="19">I25/F25</f>
        <v>-8.2475837080710018E-2</v>
      </c>
      <c r="K25" s="1">
        <v>45286</v>
      </c>
      <c r="L25" s="1">
        <v>45302</v>
      </c>
      <c r="M25">
        <f t="shared" ref="M25:M54" si="2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6"/>
        <v>35.085004734625322</v>
      </c>
      <c r="F26" s="3">
        <v>40941.919999999998</v>
      </c>
      <c r="G26" s="3">
        <v>36634.589999999997</v>
      </c>
      <c r="H26" s="3">
        <f t="shared" si="17"/>
        <v>31.393856555849297</v>
      </c>
      <c r="I26" s="3">
        <f t="shared" si="18"/>
        <v>-4307.3300000000017</v>
      </c>
      <c r="J26" s="5">
        <f t="shared" si="19"/>
        <v>-0.10520586235330444</v>
      </c>
      <c r="K26" s="1">
        <v>45233</v>
      </c>
      <c r="L26" s="1">
        <v>45307</v>
      </c>
      <c r="M26">
        <f t="shared" si="2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6"/>
        <v>20.491040268725982</v>
      </c>
      <c r="F27" s="3">
        <v>41317.9</v>
      </c>
      <c r="G27" s="3">
        <v>42071.53</v>
      </c>
      <c r="H27" s="3">
        <f t="shared" si="17"/>
        <v>20.86479262975401</v>
      </c>
      <c r="I27" s="3">
        <f t="shared" si="18"/>
        <v>753.62999999999738</v>
      </c>
      <c r="J27" s="5">
        <f t="shared" si="19"/>
        <v>1.8239794374835056E-2</v>
      </c>
      <c r="K27" s="1">
        <v>45135</v>
      </c>
      <c r="L27" s="1">
        <v>45308</v>
      </c>
      <c r="M27">
        <f t="shared" si="2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6"/>
        <v>21.193736358158553</v>
      </c>
      <c r="F28" s="3">
        <f>28457.8+19398.39</f>
        <v>47856.19</v>
      </c>
      <c r="G28" s="3">
        <v>39178.269999999997</v>
      </c>
      <c r="H28" s="3">
        <f t="shared" si="17"/>
        <v>17.350606585036385</v>
      </c>
      <c r="I28" s="3">
        <f t="shared" si="18"/>
        <v>-8677.9200000000055</v>
      </c>
      <c r="J28" s="5">
        <f t="shared" si="19"/>
        <v>-0.18133328206863114</v>
      </c>
      <c r="K28" s="1">
        <v>45302</v>
      </c>
      <c r="L28" s="1">
        <v>45322</v>
      </c>
      <c r="M28">
        <f t="shared" si="2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6"/>
        <v>450.27964205816556</v>
      </c>
      <c r="F29" s="3">
        <v>56759.55</v>
      </c>
      <c r="G29" s="3">
        <v>54939.360000000001</v>
      </c>
      <c r="H29" s="3">
        <f t="shared" si="17"/>
        <v>435.83987814746064</v>
      </c>
      <c r="I29" s="3">
        <f t="shared" si="18"/>
        <v>-1820.1900000000023</v>
      </c>
      <c r="J29" s="5">
        <f t="shared" si="19"/>
        <v>-3.2068436060539635E-2</v>
      </c>
      <c r="K29" s="1">
        <v>45327</v>
      </c>
      <c r="L29" s="1">
        <v>45342</v>
      </c>
      <c r="M29">
        <f t="shared" si="2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6"/>
        <v>21.530005475912173</v>
      </c>
      <c r="F30" s="3">
        <v>17409.86</v>
      </c>
      <c r="G30" s="3">
        <v>28227.27</v>
      </c>
      <c r="H30" s="3">
        <f t="shared" si="17"/>
        <v>34.907418995330886</v>
      </c>
      <c r="I30" s="3">
        <f t="shared" si="18"/>
        <v>10817.41</v>
      </c>
      <c r="J30" s="5">
        <f t="shared" si="19"/>
        <v>0.62133813827336914</v>
      </c>
      <c r="K30" s="1">
        <v>45309</v>
      </c>
      <c r="L30" s="1">
        <v>45343</v>
      </c>
      <c r="M30" s="54">
        <f t="shared" si="2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6"/>
        <v>52.971341590739279</v>
      </c>
      <c r="F31" s="3">
        <v>52029.58</v>
      </c>
      <c r="G31" s="3">
        <v>47202.25</v>
      </c>
      <c r="H31" s="3">
        <f t="shared" si="17"/>
        <v>48.056634487564061</v>
      </c>
      <c r="I31" s="3">
        <f t="shared" si="18"/>
        <v>-4827.3300000000017</v>
      </c>
      <c r="J31" s="5">
        <f t="shared" si="19"/>
        <v>-9.278049140508153E-2</v>
      </c>
      <c r="K31" s="1">
        <v>45344</v>
      </c>
      <c r="L31" s="1">
        <v>45351</v>
      </c>
      <c r="M31" s="54">
        <f t="shared" si="2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6"/>
        <v>130.66998915547813</v>
      </c>
      <c r="F32" s="3">
        <v>58909.52</v>
      </c>
      <c r="G32" s="3">
        <v>55702.82</v>
      </c>
      <c r="H32" s="3">
        <f t="shared" si="17"/>
        <v>123.55705640326981</v>
      </c>
      <c r="I32" s="3">
        <f t="shared" si="18"/>
        <v>-3206.6999999999971</v>
      </c>
      <c r="J32" s="5">
        <f t="shared" si="19"/>
        <v>-5.4434325725281708E-2</v>
      </c>
      <c r="K32" s="1">
        <v>45286</v>
      </c>
      <c r="L32" s="1">
        <v>45356</v>
      </c>
      <c r="M32" s="54">
        <f t="shared" si="2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6"/>
        <v>34.902742463000052</v>
      </c>
      <c r="F33" s="3">
        <f>30020.93+21858.29</f>
        <v>51879.22</v>
      </c>
      <c r="G33" s="3">
        <v>51882.03</v>
      </c>
      <c r="H33" s="3">
        <f t="shared" si="17"/>
        <v>34.904632944513089</v>
      </c>
      <c r="I33" s="3">
        <f t="shared" si="18"/>
        <v>2.8099999999976717</v>
      </c>
      <c r="J33" s="5">
        <f t="shared" si="19"/>
        <v>5.4164268468139489E-5</v>
      </c>
      <c r="K33" s="1">
        <v>45331</v>
      </c>
      <c r="L33" s="1">
        <v>45366</v>
      </c>
      <c r="M33" s="54">
        <f t="shared" si="2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6"/>
        <v>17.884521773182534</v>
      </c>
      <c r="F34" s="3">
        <f>20288.83+19170.47</f>
        <v>39459.300000000003</v>
      </c>
      <c r="G34" s="3">
        <v>47805.42</v>
      </c>
      <c r="H34" s="3">
        <f t="shared" si="17"/>
        <v>21.667314799455028</v>
      </c>
      <c r="I34" s="3">
        <f t="shared" si="18"/>
        <v>8346.1199999999953</v>
      </c>
      <c r="J34" s="5">
        <f t="shared" si="19"/>
        <v>0.21151211501471123</v>
      </c>
      <c r="K34" s="1">
        <v>45243</v>
      </c>
      <c r="L34" s="1">
        <v>45373</v>
      </c>
      <c r="M34" s="54">
        <f t="shared" si="20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6"/>
        <v>97.201614911338325</v>
      </c>
      <c r="F35" s="3">
        <v>71279.48</v>
      </c>
      <c r="G35" s="3">
        <v>66395.73</v>
      </c>
      <c r="H35" s="3">
        <f t="shared" si="17"/>
        <v>90.541796590227548</v>
      </c>
      <c r="I35" s="3">
        <f t="shared" si="18"/>
        <v>-4883.75</v>
      </c>
      <c r="J35" s="5">
        <f t="shared" si="19"/>
        <v>-6.85155110559168E-2</v>
      </c>
      <c r="K35" s="1">
        <v>45349</v>
      </c>
      <c r="L35" s="1">
        <v>45394</v>
      </c>
      <c r="M35" s="54">
        <f t="shared" si="20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6"/>
        <v>51.760011005615979</v>
      </c>
      <c r="F36" s="3">
        <v>46654.3</v>
      </c>
      <c r="G36" s="3">
        <v>44379.95</v>
      </c>
      <c r="H36" s="3">
        <f t="shared" si="17"/>
        <v>49.23676275131524</v>
      </c>
      <c r="I36" s="3">
        <f t="shared" si="18"/>
        <v>-2274.3500000000058</v>
      </c>
      <c r="J36" s="5">
        <f t="shared" si="19"/>
        <v>-4.874898991089794E-2</v>
      </c>
      <c r="K36" s="1">
        <v>45394</v>
      </c>
      <c r="L36" s="1">
        <v>45394</v>
      </c>
      <c r="M36" s="54">
        <f t="shared" si="20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6"/>
        <v>228.36593513142583</v>
      </c>
      <c r="F37" s="3">
        <v>61166.239999999998</v>
      </c>
      <c r="G37" s="3">
        <v>81558.94</v>
      </c>
      <c r="H37" s="3">
        <f t="shared" si="17"/>
        <v>304.50267339349045</v>
      </c>
      <c r="I37" s="3">
        <f t="shared" si="18"/>
        <v>20392.700000000004</v>
      </c>
      <c r="J37" s="5">
        <f t="shared" si="19"/>
        <v>0.33339796593676518</v>
      </c>
      <c r="K37" s="1">
        <v>45238</v>
      </c>
      <c r="L37" s="1">
        <v>45397</v>
      </c>
      <c r="M37" s="54">
        <f t="shared" si="20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6"/>
        <v>131.07547316942754</v>
      </c>
      <c r="F38" s="3">
        <v>29415.63</v>
      </c>
      <c r="G38" s="3">
        <v>27481.43</v>
      </c>
      <c r="H38" s="3">
        <f t="shared" si="17"/>
        <v>122.45671571958516</v>
      </c>
      <c r="I38" s="3">
        <f t="shared" si="18"/>
        <v>-1934.2000000000007</v>
      </c>
      <c r="J38" s="5">
        <f t="shared" si="19"/>
        <v>-6.5754158588478329E-2</v>
      </c>
      <c r="K38" s="1">
        <v>45393</v>
      </c>
      <c r="L38" s="1">
        <v>45397</v>
      </c>
      <c r="M38" s="54">
        <f t="shared" si="20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6"/>
        <v>30.008099047901005</v>
      </c>
      <c r="F39" s="3">
        <v>43950.36</v>
      </c>
      <c r="G39" s="3">
        <v>49174.83</v>
      </c>
      <c r="H39" s="3">
        <f t="shared" si="17"/>
        <v>33.575223713837467</v>
      </c>
      <c r="I39" s="3">
        <f t="shared" si="18"/>
        <v>5224.4700000000012</v>
      </c>
      <c r="J39" s="5">
        <f t="shared" si="19"/>
        <v>0.11887206384657603</v>
      </c>
      <c r="K39" s="1">
        <v>45321</v>
      </c>
      <c r="L39" s="1">
        <v>45400</v>
      </c>
      <c r="M39" s="54">
        <f t="shared" si="20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6"/>
        <v>202.80010053151383</v>
      </c>
      <c r="F40" s="3">
        <v>54466.53</v>
      </c>
      <c r="G40" s="3">
        <v>57142.12</v>
      </c>
      <c r="H40" s="3">
        <f t="shared" si="17"/>
        <v>212.76236397993094</v>
      </c>
      <c r="I40" s="3">
        <f t="shared" si="18"/>
        <v>2675.5900000000038</v>
      </c>
      <c r="J40" s="5">
        <f t="shared" si="19"/>
        <v>4.912356267234215E-2</v>
      </c>
      <c r="K40" s="1">
        <v>45370</v>
      </c>
      <c r="L40" s="1">
        <v>45401</v>
      </c>
      <c r="M40" s="54">
        <f t="shared" si="20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6"/>
        <v>72.032301948546731</v>
      </c>
      <c r="F41" s="3">
        <f>38270.34+5640.4</f>
        <v>43910.74</v>
      </c>
      <c r="G41" s="3">
        <v>46906.35</v>
      </c>
      <c r="H41" s="3">
        <f t="shared" si="17"/>
        <v>76.946377275905974</v>
      </c>
      <c r="I41" s="3">
        <f t="shared" si="18"/>
        <v>2995.6100000000006</v>
      </c>
      <c r="J41" s="5">
        <f t="shared" si="19"/>
        <v>6.8220439919709858E-2</v>
      </c>
      <c r="K41" s="1">
        <v>45313</v>
      </c>
      <c r="L41" s="1">
        <v>45420</v>
      </c>
      <c r="M41" s="54">
        <f t="shared" si="20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6"/>
        <v>26.796152173251542</v>
      </c>
      <c r="F42" s="3">
        <f>36957.24+22924.55</f>
        <v>59881.789999999994</v>
      </c>
      <c r="G42" s="3">
        <v>53143.62</v>
      </c>
      <c r="H42" s="3">
        <f t="shared" si="17"/>
        <v>23.780927867344218</v>
      </c>
      <c r="I42" s="3">
        <f t="shared" si="18"/>
        <v>-6738.169999999991</v>
      </c>
      <c r="J42" s="5">
        <f t="shared" si="19"/>
        <v>-0.11252452540246362</v>
      </c>
      <c r="K42" s="1">
        <v>45421</v>
      </c>
      <c r="L42" s="1">
        <v>45441</v>
      </c>
      <c r="M42" s="54">
        <f t="shared" si="20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6"/>
        <v>21.526049990446886</v>
      </c>
      <c r="F43" s="3">
        <f>28174.78+19947.6-17409.86</f>
        <v>30712.519999999997</v>
      </c>
      <c r="G43" s="3">
        <v>80427.22</v>
      </c>
      <c r="H43" s="3">
        <f t="shared" si="17"/>
        <v>56.370508128693771</v>
      </c>
      <c r="I43" s="3">
        <f t="shared" si="18"/>
        <v>49714.700000000004</v>
      </c>
      <c r="J43" s="5">
        <f t="shared" si="19"/>
        <v>1.6187111966064658</v>
      </c>
      <c r="K43" s="1">
        <v>45309</v>
      </c>
      <c r="L43" s="1">
        <v>45447</v>
      </c>
      <c r="M43" s="54">
        <f t="shared" si="20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6"/>
        <v>119.9800324750113</v>
      </c>
      <c r="F44" s="3">
        <v>59378.55</v>
      </c>
      <c r="G44" s="3">
        <v>52305.62</v>
      </c>
      <c r="H44" s="3">
        <f t="shared" si="17"/>
        <v>105.68850176074695</v>
      </c>
      <c r="I44" s="3">
        <f t="shared" si="18"/>
        <v>-7072.93</v>
      </c>
      <c r="J44" s="5">
        <f t="shared" si="19"/>
        <v>-0.1191159097013989</v>
      </c>
      <c r="K44" s="1">
        <v>45422</v>
      </c>
      <c r="L44" s="1">
        <v>45456</v>
      </c>
      <c r="M44" s="54">
        <f t="shared" si="20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6"/>
        <v>40.121826742024723</v>
      </c>
      <c r="F45" s="3">
        <v>84857.15</v>
      </c>
      <c r="G45" s="3">
        <v>77799.8</v>
      </c>
      <c r="H45" s="3">
        <f t="shared" si="17"/>
        <v>36.784998036867556</v>
      </c>
      <c r="I45" s="3">
        <f t="shared" si="18"/>
        <v>-7057.3499999999913</v>
      </c>
      <c r="J45" s="5">
        <f t="shared" si="19"/>
        <v>-8.3167417241799796E-2</v>
      </c>
      <c r="K45" s="1">
        <v>45446</v>
      </c>
      <c r="L45" s="1">
        <v>45461</v>
      </c>
      <c r="M45" s="54">
        <f t="shared" si="20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6"/>
        <v>190.14353095648559</v>
      </c>
      <c r="F46" s="3">
        <v>58070.69</v>
      </c>
      <c r="G46" s="3">
        <v>55002.36</v>
      </c>
      <c r="H46" s="3">
        <f t="shared" si="17"/>
        <v>180.0967569240139</v>
      </c>
      <c r="I46" s="3">
        <f t="shared" si="18"/>
        <v>-3068.3300000000017</v>
      </c>
      <c r="J46" s="5">
        <f t="shared" si="19"/>
        <v>-5.2837842980684432E-2</v>
      </c>
      <c r="K46" s="1">
        <v>45460</v>
      </c>
      <c r="L46" s="1">
        <v>45478</v>
      </c>
      <c r="M46" s="54">
        <f t="shared" si="20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6"/>
        <v>151.88325953610754</v>
      </c>
      <c r="F47" s="3">
        <v>59201.71</v>
      </c>
      <c r="G47" s="3">
        <v>55840.480000000003</v>
      </c>
      <c r="H47" s="3">
        <f t="shared" si="17"/>
        <v>143.25995172201652</v>
      </c>
      <c r="I47" s="3">
        <f t="shared" si="18"/>
        <v>-3361.2299999999959</v>
      </c>
      <c r="J47" s="5">
        <f t="shared" si="19"/>
        <v>-5.6775893804418755E-2</v>
      </c>
      <c r="K47" s="1">
        <v>45440</v>
      </c>
      <c r="L47" s="1">
        <v>45482</v>
      </c>
      <c r="M47" s="54">
        <f t="shared" si="20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6"/>
        <v>210.8544352001625</v>
      </c>
      <c r="F48" s="3">
        <v>58138.05</v>
      </c>
      <c r="G48" s="3">
        <v>51919.61</v>
      </c>
      <c r="H48" s="3">
        <f t="shared" si="17"/>
        <v>188.30146594807889</v>
      </c>
      <c r="I48" s="3">
        <f t="shared" si="18"/>
        <v>-6218.4400000000023</v>
      </c>
      <c r="J48" s="5">
        <f t="shared" si="19"/>
        <v>-0.1069598997558398</v>
      </c>
      <c r="K48" s="1">
        <v>45461</v>
      </c>
      <c r="L48" s="1">
        <v>45489</v>
      </c>
      <c r="M48" s="54">
        <f t="shared" si="20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6"/>
        <v>94.220008243735961</v>
      </c>
      <c r="F49" s="3">
        <v>24618.68</v>
      </c>
      <c r="G49" s="3">
        <v>30783.54</v>
      </c>
      <c r="H49" s="3">
        <f t="shared" si="17"/>
        <v>117.81400922272745</v>
      </c>
      <c r="I49" s="3">
        <f t="shared" si="18"/>
        <v>6164.8600000000006</v>
      </c>
      <c r="J49" s="5">
        <f t="shared" si="19"/>
        <v>0.25041391333735197</v>
      </c>
      <c r="K49" s="1">
        <v>45427</v>
      </c>
      <c r="L49" s="1">
        <v>45491</v>
      </c>
      <c r="M49" s="54">
        <f t="shared" si="20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6"/>
        <v>99.676254752352776</v>
      </c>
      <c r="F50" s="3">
        <v>71786.429999999993</v>
      </c>
      <c r="G50" s="3">
        <v>64047.02</v>
      </c>
      <c r="H50" s="3">
        <f t="shared" si="17"/>
        <v>88.929998074135099</v>
      </c>
      <c r="I50" s="3">
        <f t="shared" si="18"/>
        <v>-7739.4099999999962</v>
      </c>
      <c r="J50" s="5">
        <f t="shared" si="19"/>
        <v>-0.10781160171915495</v>
      </c>
      <c r="K50" s="1">
        <v>45495</v>
      </c>
      <c r="L50" s="1">
        <v>45506</v>
      </c>
      <c r="M50" s="54">
        <f t="shared" si="20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6"/>
        <v>94.217245845358406</v>
      </c>
      <c r="F51" s="3">
        <f>88627.87-24618.68</f>
        <v>64009.189999999995</v>
      </c>
      <c r="G51" s="3">
        <v>69221.69</v>
      </c>
      <c r="H51" s="3">
        <f t="shared" si="17"/>
        <v>101.88969716006699</v>
      </c>
      <c r="I51" s="3">
        <f t="shared" si="18"/>
        <v>5212.5000000000073</v>
      </c>
      <c r="J51" s="5">
        <f t="shared" si="19"/>
        <v>8.1433619141251551E-2</v>
      </c>
      <c r="K51" s="1">
        <v>45427</v>
      </c>
      <c r="L51" s="1">
        <v>45506</v>
      </c>
      <c r="M51" s="54">
        <f t="shared" si="20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7"/>
        <v>24.260268707864267</v>
      </c>
      <c r="I52" s="3">
        <f t="shared" si="18"/>
        <v>-5424.5400000000009</v>
      </c>
      <c r="J52" s="5">
        <f t="shared" si="19"/>
        <v>-0.10662702360362285</v>
      </c>
      <c r="K52" s="1">
        <v>45478</v>
      </c>
      <c r="L52" s="1">
        <v>45506</v>
      </c>
      <c r="M52" s="54">
        <f t="shared" si="20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6"/>
        <v>150.35572938289613</v>
      </c>
      <c r="F53" s="3">
        <v>58706.59</v>
      </c>
      <c r="G53" s="3">
        <v>58315.35</v>
      </c>
      <c r="H53" s="3">
        <f t="shared" si="17"/>
        <v>149.35370941267195</v>
      </c>
      <c r="I53" s="3">
        <f t="shared" si="18"/>
        <v>-391.23999999999796</v>
      </c>
      <c r="J53" s="5">
        <f t="shared" si="19"/>
        <v>-6.6643284850984872E-3</v>
      </c>
      <c r="K53" s="1">
        <v>45426</v>
      </c>
      <c r="L53" s="1">
        <v>45506</v>
      </c>
      <c r="M53" s="54">
        <f t="shared" si="20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6"/>
        <v>210.88800094512985</v>
      </c>
      <c r="F54" s="3">
        <v>72116.02</v>
      </c>
      <c r="G54" s="3">
        <v>72157.78</v>
      </c>
      <c r="H54" s="3">
        <f t="shared" si="17"/>
        <v>211.01011920566984</v>
      </c>
      <c r="I54" s="3">
        <f t="shared" si="18"/>
        <v>41.759999999994761</v>
      </c>
      <c r="J54" s="5">
        <f t="shared" si="19"/>
        <v>5.7906689803451105E-4</v>
      </c>
      <c r="K54" s="1">
        <v>45464</v>
      </c>
      <c r="L54" s="1">
        <v>45512</v>
      </c>
      <c r="M54" s="54">
        <f t="shared" si="20"/>
        <v>47</v>
      </c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SUM(I25:I54)</f>
        <v>30175.880000000012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12</v>
      </c>
      <c r="J58" s="5">
        <v>0.28100000000000003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FCE6-B936-42F2-B7B1-A9C28287818A}">
  <dimension ref="A1:AE20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45534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9.67</v>
      </c>
      <c r="F7" s="3">
        <f t="shared" ref="F7:F16" si="0">E7*D7</f>
        <v>62678.216927999994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6887.1769280000008</v>
      </c>
      <c r="J7" s="27">
        <f t="shared" ref="J7:J16" si="3">E7-H7</f>
        <v>1.0625541720541278</v>
      </c>
      <c r="K7" s="28">
        <v>45378</v>
      </c>
      <c r="L7">
        <f t="shared" ref="L7:L15" si="4">DAYS360(K7,$C$1)</f>
        <v>153</v>
      </c>
      <c r="M7" s="5">
        <f t="shared" ref="M7:M16" si="5">(I7/G7)</f>
        <v>0.12344593196326868</v>
      </c>
      <c r="N7">
        <v>9</v>
      </c>
      <c r="O7">
        <v>96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8.9613191349494636E-2</v>
      </c>
      <c r="AB7" s="31">
        <v>45540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81.47</v>
      </c>
      <c r="F8" s="3">
        <f t="shared" si="0"/>
        <v>67489.935381000003</v>
      </c>
      <c r="G8" s="3">
        <v>47623.59</v>
      </c>
      <c r="H8" s="4">
        <f t="shared" si="1"/>
        <v>57.488481140141687</v>
      </c>
      <c r="I8" s="3">
        <f t="shared" si="2"/>
        <v>19866.345381000006</v>
      </c>
      <c r="J8" s="27">
        <f t="shared" si="3"/>
        <v>23.981518859858312</v>
      </c>
      <c r="K8" s="28">
        <v>45378</v>
      </c>
      <c r="L8">
        <f t="shared" si="4"/>
        <v>153</v>
      </c>
      <c r="M8" s="5">
        <f t="shared" si="5"/>
        <v>0.41715346073238091</v>
      </c>
      <c r="N8">
        <v>9</v>
      </c>
      <c r="O8">
        <v>95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67</v>
      </c>
      <c r="Y8" s="5">
        <f t="shared" si="11"/>
        <v>0.16545086374210774</v>
      </c>
      <c r="Z8" s="6">
        <f t="shared" si="12"/>
        <v>9.6492669860249125E-2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33.229999999999997</v>
      </c>
      <c r="F9" s="3">
        <f t="shared" si="0"/>
        <v>82228.253077999994</v>
      </c>
      <c r="G9" s="3">
        <f>44039.07+27471.43</f>
        <v>71510.5</v>
      </c>
      <c r="H9" s="4">
        <f t="shared" si="1"/>
        <v>28.898752266400425</v>
      </c>
      <c r="I9" s="3">
        <f t="shared" si="2"/>
        <v>10717.753077999994</v>
      </c>
      <c r="J9" s="27">
        <f t="shared" si="3"/>
        <v>4.3312477335995716</v>
      </c>
      <c r="K9" s="28">
        <v>45426</v>
      </c>
      <c r="L9">
        <f t="shared" si="4"/>
        <v>106</v>
      </c>
      <c r="M9" s="5">
        <f t="shared" si="5"/>
        <v>0.14987663459212275</v>
      </c>
      <c r="N9">
        <v>15</v>
      </c>
      <c r="O9">
        <v>97</v>
      </c>
      <c r="P9" s="34">
        <v>71</v>
      </c>
      <c r="Q9" s="29">
        <v>31.4</v>
      </c>
      <c r="R9" s="30">
        <f t="shared" si="6"/>
        <v>29.202000000000002</v>
      </c>
      <c r="S9" s="30">
        <v>26.04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28</v>
      </c>
      <c r="Y9" s="5">
        <f t="shared" si="11"/>
        <v>-3.1100037057495152E-2</v>
      </c>
      <c r="Z9" s="6">
        <f t="shared" si="12"/>
        <v>0.11756454696020044</v>
      </c>
      <c r="AB9" s="31">
        <v>45604</v>
      </c>
      <c r="AC9" s="9">
        <v>98</v>
      </c>
    </row>
    <row r="10" spans="1:31" x14ac:dyDescent="0.25">
      <c r="A10" t="s">
        <v>155</v>
      </c>
      <c r="B10" t="s">
        <v>33</v>
      </c>
      <c r="C10" s="26" t="s">
        <v>156</v>
      </c>
      <c r="D10" s="2">
        <v>206.7054</v>
      </c>
      <c r="E10" s="27">
        <v>353.52</v>
      </c>
      <c r="F10" s="3">
        <f t="shared" si="0"/>
        <v>73074.49300799999</v>
      </c>
      <c r="G10" s="3">
        <v>70918.34</v>
      </c>
      <c r="H10" s="4">
        <f t="shared" si="1"/>
        <v>343.08895655362653</v>
      </c>
      <c r="I10" s="3">
        <f t="shared" si="2"/>
        <v>2156.1530079999939</v>
      </c>
      <c r="J10" s="27">
        <f t="shared" si="3"/>
        <v>10.431043446373451</v>
      </c>
      <c r="K10" s="28">
        <v>45525</v>
      </c>
      <c r="L10">
        <f t="shared" si="4"/>
        <v>9</v>
      </c>
      <c r="M10" s="5">
        <f t="shared" si="5"/>
        <v>3.0403320325884588E-2</v>
      </c>
      <c r="N10">
        <v>31</v>
      </c>
      <c r="O10">
        <v>94</v>
      </c>
      <c r="P10" s="34">
        <v>99</v>
      </c>
      <c r="Q10" s="29">
        <v>341.17</v>
      </c>
      <c r="R10" s="30">
        <f t="shared" si="6"/>
        <v>317.28810000000004</v>
      </c>
      <c r="S10" s="30">
        <v>322.62</v>
      </c>
      <c r="T10" s="32">
        <f t="shared" si="7"/>
        <v>426.46250000000003</v>
      </c>
      <c r="U10" s="29">
        <f t="shared" si="8"/>
        <v>511.755</v>
      </c>
      <c r="V10" s="29">
        <f t="shared" si="9"/>
        <v>682.34</v>
      </c>
      <c r="W10" s="29">
        <f t="shared" si="10"/>
        <v>319.07272959487267</v>
      </c>
      <c r="X10" s="30">
        <v>319</v>
      </c>
      <c r="Y10" s="5">
        <f t="shared" si="11"/>
        <v>-7.0211984657283205E-2</v>
      </c>
      <c r="Z10" s="33">
        <f t="shared" si="12"/>
        <v>0.1044771029816557</v>
      </c>
      <c r="AA10" s="9"/>
      <c r="AB10" s="31">
        <v>45589</v>
      </c>
      <c r="AC10" s="9">
        <v>99</v>
      </c>
    </row>
    <row r="11" spans="1:31" x14ac:dyDescent="0.25">
      <c r="A11" t="s">
        <v>157</v>
      </c>
      <c r="B11" t="s">
        <v>33</v>
      </c>
      <c r="C11" s="26" t="s">
        <v>159</v>
      </c>
      <c r="D11" s="2">
        <v>1263.7796000000001</v>
      </c>
      <c r="E11" s="27">
        <v>46.98</v>
      </c>
      <c r="F11" s="3">
        <f t="shared" si="0"/>
        <v>59372.365608</v>
      </c>
      <c r="G11" s="3">
        <v>56489.42</v>
      </c>
      <c r="H11" s="4">
        <f t="shared" si="1"/>
        <v>44.698790833464948</v>
      </c>
      <c r="I11" s="3">
        <f t="shared" si="2"/>
        <v>2882.9456080000018</v>
      </c>
      <c r="J11" s="27">
        <f t="shared" si="3"/>
        <v>2.2812091665350493</v>
      </c>
      <c r="K11" s="28">
        <v>45527</v>
      </c>
      <c r="L11">
        <f t="shared" si="4"/>
        <v>7</v>
      </c>
      <c r="M11" s="5">
        <f t="shared" si="5"/>
        <v>5.1035142651491235E-2</v>
      </c>
      <c r="N11">
        <v>146</v>
      </c>
      <c r="O11">
        <v>92</v>
      </c>
      <c r="P11" s="34">
        <v>81</v>
      </c>
      <c r="Q11" s="29">
        <v>43.2</v>
      </c>
      <c r="R11" s="30">
        <f t="shared" si="6"/>
        <v>40.176000000000002</v>
      </c>
      <c r="S11" s="30">
        <v>41.12</v>
      </c>
      <c r="T11" s="29">
        <f t="shared" si="7"/>
        <v>54</v>
      </c>
      <c r="U11" s="29">
        <f t="shared" si="8"/>
        <v>64.800000000000011</v>
      </c>
      <c r="V11" s="29">
        <f t="shared" si="9"/>
        <v>86.4</v>
      </c>
      <c r="W11" s="29">
        <f t="shared" si="10"/>
        <v>41.569875475122402</v>
      </c>
      <c r="X11" s="30">
        <v>41.57</v>
      </c>
      <c r="Y11" s="5">
        <f t="shared" si="11"/>
        <v>-6.9997214133195165E-2</v>
      </c>
      <c r="Z11" s="6">
        <f t="shared" si="12"/>
        <v>8.4886702603772249E-2</v>
      </c>
      <c r="AB11" s="31">
        <v>45608</v>
      </c>
      <c r="AC11" s="9">
        <v>94</v>
      </c>
    </row>
    <row r="12" spans="1:31" x14ac:dyDescent="0.25">
      <c r="A12" t="s">
        <v>158</v>
      </c>
      <c r="B12" t="s">
        <v>33</v>
      </c>
      <c r="C12" s="26" t="s">
        <v>160</v>
      </c>
      <c r="D12" s="2">
        <v>3020.3485999999998</v>
      </c>
      <c r="E12" s="27">
        <v>18.88</v>
      </c>
      <c r="F12" s="3">
        <f t="shared" si="0"/>
        <v>57024.181567999993</v>
      </c>
      <c r="G12" s="3">
        <v>56486.59</v>
      </c>
      <c r="H12" s="4">
        <f t="shared" si="1"/>
        <v>18.702010092477405</v>
      </c>
      <c r="I12" s="3">
        <f t="shared" si="2"/>
        <v>537.59156799999619</v>
      </c>
      <c r="J12" s="27">
        <f t="shared" si="3"/>
        <v>0.17798990752259414</v>
      </c>
      <c r="K12" s="28">
        <v>45527</v>
      </c>
      <c r="L12">
        <f t="shared" si="4"/>
        <v>7</v>
      </c>
      <c r="M12" s="5">
        <f t="shared" si="5"/>
        <v>9.5171538589954932E-3</v>
      </c>
      <c r="N12">
        <v>138</v>
      </c>
      <c r="O12">
        <v>94</v>
      </c>
      <c r="P12" s="34">
        <v>86</v>
      </c>
      <c r="Q12" s="29">
        <v>17.86</v>
      </c>
      <c r="R12" s="30">
        <f t="shared" si="6"/>
        <v>16.6098</v>
      </c>
      <c r="S12" s="30">
        <v>17.04</v>
      </c>
      <c r="T12" s="32">
        <f t="shared" si="7"/>
        <v>22.324999999999999</v>
      </c>
      <c r="U12" s="29">
        <f t="shared" si="8"/>
        <v>26.79</v>
      </c>
      <c r="V12" s="29">
        <f t="shared" si="9"/>
        <v>35.72</v>
      </c>
      <c r="W12" s="29">
        <f t="shared" si="10"/>
        <v>17.392869386003987</v>
      </c>
      <c r="X12" s="30">
        <v>17</v>
      </c>
      <c r="Y12" s="5">
        <f t="shared" si="11"/>
        <v>-9.100680002103155E-2</v>
      </c>
      <c r="Z12" s="6">
        <f t="shared" si="12"/>
        <v>8.1529423535957116E-2</v>
      </c>
      <c r="AB12" s="31">
        <v>45597</v>
      </c>
      <c r="AC12" s="9">
        <v>84</v>
      </c>
    </row>
    <row r="13" spans="1:31" x14ac:dyDescent="0.25">
      <c r="A13" t="s">
        <v>133</v>
      </c>
      <c r="B13" t="s">
        <v>33</v>
      </c>
      <c r="C13" s="26" t="s">
        <v>134</v>
      </c>
      <c r="D13" s="2">
        <v>552.66859999999997</v>
      </c>
      <c r="E13" s="27">
        <v>119.37</v>
      </c>
      <c r="F13" s="3">
        <f t="shared" si="0"/>
        <v>65972.050782000006</v>
      </c>
      <c r="G13" s="3">
        <v>70647.62</v>
      </c>
      <c r="H13" s="4">
        <f t="shared" si="1"/>
        <v>127.82998708448426</v>
      </c>
      <c r="I13" s="3">
        <f t="shared" si="2"/>
        <v>-4675.5692179999896</v>
      </c>
      <c r="J13" s="27">
        <f t="shared" si="3"/>
        <v>-8.4599870844842542</v>
      </c>
      <c r="K13" s="28">
        <v>45531</v>
      </c>
      <c r="L13">
        <f t="shared" si="4"/>
        <v>3</v>
      </c>
      <c r="M13" s="5">
        <f t="shared" si="5"/>
        <v>-6.6181553150693392E-2</v>
      </c>
      <c r="N13">
        <v>62</v>
      </c>
      <c r="O13">
        <v>98</v>
      </c>
      <c r="P13" s="34">
        <v>99</v>
      </c>
      <c r="Q13" s="29">
        <v>131.26</v>
      </c>
      <c r="R13" s="30">
        <f t="shared" si="6"/>
        <v>122.0718</v>
      </c>
      <c r="S13" s="30">
        <v>90.69</v>
      </c>
      <c r="T13" s="29">
        <f t="shared" si="7"/>
        <v>164.07499999999999</v>
      </c>
      <c r="U13" s="29">
        <f t="shared" si="8"/>
        <v>196.89</v>
      </c>
      <c r="V13" s="29">
        <f t="shared" si="9"/>
        <v>262.52</v>
      </c>
      <c r="W13" s="29">
        <f t="shared" si="10"/>
        <v>118.88188798857036</v>
      </c>
      <c r="X13" s="30">
        <v>119</v>
      </c>
      <c r="Y13" s="5">
        <f t="shared" si="11"/>
        <v>-6.907602266006975E-2</v>
      </c>
      <c r="Z13" s="6">
        <f t="shared" si="12"/>
        <v>9.4322498312885389E-2</v>
      </c>
      <c r="AB13" s="31">
        <v>45610</v>
      </c>
      <c r="AC13" s="9">
        <v>95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44880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56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44880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91.82</v>
      </c>
      <c r="F16" s="57">
        <f t="shared" si="0"/>
        <v>33396.201115999997</v>
      </c>
      <c r="G16" s="38">
        <v>33268.9</v>
      </c>
      <c r="H16" s="39">
        <f t="shared" si="1"/>
        <v>91.469996464252944</v>
      </c>
      <c r="I16" s="38">
        <f t="shared" si="2"/>
        <v>127.30111599999509</v>
      </c>
      <c r="J16" s="37">
        <f t="shared" si="3"/>
        <v>0.35000353574704945</v>
      </c>
      <c r="K16" s="40"/>
      <c r="L16" s="35"/>
      <c r="M16" s="41">
        <f t="shared" si="5"/>
        <v>3.8264299691301812E-3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4.7747691425111025E-2</v>
      </c>
      <c r="AB16" s="31"/>
      <c r="AC16" s="9"/>
    </row>
    <row r="17" spans="1:26" x14ac:dyDescent="0.25">
      <c r="A17" t="s">
        <v>53</v>
      </c>
      <c r="F17" s="3">
        <f>SUM(F6:F16)</f>
        <v>501235.69746900006</v>
      </c>
      <c r="G17" s="3">
        <f>SUM(G6:G16)</f>
        <v>462736</v>
      </c>
      <c r="H17" s="4"/>
      <c r="I17" s="3">
        <f>SUM(I6:I16)</f>
        <v>38499.697468999999</v>
      </c>
      <c r="M17" s="5"/>
      <c r="Z17" s="6"/>
    </row>
    <row r="18" spans="1:26" x14ac:dyDescent="0.25">
      <c r="D18" s="2" t="s">
        <v>54</v>
      </c>
      <c r="F18" s="3">
        <v>198195</v>
      </c>
      <c r="G18" s="6">
        <f>F18/F19</f>
        <v>0.28336617297067429</v>
      </c>
      <c r="H18" s="4"/>
      <c r="M18" s="5"/>
      <c r="Z18" s="6"/>
    </row>
    <row r="19" spans="1:26" x14ac:dyDescent="0.25">
      <c r="D19" s="2" t="s">
        <v>55</v>
      </c>
      <c r="F19" s="3">
        <f>SUM(F17:F18)</f>
        <v>699430.69746900001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'08-23-24'!F19</f>
        <v>704492.49487099994</v>
      </c>
      <c r="K20" s="1">
        <v>45291</v>
      </c>
      <c r="L20" s="47">
        <v>139707.06</v>
      </c>
      <c r="M20" s="47">
        <v>159204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-7.1850267232822784E-3</v>
      </c>
      <c r="K21" s="9" t="s">
        <v>58</v>
      </c>
      <c r="L21" s="6">
        <f>(M20-L20)/L20</f>
        <v>0.13955586782801099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4" si="13">F25/D25</f>
        <v>47.428061535569462</v>
      </c>
      <c r="F25" s="3">
        <v>38349.050000000003</v>
      </c>
      <c r="G25" s="3">
        <v>35186.18</v>
      </c>
      <c r="H25" s="3">
        <f t="shared" ref="H25:H54" si="14">G25/D25</f>
        <v>43.516392459307944</v>
      </c>
      <c r="I25" s="3">
        <f t="shared" ref="I25:I54" si="15">G25-F25</f>
        <v>-3162.8700000000026</v>
      </c>
      <c r="J25" s="5">
        <f t="shared" ref="J25:J54" si="16">I25/F25</f>
        <v>-8.2475837080710018E-2</v>
      </c>
      <c r="K25" s="1">
        <v>45286</v>
      </c>
      <c r="L25" s="1">
        <v>45302</v>
      </c>
      <c r="M25">
        <f t="shared" ref="M25:M5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SUM(I25:I54)</f>
        <v>30175.880000000012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12</v>
      </c>
      <c r="J58" s="5">
        <v>0.28100000000000003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71F9-0126-4C46-A2B7-347A763A4260}">
  <dimension ref="A1:AE208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45541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8.8000000000000007</v>
      </c>
      <c r="F7" s="3">
        <f t="shared" ref="F7:F16" si="0">E7*D7</f>
        <v>57039.121920000005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1248.0819200000115</v>
      </c>
      <c r="J7" s="27">
        <f t="shared" ref="J7:J16" si="3">E7-H7</f>
        <v>0.19255417205412861</v>
      </c>
      <c r="K7" s="28">
        <v>45378</v>
      </c>
      <c r="L7">
        <f t="shared" ref="L7:L15" si="4">DAYS360(K7,$C$1)</f>
        <v>159</v>
      </c>
      <c r="M7" s="5">
        <f t="shared" ref="M7:M16" si="5">(I7/G7)</f>
        <v>2.2370651631516667E-2</v>
      </c>
      <c r="N7">
        <v>10</v>
      </c>
      <c r="O7">
        <v>94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7.21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8.5623206030735532E-2</v>
      </c>
      <c r="AB7" s="31">
        <v>45540</v>
      </c>
      <c r="AC7" s="9">
        <v>98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76.89</v>
      </c>
      <c r="F8" s="3">
        <f t="shared" si="0"/>
        <v>63695.852846999995</v>
      </c>
      <c r="G8" s="3">
        <v>47623.59</v>
      </c>
      <c r="H8" s="4">
        <f t="shared" si="1"/>
        <v>57.488481140141687</v>
      </c>
      <c r="I8" s="3">
        <f t="shared" si="2"/>
        <v>16072.262846999998</v>
      </c>
      <c r="J8" s="27">
        <f t="shared" si="3"/>
        <v>19.401518859858314</v>
      </c>
      <c r="K8" s="28">
        <v>45378</v>
      </c>
      <c r="L8">
        <f t="shared" si="4"/>
        <v>159</v>
      </c>
      <c r="M8" s="5">
        <f t="shared" si="5"/>
        <v>0.33748532706165157</v>
      </c>
      <c r="N8">
        <v>10</v>
      </c>
      <c r="O8">
        <v>95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67</v>
      </c>
      <c r="Y8" s="5">
        <f t="shared" si="11"/>
        <v>0.16545086374210774</v>
      </c>
      <c r="Z8" s="6">
        <f t="shared" si="12"/>
        <v>9.561583257314793E-2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33.79</v>
      </c>
      <c r="F9" s="3">
        <f t="shared" si="0"/>
        <v>83613.983494</v>
      </c>
      <c r="G9" s="3">
        <f>44039.07+27471.43</f>
        <v>71510.5</v>
      </c>
      <c r="H9" s="4">
        <f t="shared" si="1"/>
        <v>28.898752266400425</v>
      </c>
      <c r="I9" s="3">
        <f t="shared" si="2"/>
        <v>12103.483494</v>
      </c>
      <c r="J9" s="27">
        <f t="shared" si="3"/>
        <v>4.8912477335995739</v>
      </c>
      <c r="K9" s="28">
        <v>45426</v>
      </c>
      <c r="L9">
        <f t="shared" si="4"/>
        <v>112</v>
      </c>
      <c r="M9" s="5">
        <f t="shared" si="5"/>
        <v>0.16925463385097295</v>
      </c>
      <c r="N9">
        <v>20</v>
      </c>
      <c r="O9">
        <v>98</v>
      </c>
      <c r="P9" s="34">
        <v>72</v>
      </c>
      <c r="Q9" s="29">
        <v>31.4</v>
      </c>
      <c r="R9" s="30">
        <f t="shared" si="6"/>
        <v>29.202000000000002</v>
      </c>
      <c r="S9" s="30">
        <v>26.04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28</v>
      </c>
      <c r="Y9" s="5">
        <f t="shared" si="11"/>
        <v>-3.1100037057495152E-2</v>
      </c>
      <c r="Z9" s="6">
        <f t="shared" si="12"/>
        <v>0.12551556010624648</v>
      </c>
      <c r="AB9" s="31">
        <v>45604</v>
      </c>
      <c r="AC9" s="9">
        <v>98</v>
      </c>
    </row>
    <row r="10" spans="1:31" x14ac:dyDescent="0.25">
      <c r="A10" t="s">
        <v>155</v>
      </c>
      <c r="B10" t="s">
        <v>33</v>
      </c>
      <c r="C10" s="26" t="s">
        <v>156</v>
      </c>
      <c r="D10" s="2">
        <v>206.7054</v>
      </c>
      <c r="E10" s="27">
        <v>302.61</v>
      </c>
      <c r="F10" s="3">
        <f t="shared" si="0"/>
        <v>62551.121094000002</v>
      </c>
      <c r="G10" s="3">
        <v>70918.34</v>
      </c>
      <c r="H10" s="4">
        <f t="shared" si="1"/>
        <v>343.08895655362653</v>
      </c>
      <c r="I10" s="3">
        <f t="shared" si="2"/>
        <v>-8367.2189059999946</v>
      </c>
      <c r="J10" s="27">
        <f t="shared" si="3"/>
        <v>-40.478956553626517</v>
      </c>
      <c r="K10" s="28">
        <v>45525</v>
      </c>
      <c r="L10">
        <f t="shared" si="4"/>
        <v>15</v>
      </c>
      <c r="M10" s="5">
        <f t="shared" si="5"/>
        <v>-0.11798385165247798</v>
      </c>
      <c r="N10">
        <v>58</v>
      </c>
      <c r="O10">
        <v>90</v>
      </c>
      <c r="P10" s="34">
        <v>99</v>
      </c>
      <c r="Q10" s="29">
        <v>341.17</v>
      </c>
      <c r="R10" s="30">
        <f t="shared" si="6"/>
        <v>317.28810000000004</v>
      </c>
      <c r="S10" s="30">
        <v>322.62</v>
      </c>
      <c r="T10" s="32">
        <f t="shared" si="7"/>
        <v>426.46250000000003</v>
      </c>
      <c r="U10" s="29">
        <f t="shared" si="8"/>
        <v>511.755</v>
      </c>
      <c r="V10" s="29">
        <f t="shared" si="9"/>
        <v>682.34</v>
      </c>
      <c r="W10" s="29">
        <f t="shared" si="10"/>
        <v>319.07272959487267</v>
      </c>
      <c r="X10" s="30">
        <v>319</v>
      </c>
      <c r="Y10" s="5">
        <f t="shared" si="11"/>
        <v>-7.0211984657283205E-2</v>
      </c>
      <c r="Z10" s="33">
        <f t="shared" si="12"/>
        <v>9.3897440013134215E-2</v>
      </c>
      <c r="AA10" s="9"/>
      <c r="AB10" s="31">
        <v>45589</v>
      </c>
      <c r="AC10" s="9">
        <v>99</v>
      </c>
    </row>
    <row r="11" spans="1:31" x14ac:dyDescent="0.25">
      <c r="A11" t="s">
        <v>157</v>
      </c>
      <c r="B11" t="s">
        <v>33</v>
      </c>
      <c r="C11" s="26" t="s">
        <v>159</v>
      </c>
      <c r="D11" s="2">
        <v>1263.7796000000001</v>
      </c>
      <c r="E11" s="27">
        <v>44.44</v>
      </c>
      <c r="F11" s="3">
        <f t="shared" si="0"/>
        <v>56162.365424000003</v>
      </c>
      <c r="G11" s="3">
        <v>56489.42</v>
      </c>
      <c r="H11" s="4">
        <f t="shared" si="1"/>
        <v>44.698790833464948</v>
      </c>
      <c r="I11" s="3">
        <f t="shared" si="2"/>
        <v>-327.054575999995</v>
      </c>
      <c r="J11" s="27">
        <f t="shared" si="3"/>
        <v>-0.2587908334649498</v>
      </c>
      <c r="K11" s="28">
        <v>45527</v>
      </c>
      <c r="L11">
        <f t="shared" si="4"/>
        <v>13</v>
      </c>
      <c r="M11" s="5">
        <f t="shared" si="5"/>
        <v>-5.7896607187681338E-3</v>
      </c>
      <c r="N11">
        <v>160</v>
      </c>
      <c r="O11">
        <v>92</v>
      </c>
      <c r="P11" s="34">
        <v>81</v>
      </c>
      <c r="Q11" s="29">
        <v>43.2</v>
      </c>
      <c r="R11" s="30">
        <f t="shared" si="6"/>
        <v>40.176000000000002</v>
      </c>
      <c r="S11" s="30">
        <v>41.12</v>
      </c>
      <c r="T11" s="29">
        <f t="shared" si="7"/>
        <v>54</v>
      </c>
      <c r="U11" s="29">
        <f t="shared" si="8"/>
        <v>64.800000000000011</v>
      </c>
      <c r="V11" s="29">
        <f t="shared" si="9"/>
        <v>86.4</v>
      </c>
      <c r="W11" s="29">
        <f t="shared" si="10"/>
        <v>41.569875475122402</v>
      </c>
      <c r="X11" s="30">
        <v>41.57</v>
      </c>
      <c r="Y11" s="5">
        <f t="shared" si="11"/>
        <v>-6.9997214133195165E-2</v>
      </c>
      <c r="Z11" s="6">
        <f t="shared" si="12"/>
        <v>8.4307079492162859E-2</v>
      </c>
      <c r="AB11" s="31">
        <v>45608</v>
      </c>
      <c r="AC11" s="9">
        <v>95</v>
      </c>
    </row>
    <row r="12" spans="1:31" x14ac:dyDescent="0.25">
      <c r="A12" t="s">
        <v>158</v>
      </c>
      <c r="B12" t="s">
        <v>33</v>
      </c>
      <c r="C12" s="26" t="s">
        <v>160</v>
      </c>
      <c r="D12" s="2">
        <v>3020.3485999999998</v>
      </c>
      <c r="E12" s="27">
        <v>17.8</v>
      </c>
      <c r="F12" s="3">
        <f t="shared" si="0"/>
        <v>53762.20508</v>
      </c>
      <c r="G12" s="3">
        <v>56486.59</v>
      </c>
      <c r="H12" s="4">
        <f t="shared" si="1"/>
        <v>18.702010092477405</v>
      </c>
      <c r="I12" s="3">
        <f t="shared" si="2"/>
        <v>-2724.3849199999968</v>
      </c>
      <c r="J12" s="27">
        <f t="shared" si="3"/>
        <v>-0.90201009247740416</v>
      </c>
      <c r="K12" s="28">
        <v>45527</v>
      </c>
      <c r="L12">
        <f t="shared" si="4"/>
        <v>13</v>
      </c>
      <c r="M12" s="5">
        <f t="shared" si="5"/>
        <v>-4.823064943378591E-2</v>
      </c>
      <c r="N12">
        <v>157</v>
      </c>
      <c r="O12">
        <v>96</v>
      </c>
      <c r="P12" s="34">
        <v>86</v>
      </c>
      <c r="Q12" s="29">
        <v>17.86</v>
      </c>
      <c r="R12" s="30">
        <f t="shared" si="6"/>
        <v>16.6098</v>
      </c>
      <c r="S12" s="30">
        <v>17.04</v>
      </c>
      <c r="T12" s="32">
        <f t="shared" si="7"/>
        <v>22.324999999999999</v>
      </c>
      <c r="U12" s="29">
        <f t="shared" si="8"/>
        <v>26.79</v>
      </c>
      <c r="V12" s="29">
        <f t="shared" si="9"/>
        <v>35.72</v>
      </c>
      <c r="W12" s="29">
        <f t="shared" si="10"/>
        <v>17.392869386003987</v>
      </c>
      <c r="X12" s="30">
        <v>17</v>
      </c>
      <c r="Y12" s="5">
        <f t="shared" si="11"/>
        <v>-9.100680002103155E-2</v>
      </c>
      <c r="Z12" s="6">
        <f t="shared" si="12"/>
        <v>8.0704123893909616E-2</v>
      </c>
      <c r="AB12" s="31">
        <v>45597</v>
      </c>
      <c r="AC12" s="9">
        <v>87</v>
      </c>
    </row>
    <row r="13" spans="1:31" x14ac:dyDescent="0.25">
      <c r="A13" t="s">
        <v>133</v>
      </c>
      <c r="B13" t="s">
        <v>33</v>
      </c>
      <c r="C13" s="26" t="s">
        <v>134</v>
      </c>
      <c r="D13" s="2">
        <v>552.66859999999997</v>
      </c>
      <c r="E13" s="27">
        <v>102.83</v>
      </c>
      <c r="F13" s="3">
        <f t="shared" si="0"/>
        <v>56830.912137999992</v>
      </c>
      <c r="G13" s="3">
        <v>70647.62</v>
      </c>
      <c r="H13" s="4">
        <f t="shared" si="1"/>
        <v>127.82998708448426</v>
      </c>
      <c r="I13" s="3">
        <f t="shared" si="2"/>
        <v>-13816.707862000003</v>
      </c>
      <c r="J13" s="27">
        <f t="shared" si="3"/>
        <v>-24.99998708448426</v>
      </c>
      <c r="K13" s="28">
        <v>45531</v>
      </c>
      <c r="L13">
        <f t="shared" si="4"/>
        <v>9</v>
      </c>
      <c r="M13" s="5">
        <f t="shared" si="5"/>
        <v>-0.19557216311037801</v>
      </c>
      <c r="N13">
        <v>99</v>
      </c>
      <c r="O13">
        <v>96</v>
      </c>
      <c r="P13" s="34">
        <v>99</v>
      </c>
      <c r="Q13" s="29">
        <v>131.26</v>
      </c>
      <c r="R13" s="30">
        <f t="shared" si="6"/>
        <v>122.0718</v>
      </c>
      <c r="S13" s="30">
        <v>90.69</v>
      </c>
      <c r="T13" s="29">
        <f t="shared" si="7"/>
        <v>164.07499999999999</v>
      </c>
      <c r="U13" s="29">
        <f t="shared" si="8"/>
        <v>196.89</v>
      </c>
      <c r="V13" s="29">
        <f t="shared" si="9"/>
        <v>262.52</v>
      </c>
      <c r="W13" s="29">
        <f t="shared" si="10"/>
        <v>118.88188798857036</v>
      </c>
      <c r="X13" s="30">
        <v>119</v>
      </c>
      <c r="Y13" s="5">
        <f t="shared" si="11"/>
        <v>-6.907602266006975E-2</v>
      </c>
      <c r="Z13" s="6">
        <f t="shared" si="12"/>
        <v>8.5310655829019491E-2</v>
      </c>
      <c r="AB13" s="31">
        <v>45610</v>
      </c>
      <c r="AC13" s="9">
        <v>91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44886</v>
      </c>
      <c r="M14" s="5" t="e">
        <f t="shared" si="5"/>
        <v>#DIV/0!</v>
      </c>
      <c r="P14" s="58"/>
      <c r="Q14" s="29"/>
      <c r="R14" s="30">
        <f t="shared" si="6"/>
        <v>0</v>
      </c>
      <c r="S14" s="30"/>
      <c r="T14" s="32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56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44886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91.53</v>
      </c>
      <c r="F16" s="57">
        <f t="shared" si="0"/>
        <v>33290.724113999997</v>
      </c>
      <c r="G16" s="38">
        <v>33268.9</v>
      </c>
      <c r="H16" s="39">
        <f t="shared" si="1"/>
        <v>91.469996464252944</v>
      </c>
      <c r="I16" s="38">
        <f t="shared" si="2"/>
        <v>21.824113999995461</v>
      </c>
      <c r="J16" s="37">
        <f t="shared" si="3"/>
        <v>6.0003535747057413E-2</v>
      </c>
      <c r="K16" s="40"/>
      <c r="L16" s="35"/>
      <c r="M16" s="41">
        <f t="shared" si="5"/>
        <v>6.5599145147556611E-4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4.9973744927618219E-2</v>
      </c>
      <c r="AB16" s="31"/>
      <c r="AC16" s="9"/>
    </row>
    <row r="17" spans="1:26" x14ac:dyDescent="0.25">
      <c r="A17" t="s">
        <v>53</v>
      </c>
      <c r="F17" s="3">
        <f>SUM(F6:F16)</f>
        <v>466946.28611099999</v>
      </c>
      <c r="G17" s="3">
        <f>SUM(G6:G16)</f>
        <v>462736</v>
      </c>
      <c r="H17" s="4"/>
      <c r="I17" s="3">
        <f>SUM(I6:I16)</f>
        <v>4210.2861110000158</v>
      </c>
      <c r="M17" s="5"/>
      <c r="Z17" s="6"/>
    </row>
    <row r="18" spans="1:26" x14ac:dyDescent="0.25">
      <c r="D18" s="2" t="s">
        <v>54</v>
      </c>
      <c r="F18" s="3">
        <v>199218</v>
      </c>
      <c r="G18" s="6">
        <f>F18/F19</f>
        <v>0.29905235713402561</v>
      </c>
      <c r="H18" s="4"/>
      <c r="M18" s="5"/>
      <c r="Z18" s="6"/>
    </row>
    <row r="19" spans="1:26" x14ac:dyDescent="0.25">
      <c r="D19" s="2" t="s">
        <v>55</v>
      </c>
      <c r="F19" s="3">
        <f>SUM(F17:F18)</f>
        <v>666164.28611099999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'08-30-24'!F19</f>
        <v>699430.69746900001</v>
      </c>
      <c r="K20" s="1">
        <v>45291</v>
      </c>
      <c r="L20" s="47">
        <v>139707.06</v>
      </c>
      <c r="M20" s="47">
        <v>151688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-4.7562126567192081E-2</v>
      </c>
      <c r="K21" s="9" t="s">
        <v>58</v>
      </c>
      <c r="L21" s="6">
        <f>(M20-L20)/L20</f>
        <v>8.5757584477119495E-2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4" si="13">F25/D25</f>
        <v>47.428061535569462</v>
      </c>
      <c r="F25" s="3">
        <v>38349.050000000003</v>
      </c>
      <c r="G25" s="3">
        <v>35186.18</v>
      </c>
      <c r="H25" s="3">
        <f t="shared" ref="H25:H54" si="14">G25/D25</f>
        <v>43.516392459307944</v>
      </c>
      <c r="I25" s="3">
        <f t="shared" ref="I25:I54" si="15">G25-F25</f>
        <v>-3162.8700000000026</v>
      </c>
      <c r="J25" s="5">
        <f t="shared" ref="J25:J54" si="16">I25/F25</f>
        <v>-8.2475837080710018E-2</v>
      </c>
      <c r="K25" s="1">
        <v>45286</v>
      </c>
      <c r="L25" s="1">
        <v>45302</v>
      </c>
      <c r="M25">
        <f t="shared" ref="M25:M5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C55" s="26"/>
      <c r="E55" s="3"/>
      <c r="J55" s="5"/>
      <c r="K55" s="1"/>
      <c r="L55" s="1"/>
      <c r="M55" s="54"/>
    </row>
    <row r="56" spans="1:15" x14ac:dyDescent="0.25">
      <c r="I56" s="3">
        <f>SUM(I25:I54)</f>
        <v>30175.880000000012</v>
      </c>
      <c r="J56" s="13" t="s">
        <v>68</v>
      </c>
    </row>
    <row r="57" spans="1:15" x14ac:dyDescent="0.25">
      <c r="H57" s="3" t="s">
        <v>69</v>
      </c>
      <c r="I57" s="55">
        <v>17</v>
      </c>
      <c r="J57" s="5">
        <v>-8.6900000000000005E-2</v>
      </c>
    </row>
    <row r="58" spans="1:15" x14ac:dyDescent="0.25">
      <c r="H58" s="3" t="s">
        <v>70</v>
      </c>
      <c r="I58" s="55">
        <v>12</v>
      </c>
      <c r="J58" s="5">
        <v>0.28100000000000003</v>
      </c>
    </row>
    <row r="59" spans="1:15" x14ac:dyDescent="0.25">
      <c r="J59" s="5"/>
    </row>
    <row r="60" spans="1:15" x14ac:dyDescent="0.25">
      <c r="J60" s="5"/>
    </row>
    <row r="61" spans="1:15" x14ac:dyDescent="0.25">
      <c r="J61" s="5"/>
    </row>
    <row r="62" spans="1:15" x14ac:dyDescent="0.25">
      <c r="J62" s="5"/>
    </row>
    <row r="63" spans="1:15" x14ac:dyDescent="0.25">
      <c r="J63" s="5"/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2D7D-8633-483A-9BA8-ED7BDD1F7EBF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45548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9.8000000000000007</v>
      </c>
      <c r="F7" s="3">
        <f t="shared" ref="F7:F13" si="0">E7*D7</f>
        <v>63520.840320000003</v>
      </c>
      <c r="G7" s="3">
        <f>23794.37+31996.67</f>
        <v>55791.039999999994</v>
      </c>
      <c r="H7" s="4">
        <f t="shared" ref="H7:H13" si="1">G7/D7</f>
        <v>8.6074458279458721</v>
      </c>
      <c r="I7" s="3">
        <f t="shared" ref="I7:I13" si="2">F7-G7</f>
        <v>7729.8003200000094</v>
      </c>
      <c r="J7" s="27">
        <f t="shared" ref="J7:J13" si="3">E7-H7</f>
        <v>1.1925541720541286</v>
      </c>
      <c r="K7" s="28">
        <v>45378</v>
      </c>
      <c r="L7">
        <f t="shared" ref="L7:L13" si="4">DAYS360(K7,$C$1)</f>
        <v>166</v>
      </c>
      <c r="M7" s="5">
        <f t="shared" ref="M7:M13" si="5">(I7/G7)</f>
        <v>0.13854913477146169</v>
      </c>
      <c r="N7">
        <v>10</v>
      </c>
      <c r="O7">
        <v>96</v>
      </c>
      <c r="P7" s="34">
        <v>99</v>
      </c>
      <c r="Q7" s="29">
        <v>6.76</v>
      </c>
      <c r="R7" s="30">
        <f t="shared" ref="R7:R13" si="6">Q7*0.93</f>
        <v>6.2868000000000004</v>
      </c>
      <c r="S7" s="30">
        <v>7.21</v>
      </c>
      <c r="T7" s="32">
        <f t="shared" ref="T7:T13" si="7">Q7*1.25</f>
        <v>8.4499999999999993</v>
      </c>
      <c r="U7" s="29">
        <f t="shared" ref="U7:U13" si="8">Q7*1.5</f>
        <v>10.14</v>
      </c>
      <c r="V7" s="29">
        <f t="shared" ref="V7:V13" si="9">Q7*2</f>
        <v>13.52</v>
      </c>
      <c r="W7" s="29">
        <f t="shared" ref="W7:W13" si="10">H7-(H7*0.07)</f>
        <v>8.0049246199896604</v>
      </c>
      <c r="X7" s="30">
        <v>8.75</v>
      </c>
      <c r="Y7" s="5">
        <f t="shared" ref="Y7:Y13" si="11">(X7-H7)/H7</f>
        <v>1.6561727474519328E-2</v>
      </c>
      <c r="Z7" s="6">
        <f t="shared" ref="Z7:Z13" si="12">F7/F$19</f>
        <v>8.9979318595284977E-2</v>
      </c>
      <c r="AB7" s="31">
        <v>45603</v>
      </c>
      <c r="AC7" s="9">
        <v>98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83.17</v>
      </c>
      <c r="F8" s="3">
        <f t="shared" si="0"/>
        <v>68898.219291000001</v>
      </c>
      <c r="G8" s="3">
        <v>47623.59</v>
      </c>
      <c r="H8" s="4">
        <f t="shared" si="1"/>
        <v>57.488481140141687</v>
      </c>
      <c r="I8" s="3">
        <f t="shared" si="2"/>
        <v>21274.629291000005</v>
      </c>
      <c r="J8" s="27">
        <f t="shared" si="3"/>
        <v>25.681518859858315</v>
      </c>
      <c r="K8" s="28">
        <v>45378</v>
      </c>
      <c r="L8">
        <f t="shared" si="4"/>
        <v>166</v>
      </c>
      <c r="M8" s="5">
        <f t="shared" si="5"/>
        <v>0.44672460205121045</v>
      </c>
      <c r="N8">
        <v>10</v>
      </c>
      <c r="O8">
        <v>96</v>
      </c>
      <c r="P8" s="34">
        <v>97</v>
      </c>
      <c r="Q8" s="29">
        <v>70.47</v>
      </c>
      <c r="R8" s="30">
        <f t="shared" si="6"/>
        <v>65.537100000000009</v>
      </c>
      <c r="S8" s="30">
        <v>63.01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75</v>
      </c>
      <c r="Y8" s="5">
        <f t="shared" si="11"/>
        <v>0.30460917583071762</v>
      </c>
      <c r="Z8" s="6">
        <f t="shared" si="12"/>
        <v>9.7596549305736552E-2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36.950000000000003</v>
      </c>
      <c r="F9" s="3">
        <f t="shared" si="0"/>
        <v>91433.462270000004</v>
      </c>
      <c r="G9" s="3">
        <f>44039.07+27471.43</f>
        <v>71510.5</v>
      </c>
      <c r="H9" s="4">
        <f t="shared" si="1"/>
        <v>28.898752266400425</v>
      </c>
      <c r="I9" s="3">
        <f t="shared" si="2"/>
        <v>19922.962270000004</v>
      </c>
      <c r="J9" s="27">
        <f t="shared" si="3"/>
        <v>8.0512477335995776</v>
      </c>
      <c r="K9" s="28">
        <v>45426</v>
      </c>
      <c r="L9">
        <f t="shared" si="4"/>
        <v>119</v>
      </c>
      <c r="M9" s="5">
        <f t="shared" si="5"/>
        <v>0.27860191538305568</v>
      </c>
      <c r="N9">
        <v>17</v>
      </c>
      <c r="O9">
        <v>97</v>
      </c>
      <c r="P9" s="34">
        <v>72</v>
      </c>
      <c r="Q9" s="29">
        <v>31.4</v>
      </c>
      <c r="R9" s="30">
        <f t="shared" si="6"/>
        <v>29.202000000000002</v>
      </c>
      <c r="S9" s="30">
        <v>26.04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</v>
      </c>
      <c r="Y9" s="5">
        <f t="shared" si="11"/>
        <v>7.2710673257773223E-2</v>
      </c>
      <c r="Z9" s="6">
        <f t="shared" si="12"/>
        <v>0.12951844765302845</v>
      </c>
      <c r="AB9" s="31">
        <v>45604</v>
      </c>
      <c r="AC9" s="9">
        <v>98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48.63</v>
      </c>
      <c r="F10" s="3">
        <f t="shared" si="0"/>
        <v>61457.601948000003</v>
      </c>
      <c r="G10" s="3">
        <v>56489.42</v>
      </c>
      <c r="H10" s="4">
        <f t="shared" si="1"/>
        <v>44.698790833464948</v>
      </c>
      <c r="I10" s="3">
        <f t="shared" si="2"/>
        <v>4968.1819480000049</v>
      </c>
      <c r="J10" s="27">
        <f t="shared" si="3"/>
        <v>3.931209166535055</v>
      </c>
      <c r="K10" s="28">
        <v>45527</v>
      </c>
      <c r="L10">
        <f t="shared" si="4"/>
        <v>20</v>
      </c>
      <c r="M10" s="5">
        <f t="shared" si="5"/>
        <v>8.7948892872329099E-2</v>
      </c>
      <c r="N10">
        <v>147</v>
      </c>
      <c r="O10">
        <v>95</v>
      </c>
      <c r="P10" s="34">
        <v>81</v>
      </c>
      <c r="Q10" s="29">
        <v>43.2</v>
      </c>
      <c r="R10" s="30">
        <f t="shared" si="6"/>
        <v>40.176000000000002</v>
      </c>
      <c r="S10" s="30">
        <v>41.12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42</v>
      </c>
      <c r="Y10" s="5">
        <f t="shared" si="11"/>
        <v>-6.0377267105946535E-2</v>
      </c>
      <c r="Z10" s="6">
        <f t="shared" si="12"/>
        <v>8.7056674910520118E-2</v>
      </c>
      <c r="AB10" s="31">
        <v>45608</v>
      </c>
      <c r="AC10" s="9">
        <v>96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18.87</v>
      </c>
      <c r="F11" s="3">
        <f t="shared" si="0"/>
        <v>56993.978082000001</v>
      </c>
      <c r="G11" s="3">
        <v>56486.59</v>
      </c>
      <c r="H11" s="4">
        <f t="shared" si="1"/>
        <v>18.702010092477405</v>
      </c>
      <c r="I11" s="3">
        <f t="shared" si="2"/>
        <v>507.38808200000494</v>
      </c>
      <c r="J11" s="27">
        <f t="shared" si="3"/>
        <v>0.16798990752259613</v>
      </c>
      <c r="K11" s="28">
        <v>45527</v>
      </c>
      <c r="L11">
        <f t="shared" si="4"/>
        <v>20</v>
      </c>
      <c r="M11" s="5">
        <f t="shared" si="5"/>
        <v>8.9824519766550787E-3</v>
      </c>
      <c r="N11">
        <v>145</v>
      </c>
      <c r="O11">
        <v>95</v>
      </c>
      <c r="P11" s="34">
        <v>86</v>
      </c>
      <c r="Q11" s="29">
        <v>17.86</v>
      </c>
      <c r="R11" s="30">
        <f t="shared" si="6"/>
        <v>16.6098</v>
      </c>
      <c r="S11" s="30">
        <v>17.04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</v>
      </c>
      <c r="Y11" s="5">
        <f t="shared" si="11"/>
        <v>-9.100680002103155E-2</v>
      </c>
      <c r="Z11" s="6">
        <f t="shared" si="12"/>
        <v>8.0733807771089752E-2</v>
      </c>
      <c r="AB11" s="31">
        <v>45597</v>
      </c>
      <c r="AC11" s="9">
        <v>87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119.08</v>
      </c>
      <c r="F12" s="3">
        <f t="shared" si="0"/>
        <v>65811.776887999993</v>
      </c>
      <c r="G12" s="3">
        <v>70647.62</v>
      </c>
      <c r="H12" s="4">
        <f t="shared" si="1"/>
        <v>127.82998708448426</v>
      </c>
      <c r="I12" s="3">
        <f t="shared" si="2"/>
        <v>-4835.8431120000023</v>
      </c>
      <c r="J12" s="27">
        <f t="shared" si="3"/>
        <v>-8.7499870844842604</v>
      </c>
      <c r="K12" s="28">
        <v>45531</v>
      </c>
      <c r="L12">
        <f t="shared" si="4"/>
        <v>16</v>
      </c>
      <c r="M12" s="5">
        <f t="shared" si="5"/>
        <v>-6.8450191414799286E-2</v>
      </c>
      <c r="N12">
        <v>44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90.69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119</v>
      </c>
      <c r="Y12" s="5">
        <f t="shared" si="11"/>
        <v>-6.907602266006975E-2</v>
      </c>
      <c r="Z12" s="6">
        <f t="shared" si="12"/>
        <v>9.3224504117000381E-2</v>
      </c>
      <c r="AB12" s="31">
        <v>45610</v>
      </c>
      <c r="AC12" s="9">
        <v>97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44893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33">
        <f t="shared" si="12"/>
        <v>0</v>
      </c>
      <c r="AA13" s="9"/>
      <c r="AB13" s="31"/>
      <c r="AC13" s="9"/>
    </row>
    <row r="14" spans="1:31" x14ac:dyDescent="0.25">
      <c r="C14" s="26"/>
      <c r="E14" s="27"/>
      <c r="F14" s="3">
        <f t="shared" ref="F14:F16" si="13">E14*D14</f>
        <v>0</v>
      </c>
      <c r="H14" s="4" t="e">
        <f t="shared" ref="H14:H16" si="14">G14/D14</f>
        <v>#DIV/0!</v>
      </c>
      <c r="I14" s="3">
        <f t="shared" ref="I14:I16" si="15">F14-G14</f>
        <v>0</v>
      </c>
      <c r="J14" s="27" t="e">
        <f t="shared" ref="J14:J16" si="16">E14-H14</f>
        <v>#DIV/0!</v>
      </c>
      <c r="K14" s="28"/>
      <c r="L14">
        <f t="shared" ref="L14:L15" si="17">DAYS360(K14,$C$1)</f>
        <v>44893</v>
      </c>
      <c r="M14" s="5" t="e">
        <f t="shared" ref="M14:M16" si="18">(I14/G14)</f>
        <v>#DIV/0!</v>
      </c>
      <c r="P14" s="58"/>
      <c r="Q14" s="29"/>
      <c r="R14" s="30">
        <f t="shared" ref="R14:R16" si="19">Q14*0.93</f>
        <v>0</v>
      </c>
      <c r="S14" s="30"/>
      <c r="T14" s="32">
        <f t="shared" ref="T14:T16" si="20">Q14*1.25</f>
        <v>0</v>
      </c>
      <c r="U14" s="29">
        <f t="shared" ref="U14:U16" si="21">Q14*1.5</f>
        <v>0</v>
      </c>
      <c r="V14" s="29">
        <f t="shared" ref="V14:V16" si="22">Q14*2</f>
        <v>0</v>
      </c>
      <c r="W14" s="29" t="e">
        <f t="shared" ref="W14:W16" si="23">H14-(H14*0.07)</f>
        <v>#DIV/0!</v>
      </c>
      <c r="X14" s="30"/>
      <c r="Y14" s="5" t="e">
        <f t="shared" ref="Y14:Y16" si="24">(X14-H14)/H14</f>
        <v>#DIV/0!</v>
      </c>
      <c r="Z14" s="6">
        <f t="shared" ref="Z14:Z16" si="25">F14/F$19</f>
        <v>0</v>
      </c>
      <c r="AB14" s="56"/>
      <c r="AC14" s="9"/>
    </row>
    <row r="15" spans="1:31" x14ac:dyDescent="0.25">
      <c r="C15" s="26"/>
      <c r="E15" s="27"/>
      <c r="F15" s="3">
        <f t="shared" si="13"/>
        <v>0</v>
      </c>
      <c r="H15" s="4" t="e">
        <f t="shared" si="14"/>
        <v>#DIV/0!</v>
      </c>
      <c r="I15" s="3">
        <f t="shared" si="15"/>
        <v>0</v>
      </c>
      <c r="J15" s="27" t="e">
        <f t="shared" si="16"/>
        <v>#DIV/0!</v>
      </c>
      <c r="K15" s="28"/>
      <c r="L15">
        <f t="shared" si="17"/>
        <v>44893</v>
      </c>
      <c r="M15" s="5" t="e">
        <f t="shared" si="18"/>
        <v>#DIV/0!</v>
      </c>
      <c r="P15" s="34"/>
      <c r="Q15" s="29"/>
      <c r="R15" s="30">
        <f t="shared" si="19"/>
        <v>0</v>
      </c>
      <c r="S15" s="30"/>
      <c r="T15" s="29">
        <f t="shared" si="20"/>
        <v>0</v>
      </c>
      <c r="U15" s="29">
        <f t="shared" si="21"/>
        <v>0</v>
      </c>
      <c r="V15" s="29">
        <f t="shared" si="22"/>
        <v>0</v>
      </c>
      <c r="W15" s="29" t="e">
        <f t="shared" si="23"/>
        <v>#DIV/0!</v>
      </c>
      <c r="X15" s="30"/>
      <c r="Y15" s="5" t="e">
        <f t="shared" si="24"/>
        <v>#DIV/0!</v>
      </c>
      <c r="Z15" s="33">
        <f t="shared" si="25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91.62</v>
      </c>
      <c r="F16" s="57">
        <f t="shared" si="13"/>
        <v>33323.458356000003</v>
      </c>
      <c r="G16" s="38">
        <v>33268.9</v>
      </c>
      <c r="H16" s="39">
        <f t="shared" si="14"/>
        <v>91.469996464252944</v>
      </c>
      <c r="I16" s="38">
        <f t="shared" si="15"/>
        <v>54.558356000001368</v>
      </c>
      <c r="J16" s="37">
        <f t="shared" si="16"/>
        <v>0.15000353574706082</v>
      </c>
      <c r="K16" s="40"/>
      <c r="L16" s="35"/>
      <c r="M16" s="41">
        <f t="shared" si="18"/>
        <v>1.6399206466099379E-3</v>
      </c>
      <c r="N16" s="35"/>
      <c r="O16" s="35"/>
      <c r="P16" s="35"/>
      <c r="Q16" s="42"/>
      <c r="R16" s="43">
        <f t="shared" si="19"/>
        <v>0</v>
      </c>
      <c r="S16" s="43"/>
      <c r="T16" s="42">
        <f t="shared" si="20"/>
        <v>0</v>
      </c>
      <c r="U16" s="42">
        <f t="shared" si="21"/>
        <v>0</v>
      </c>
      <c r="V16" s="42">
        <f t="shared" si="22"/>
        <v>0</v>
      </c>
      <c r="W16" s="42">
        <f t="shared" si="23"/>
        <v>85.067096711755241</v>
      </c>
      <c r="X16" s="43"/>
      <c r="Y16" s="41">
        <f t="shared" si="24"/>
        <v>-1</v>
      </c>
      <c r="Z16" s="44">
        <f t="shared" si="25"/>
        <v>4.7203753303735191E-2</v>
      </c>
      <c r="AB16" s="31"/>
      <c r="AC16" s="9"/>
    </row>
    <row r="17" spans="1:26" x14ac:dyDescent="0.25">
      <c r="A17" t="s">
        <v>53</v>
      </c>
      <c r="F17" s="3">
        <f>SUM(F6:F16)</f>
        <v>441439.33715500007</v>
      </c>
      <c r="G17" s="3">
        <f>SUM(G6:G16)</f>
        <v>391817.66000000003</v>
      </c>
      <c r="H17" s="4"/>
      <c r="I17" s="3">
        <f>SUM(I6:I16)</f>
        <v>49621.677155000027</v>
      </c>
      <c r="M17" s="5"/>
      <c r="Z17" s="6"/>
    </row>
    <row r="18" spans="1:26" x14ac:dyDescent="0.25">
      <c r="D18" s="2" t="s">
        <v>54</v>
      </c>
      <c r="F18" s="3">
        <v>264510</v>
      </c>
      <c r="G18" s="6">
        <f>F18/F19</f>
        <v>0.3746869443436045</v>
      </c>
      <c r="H18" s="4"/>
      <c r="M18" s="5"/>
      <c r="Z18" s="6"/>
    </row>
    <row r="19" spans="1:26" x14ac:dyDescent="0.25">
      <c r="D19" s="2" t="s">
        <v>55</v>
      </c>
      <c r="F19" s="3">
        <f>SUM(F17:F18)</f>
        <v>705949.33715500007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'09-06-24'!F19</f>
        <v>666164.28611099999</v>
      </c>
      <c r="K20" s="1">
        <v>45291</v>
      </c>
      <c r="L20" s="47">
        <v>139707.06</v>
      </c>
      <c r="M20" s="47">
        <v>160717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5.9722581761717068E-2</v>
      </c>
      <c r="K21" s="9" t="s">
        <v>58</v>
      </c>
      <c r="L21" s="6">
        <f>(M20-L20)/L20</f>
        <v>0.15038567127530994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26">F25/D25</f>
        <v>47.428061535569462</v>
      </c>
      <c r="F25" s="3">
        <v>38349.050000000003</v>
      </c>
      <c r="G25" s="3">
        <v>35186.18</v>
      </c>
      <c r="H25" s="3">
        <f t="shared" ref="H25:H54" si="27">G25/D25</f>
        <v>43.516392459307944</v>
      </c>
      <c r="I25" s="3">
        <f t="shared" ref="I25:I54" si="28">G25-F25</f>
        <v>-3162.8700000000026</v>
      </c>
      <c r="J25" s="5">
        <f t="shared" ref="J25:J54" si="29">I25/F25</f>
        <v>-8.2475837080710018E-2</v>
      </c>
      <c r="K25" s="1">
        <v>45286</v>
      </c>
      <c r="L25" s="1">
        <v>45302</v>
      </c>
      <c r="M25">
        <f t="shared" ref="M25:M55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si="27"/>
        <v>34.904632944513089</v>
      </c>
      <c r="I33" s="3">
        <f t="shared" si="28"/>
        <v>2.8099999999976717</v>
      </c>
      <c r="J33" s="5">
        <f t="shared" si="29"/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6"/>
        <v>17.884521773182534</v>
      </c>
      <c r="F34" s="3">
        <f>20288.83+19170.47</f>
        <v>39459.300000000003</v>
      </c>
      <c r="G34" s="3">
        <v>47805.42</v>
      </c>
      <c r="H34" s="3">
        <f t="shared" si="27"/>
        <v>21.667314799455028</v>
      </c>
      <c r="I34" s="3">
        <f t="shared" si="28"/>
        <v>8346.1199999999953</v>
      </c>
      <c r="J34" s="5">
        <f t="shared" si="29"/>
        <v>0.21151211501471123</v>
      </c>
      <c r="K34" s="1">
        <v>45243</v>
      </c>
      <c r="L34" s="1">
        <v>45373</v>
      </c>
      <c r="M34" s="54">
        <f t="shared" si="30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6"/>
        <v>97.201614911338325</v>
      </c>
      <c r="F35" s="3">
        <v>71279.48</v>
      </c>
      <c r="G35" s="3">
        <v>66395.73</v>
      </c>
      <c r="H35" s="3">
        <f t="shared" si="27"/>
        <v>90.541796590227548</v>
      </c>
      <c r="I35" s="3">
        <f t="shared" si="28"/>
        <v>-4883.75</v>
      </c>
      <c r="J35" s="5">
        <f t="shared" si="29"/>
        <v>-6.85155110559168E-2</v>
      </c>
      <c r="K35" s="1">
        <v>45349</v>
      </c>
      <c r="L35" s="1">
        <v>45394</v>
      </c>
      <c r="M35" s="54">
        <f t="shared" si="30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6"/>
        <v>51.760011005615979</v>
      </c>
      <c r="F36" s="3">
        <v>46654.3</v>
      </c>
      <c r="G36" s="3">
        <v>44379.95</v>
      </c>
      <c r="H36" s="3">
        <f t="shared" si="27"/>
        <v>49.23676275131524</v>
      </c>
      <c r="I36" s="3">
        <f t="shared" si="28"/>
        <v>-2274.3500000000058</v>
      </c>
      <c r="J36" s="5">
        <f t="shared" si="29"/>
        <v>-4.874898991089794E-2</v>
      </c>
      <c r="K36" s="1">
        <v>45394</v>
      </c>
      <c r="L36" s="1">
        <v>45394</v>
      </c>
      <c r="M36" s="54">
        <f t="shared" si="30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6"/>
        <v>228.36593513142583</v>
      </c>
      <c r="F37" s="3">
        <v>61166.239999999998</v>
      </c>
      <c r="G37" s="3">
        <v>81558.94</v>
      </c>
      <c r="H37" s="3">
        <f t="shared" si="27"/>
        <v>304.50267339349045</v>
      </c>
      <c r="I37" s="3">
        <f t="shared" si="28"/>
        <v>20392.700000000004</v>
      </c>
      <c r="J37" s="5">
        <f t="shared" si="29"/>
        <v>0.33339796593676518</v>
      </c>
      <c r="K37" s="1">
        <v>45238</v>
      </c>
      <c r="L37" s="1">
        <v>45397</v>
      </c>
      <c r="M37" s="54">
        <f t="shared" si="30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6"/>
        <v>131.07547316942754</v>
      </c>
      <c r="F38" s="3">
        <v>29415.63</v>
      </c>
      <c r="G38" s="3">
        <v>27481.43</v>
      </c>
      <c r="H38" s="3">
        <f t="shared" si="27"/>
        <v>122.45671571958516</v>
      </c>
      <c r="I38" s="3">
        <f t="shared" si="28"/>
        <v>-1934.2000000000007</v>
      </c>
      <c r="J38" s="5">
        <f t="shared" si="29"/>
        <v>-6.5754158588478329E-2</v>
      </c>
      <c r="K38" s="1">
        <v>45393</v>
      </c>
      <c r="L38" s="1">
        <v>45397</v>
      </c>
      <c r="M38" s="54">
        <f t="shared" si="30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6"/>
        <v>30.008099047901005</v>
      </c>
      <c r="F39" s="3">
        <v>43950.36</v>
      </c>
      <c r="G39" s="3">
        <v>49174.83</v>
      </c>
      <c r="H39" s="3">
        <f t="shared" si="27"/>
        <v>33.575223713837467</v>
      </c>
      <c r="I39" s="3">
        <f t="shared" si="28"/>
        <v>5224.4700000000012</v>
      </c>
      <c r="J39" s="5">
        <f t="shared" si="29"/>
        <v>0.11887206384657603</v>
      </c>
      <c r="K39" s="1">
        <v>45321</v>
      </c>
      <c r="L39" s="1">
        <v>45400</v>
      </c>
      <c r="M39" s="54">
        <f t="shared" si="30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6"/>
        <v>202.80010053151383</v>
      </c>
      <c r="F40" s="3">
        <v>54466.53</v>
      </c>
      <c r="G40" s="3">
        <v>57142.12</v>
      </c>
      <c r="H40" s="3">
        <f t="shared" si="27"/>
        <v>212.76236397993094</v>
      </c>
      <c r="I40" s="3">
        <f t="shared" si="28"/>
        <v>2675.5900000000038</v>
      </c>
      <c r="J40" s="5">
        <f t="shared" si="29"/>
        <v>4.912356267234215E-2</v>
      </c>
      <c r="K40" s="1">
        <v>45370</v>
      </c>
      <c r="L40" s="1">
        <v>45401</v>
      </c>
      <c r="M40" s="54">
        <f t="shared" si="30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6"/>
        <v>72.032301948546731</v>
      </c>
      <c r="F41" s="3">
        <f>38270.34+5640.4</f>
        <v>43910.74</v>
      </c>
      <c r="G41" s="3">
        <v>46906.35</v>
      </c>
      <c r="H41" s="3">
        <f t="shared" si="27"/>
        <v>76.946377275905974</v>
      </c>
      <c r="I41" s="3">
        <f t="shared" si="28"/>
        <v>2995.6100000000006</v>
      </c>
      <c r="J41" s="5">
        <f t="shared" si="29"/>
        <v>6.8220439919709858E-2</v>
      </c>
      <c r="K41" s="1">
        <v>45313</v>
      </c>
      <c r="L41" s="1">
        <v>45420</v>
      </c>
      <c r="M41" s="54">
        <f t="shared" si="30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6"/>
        <v>26.796152173251542</v>
      </c>
      <c r="F42" s="3">
        <f>36957.24+22924.55</f>
        <v>59881.789999999994</v>
      </c>
      <c r="G42" s="3">
        <v>53143.62</v>
      </c>
      <c r="H42" s="3">
        <f t="shared" si="27"/>
        <v>23.780927867344218</v>
      </c>
      <c r="I42" s="3">
        <f t="shared" si="28"/>
        <v>-6738.169999999991</v>
      </c>
      <c r="J42" s="5">
        <f t="shared" si="29"/>
        <v>-0.11252452540246362</v>
      </c>
      <c r="K42" s="1">
        <v>45421</v>
      </c>
      <c r="L42" s="1">
        <v>45441</v>
      </c>
      <c r="M42" s="54">
        <f t="shared" si="30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6"/>
        <v>21.526049990446886</v>
      </c>
      <c r="F43" s="3">
        <f>28174.78+19947.6-17409.86</f>
        <v>30712.519999999997</v>
      </c>
      <c r="G43" s="3">
        <v>80427.22</v>
      </c>
      <c r="H43" s="3">
        <f t="shared" si="27"/>
        <v>56.370508128693771</v>
      </c>
      <c r="I43" s="3">
        <f t="shared" si="28"/>
        <v>49714.700000000004</v>
      </c>
      <c r="J43" s="5">
        <f t="shared" si="29"/>
        <v>1.6187111966064658</v>
      </c>
      <c r="K43" s="1">
        <v>45309</v>
      </c>
      <c r="L43" s="1">
        <v>45447</v>
      </c>
      <c r="M43" s="54">
        <f t="shared" si="30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6"/>
        <v>119.9800324750113</v>
      </c>
      <c r="F44" s="3">
        <v>59378.55</v>
      </c>
      <c r="G44" s="3">
        <v>52305.62</v>
      </c>
      <c r="H44" s="3">
        <f t="shared" si="27"/>
        <v>105.68850176074695</v>
      </c>
      <c r="I44" s="3">
        <f t="shared" si="28"/>
        <v>-7072.93</v>
      </c>
      <c r="J44" s="5">
        <f t="shared" si="29"/>
        <v>-0.1191159097013989</v>
      </c>
      <c r="K44" s="1">
        <v>45422</v>
      </c>
      <c r="L44" s="1">
        <v>45456</v>
      </c>
      <c r="M44" s="54">
        <f t="shared" si="30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6"/>
        <v>40.121826742024723</v>
      </c>
      <c r="F45" s="3">
        <v>84857.15</v>
      </c>
      <c r="G45" s="3">
        <v>77799.8</v>
      </c>
      <c r="H45" s="3">
        <f t="shared" si="27"/>
        <v>36.784998036867556</v>
      </c>
      <c r="I45" s="3">
        <f t="shared" si="28"/>
        <v>-7057.3499999999913</v>
      </c>
      <c r="J45" s="5">
        <f t="shared" si="29"/>
        <v>-8.3167417241799796E-2</v>
      </c>
      <c r="K45" s="1">
        <v>45446</v>
      </c>
      <c r="L45" s="1">
        <v>45461</v>
      </c>
      <c r="M45" s="54">
        <f t="shared" si="30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6"/>
        <v>190.14353095648559</v>
      </c>
      <c r="F46" s="3">
        <v>58070.69</v>
      </c>
      <c r="G46" s="3">
        <v>55002.36</v>
      </c>
      <c r="H46" s="3">
        <f t="shared" si="27"/>
        <v>180.0967569240139</v>
      </c>
      <c r="I46" s="3">
        <f t="shared" si="28"/>
        <v>-3068.3300000000017</v>
      </c>
      <c r="J46" s="5">
        <f t="shared" si="29"/>
        <v>-5.2837842980684432E-2</v>
      </c>
      <c r="K46" s="1">
        <v>45460</v>
      </c>
      <c r="L46" s="1">
        <v>45478</v>
      </c>
      <c r="M46" s="54">
        <f t="shared" si="30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6"/>
        <v>151.88325953610754</v>
      </c>
      <c r="F47" s="3">
        <v>59201.71</v>
      </c>
      <c r="G47" s="3">
        <v>55840.480000000003</v>
      </c>
      <c r="H47" s="3">
        <f t="shared" si="27"/>
        <v>143.25995172201652</v>
      </c>
      <c r="I47" s="3">
        <f t="shared" si="28"/>
        <v>-3361.2299999999959</v>
      </c>
      <c r="J47" s="5">
        <f t="shared" si="29"/>
        <v>-5.6775893804418755E-2</v>
      </c>
      <c r="K47" s="1">
        <v>45440</v>
      </c>
      <c r="L47" s="1">
        <v>45482</v>
      </c>
      <c r="M47" s="54">
        <f t="shared" si="30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26"/>
        <v>210.8544352001625</v>
      </c>
      <c r="F48" s="3">
        <v>58138.05</v>
      </c>
      <c r="G48" s="3">
        <v>51919.61</v>
      </c>
      <c r="H48" s="3">
        <f t="shared" si="27"/>
        <v>188.30146594807889</v>
      </c>
      <c r="I48" s="3">
        <f t="shared" si="28"/>
        <v>-6218.4400000000023</v>
      </c>
      <c r="J48" s="5">
        <f t="shared" si="29"/>
        <v>-0.1069598997558398</v>
      </c>
      <c r="K48" s="1">
        <v>45461</v>
      </c>
      <c r="L48" s="1">
        <v>45489</v>
      </c>
      <c r="M48" s="54">
        <f t="shared" si="30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26"/>
        <v>94.220008243735961</v>
      </c>
      <c r="F49" s="3">
        <v>24618.68</v>
      </c>
      <c r="G49" s="3">
        <v>30783.54</v>
      </c>
      <c r="H49" s="3">
        <f t="shared" si="27"/>
        <v>117.81400922272745</v>
      </c>
      <c r="I49" s="3">
        <f t="shared" si="28"/>
        <v>6164.8600000000006</v>
      </c>
      <c r="J49" s="5">
        <f t="shared" si="29"/>
        <v>0.25041391333735197</v>
      </c>
      <c r="K49" s="1">
        <v>45427</v>
      </c>
      <c r="L49" s="1">
        <v>45491</v>
      </c>
      <c r="M49" s="54">
        <f t="shared" si="30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26"/>
        <v>99.676254752352776</v>
      </c>
      <c r="F50" s="3">
        <v>71786.429999999993</v>
      </c>
      <c r="G50" s="3">
        <v>64047.02</v>
      </c>
      <c r="H50" s="3">
        <f t="shared" si="27"/>
        <v>88.929998074135099</v>
      </c>
      <c r="I50" s="3">
        <f t="shared" si="28"/>
        <v>-7739.4099999999962</v>
      </c>
      <c r="J50" s="5">
        <f t="shared" si="29"/>
        <v>-0.10781160171915495</v>
      </c>
      <c r="K50" s="1">
        <v>45495</v>
      </c>
      <c r="L50" s="1">
        <v>45506</v>
      </c>
      <c r="M50" s="54">
        <f t="shared" si="30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26"/>
        <v>94.217245845358406</v>
      </c>
      <c r="F51" s="3">
        <f>88627.87-24618.68</f>
        <v>64009.189999999995</v>
      </c>
      <c r="G51" s="3">
        <v>69221.69</v>
      </c>
      <c r="H51" s="3">
        <f t="shared" si="27"/>
        <v>101.88969716006699</v>
      </c>
      <c r="I51" s="3">
        <f t="shared" si="28"/>
        <v>5212.5000000000073</v>
      </c>
      <c r="J51" s="5">
        <f t="shared" si="29"/>
        <v>8.1433619141251551E-2</v>
      </c>
      <c r="K51" s="1">
        <v>45427</v>
      </c>
      <c r="L51" s="1">
        <v>45506</v>
      </c>
      <c r="M51" s="54">
        <f t="shared" si="30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27"/>
        <v>24.260268707864267</v>
      </c>
      <c r="I52" s="3">
        <f t="shared" si="28"/>
        <v>-5424.5400000000009</v>
      </c>
      <c r="J52" s="5">
        <f t="shared" si="29"/>
        <v>-0.10662702360362285</v>
      </c>
      <c r="K52" s="1">
        <v>45478</v>
      </c>
      <c r="L52" s="1">
        <v>45506</v>
      </c>
      <c r="M52" s="54">
        <f t="shared" si="30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26"/>
        <v>150.35572938289613</v>
      </c>
      <c r="F53" s="3">
        <v>58706.59</v>
      </c>
      <c r="G53" s="3">
        <v>58315.35</v>
      </c>
      <c r="H53" s="3">
        <f t="shared" si="27"/>
        <v>149.35370941267195</v>
      </c>
      <c r="I53" s="3">
        <f t="shared" si="28"/>
        <v>-391.23999999999796</v>
      </c>
      <c r="J53" s="5">
        <f t="shared" si="29"/>
        <v>-6.6643284850984872E-3</v>
      </c>
      <c r="K53" s="1">
        <v>45426</v>
      </c>
      <c r="L53" s="1">
        <v>45506</v>
      </c>
      <c r="M53" s="54">
        <f t="shared" si="30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26"/>
        <v>210.88800094512985</v>
      </c>
      <c r="F54" s="3">
        <v>72116.02</v>
      </c>
      <c r="G54" s="3">
        <v>72157.78</v>
      </c>
      <c r="H54" s="3">
        <f t="shared" si="27"/>
        <v>211.01011920566984</v>
      </c>
      <c r="I54" s="3">
        <f t="shared" si="28"/>
        <v>41.759999999994761</v>
      </c>
      <c r="J54" s="5">
        <f t="shared" si="29"/>
        <v>5.7906689803451105E-4</v>
      </c>
      <c r="K54" s="1">
        <v>45464</v>
      </c>
      <c r="L54" s="1">
        <v>45512</v>
      </c>
      <c r="M54" s="54">
        <f t="shared" si="30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26"/>
        <v>343.08895655362653</v>
      </c>
      <c r="F55" s="3">
        <v>70918.34</v>
      </c>
      <c r="G55" s="3">
        <v>64755.66</v>
      </c>
      <c r="H55" s="3">
        <f t="shared" ref="H55" si="31">G55/D55</f>
        <v>313.27512488788392</v>
      </c>
      <c r="I55" s="3">
        <f t="shared" ref="I55" si="32">G55-F55</f>
        <v>-6162.679999999993</v>
      </c>
      <c r="J55" s="5">
        <f t="shared" ref="J55" si="33">I55/F55</f>
        <v>-8.6898255091701154E-2</v>
      </c>
      <c r="K55" s="1">
        <v>45531</v>
      </c>
      <c r="L55" s="1">
        <v>45546</v>
      </c>
      <c r="M55" s="54">
        <f t="shared" si="30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sortState xmlns:xlrd2="http://schemas.microsoft.com/office/spreadsheetml/2017/richdata2" ref="C7:AC12">
    <sortCondition descending="1" ref="L7:L12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F89A-0404-46CB-BAAB-3D28B05A5C67}">
  <dimension ref="A1:AE213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45555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10.3</v>
      </c>
      <c r="F7" s="3">
        <f t="shared" ref="F7:F16" si="0">E7*D7</f>
        <v>66761.699520000009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10970.659520000016</v>
      </c>
      <c r="J7" s="27">
        <f t="shared" ref="J7:J16" si="3">E7-H7</f>
        <v>1.6925541720541286</v>
      </c>
      <c r="K7" s="28">
        <v>45378</v>
      </c>
      <c r="L7">
        <f t="shared" ref="L7:L15" si="4">DAYS360(K7,$C$1)</f>
        <v>173</v>
      </c>
      <c r="M7" s="5">
        <f t="shared" ref="M7:M16" si="5">(I7/G7)</f>
        <v>0.19663837634143433</v>
      </c>
      <c r="N7">
        <v>12</v>
      </c>
      <c r="O7">
        <v>94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9.4330527366775857E-2</v>
      </c>
      <c r="AB7" s="31">
        <v>45603</v>
      </c>
      <c r="AC7" s="9">
        <v>98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83.13</v>
      </c>
      <c r="F8" s="3">
        <f t="shared" si="0"/>
        <v>68865.083199000001</v>
      </c>
      <c r="G8" s="3">
        <v>47623.59</v>
      </c>
      <c r="H8" s="4">
        <f t="shared" si="1"/>
        <v>57.488481140141687</v>
      </c>
      <c r="I8" s="3">
        <f t="shared" si="2"/>
        <v>21241.493199000004</v>
      </c>
      <c r="J8" s="27">
        <f t="shared" si="3"/>
        <v>25.641518859858309</v>
      </c>
      <c r="K8" s="28">
        <v>45378</v>
      </c>
      <c r="L8">
        <f t="shared" si="4"/>
        <v>173</v>
      </c>
      <c r="M8" s="5">
        <f t="shared" si="5"/>
        <v>0.44602881049076742</v>
      </c>
      <c r="N8">
        <v>12</v>
      </c>
      <c r="O8">
        <v>94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75</v>
      </c>
      <c r="Y8" s="5">
        <f t="shared" si="11"/>
        <v>0.30460917583071762</v>
      </c>
      <c r="Z8" s="6">
        <f t="shared" si="12"/>
        <v>9.7302490230532779E-2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35.08</v>
      </c>
      <c r="F9" s="3">
        <f t="shared" si="0"/>
        <v>86806.112487999984</v>
      </c>
      <c r="G9" s="3">
        <f>44039.07+27471.43</f>
        <v>71510.5</v>
      </c>
      <c r="H9" s="4">
        <f t="shared" si="1"/>
        <v>28.898752266400425</v>
      </c>
      <c r="I9" s="3">
        <f t="shared" si="2"/>
        <v>15295.612487999984</v>
      </c>
      <c r="J9" s="27">
        <f t="shared" si="3"/>
        <v>6.181247733599573</v>
      </c>
      <c r="K9" s="28">
        <v>45426</v>
      </c>
      <c r="L9">
        <f t="shared" si="4"/>
        <v>126</v>
      </c>
      <c r="M9" s="5">
        <f t="shared" si="5"/>
        <v>0.21389323928653811</v>
      </c>
      <c r="N9">
        <v>36</v>
      </c>
      <c r="O9">
        <v>97</v>
      </c>
      <c r="P9" s="34">
        <v>72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</v>
      </c>
      <c r="Y9" s="5">
        <f t="shared" si="11"/>
        <v>7.2710673257773223E-2</v>
      </c>
      <c r="Z9" s="6">
        <f t="shared" si="12"/>
        <v>0.12265215577982196</v>
      </c>
      <c r="AB9" s="31">
        <v>45604</v>
      </c>
      <c r="AC9" s="9">
        <v>98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49.95</v>
      </c>
      <c r="F10" s="3">
        <f t="shared" si="0"/>
        <v>63125.791020000004</v>
      </c>
      <c r="G10" s="3">
        <v>56489.42</v>
      </c>
      <c r="H10" s="4">
        <f t="shared" si="1"/>
        <v>44.698790833464948</v>
      </c>
      <c r="I10" s="3">
        <f t="shared" si="2"/>
        <v>6636.371020000006</v>
      </c>
      <c r="J10" s="27">
        <f t="shared" si="3"/>
        <v>5.2512091665350553</v>
      </c>
      <c r="K10" s="28">
        <v>45527</v>
      </c>
      <c r="L10">
        <f t="shared" si="4"/>
        <v>27</v>
      </c>
      <c r="M10" s="5">
        <f t="shared" si="5"/>
        <v>0.11747989304899938</v>
      </c>
      <c r="N10">
        <v>105</v>
      </c>
      <c r="O10">
        <v>94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42</v>
      </c>
      <c r="Y10" s="5">
        <f t="shared" si="11"/>
        <v>-6.0377267105946535E-2</v>
      </c>
      <c r="Z10" s="6">
        <f t="shared" si="12"/>
        <v>8.9193193105840868E-2</v>
      </c>
      <c r="AB10" s="31">
        <v>45608</v>
      </c>
      <c r="AC10" s="9">
        <v>97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18.97</v>
      </c>
      <c r="F11" s="3">
        <f t="shared" si="0"/>
        <v>57296.012941999994</v>
      </c>
      <c r="G11" s="3">
        <v>56486.59</v>
      </c>
      <c r="H11" s="4">
        <f t="shared" si="1"/>
        <v>18.702010092477405</v>
      </c>
      <c r="I11" s="3">
        <f t="shared" si="2"/>
        <v>809.42294199999742</v>
      </c>
      <c r="J11" s="27">
        <f t="shared" si="3"/>
        <v>0.267989907522594</v>
      </c>
      <c r="K11" s="28">
        <v>45527</v>
      </c>
      <c r="L11">
        <f t="shared" si="4"/>
        <v>27</v>
      </c>
      <c r="M11" s="5">
        <f t="shared" si="5"/>
        <v>1.4329470800060641E-2</v>
      </c>
      <c r="N11">
        <v>139</v>
      </c>
      <c r="O11">
        <v>94</v>
      </c>
      <c r="P11" s="34">
        <v>87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</v>
      </c>
      <c r="Y11" s="5">
        <f t="shared" si="11"/>
        <v>-9.100680002103155E-2</v>
      </c>
      <c r="Z11" s="6">
        <f t="shared" si="12"/>
        <v>8.0956044493944501E-2</v>
      </c>
      <c r="AB11" s="31">
        <v>45597</v>
      </c>
      <c r="AC11" s="9">
        <v>87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116</v>
      </c>
      <c r="F12" s="3">
        <f t="shared" si="0"/>
        <v>64109.5576</v>
      </c>
      <c r="G12" s="3">
        <v>70647.62</v>
      </c>
      <c r="H12" s="4">
        <f t="shared" si="1"/>
        <v>127.82998708448426</v>
      </c>
      <c r="I12" s="3">
        <f t="shared" si="2"/>
        <v>-6538.0623999999953</v>
      </c>
      <c r="J12" s="27">
        <f t="shared" si="3"/>
        <v>-11.829987084484259</v>
      </c>
      <c r="K12" s="28">
        <v>45531</v>
      </c>
      <c r="L12">
        <f t="shared" si="4"/>
        <v>23</v>
      </c>
      <c r="M12" s="5">
        <f t="shared" si="5"/>
        <v>-9.2544694357715035E-2</v>
      </c>
      <c r="N12">
        <v>42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119</v>
      </c>
      <c r="Y12" s="5">
        <f t="shared" si="11"/>
        <v>-6.907602266006975E-2</v>
      </c>
      <c r="Z12" s="6">
        <f t="shared" si="12"/>
        <v>9.0583199965528563E-2</v>
      </c>
      <c r="AB12" s="31">
        <v>45610</v>
      </c>
      <c r="AC12" s="9">
        <v>97</v>
      </c>
    </row>
    <row r="13" spans="1:31" x14ac:dyDescent="0.25">
      <c r="A13" t="s">
        <v>161</v>
      </c>
      <c r="B13" t="s">
        <v>33</v>
      </c>
      <c r="C13" s="26" t="s">
        <v>162</v>
      </c>
      <c r="D13" s="2">
        <v>685.0933</v>
      </c>
      <c r="E13" s="27">
        <v>84.99</v>
      </c>
      <c r="F13" s="3">
        <f t="shared" si="0"/>
        <v>58226.079566999993</v>
      </c>
      <c r="G13" s="3">
        <v>56064.04</v>
      </c>
      <c r="H13" s="4">
        <f t="shared" si="1"/>
        <v>81.834167696575051</v>
      </c>
      <c r="I13" s="3">
        <f t="shared" si="2"/>
        <v>2162.0395669999925</v>
      </c>
      <c r="J13" s="27">
        <f t="shared" si="3"/>
        <v>3.155832303424944</v>
      </c>
      <c r="K13" s="28">
        <v>45553</v>
      </c>
      <c r="L13">
        <f t="shared" si="4"/>
        <v>2</v>
      </c>
      <c r="M13" s="5">
        <f t="shared" si="5"/>
        <v>3.8563749009168667E-2</v>
      </c>
      <c r="N13">
        <v>35</v>
      </c>
      <c r="O13">
        <v>98</v>
      </c>
      <c r="P13" s="34">
        <v>34</v>
      </c>
      <c r="Q13" s="29">
        <v>72.61</v>
      </c>
      <c r="R13" s="30">
        <f t="shared" si="6"/>
        <v>67.527299999999997</v>
      </c>
      <c r="S13" s="30">
        <v>71.72</v>
      </c>
      <c r="T13" s="32">
        <f t="shared" si="7"/>
        <v>90.762500000000003</v>
      </c>
      <c r="U13" s="29">
        <f t="shared" si="8"/>
        <v>108.91499999999999</v>
      </c>
      <c r="V13" s="29">
        <f t="shared" si="9"/>
        <v>145.22</v>
      </c>
      <c r="W13" s="29">
        <f t="shared" si="10"/>
        <v>76.105775957814799</v>
      </c>
      <c r="X13" s="30">
        <v>77.75</v>
      </c>
      <c r="Y13" s="5">
        <f t="shared" si="11"/>
        <v>-4.9907854036205741E-2</v>
      </c>
      <c r="Z13" s="33">
        <f t="shared" si="12"/>
        <v>8.2270176336801573E-2</v>
      </c>
      <c r="AA13" s="9"/>
      <c r="AB13" s="31">
        <v>45596</v>
      </c>
      <c r="AC13" s="9">
        <v>71</v>
      </c>
    </row>
    <row r="14" spans="1:31" x14ac:dyDescent="0.25">
      <c r="A14" t="s">
        <v>163</v>
      </c>
      <c r="B14" t="s">
        <v>33</v>
      </c>
      <c r="C14" s="26" t="s">
        <v>164</v>
      </c>
      <c r="D14" s="2">
        <v>427.7285</v>
      </c>
      <c r="E14" s="27">
        <v>133.02000000000001</v>
      </c>
      <c r="F14" s="3">
        <f t="shared" si="0"/>
        <v>56896.445070000002</v>
      </c>
      <c r="G14" s="3">
        <v>56493.63</v>
      </c>
      <c r="H14" s="4">
        <f t="shared" si="1"/>
        <v>132.0782458966377</v>
      </c>
      <c r="I14" s="3">
        <f t="shared" si="2"/>
        <v>402.8150700000042</v>
      </c>
      <c r="J14" s="27">
        <f t="shared" si="3"/>
        <v>0.9417541033623138</v>
      </c>
      <c r="K14" s="28">
        <v>45554</v>
      </c>
      <c r="L14">
        <f t="shared" si="4"/>
        <v>1</v>
      </c>
      <c r="M14" s="5">
        <f t="shared" si="5"/>
        <v>7.1302741565731258E-3</v>
      </c>
      <c r="N14">
        <v>32</v>
      </c>
      <c r="O14">
        <v>89</v>
      </c>
      <c r="P14" s="58">
        <v>98</v>
      </c>
      <c r="Q14" s="29">
        <v>128.97999999999999</v>
      </c>
      <c r="R14" s="30">
        <f t="shared" si="6"/>
        <v>119.95139999999999</v>
      </c>
      <c r="S14" s="30">
        <v>120.04</v>
      </c>
      <c r="T14" s="32">
        <f t="shared" si="7"/>
        <v>161.22499999999999</v>
      </c>
      <c r="U14" s="29">
        <f t="shared" si="8"/>
        <v>193.46999999999997</v>
      </c>
      <c r="V14" s="29">
        <f t="shared" si="9"/>
        <v>257.95999999999998</v>
      </c>
      <c r="W14" s="29">
        <f t="shared" si="10"/>
        <v>122.83276868387306</v>
      </c>
      <c r="X14" s="30">
        <v>123</v>
      </c>
      <c r="Y14" s="5">
        <f t="shared" si="11"/>
        <v>-6.8733846630142148E-2</v>
      </c>
      <c r="Z14" s="6">
        <f t="shared" si="12"/>
        <v>8.0391477558777014E-2</v>
      </c>
      <c r="AB14" s="31">
        <v>45580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44900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91.73</v>
      </c>
      <c r="F16" s="57">
        <f t="shared" si="0"/>
        <v>33363.466873999998</v>
      </c>
      <c r="G16" s="38">
        <v>33268.9</v>
      </c>
      <c r="H16" s="39">
        <f t="shared" si="1"/>
        <v>91.469996464252944</v>
      </c>
      <c r="I16" s="38">
        <f t="shared" si="2"/>
        <v>94.56687399999646</v>
      </c>
      <c r="J16" s="37">
        <f t="shared" si="3"/>
        <v>0.26000353574706025</v>
      </c>
      <c r="K16" s="40"/>
      <c r="L16" s="35"/>
      <c r="M16" s="41">
        <f t="shared" si="5"/>
        <v>2.8425007739960278E-3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4.7140702642921216E-2</v>
      </c>
      <c r="AB16" s="31"/>
      <c r="AC16" s="9"/>
    </row>
    <row r="17" spans="1:26" x14ac:dyDescent="0.25">
      <c r="A17" t="s">
        <v>53</v>
      </c>
      <c r="F17" s="3">
        <f>SUM(F6:F16)</f>
        <v>555450.24827999994</v>
      </c>
      <c r="G17" s="3">
        <f>SUM(G6:G16)</f>
        <v>504375.33</v>
      </c>
      <c r="H17" s="4"/>
      <c r="I17" s="3">
        <f>SUM(I6:I16)</f>
        <v>51074.918280000005</v>
      </c>
      <c r="M17" s="5"/>
      <c r="Z17" s="6"/>
    </row>
    <row r="18" spans="1:26" x14ac:dyDescent="0.25">
      <c r="D18" s="2" t="s">
        <v>54</v>
      </c>
      <c r="F18" s="3">
        <v>152292</v>
      </c>
      <c r="G18" s="6">
        <f>F18/F19</f>
        <v>0.21518003251905574</v>
      </c>
      <c r="H18" s="4"/>
      <c r="M18" s="5"/>
      <c r="Z18" s="6"/>
    </row>
    <row r="19" spans="1:26" x14ac:dyDescent="0.25">
      <c r="D19" s="2" t="s">
        <v>55</v>
      </c>
      <c r="F19" s="3">
        <f>SUM(F17:F18)</f>
        <v>707742.24827999994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'09-13-24'!F19</f>
        <v>705949.33715500007</v>
      </c>
      <c r="K20" s="1">
        <v>45291</v>
      </c>
      <c r="L20" s="47">
        <v>139707.06</v>
      </c>
      <c r="M20" s="47">
        <v>161107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2.5397164224636301E-3</v>
      </c>
      <c r="K21" s="9" t="s">
        <v>58</v>
      </c>
      <c r="L21" s="6">
        <f>(M20-L20)/L20</f>
        <v>0.15317722669133543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13">F25/D25</f>
        <v>47.428061535569462</v>
      </c>
      <c r="F25" s="3">
        <v>38349.050000000003</v>
      </c>
      <c r="G25" s="3">
        <v>35186.18</v>
      </c>
      <c r="H25" s="3">
        <f t="shared" ref="H25:H55" si="14">G25/D25</f>
        <v>43.516392459307944</v>
      </c>
      <c r="I25" s="3">
        <f t="shared" ref="I25:I55" si="15">G25-F25</f>
        <v>-3162.8700000000026</v>
      </c>
      <c r="J25" s="5">
        <f t="shared" ref="J25:J55" si="16">I25/F25</f>
        <v>-8.2475837080710018E-2</v>
      </c>
      <c r="K25" s="1">
        <v>45286</v>
      </c>
      <c r="L25" s="1">
        <v>45302</v>
      </c>
      <c r="M25">
        <f t="shared" ref="M25:M55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1EFD-B290-4154-8517-C2A9C1B3C146}">
  <dimension ref="A1:AE213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45562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10.8</v>
      </c>
      <c r="F7" s="3">
        <f t="shared" ref="F7:F16" si="0">E7*D7</f>
        <v>70002.558720000001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14211.518720000007</v>
      </c>
      <c r="J7" s="27">
        <f t="shared" ref="J7:J16" si="3">E7-H7</f>
        <v>2.1925541720541286</v>
      </c>
      <c r="K7" s="28">
        <v>45378</v>
      </c>
      <c r="L7">
        <f t="shared" ref="L7:L15" si="4">DAYS360(K7,$C$1)</f>
        <v>180</v>
      </c>
      <c r="M7" s="5">
        <f t="shared" ref="M7:M16" si="5">(I7/G7)</f>
        <v>0.25472761791140675</v>
      </c>
      <c r="N7">
        <v>12</v>
      </c>
      <c r="O7">
        <v>94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9.8272849997027734E-2</v>
      </c>
      <c r="AB7" s="31">
        <v>45603</v>
      </c>
      <c r="AC7" s="9">
        <v>98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81.819999999999993</v>
      </c>
      <c r="F8" s="3">
        <f t="shared" si="0"/>
        <v>67779.876185999994</v>
      </c>
      <c r="G8" s="3">
        <v>47623.59</v>
      </c>
      <c r="H8" s="4">
        <f t="shared" si="1"/>
        <v>57.488481140141687</v>
      </c>
      <c r="I8" s="3">
        <f t="shared" si="2"/>
        <v>20156.286185999998</v>
      </c>
      <c r="J8" s="27">
        <f t="shared" si="3"/>
        <v>24.331518859858306</v>
      </c>
      <c r="K8" s="28">
        <v>45378</v>
      </c>
      <c r="L8">
        <f t="shared" si="4"/>
        <v>180</v>
      </c>
      <c r="M8" s="5">
        <f t="shared" si="5"/>
        <v>0.42324163688625738</v>
      </c>
      <c r="N8">
        <v>12</v>
      </c>
      <c r="O8">
        <v>94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75</v>
      </c>
      <c r="Y8" s="5">
        <f t="shared" si="11"/>
        <v>0.30460917583071762</v>
      </c>
      <c r="Z8" s="6">
        <f t="shared" si="12"/>
        <v>9.5152544807491996E-2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35.72</v>
      </c>
      <c r="F9" s="3">
        <f t="shared" si="0"/>
        <v>88389.804391999991</v>
      </c>
      <c r="G9" s="3">
        <f>44039.07+27471.43</f>
        <v>71510.5</v>
      </c>
      <c r="H9" s="4">
        <f t="shared" si="1"/>
        <v>28.898752266400425</v>
      </c>
      <c r="I9" s="3">
        <f t="shared" si="2"/>
        <v>16879.304391999991</v>
      </c>
      <c r="J9" s="27">
        <f t="shared" si="3"/>
        <v>6.8212477335995736</v>
      </c>
      <c r="K9" s="28">
        <v>45426</v>
      </c>
      <c r="L9">
        <f t="shared" si="4"/>
        <v>133</v>
      </c>
      <c r="M9" s="5">
        <f t="shared" si="5"/>
        <v>0.23603952415379548</v>
      </c>
      <c r="N9">
        <v>36</v>
      </c>
      <c r="O9">
        <v>97</v>
      </c>
      <c r="P9" s="34">
        <v>72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</v>
      </c>
      <c r="Y9" s="5">
        <f t="shared" si="11"/>
        <v>7.2710673257773223E-2</v>
      </c>
      <c r="Z9" s="6">
        <f t="shared" si="12"/>
        <v>0.12408572125235649</v>
      </c>
      <c r="AB9" s="31">
        <v>45604</v>
      </c>
      <c r="AC9" s="9">
        <v>98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51.13</v>
      </c>
      <c r="F10" s="3">
        <f t="shared" si="0"/>
        <v>64617.050948000004</v>
      </c>
      <c r="G10" s="3">
        <v>56489.42</v>
      </c>
      <c r="H10" s="4">
        <f t="shared" si="1"/>
        <v>44.698790833464948</v>
      </c>
      <c r="I10" s="3">
        <f t="shared" si="2"/>
        <v>8127.6309480000054</v>
      </c>
      <c r="J10" s="27">
        <f t="shared" si="3"/>
        <v>6.431209166535055</v>
      </c>
      <c r="K10" s="28">
        <v>45527</v>
      </c>
      <c r="L10">
        <f t="shared" si="4"/>
        <v>34</v>
      </c>
      <c r="M10" s="5">
        <f t="shared" si="5"/>
        <v>0.1438788174493561</v>
      </c>
      <c r="N10">
        <v>105</v>
      </c>
      <c r="O10">
        <v>94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42</v>
      </c>
      <c r="Y10" s="5">
        <f t="shared" si="11"/>
        <v>-6.0377267105946535E-2</v>
      </c>
      <c r="Z10" s="6">
        <f t="shared" si="12"/>
        <v>9.0712423533867978E-2</v>
      </c>
      <c r="AB10" s="31">
        <v>45608</v>
      </c>
      <c r="AC10" s="9">
        <v>97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18.399999999999999</v>
      </c>
      <c r="F11" s="3">
        <f t="shared" si="0"/>
        <v>55574.414239999991</v>
      </c>
      <c r="G11" s="3">
        <v>56486.59</v>
      </c>
      <c r="H11" s="4">
        <f t="shared" si="1"/>
        <v>18.702010092477405</v>
      </c>
      <c r="I11" s="3">
        <f t="shared" si="2"/>
        <v>-912.17576000000554</v>
      </c>
      <c r="J11" s="27">
        <f t="shared" si="3"/>
        <v>-0.30201009247740629</v>
      </c>
      <c r="K11" s="28">
        <v>45527</v>
      </c>
      <c r="L11">
        <f t="shared" si="4"/>
        <v>34</v>
      </c>
      <c r="M11" s="5">
        <f t="shared" si="5"/>
        <v>-1.6148536493351885E-2</v>
      </c>
      <c r="N11">
        <v>139</v>
      </c>
      <c r="O11">
        <v>94</v>
      </c>
      <c r="P11" s="34">
        <v>87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</v>
      </c>
      <c r="Y11" s="5">
        <f t="shared" si="11"/>
        <v>-9.100680002103155E-2</v>
      </c>
      <c r="Z11" s="6">
        <f t="shared" si="12"/>
        <v>7.8017949259901007E-2</v>
      </c>
      <c r="AB11" s="31">
        <v>45597</v>
      </c>
      <c r="AC11" s="9">
        <v>87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121.4</v>
      </c>
      <c r="F12" s="3">
        <f t="shared" si="0"/>
        <v>67093.968039999992</v>
      </c>
      <c r="G12" s="3">
        <v>70647.62</v>
      </c>
      <c r="H12" s="4">
        <f t="shared" si="1"/>
        <v>127.82998708448426</v>
      </c>
      <c r="I12" s="3">
        <f t="shared" si="2"/>
        <v>-3553.6519600000029</v>
      </c>
      <c r="J12" s="27">
        <f t="shared" si="3"/>
        <v>-6.429987084484253</v>
      </c>
      <c r="K12" s="28">
        <v>45531</v>
      </c>
      <c r="L12">
        <f t="shared" si="4"/>
        <v>30</v>
      </c>
      <c r="M12" s="5">
        <f t="shared" si="5"/>
        <v>-5.0301085301953596E-2</v>
      </c>
      <c r="N12">
        <v>42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119</v>
      </c>
      <c r="Y12" s="5">
        <f t="shared" si="11"/>
        <v>-6.907602266006975E-2</v>
      </c>
      <c r="Z12" s="6">
        <f t="shared" si="12"/>
        <v>9.4189635028533586E-2</v>
      </c>
      <c r="AB12" s="31">
        <v>45610</v>
      </c>
      <c r="AC12" s="9">
        <v>97</v>
      </c>
    </row>
    <row r="13" spans="1:31" x14ac:dyDescent="0.25">
      <c r="A13" t="s">
        <v>161</v>
      </c>
      <c r="B13" t="s">
        <v>33</v>
      </c>
      <c r="C13" s="26" t="s">
        <v>162</v>
      </c>
      <c r="D13" s="2">
        <v>685.0933</v>
      </c>
      <c r="E13" s="27">
        <v>79.53</v>
      </c>
      <c r="F13" s="3">
        <f t="shared" si="0"/>
        <v>54485.470149000001</v>
      </c>
      <c r="G13" s="3">
        <v>56064.04</v>
      </c>
      <c r="H13" s="4">
        <f t="shared" si="1"/>
        <v>81.834167696575051</v>
      </c>
      <c r="I13" s="3">
        <f t="shared" si="2"/>
        <v>-1578.5698510000002</v>
      </c>
      <c r="J13" s="27">
        <f t="shared" si="3"/>
        <v>-2.3041676965750497</v>
      </c>
      <c r="K13" s="28">
        <v>45553</v>
      </c>
      <c r="L13">
        <f t="shared" si="4"/>
        <v>9</v>
      </c>
      <c r="M13" s="5">
        <f t="shared" si="5"/>
        <v>-2.8156548315105372E-2</v>
      </c>
      <c r="N13">
        <v>35</v>
      </c>
      <c r="O13">
        <v>98</v>
      </c>
      <c r="P13" s="34">
        <v>34</v>
      </c>
      <c r="Q13" s="29">
        <v>72.61</v>
      </c>
      <c r="R13" s="30">
        <f t="shared" si="6"/>
        <v>67.527299999999997</v>
      </c>
      <c r="S13" s="30">
        <v>71.72</v>
      </c>
      <c r="T13" s="32">
        <f t="shared" si="7"/>
        <v>90.762500000000003</v>
      </c>
      <c r="U13" s="29">
        <f t="shared" si="8"/>
        <v>108.91499999999999</v>
      </c>
      <c r="V13" s="29">
        <f t="shared" si="9"/>
        <v>145.22</v>
      </c>
      <c r="W13" s="29">
        <f t="shared" si="10"/>
        <v>76.105775957814799</v>
      </c>
      <c r="X13" s="30">
        <v>77.75</v>
      </c>
      <c r="Y13" s="5">
        <f t="shared" si="11"/>
        <v>-4.9907854036205741E-2</v>
      </c>
      <c r="Z13" s="33">
        <f t="shared" si="12"/>
        <v>7.6489238863213502E-2</v>
      </c>
      <c r="AA13" s="9"/>
      <c r="AB13" s="31">
        <v>45596</v>
      </c>
      <c r="AC13" s="9">
        <v>71</v>
      </c>
    </row>
    <row r="14" spans="1:31" x14ac:dyDescent="0.25">
      <c r="A14" t="s">
        <v>163</v>
      </c>
      <c r="B14" t="s">
        <v>33</v>
      </c>
      <c r="C14" s="26" t="s">
        <v>164</v>
      </c>
      <c r="D14" s="2">
        <v>427.7285</v>
      </c>
      <c r="E14" s="27">
        <v>137.53</v>
      </c>
      <c r="F14" s="3">
        <f t="shared" si="0"/>
        <v>58825.500605000001</v>
      </c>
      <c r="G14" s="3">
        <v>56493.63</v>
      </c>
      <c r="H14" s="4">
        <f t="shared" si="1"/>
        <v>132.0782458966377</v>
      </c>
      <c r="I14" s="3">
        <f t="shared" si="2"/>
        <v>2331.8706050000037</v>
      </c>
      <c r="J14" s="27">
        <f t="shared" si="3"/>
        <v>5.4517541033623047</v>
      </c>
      <c r="K14" s="28">
        <v>45554</v>
      </c>
      <c r="L14">
        <f t="shared" si="4"/>
        <v>8</v>
      </c>
      <c r="M14" s="5">
        <f t="shared" si="5"/>
        <v>4.1276699780134568E-2</v>
      </c>
      <c r="N14">
        <v>32</v>
      </c>
      <c r="O14">
        <v>89</v>
      </c>
      <c r="P14" s="58">
        <v>98</v>
      </c>
      <c r="Q14" s="29">
        <v>128.97999999999999</v>
      </c>
      <c r="R14" s="30">
        <f t="shared" si="6"/>
        <v>119.95139999999999</v>
      </c>
      <c r="S14" s="30">
        <v>120.04</v>
      </c>
      <c r="T14" s="32">
        <f t="shared" si="7"/>
        <v>161.22499999999999</v>
      </c>
      <c r="U14" s="29">
        <f t="shared" si="8"/>
        <v>193.46999999999997</v>
      </c>
      <c r="V14" s="29">
        <f t="shared" si="9"/>
        <v>257.95999999999998</v>
      </c>
      <c r="W14" s="29">
        <f t="shared" si="10"/>
        <v>122.83276868387306</v>
      </c>
      <c r="X14" s="30">
        <v>123</v>
      </c>
      <c r="Y14" s="5">
        <f t="shared" si="11"/>
        <v>-6.8733846630142148E-2</v>
      </c>
      <c r="Z14" s="6">
        <f t="shared" si="12"/>
        <v>8.2581975611465602E-2</v>
      </c>
      <c r="AB14" s="31">
        <v>45580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44907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91.8</v>
      </c>
      <c r="F16" s="57">
        <f t="shared" si="0"/>
        <v>33388.92684</v>
      </c>
      <c r="G16" s="38">
        <v>33268.9</v>
      </c>
      <c r="H16" s="39">
        <f t="shared" si="1"/>
        <v>91.469996464252944</v>
      </c>
      <c r="I16" s="38">
        <f t="shared" si="2"/>
        <v>120.02683999999863</v>
      </c>
      <c r="J16" s="37">
        <f t="shared" si="3"/>
        <v>0.33000353574705343</v>
      </c>
      <c r="K16" s="40"/>
      <c r="L16" s="35"/>
      <c r="M16" s="41">
        <f t="shared" si="5"/>
        <v>3.6077790368782441E-3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4.6872929488670168E-2</v>
      </c>
      <c r="AB16" s="31"/>
      <c r="AC16" s="9"/>
    </row>
    <row r="17" spans="1:26" x14ac:dyDescent="0.25">
      <c r="A17" t="s">
        <v>53</v>
      </c>
      <c r="F17" s="3">
        <f>SUM(F6:F16)</f>
        <v>560157.57011999993</v>
      </c>
      <c r="G17" s="3">
        <f>SUM(G6:G16)</f>
        <v>504375.33</v>
      </c>
      <c r="H17" s="4"/>
      <c r="I17" s="3">
        <f>SUM(I6:I16)</f>
        <v>55782.240119999995</v>
      </c>
      <c r="M17" s="5"/>
      <c r="Z17" s="6"/>
    </row>
    <row r="18" spans="1:26" x14ac:dyDescent="0.25">
      <c r="D18" s="2" t="s">
        <v>54</v>
      </c>
      <c r="F18" s="3">
        <v>152171</v>
      </c>
      <c r="G18" s="6">
        <f>F18/F19</f>
        <v>0.21362473215747199</v>
      </c>
      <c r="H18" s="4"/>
      <c r="M18" s="5"/>
      <c r="Z18" s="6"/>
    </row>
    <row r="19" spans="1:26" x14ac:dyDescent="0.25">
      <c r="D19" s="2" t="s">
        <v>55</v>
      </c>
      <c r="F19" s="3">
        <f>SUM(F17:F18)</f>
        <v>712328.57011999993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'09-20-24'!F19</f>
        <v>707742.24827999994</v>
      </c>
      <c r="K20" s="1">
        <v>45291</v>
      </c>
      <c r="L20" s="47">
        <v>139707.06</v>
      </c>
      <c r="M20" s="47">
        <v>161107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6.4802148679776565E-3</v>
      </c>
      <c r="K21" s="9" t="s">
        <v>58</v>
      </c>
      <c r="L21" s="6">
        <f>(M20-L20)/L20</f>
        <v>0.15317722669133543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13">F25/D25</f>
        <v>47.428061535569462</v>
      </c>
      <c r="F25" s="3">
        <v>38349.050000000003</v>
      </c>
      <c r="G25" s="3">
        <v>35186.18</v>
      </c>
      <c r="H25" s="3">
        <f t="shared" ref="H25:H55" si="14">G25/D25</f>
        <v>43.516392459307944</v>
      </c>
      <c r="I25" s="3">
        <f t="shared" ref="I25:I55" si="15">G25-F25</f>
        <v>-3162.8700000000026</v>
      </c>
      <c r="J25" s="5">
        <f t="shared" ref="J25:J55" si="16">I25/F25</f>
        <v>-8.2475837080710018E-2</v>
      </c>
      <c r="K25" s="1">
        <v>45286</v>
      </c>
      <c r="L25" s="1">
        <v>45302</v>
      </c>
      <c r="M25">
        <f t="shared" ref="M25:M55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570B-2A01-4B56-B4FA-68B0F3B6BD34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45569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9.85</v>
      </c>
      <c r="F7" s="3">
        <f t="shared" ref="F7:F16" si="0">E7*D7</f>
        <v>63844.926239999993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8053.8862399999998</v>
      </c>
      <c r="J7" s="27">
        <f t="shared" ref="J7:J16" si="3">E7-H7</f>
        <v>1.2425541720541275</v>
      </c>
      <c r="K7" s="28">
        <v>45378</v>
      </c>
      <c r="L7">
        <f t="shared" ref="L7:L15" si="4">DAYS360(K7,$C$1)</f>
        <v>187</v>
      </c>
      <c r="M7" s="5">
        <f t="shared" ref="M7:M16" si="5">(I7/G7)</f>
        <v>0.14435805892845877</v>
      </c>
      <c r="N7">
        <v>14</v>
      </c>
      <c r="O7">
        <v>95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9.1023907252484146E-2</v>
      </c>
      <c r="AB7" s="31">
        <v>45603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78.819999999999993</v>
      </c>
      <c r="F8" s="3">
        <f t="shared" si="0"/>
        <v>65294.669285999989</v>
      </c>
      <c r="G8" s="3">
        <v>47623.59</v>
      </c>
      <c r="H8" s="4">
        <f t="shared" si="1"/>
        <v>57.488481140141687</v>
      </c>
      <c r="I8" s="3">
        <f t="shared" si="2"/>
        <v>17671.079285999993</v>
      </c>
      <c r="J8" s="27">
        <f t="shared" si="3"/>
        <v>21.331518859858306</v>
      </c>
      <c r="K8" s="28">
        <v>45378</v>
      </c>
      <c r="L8">
        <f t="shared" si="4"/>
        <v>187</v>
      </c>
      <c r="M8" s="5">
        <f t="shared" si="5"/>
        <v>0.37105726985302862</v>
      </c>
      <c r="N8">
        <v>14</v>
      </c>
      <c r="O8">
        <v>93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75</v>
      </c>
      <c r="Y8" s="5">
        <f t="shared" si="11"/>
        <v>0.30460917583071762</v>
      </c>
      <c r="Z8" s="6">
        <f t="shared" si="12"/>
        <v>9.3090810361792786E-2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33.93</v>
      </c>
      <c r="F9" s="3">
        <f t="shared" si="0"/>
        <v>83960.416098000002</v>
      </c>
      <c r="G9" s="3">
        <f>44039.07+27471.43</f>
        <v>71510.5</v>
      </c>
      <c r="H9" s="4">
        <f t="shared" si="1"/>
        <v>28.898752266400425</v>
      </c>
      <c r="I9" s="3">
        <f t="shared" si="2"/>
        <v>12449.916098000002</v>
      </c>
      <c r="J9" s="27">
        <f t="shared" si="3"/>
        <v>5.0312477335995744</v>
      </c>
      <c r="K9" s="28">
        <v>45426</v>
      </c>
      <c r="L9">
        <f t="shared" si="4"/>
        <v>140</v>
      </c>
      <c r="M9" s="5">
        <f t="shared" si="5"/>
        <v>0.17409913366568547</v>
      </c>
      <c r="N9">
        <v>32</v>
      </c>
      <c r="O9">
        <v>97</v>
      </c>
      <c r="P9" s="34">
        <v>72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</v>
      </c>
      <c r="Y9" s="5">
        <f t="shared" si="11"/>
        <v>7.2710673257773223E-2</v>
      </c>
      <c r="Z9" s="6">
        <f t="shared" si="12"/>
        <v>0.11970262286866304</v>
      </c>
      <c r="AB9" s="31">
        <v>45604</v>
      </c>
      <c r="AC9" s="9">
        <v>97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51.71</v>
      </c>
      <c r="F10" s="3">
        <f t="shared" si="0"/>
        <v>65350.043116000008</v>
      </c>
      <c r="G10" s="3">
        <v>56489.42</v>
      </c>
      <c r="H10" s="4">
        <f t="shared" si="1"/>
        <v>44.698790833464948</v>
      </c>
      <c r="I10" s="3">
        <f t="shared" si="2"/>
        <v>8860.6231160000098</v>
      </c>
      <c r="J10" s="27">
        <f t="shared" si="3"/>
        <v>7.0112091665350533</v>
      </c>
      <c r="K10" s="28">
        <v>45527</v>
      </c>
      <c r="L10">
        <f t="shared" si="4"/>
        <v>41</v>
      </c>
      <c r="M10" s="5">
        <f t="shared" si="5"/>
        <v>0.15685455995122644</v>
      </c>
      <c r="N10">
        <v>113</v>
      </c>
      <c r="O10">
        <v>97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42</v>
      </c>
      <c r="Y10" s="5">
        <f t="shared" si="11"/>
        <v>-6.0377267105946535E-2</v>
      </c>
      <c r="Z10" s="6">
        <f t="shared" si="12"/>
        <v>9.3169757001141856E-2</v>
      </c>
      <c r="AB10" s="31">
        <v>45608</v>
      </c>
      <c r="AC10" s="9">
        <v>97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18.13</v>
      </c>
      <c r="F11" s="3">
        <f t="shared" si="0"/>
        <v>54758.920117999995</v>
      </c>
      <c r="G11" s="3">
        <v>56486.59</v>
      </c>
      <c r="H11" s="4">
        <f t="shared" si="1"/>
        <v>18.702010092477405</v>
      </c>
      <c r="I11" s="3">
        <f t="shared" si="2"/>
        <v>-1727.669882000002</v>
      </c>
      <c r="J11" s="27">
        <f t="shared" si="3"/>
        <v>-0.57201009247740586</v>
      </c>
      <c r="K11" s="28">
        <v>45527</v>
      </c>
      <c r="L11">
        <f t="shared" si="4"/>
        <v>41</v>
      </c>
      <c r="M11" s="5">
        <f t="shared" si="5"/>
        <v>-3.0585487316547203E-2</v>
      </c>
      <c r="N11">
        <v>137</v>
      </c>
      <c r="O11">
        <v>92</v>
      </c>
      <c r="P11" s="34">
        <v>86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</v>
      </c>
      <c r="Y11" s="5">
        <f t="shared" si="11"/>
        <v>-9.100680002103155E-2</v>
      </c>
      <c r="Z11" s="6">
        <f t="shared" si="12"/>
        <v>7.80699604433754E-2</v>
      </c>
      <c r="AB11" s="31">
        <v>45597</v>
      </c>
      <c r="AC11" s="9">
        <v>84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124.92</v>
      </c>
      <c r="F12" s="3">
        <f t="shared" si="0"/>
        <v>69039.361512000003</v>
      </c>
      <c r="G12" s="3">
        <v>70647.62</v>
      </c>
      <c r="H12" s="4">
        <f t="shared" si="1"/>
        <v>127.82998708448426</v>
      </c>
      <c r="I12" s="3">
        <f t="shared" si="2"/>
        <v>-1608.2584879999922</v>
      </c>
      <c r="J12" s="27">
        <f t="shared" si="3"/>
        <v>-2.909987084484257</v>
      </c>
      <c r="K12" s="28">
        <v>45531</v>
      </c>
      <c r="L12">
        <f t="shared" si="4"/>
        <v>37</v>
      </c>
      <c r="M12" s="5">
        <f t="shared" si="5"/>
        <v>-2.2764510510049629E-2</v>
      </c>
      <c r="N12">
        <v>21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119</v>
      </c>
      <c r="Y12" s="5">
        <f t="shared" si="11"/>
        <v>-6.907602266006975E-2</v>
      </c>
      <c r="Z12" s="6">
        <f t="shared" si="12"/>
        <v>9.8429629559221368E-2</v>
      </c>
      <c r="AB12" s="31">
        <v>45610</v>
      </c>
      <c r="AC12" s="9">
        <v>99</v>
      </c>
    </row>
    <row r="13" spans="1:31" x14ac:dyDescent="0.25">
      <c r="A13" t="s">
        <v>161</v>
      </c>
      <c r="B13" t="s">
        <v>33</v>
      </c>
      <c r="C13" s="26" t="s">
        <v>162</v>
      </c>
      <c r="D13" s="2">
        <v>685.0933</v>
      </c>
      <c r="E13" s="27">
        <v>72.66</v>
      </c>
      <c r="F13" s="3">
        <f t="shared" si="0"/>
        <v>49778.879177999996</v>
      </c>
      <c r="G13" s="3">
        <v>56064.04</v>
      </c>
      <c r="H13" s="4">
        <f t="shared" si="1"/>
        <v>81.834167696575051</v>
      </c>
      <c r="I13" s="3">
        <f t="shared" si="2"/>
        <v>-6285.1608220000053</v>
      </c>
      <c r="J13" s="27">
        <f t="shared" si="3"/>
        <v>-9.1741676965750543</v>
      </c>
      <c r="K13" s="28">
        <v>45553</v>
      </c>
      <c r="L13">
        <f t="shared" si="4"/>
        <v>16</v>
      </c>
      <c r="M13" s="5">
        <f t="shared" si="5"/>
        <v>-0.11210681253081307</v>
      </c>
      <c r="N13">
        <v>39</v>
      </c>
      <c r="O13">
        <v>97</v>
      </c>
      <c r="P13" s="34">
        <v>33</v>
      </c>
      <c r="Q13" s="29">
        <v>72.61</v>
      </c>
      <c r="R13" s="30">
        <f t="shared" si="6"/>
        <v>67.527299999999997</v>
      </c>
      <c r="S13" s="30">
        <v>71.72</v>
      </c>
      <c r="T13" s="32">
        <f t="shared" si="7"/>
        <v>90.762500000000003</v>
      </c>
      <c r="U13" s="29">
        <f t="shared" si="8"/>
        <v>108.91499999999999</v>
      </c>
      <c r="V13" s="29">
        <f t="shared" si="9"/>
        <v>145.22</v>
      </c>
      <c r="W13" s="29">
        <f t="shared" si="10"/>
        <v>76.105775957814799</v>
      </c>
      <c r="X13" s="30">
        <v>77.75</v>
      </c>
      <c r="Y13" s="5">
        <f t="shared" si="11"/>
        <v>-4.9907854036205741E-2</v>
      </c>
      <c r="Z13" s="33">
        <f t="shared" si="12"/>
        <v>7.0969900793652882E-2</v>
      </c>
      <c r="AA13" s="9"/>
      <c r="AB13" s="31">
        <v>45596</v>
      </c>
      <c r="AC13" s="9">
        <v>68</v>
      </c>
    </row>
    <row r="14" spans="1:31" x14ac:dyDescent="0.25">
      <c r="A14" t="s">
        <v>163</v>
      </c>
      <c r="B14" t="s">
        <v>33</v>
      </c>
      <c r="C14" s="26" t="s">
        <v>164</v>
      </c>
      <c r="D14" s="2">
        <v>427.7285</v>
      </c>
      <c r="E14" s="27">
        <v>147.85</v>
      </c>
      <c r="F14" s="3">
        <f t="shared" si="0"/>
        <v>63239.658724999994</v>
      </c>
      <c r="G14" s="3">
        <v>56493.63</v>
      </c>
      <c r="H14" s="4">
        <f t="shared" si="1"/>
        <v>132.0782458966377</v>
      </c>
      <c r="I14" s="3">
        <f t="shared" si="2"/>
        <v>6746.0287249999965</v>
      </c>
      <c r="J14" s="27">
        <f t="shared" si="3"/>
        <v>15.771754103362298</v>
      </c>
      <c r="K14" s="28">
        <v>45554</v>
      </c>
      <c r="L14">
        <f t="shared" si="4"/>
        <v>15</v>
      </c>
      <c r="M14" s="5">
        <f t="shared" si="5"/>
        <v>0.1194122014287274</v>
      </c>
      <c r="N14">
        <v>20</v>
      </c>
      <c r="O14">
        <v>93</v>
      </c>
      <c r="P14" s="58">
        <v>98</v>
      </c>
      <c r="Q14" s="29">
        <v>128.97999999999999</v>
      </c>
      <c r="R14" s="30">
        <f t="shared" si="6"/>
        <v>119.95139999999999</v>
      </c>
      <c r="S14" s="30">
        <v>120.04</v>
      </c>
      <c r="T14" s="32">
        <f t="shared" si="7"/>
        <v>161.22499999999999</v>
      </c>
      <c r="U14" s="29">
        <f t="shared" si="8"/>
        <v>193.46999999999997</v>
      </c>
      <c r="V14" s="29">
        <f t="shared" si="9"/>
        <v>257.95999999999998</v>
      </c>
      <c r="W14" s="29">
        <f t="shared" si="10"/>
        <v>122.83276868387306</v>
      </c>
      <c r="X14" s="30">
        <v>123</v>
      </c>
      <c r="Y14" s="5">
        <f t="shared" si="11"/>
        <v>-6.8733846630142148E-2</v>
      </c>
      <c r="Z14" s="6">
        <f t="shared" si="12"/>
        <v>9.0160975499047724E-2</v>
      </c>
      <c r="AB14" s="31">
        <v>45580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44914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91.51</v>
      </c>
      <c r="F16" s="57">
        <f t="shared" si="0"/>
        <v>33283.449838</v>
      </c>
      <c r="G16" s="38">
        <v>33268.9</v>
      </c>
      <c r="H16" s="39">
        <f t="shared" si="1"/>
        <v>91.469996464252944</v>
      </c>
      <c r="I16" s="38">
        <f t="shared" si="2"/>
        <v>14.549837999998999</v>
      </c>
      <c r="J16" s="37">
        <f t="shared" si="3"/>
        <v>4.0003535747061392E-2</v>
      </c>
      <c r="K16" s="40"/>
      <c r="L16" s="35"/>
      <c r="M16" s="41">
        <f t="shared" si="5"/>
        <v>4.3734051922362924E-4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4.7452316566366837E-2</v>
      </c>
      <c r="AB16" s="31"/>
      <c r="AC16" s="9"/>
    </row>
    <row r="17" spans="1:26" x14ac:dyDescent="0.25">
      <c r="A17" t="s">
        <v>53</v>
      </c>
      <c r="F17" s="3">
        <f>SUM(F6:F16)</f>
        <v>548550.32411099994</v>
      </c>
      <c r="G17" s="3">
        <f>SUM(G6:G16)</f>
        <v>504375.33</v>
      </c>
      <c r="H17" s="4"/>
      <c r="I17" s="3">
        <f>SUM(I6:I16)</f>
        <v>44174.994111</v>
      </c>
      <c r="M17" s="5"/>
      <c r="Z17" s="6"/>
    </row>
    <row r="18" spans="1:26" x14ac:dyDescent="0.25">
      <c r="D18" s="2" t="s">
        <v>54</v>
      </c>
      <c r="F18" s="3">
        <v>152858</v>
      </c>
      <c r="G18" s="6">
        <f>F18/F19</f>
        <v>0.21793011965425402</v>
      </c>
      <c r="H18" s="4"/>
      <c r="M18" s="5"/>
      <c r="Z18" s="6"/>
    </row>
    <row r="19" spans="1:26" x14ac:dyDescent="0.25">
      <c r="D19" s="2" t="s">
        <v>55</v>
      </c>
      <c r="F19" s="3">
        <f>SUM(F17:F18)</f>
        <v>701408.32411099994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'09-27-24'!F19</f>
        <v>712328.57011999993</v>
      </c>
      <c r="K20" s="1">
        <v>45291</v>
      </c>
      <c r="L20" s="47">
        <v>139707.06</v>
      </c>
      <c r="M20" s="47">
        <v>159302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-1.5330349598585319E-2</v>
      </c>
      <c r="K21" s="9" t="s">
        <v>58</v>
      </c>
      <c r="L21" s="6">
        <f>(M20-L20)/L20</f>
        <v>0.14025733559921741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13">F25/D25</f>
        <v>47.428061535569462</v>
      </c>
      <c r="F25" s="3">
        <v>38349.050000000003</v>
      </c>
      <c r="G25" s="3">
        <v>35186.18</v>
      </c>
      <c r="H25" s="3">
        <f t="shared" ref="H25:H55" si="14">G25/D25</f>
        <v>43.516392459307944</v>
      </c>
      <c r="I25" s="3">
        <f t="shared" ref="I25:I55" si="15">G25-F25</f>
        <v>-3162.8700000000026</v>
      </c>
      <c r="J25" s="5">
        <f t="shared" ref="J25:J55" si="16">I25/F25</f>
        <v>-8.2475837080710018E-2</v>
      </c>
      <c r="K25" s="1">
        <v>45286</v>
      </c>
      <c r="L25" s="1">
        <v>45302</v>
      </c>
      <c r="M25">
        <f t="shared" ref="M25:M55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3F8-547B-4F6C-99C8-FCD78CE9BCC9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45576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9.9600000000000009</v>
      </c>
      <c r="F7" s="3">
        <f t="shared" ref="F7:F16" si="0">E7*D7</f>
        <v>64557.915264000003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8766.8752640000093</v>
      </c>
      <c r="J7" s="27">
        <f t="shared" ref="J7:J16" si="3">E7-H7</f>
        <v>1.3525541720541288</v>
      </c>
      <c r="K7" s="28">
        <v>45378</v>
      </c>
      <c r="L7">
        <f t="shared" ref="L7:L15" si="4">DAYS360(K7,$C$1)</f>
        <v>194</v>
      </c>
      <c r="M7" s="5">
        <f t="shared" ref="M7:M16" si="5">(I7/G7)</f>
        <v>0.15713769207385289</v>
      </c>
      <c r="N7">
        <v>20</v>
      </c>
      <c r="O7">
        <v>92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8.75</v>
      </c>
      <c r="Y7" s="5">
        <f t="shared" ref="Y7:Y16" si="11">(X7-H7)/H7</f>
        <v>1.6561727474519328E-2</v>
      </c>
      <c r="Z7" s="6">
        <f t="shared" ref="Z7:Z16" si="12">F7/F$19</f>
        <v>9.141694468254602E-2</v>
      </c>
      <c r="AB7" s="31">
        <v>45603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79.459999999999994</v>
      </c>
      <c r="F8" s="3">
        <f t="shared" si="0"/>
        <v>65824.846757999985</v>
      </c>
      <c r="G8" s="3">
        <v>47623.59</v>
      </c>
      <c r="H8" s="4">
        <f t="shared" si="1"/>
        <v>57.488481140141687</v>
      </c>
      <c r="I8" s="3">
        <f t="shared" si="2"/>
        <v>18201.256757999989</v>
      </c>
      <c r="J8" s="27">
        <f t="shared" si="3"/>
        <v>21.971518859858307</v>
      </c>
      <c r="K8" s="28">
        <v>45378</v>
      </c>
      <c r="L8">
        <f t="shared" si="4"/>
        <v>194</v>
      </c>
      <c r="M8" s="5">
        <f t="shared" si="5"/>
        <v>0.38218993482011732</v>
      </c>
      <c r="N8">
        <v>20</v>
      </c>
      <c r="O8">
        <v>89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75</v>
      </c>
      <c r="Y8" s="5">
        <f t="shared" si="11"/>
        <v>0.30460917583071762</v>
      </c>
      <c r="Z8" s="6">
        <f t="shared" si="12"/>
        <v>9.3210977309373375E-2</v>
      </c>
      <c r="AB8" s="31">
        <v>45595</v>
      </c>
      <c r="AC8" s="9">
        <v>98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32.5</v>
      </c>
      <c r="F9" s="3">
        <f t="shared" si="0"/>
        <v>80421.854500000001</v>
      </c>
      <c r="G9" s="3">
        <f>44039.07+27471.43</f>
        <v>71510.5</v>
      </c>
      <c r="H9" s="4">
        <f t="shared" si="1"/>
        <v>28.898752266400425</v>
      </c>
      <c r="I9" s="3">
        <f t="shared" si="2"/>
        <v>8911.3545000000013</v>
      </c>
      <c r="J9" s="27">
        <f t="shared" si="3"/>
        <v>3.6012477335995747</v>
      </c>
      <c r="K9" s="28">
        <v>45426</v>
      </c>
      <c r="L9">
        <f t="shared" si="4"/>
        <v>147</v>
      </c>
      <c r="M9" s="5">
        <f t="shared" si="5"/>
        <v>0.12461602841540755</v>
      </c>
      <c r="N9">
        <v>18</v>
      </c>
      <c r="O9">
        <v>96</v>
      </c>
      <c r="P9" s="34">
        <v>71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</v>
      </c>
      <c r="Y9" s="5">
        <f t="shared" si="11"/>
        <v>7.2710673257773223E-2</v>
      </c>
      <c r="Z9" s="6">
        <f t="shared" si="12"/>
        <v>0.11388100427390939</v>
      </c>
      <c r="AB9" s="31">
        <v>45604</v>
      </c>
      <c r="AC9" s="9">
        <v>95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50</v>
      </c>
      <c r="F10" s="3">
        <f t="shared" si="0"/>
        <v>63188.98</v>
      </c>
      <c r="G10" s="3">
        <v>56489.42</v>
      </c>
      <c r="H10" s="4">
        <f t="shared" si="1"/>
        <v>44.698790833464948</v>
      </c>
      <c r="I10" s="3">
        <f t="shared" si="2"/>
        <v>6699.5600000000049</v>
      </c>
      <c r="J10" s="27">
        <f t="shared" si="3"/>
        <v>5.3012091665350525</v>
      </c>
      <c r="K10" s="28">
        <v>45527</v>
      </c>
      <c r="L10">
        <f t="shared" si="4"/>
        <v>48</v>
      </c>
      <c r="M10" s="5">
        <f t="shared" si="5"/>
        <v>0.11859849154053989</v>
      </c>
      <c r="N10">
        <v>103</v>
      </c>
      <c r="O10">
        <v>96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42</v>
      </c>
      <c r="Y10" s="5">
        <f t="shared" si="11"/>
        <v>-6.0377267105946535E-2</v>
      </c>
      <c r="Z10" s="6">
        <f t="shared" si="12"/>
        <v>8.9478470077359082E-2</v>
      </c>
      <c r="AB10" s="31">
        <v>45608</v>
      </c>
      <c r="AC10" s="9">
        <v>97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18.989999999999998</v>
      </c>
      <c r="F11" s="3">
        <f t="shared" si="0"/>
        <v>57356.419913999991</v>
      </c>
      <c r="G11" s="3">
        <v>56486.59</v>
      </c>
      <c r="H11" s="4">
        <f t="shared" si="1"/>
        <v>18.702010092477405</v>
      </c>
      <c r="I11" s="3">
        <f t="shared" si="2"/>
        <v>869.82991399999446</v>
      </c>
      <c r="J11" s="27">
        <f t="shared" si="3"/>
        <v>0.28798990752259357</v>
      </c>
      <c r="K11" s="28">
        <v>45527</v>
      </c>
      <c r="L11">
        <f t="shared" si="4"/>
        <v>48</v>
      </c>
      <c r="M11" s="5">
        <f t="shared" si="5"/>
        <v>1.5398874564741729E-2</v>
      </c>
      <c r="N11">
        <v>127</v>
      </c>
      <c r="O11">
        <v>94</v>
      </c>
      <c r="P11" s="34">
        <v>86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</v>
      </c>
      <c r="Y11" s="5">
        <f t="shared" si="11"/>
        <v>-9.100680002103155E-2</v>
      </c>
      <c r="Z11" s="6">
        <f t="shared" si="12"/>
        <v>8.1219299678825171E-2</v>
      </c>
      <c r="AB11" s="31">
        <v>45597</v>
      </c>
      <c r="AC11" s="9">
        <v>90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134.80000000000001</v>
      </c>
      <c r="F12" s="3">
        <f t="shared" si="0"/>
        <v>74499.727280000006</v>
      </c>
      <c r="G12" s="3">
        <v>70647.62</v>
      </c>
      <c r="H12" s="4">
        <f t="shared" si="1"/>
        <v>127.82998708448426</v>
      </c>
      <c r="I12" s="3">
        <f t="shared" si="2"/>
        <v>3852.1072800000111</v>
      </c>
      <c r="J12" s="27">
        <f t="shared" si="3"/>
        <v>6.9700129155157526</v>
      </c>
      <c r="K12" s="28">
        <v>45531</v>
      </c>
      <c r="L12">
        <f t="shared" si="4"/>
        <v>44</v>
      </c>
      <c r="M12" s="5">
        <f t="shared" si="5"/>
        <v>5.4525648280862274E-2</v>
      </c>
      <c r="N12">
        <v>16</v>
      </c>
      <c r="O12">
        <v>98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119</v>
      </c>
      <c r="Y12" s="5">
        <f t="shared" si="11"/>
        <v>-6.907602266006975E-2</v>
      </c>
      <c r="Z12" s="6">
        <f t="shared" si="12"/>
        <v>0.10549500273932087</v>
      </c>
      <c r="AB12" s="31">
        <v>45610</v>
      </c>
      <c r="AC12" s="9">
        <v>99</v>
      </c>
    </row>
    <row r="13" spans="1:31" x14ac:dyDescent="0.25">
      <c r="A13" t="s">
        <v>161</v>
      </c>
      <c r="B13" t="s">
        <v>33</v>
      </c>
      <c r="C13" s="26" t="s">
        <v>162</v>
      </c>
      <c r="D13" s="2">
        <v>685.0933</v>
      </c>
      <c r="E13" s="27">
        <v>71.7</v>
      </c>
      <c r="F13" s="3">
        <f t="shared" si="0"/>
        <v>49121.189610000001</v>
      </c>
      <c r="G13" s="3">
        <v>56064.04</v>
      </c>
      <c r="H13" s="4">
        <f t="shared" si="1"/>
        <v>81.834167696575051</v>
      </c>
      <c r="I13" s="3">
        <f t="shared" si="2"/>
        <v>-6942.8503899999996</v>
      </c>
      <c r="J13" s="27">
        <f t="shared" si="3"/>
        <v>-10.134167696575048</v>
      </c>
      <c r="K13" s="28">
        <v>45553</v>
      </c>
      <c r="L13">
        <f t="shared" si="4"/>
        <v>23</v>
      </c>
      <c r="M13" s="5">
        <f t="shared" si="5"/>
        <v>-0.12383785381859744</v>
      </c>
      <c r="N13">
        <v>95</v>
      </c>
      <c r="O13">
        <v>95</v>
      </c>
      <c r="P13" s="34">
        <v>33</v>
      </c>
      <c r="Q13" s="29">
        <v>72.61</v>
      </c>
      <c r="R13" s="30">
        <f t="shared" si="6"/>
        <v>67.527299999999997</v>
      </c>
      <c r="S13" s="30">
        <v>71.72</v>
      </c>
      <c r="T13" s="32">
        <f t="shared" si="7"/>
        <v>90.762500000000003</v>
      </c>
      <c r="U13" s="29">
        <f t="shared" si="8"/>
        <v>108.91499999999999</v>
      </c>
      <c r="V13" s="29">
        <f t="shared" si="9"/>
        <v>145.22</v>
      </c>
      <c r="W13" s="29">
        <f t="shared" si="10"/>
        <v>76.105775957814799</v>
      </c>
      <c r="X13" s="30">
        <v>77.75</v>
      </c>
      <c r="Y13" s="5">
        <f t="shared" si="11"/>
        <v>-4.9907854036205741E-2</v>
      </c>
      <c r="Z13" s="33">
        <f t="shared" si="12"/>
        <v>6.9557838956771673E-2</v>
      </c>
      <c r="AA13" s="9"/>
      <c r="AB13" s="31">
        <v>45593</v>
      </c>
      <c r="AC13" s="9">
        <v>68</v>
      </c>
    </row>
    <row r="14" spans="1:31" x14ac:dyDescent="0.25">
      <c r="A14" t="s">
        <v>163</v>
      </c>
      <c r="B14" t="s">
        <v>33</v>
      </c>
      <c r="C14" s="26" t="s">
        <v>164</v>
      </c>
      <c r="D14" s="2">
        <v>427.7285</v>
      </c>
      <c r="E14" s="27">
        <v>151.13999999999999</v>
      </c>
      <c r="F14" s="3">
        <f t="shared" si="0"/>
        <v>64646.885489999993</v>
      </c>
      <c r="G14" s="3">
        <v>56493.63</v>
      </c>
      <c r="H14" s="4">
        <f t="shared" si="1"/>
        <v>132.0782458966377</v>
      </c>
      <c r="I14" s="3">
        <f t="shared" si="2"/>
        <v>8153.2554899999959</v>
      </c>
      <c r="J14" s="27">
        <f t="shared" si="3"/>
        <v>19.06175410336229</v>
      </c>
      <c r="K14" s="28">
        <v>45554</v>
      </c>
      <c r="L14">
        <f t="shared" si="4"/>
        <v>22</v>
      </c>
      <c r="M14" s="5">
        <f t="shared" si="5"/>
        <v>0.14432167821398617</v>
      </c>
      <c r="N14">
        <v>10</v>
      </c>
      <c r="O14">
        <v>94</v>
      </c>
      <c r="P14" s="58">
        <v>98</v>
      </c>
      <c r="Q14" s="29">
        <v>128.97999999999999</v>
      </c>
      <c r="R14" s="30">
        <f t="shared" si="6"/>
        <v>119.95139999999999</v>
      </c>
      <c r="S14" s="30">
        <v>120.04</v>
      </c>
      <c r="T14" s="32">
        <f t="shared" si="7"/>
        <v>161.22499999999999</v>
      </c>
      <c r="U14" s="29">
        <f t="shared" si="8"/>
        <v>193.46999999999997</v>
      </c>
      <c r="V14" s="29">
        <f t="shared" si="9"/>
        <v>257.95999999999998</v>
      </c>
      <c r="W14" s="29">
        <f t="shared" si="10"/>
        <v>122.83276868387306</v>
      </c>
      <c r="X14" s="30">
        <v>123</v>
      </c>
      <c r="Y14" s="5">
        <f t="shared" si="11"/>
        <v>-6.8733846630142148E-2</v>
      </c>
      <c r="Z14" s="6">
        <f t="shared" si="12"/>
        <v>9.1542930569719946E-2</v>
      </c>
      <c r="AB14" s="31">
        <v>45580</v>
      </c>
      <c r="AC14" s="9">
        <v>99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44921</v>
      </c>
      <c r="M15" s="5" t="e">
        <f t="shared" si="5"/>
        <v>#DIV/0!</v>
      </c>
      <c r="P15" s="34"/>
      <c r="Q15" s="29"/>
      <c r="R15" s="30">
        <f t="shared" si="6"/>
        <v>0</v>
      </c>
      <c r="S15" s="30"/>
      <c r="T15" s="29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33">
        <f t="shared" si="12"/>
        <v>0</v>
      </c>
      <c r="AB15" s="31"/>
      <c r="AC15" s="9"/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</v>
      </c>
      <c r="F16" s="57">
        <f t="shared" si="0"/>
        <v>33316.184079999999</v>
      </c>
      <c r="G16" s="38">
        <v>33268.9</v>
      </c>
      <c r="H16" s="39">
        <f t="shared" si="1"/>
        <v>91.469996464252944</v>
      </c>
      <c r="I16" s="38">
        <f t="shared" si="2"/>
        <v>47.28407999999763</v>
      </c>
      <c r="J16" s="37">
        <f t="shared" si="3"/>
        <v>0.13000353574705059</v>
      </c>
      <c r="K16" s="40"/>
      <c r="L16" s="35"/>
      <c r="M16" s="41">
        <f t="shared" si="5"/>
        <v>1.4212697143577825E-3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4.7177232173933915E-2</v>
      </c>
      <c r="AB16" s="31"/>
      <c r="AC16" s="9"/>
    </row>
    <row r="17" spans="1:26" x14ac:dyDescent="0.25">
      <c r="A17" t="s">
        <v>53</v>
      </c>
      <c r="F17" s="3">
        <f>SUM(F6:F16)</f>
        <v>552934.00289599993</v>
      </c>
      <c r="G17" s="3">
        <f>SUM(G6:G16)</f>
        <v>504375.33</v>
      </c>
      <c r="H17" s="4"/>
      <c r="I17" s="3">
        <f>SUM(I6:I16)</f>
        <v>48558.672896000004</v>
      </c>
      <c r="M17" s="5"/>
      <c r="Z17" s="6"/>
    </row>
    <row r="18" spans="1:26" x14ac:dyDescent="0.25">
      <c r="D18" s="2" t="s">
        <v>54</v>
      </c>
      <c r="F18" s="3">
        <v>153258</v>
      </c>
      <c r="G18" s="6">
        <f>F18/F19</f>
        <v>0.21702029953824062</v>
      </c>
      <c r="H18" s="4"/>
      <c r="M18" s="5"/>
      <c r="Z18" s="6"/>
    </row>
    <row r="19" spans="1:26" x14ac:dyDescent="0.25">
      <c r="D19" s="2" t="s">
        <v>55</v>
      </c>
      <c r="F19" s="3">
        <f>SUM(F17:F18)</f>
        <v>706192.00289599993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'10-04-24'!F19</f>
        <v>701408.32411099994</v>
      </c>
      <c r="K20" s="1">
        <v>45291</v>
      </c>
      <c r="L20" s="47">
        <v>139707.06</v>
      </c>
      <c r="M20" s="47">
        <v>160396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6.8201055227895546E-3</v>
      </c>
      <c r="K21" s="9" t="s">
        <v>58</v>
      </c>
      <c r="L21" s="6">
        <f>(M20-L20)/L20</f>
        <v>0.14808800643288894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13">F25/D25</f>
        <v>47.428061535569462</v>
      </c>
      <c r="F25" s="3">
        <v>38349.050000000003</v>
      </c>
      <c r="G25" s="3">
        <v>35186.18</v>
      </c>
      <c r="H25" s="3">
        <f t="shared" ref="H25:H55" si="14">G25/D25</f>
        <v>43.516392459307944</v>
      </c>
      <c r="I25" s="3">
        <f t="shared" ref="I25:I55" si="15">G25-F25</f>
        <v>-3162.8700000000026</v>
      </c>
      <c r="J25" s="5">
        <f t="shared" ref="J25:J55" si="16">I25/F25</f>
        <v>-8.2475837080710018E-2</v>
      </c>
      <c r="K25" s="1">
        <v>45286</v>
      </c>
      <c r="L25" s="1">
        <v>45302</v>
      </c>
      <c r="M25">
        <f t="shared" ref="M25:M55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09AC-0BB1-4F47-9AB1-EE587419E992}">
  <dimension ref="A1:AE213"/>
  <sheetViews>
    <sheetView zoomScaleNormal="100"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45583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11.78</v>
      </c>
      <c r="F7" s="3">
        <f t="shared" ref="F7:F16" si="0">E7*D7</f>
        <v>76354.642752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20563.602752000006</v>
      </c>
      <c r="J7" s="27">
        <f t="shared" ref="J7:J16" si="3">E7-H7</f>
        <v>3.1725541720541273</v>
      </c>
      <c r="K7" s="28">
        <v>45378</v>
      </c>
      <c r="L7">
        <f t="shared" ref="L7:L15" si="4">DAYS360(K7,$C$1)</f>
        <v>201</v>
      </c>
      <c r="M7" s="5">
        <f t="shared" ref="M7:M16" si="5">(I7/G7)</f>
        <v>0.36858253138855285</v>
      </c>
      <c r="N7">
        <v>27</v>
      </c>
      <c r="O7">
        <v>95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9.75</v>
      </c>
      <c r="Y7" s="5">
        <f t="shared" ref="Y7:Y16" si="11">(X7-H7)/H7</f>
        <v>0.13274021061446439</v>
      </c>
      <c r="Z7" s="6">
        <f t="shared" ref="Z7:Z16" si="12">F7/F$19</f>
        <v>0.10463677438937317</v>
      </c>
      <c r="AB7" s="31">
        <v>45603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86.17</v>
      </c>
      <c r="F8" s="3">
        <f t="shared" si="0"/>
        <v>71383.426191000006</v>
      </c>
      <c r="G8" s="3">
        <v>47623.59</v>
      </c>
      <c r="H8" s="4">
        <f t="shared" si="1"/>
        <v>57.488481140141687</v>
      </c>
      <c r="I8" s="3">
        <f t="shared" si="2"/>
        <v>23759.836191000009</v>
      </c>
      <c r="J8" s="27">
        <f t="shared" si="3"/>
        <v>28.681518859858315</v>
      </c>
      <c r="K8" s="28">
        <v>45378</v>
      </c>
      <c r="L8">
        <f t="shared" si="4"/>
        <v>201</v>
      </c>
      <c r="M8" s="5">
        <f t="shared" si="5"/>
        <v>0.49890896908443927</v>
      </c>
      <c r="N8">
        <v>27</v>
      </c>
      <c r="O8">
        <v>90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79</v>
      </c>
      <c r="Y8" s="5">
        <f t="shared" si="11"/>
        <v>0.37418833187502254</v>
      </c>
      <c r="Z8" s="6">
        <f t="shared" si="12"/>
        <v>9.7824194996871908E-2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33.86</v>
      </c>
      <c r="F9" s="3">
        <f t="shared" si="0"/>
        <v>83787.199796000001</v>
      </c>
      <c r="G9" s="3">
        <f>44039.07+27471.43</f>
        <v>71510.5</v>
      </c>
      <c r="H9" s="4">
        <f t="shared" si="1"/>
        <v>28.898752266400425</v>
      </c>
      <c r="I9" s="3">
        <f t="shared" si="2"/>
        <v>12276.699796000001</v>
      </c>
      <c r="J9" s="27">
        <f t="shared" si="3"/>
        <v>4.9612477335995742</v>
      </c>
      <c r="K9" s="28">
        <v>45426</v>
      </c>
      <c r="L9">
        <f t="shared" si="4"/>
        <v>154</v>
      </c>
      <c r="M9" s="5">
        <f t="shared" si="5"/>
        <v>0.17167688375832921</v>
      </c>
      <c r="N9">
        <v>47</v>
      </c>
      <c r="O9">
        <v>96</v>
      </c>
      <c r="P9" s="34">
        <v>71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31.75</v>
      </c>
      <c r="Y9" s="5">
        <f t="shared" si="11"/>
        <v>9.8663350836590322E-2</v>
      </c>
      <c r="Z9" s="6">
        <f t="shared" si="12"/>
        <v>0.11482238677021041</v>
      </c>
      <c r="AB9" s="31">
        <v>45604</v>
      </c>
      <c r="AC9" s="9">
        <v>96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48.33</v>
      </c>
      <c r="F10" s="3">
        <f t="shared" si="0"/>
        <v>61078.468068000002</v>
      </c>
      <c r="G10" s="3">
        <v>56489.42</v>
      </c>
      <c r="H10" s="4">
        <f t="shared" si="1"/>
        <v>44.698790833464948</v>
      </c>
      <c r="I10" s="3">
        <f t="shared" si="2"/>
        <v>4589.0480680000037</v>
      </c>
      <c r="J10" s="27">
        <f t="shared" si="3"/>
        <v>3.6312091665350508</v>
      </c>
      <c r="K10" s="28">
        <v>45527</v>
      </c>
      <c r="L10">
        <f t="shared" si="4"/>
        <v>55</v>
      </c>
      <c r="M10" s="5">
        <f t="shared" si="5"/>
        <v>8.1237301923085842E-2</v>
      </c>
      <c r="N10">
        <v>118</v>
      </c>
      <c r="O10">
        <v>94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46</v>
      </c>
      <c r="Y10" s="5">
        <f t="shared" si="11"/>
        <v>2.9110612217296657E-2</v>
      </c>
      <c r="Z10" s="6">
        <f t="shared" si="12"/>
        <v>8.3702230184456536E-2</v>
      </c>
      <c r="AB10" s="31">
        <v>45608</v>
      </c>
      <c r="AC10" s="9">
        <v>95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20.12</v>
      </c>
      <c r="F11" s="3">
        <f t="shared" si="0"/>
        <v>60769.413831999998</v>
      </c>
      <c r="G11" s="3">
        <v>56486.59</v>
      </c>
      <c r="H11" s="4">
        <f t="shared" si="1"/>
        <v>18.702010092477405</v>
      </c>
      <c r="I11" s="3">
        <f t="shared" si="2"/>
        <v>4282.8238320000019</v>
      </c>
      <c r="J11" s="27">
        <f t="shared" si="3"/>
        <v>1.4179899075225961</v>
      </c>
      <c r="K11" s="28">
        <v>45527</v>
      </c>
      <c r="L11">
        <f t="shared" si="4"/>
        <v>55</v>
      </c>
      <c r="M11" s="5">
        <f t="shared" si="5"/>
        <v>7.5820187269226236E-2</v>
      </c>
      <c r="N11">
        <v>112</v>
      </c>
      <c r="O11">
        <v>94</v>
      </c>
      <c r="P11" s="34">
        <v>86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17.5</v>
      </c>
      <c r="Y11" s="5">
        <f t="shared" si="11"/>
        <v>-6.4271705904003065E-2</v>
      </c>
      <c r="Z11" s="6">
        <f t="shared" si="12"/>
        <v>8.3278700753882842E-2</v>
      </c>
      <c r="AB11" s="31">
        <v>45597</v>
      </c>
      <c r="AC11" s="9">
        <v>90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138</v>
      </c>
      <c r="F12" s="3">
        <f t="shared" si="0"/>
        <v>76268.266799999998</v>
      </c>
      <c r="G12" s="3">
        <v>70647.62</v>
      </c>
      <c r="H12" s="4">
        <f t="shared" si="1"/>
        <v>127.82998708448426</v>
      </c>
      <c r="I12" s="3">
        <f t="shared" si="2"/>
        <v>5620.6468000000023</v>
      </c>
      <c r="J12" s="27">
        <f t="shared" si="3"/>
        <v>10.170012915515741</v>
      </c>
      <c r="K12" s="28">
        <v>45531</v>
      </c>
      <c r="L12">
        <f t="shared" si="4"/>
        <v>51</v>
      </c>
      <c r="M12" s="5">
        <f t="shared" si="5"/>
        <v>7.9558898091683802E-2</v>
      </c>
      <c r="N12">
        <v>8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125</v>
      </c>
      <c r="Y12" s="5">
        <f t="shared" si="11"/>
        <v>-2.2138679264779155E-2</v>
      </c>
      <c r="Z12" s="6">
        <f t="shared" si="12"/>
        <v>0.10451840436397149</v>
      </c>
      <c r="AB12" s="31">
        <v>45610</v>
      </c>
      <c r="AC12" s="9">
        <v>99</v>
      </c>
    </row>
    <row r="13" spans="1:31" x14ac:dyDescent="0.25">
      <c r="A13" t="s">
        <v>161</v>
      </c>
      <c r="B13" t="s">
        <v>33</v>
      </c>
      <c r="C13" s="26" t="s">
        <v>162</v>
      </c>
      <c r="D13" s="2">
        <v>685.0933</v>
      </c>
      <c r="E13" s="27">
        <v>68.95</v>
      </c>
      <c r="F13" s="3">
        <f t="shared" si="0"/>
        <v>47237.183035000002</v>
      </c>
      <c r="G13" s="3">
        <v>56064.04</v>
      </c>
      <c r="H13" s="4">
        <f t="shared" si="1"/>
        <v>81.834167696575051</v>
      </c>
      <c r="I13" s="3">
        <f t="shared" si="2"/>
        <v>-8826.856964999999</v>
      </c>
      <c r="J13" s="27">
        <f t="shared" si="3"/>
        <v>-12.884167696575048</v>
      </c>
      <c r="K13" s="28">
        <v>45553</v>
      </c>
      <c r="L13">
        <f t="shared" si="4"/>
        <v>30</v>
      </c>
      <c r="M13" s="5">
        <f t="shared" si="5"/>
        <v>-0.15744239917423003</v>
      </c>
      <c r="N13">
        <v>71</v>
      </c>
      <c r="O13">
        <v>94</v>
      </c>
      <c r="P13" s="34">
        <v>33</v>
      </c>
      <c r="Q13" s="29">
        <v>72.61</v>
      </c>
      <c r="R13" s="30">
        <f t="shared" si="6"/>
        <v>67.527299999999997</v>
      </c>
      <c r="S13" s="30">
        <v>71.72</v>
      </c>
      <c r="T13" s="32">
        <f t="shared" si="7"/>
        <v>90.762500000000003</v>
      </c>
      <c r="U13" s="29">
        <f t="shared" si="8"/>
        <v>108.91499999999999</v>
      </c>
      <c r="V13" s="29">
        <f t="shared" si="9"/>
        <v>145.22</v>
      </c>
      <c r="W13" s="29">
        <f t="shared" si="10"/>
        <v>76.105775957814799</v>
      </c>
      <c r="X13" s="30">
        <v>77.75</v>
      </c>
      <c r="Y13" s="5">
        <f t="shared" si="11"/>
        <v>-4.9907854036205741E-2</v>
      </c>
      <c r="Z13" s="33">
        <f t="shared" si="12"/>
        <v>6.473406574734257E-2</v>
      </c>
      <c r="AA13" s="9"/>
      <c r="AB13" s="31">
        <v>45593</v>
      </c>
      <c r="AC13" s="9">
        <v>62</v>
      </c>
    </row>
    <row r="14" spans="1:31" x14ac:dyDescent="0.25">
      <c r="A14" t="s">
        <v>163</v>
      </c>
      <c r="B14" t="s">
        <v>33</v>
      </c>
      <c r="C14" s="26" t="s">
        <v>164</v>
      </c>
      <c r="D14" s="2">
        <v>427.7285</v>
      </c>
      <c r="E14" s="27">
        <v>148.81</v>
      </c>
      <c r="F14" s="3">
        <f t="shared" si="0"/>
        <v>63650.278084999998</v>
      </c>
      <c r="G14" s="3">
        <v>56493.63</v>
      </c>
      <c r="H14" s="4">
        <f t="shared" si="1"/>
        <v>132.0782458966377</v>
      </c>
      <c r="I14" s="3">
        <f t="shared" si="2"/>
        <v>7156.6480850000007</v>
      </c>
      <c r="J14" s="27">
        <f t="shared" si="3"/>
        <v>16.731754103362306</v>
      </c>
      <c r="K14" s="28">
        <v>45554</v>
      </c>
      <c r="L14">
        <f t="shared" si="4"/>
        <v>29</v>
      </c>
      <c r="M14" s="5">
        <f t="shared" si="5"/>
        <v>0.12668062018673612</v>
      </c>
      <c r="N14">
        <v>16</v>
      </c>
      <c r="O14">
        <v>94</v>
      </c>
      <c r="P14" s="58">
        <v>96</v>
      </c>
      <c r="Q14" s="29">
        <v>128.97999999999999</v>
      </c>
      <c r="R14" s="30">
        <f t="shared" si="6"/>
        <v>119.95139999999999</v>
      </c>
      <c r="S14" s="30">
        <v>120.04</v>
      </c>
      <c r="T14" s="32">
        <f t="shared" si="7"/>
        <v>161.22499999999999</v>
      </c>
      <c r="U14" s="29">
        <f t="shared" si="8"/>
        <v>193.46999999999997</v>
      </c>
      <c r="V14" s="29">
        <f t="shared" si="9"/>
        <v>257.95999999999998</v>
      </c>
      <c r="W14" s="29">
        <f t="shared" si="10"/>
        <v>122.83276868387306</v>
      </c>
      <c r="X14" s="30">
        <v>139</v>
      </c>
      <c r="Y14" s="5">
        <f t="shared" si="11"/>
        <v>5.2406466003335303E-2</v>
      </c>
      <c r="Z14" s="6">
        <f t="shared" si="12"/>
        <v>8.722665116033898E-2</v>
      </c>
      <c r="AB14" s="31">
        <v>45678</v>
      </c>
      <c r="AC14" s="9">
        <v>99</v>
      </c>
    </row>
    <row r="15" spans="1:31" x14ac:dyDescent="0.25">
      <c r="A15" t="s">
        <v>165</v>
      </c>
      <c r="B15" t="s">
        <v>33</v>
      </c>
      <c r="C15" s="26" t="s">
        <v>166</v>
      </c>
      <c r="D15" s="2">
        <v>341.22039999999998</v>
      </c>
      <c r="E15" s="27">
        <v>215.86</v>
      </c>
      <c r="F15" s="3">
        <f t="shared" si="0"/>
        <v>73655.835544000001</v>
      </c>
      <c r="G15" s="3">
        <v>71012.62</v>
      </c>
      <c r="H15" s="4">
        <f t="shared" si="1"/>
        <v>208.11364150560752</v>
      </c>
      <c r="I15" s="3">
        <f t="shared" si="2"/>
        <v>2643.215544000006</v>
      </c>
      <c r="J15" s="27">
        <f t="shared" si="3"/>
        <v>7.7463584943924957</v>
      </c>
      <c r="K15" s="28">
        <v>45580</v>
      </c>
      <c r="L15">
        <f t="shared" si="4"/>
        <v>3</v>
      </c>
      <c r="M15" s="5">
        <f t="shared" si="5"/>
        <v>3.7221771904768566E-2</v>
      </c>
      <c r="N15">
        <v>30</v>
      </c>
      <c r="O15">
        <v>99</v>
      </c>
      <c r="P15" s="34">
        <v>4</v>
      </c>
      <c r="Q15" s="29">
        <v>183.7</v>
      </c>
      <c r="R15" s="30">
        <f t="shared" si="6"/>
        <v>170.84100000000001</v>
      </c>
      <c r="S15" s="30">
        <v>178</v>
      </c>
      <c r="T15" s="29">
        <f t="shared" si="7"/>
        <v>229.625</v>
      </c>
      <c r="U15" s="29">
        <f t="shared" si="8"/>
        <v>275.54999999999995</v>
      </c>
      <c r="V15" s="29">
        <f t="shared" si="9"/>
        <v>367.4</v>
      </c>
      <c r="W15" s="29">
        <f t="shared" si="10"/>
        <v>193.54568660021499</v>
      </c>
      <c r="X15" s="30">
        <v>195</v>
      </c>
      <c r="Y15" s="5">
        <f t="shared" si="11"/>
        <v>-6.3011926612480992E-2</v>
      </c>
      <c r="Z15" s="33">
        <f t="shared" si="12"/>
        <v>0.10093831584427687</v>
      </c>
      <c r="AB15" s="31">
        <v>45595</v>
      </c>
      <c r="AC15" s="9">
        <v>63</v>
      </c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91.67</v>
      </c>
      <c r="F16" s="57">
        <f t="shared" si="0"/>
        <v>33341.644046000001</v>
      </c>
      <c r="G16" s="38">
        <v>33268.9</v>
      </c>
      <c r="H16" s="39">
        <f t="shared" si="1"/>
        <v>91.469996464252944</v>
      </c>
      <c r="I16" s="38">
        <f t="shared" si="2"/>
        <v>72.744045999999798</v>
      </c>
      <c r="J16" s="37">
        <f t="shared" si="3"/>
        <v>0.20000353574705798</v>
      </c>
      <c r="K16" s="40"/>
      <c r="L16" s="35"/>
      <c r="M16" s="41">
        <f t="shared" si="5"/>
        <v>2.1865479772399986E-3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4.5691551424627767E-2</v>
      </c>
      <c r="AB16" s="31"/>
      <c r="AC16" s="9"/>
    </row>
    <row r="17" spans="1:26" x14ac:dyDescent="0.25">
      <c r="A17" t="s">
        <v>53</v>
      </c>
      <c r="F17" s="3">
        <f>SUM(F6:F16)</f>
        <v>647526.35814899998</v>
      </c>
      <c r="G17" s="3">
        <f>SUM(G6:G16)</f>
        <v>575387.95000000007</v>
      </c>
      <c r="H17" s="4"/>
      <c r="I17" s="3">
        <f>SUM(I6:I16)</f>
        <v>72138.408149000054</v>
      </c>
      <c r="M17" s="5"/>
      <c r="Z17" s="6"/>
    </row>
    <row r="18" spans="1:26" x14ac:dyDescent="0.25">
      <c r="D18" s="2" t="s">
        <v>54</v>
      </c>
      <c r="F18" s="3">
        <v>82185</v>
      </c>
      <c r="G18" s="6">
        <f>F18/F19</f>
        <v>0.1126267243646475</v>
      </c>
      <c r="H18" s="4"/>
      <c r="M18" s="5"/>
      <c r="Z18" s="6"/>
    </row>
    <row r="19" spans="1:26" x14ac:dyDescent="0.25">
      <c r="D19" s="2" t="s">
        <v>55</v>
      </c>
      <c r="F19" s="3">
        <f>SUM(F17:F18)</f>
        <v>729711.35814899998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'10-11-24'!F19</f>
        <v>706192.00289599993</v>
      </c>
      <c r="K20" s="1">
        <v>45291</v>
      </c>
      <c r="L20" s="47">
        <v>139707.06</v>
      </c>
      <c r="M20" s="47">
        <v>166296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3.3304476907909296E-2</v>
      </c>
      <c r="K21" s="9" t="s">
        <v>58</v>
      </c>
      <c r="L21" s="6">
        <f>(M20-L20)/L20</f>
        <v>0.19031922939327478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5" si="13">F25/D25</f>
        <v>47.428061535569462</v>
      </c>
      <c r="F25" s="3">
        <v>38349.050000000003</v>
      </c>
      <c r="G25" s="3">
        <v>35186.18</v>
      </c>
      <c r="H25" s="3">
        <f t="shared" ref="H25:H55" si="14">G25/D25</f>
        <v>43.516392459307944</v>
      </c>
      <c r="I25" s="3">
        <f t="shared" ref="I25:I55" si="15">G25-F25</f>
        <v>-3162.8700000000026</v>
      </c>
      <c r="J25" s="5">
        <f t="shared" ref="J25:J55" si="16">I25/F25</f>
        <v>-8.2475837080710018E-2</v>
      </c>
      <c r="K25" s="1">
        <v>45286</v>
      </c>
      <c r="L25" s="1">
        <v>45302</v>
      </c>
      <c r="M25">
        <f t="shared" ref="M25:M55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C56" s="26"/>
      <c r="E56" s="3"/>
      <c r="J56" s="5"/>
      <c r="K56" s="1"/>
      <c r="L56" s="1"/>
      <c r="M56" s="54"/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24013.200000000019</v>
      </c>
      <c r="J61" s="13" t="s">
        <v>68</v>
      </c>
    </row>
    <row r="62" spans="1:15" x14ac:dyDescent="0.25">
      <c r="H62" s="3" t="s">
        <v>69</v>
      </c>
      <c r="I62" s="55">
        <v>19</v>
      </c>
      <c r="J62" s="5">
        <v>-8.2699999999999996E-2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AFB1-5AB5-4776-9B6A-B2B7B7A174A0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45590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11.28</v>
      </c>
      <c r="F7" s="3">
        <f t="shared" ref="F7:F16" si="0">E7*D7</f>
        <v>73113.783551999994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17322.743552</v>
      </c>
      <c r="J7" s="27">
        <f t="shared" ref="J7:J16" si="3">E7-H7</f>
        <v>2.6725541720541273</v>
      </c>
      <c r="K7" s="28">
        <v>45378</v>
      </c>
      <c r="L7">
        <f t="shared" ref="L7:L12" si="4">DAYS360(K7,$C$1)</f>
        <v>208</v>
      </c>
      <c r="M7" s="5">
        <f t="shared" ref="M7:M16" si="5">(I7/G7)</f>
        <v>0.31049328981858021</v>
      </c>
      <c r="N7">
        <v>6</v>
      </c>
      <c r="O7">
        <v>96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9.75</v>
      </c>
      <c r="Y7" s="5">
        <f t="shared" ref="Y7:Y16" si="11">(X7-H7)/H7</f>
        <v>0.13274021061446439</v>
      </c>
      <c r="Z7" s="6">
        <f t="shared" ref="Z7:Z16" si="12">F7/F$19</f>
        <v>0.10006196071760178</v>
      </c>
      <c r="AB7" s="31">
        <v>45603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86.88</v>
      </c>
      <c r="F8" s="3">
        <f t="shared" si="0"/>
        <v>71971.591823999988</v>
      </c>
      <c r="G8" s="3">
        <v>47623.59</v>
      </c>
      <c r="H8" s="4">
        <f t="shared" si="1"/>
        <v>57.488481140141687</v>
      </c>
      <c r="I8" s="3">
        <f t="shared" si="2"/>
        <v>24348.001823999992</v>
      </c>
      <c r="J8" s="27">
        <f t="shared" si="3"/>
        <v>29.391518859858309</v>
      </c>
      <c r="K8" s="28">
        <v>45378</v>
      </c>
      <c r="L8">
        <f t="shared" si="4"/>
        <v>208</v>
      </c>
      <c r="M8" s="5">
        <f t="shared" si="5"/>
        <v>0.51125926928230303</v>
      </c>
      <c r="N8">
        <v>6</v>
      </c>
      <c r="O8">
        <v>94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79</v>
      </c>
      <c r="Y8" s="5">
        <f t="shared" si="11"/>
        <v>0.37418833187502254</v>
      </c>
      <c r="Z8" s="6">
        <f t="shared" si="12"/>
        <v>9.8498781543078257E-2</v>
      </c>
      <c r="AB8" s="31">
        <v>45595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34.86</v>
      </c>
      <c r="F9" s="3">
        <f t="shared" si="0"/>
        <v>86261.718395999997</v>
      </c>
      <c r="G9" s="3">
        <f>44039.07+27471.43</f>
        <v>71510.5</v>
      </c>
      <c r="H9" s="4">
        <f t="shared" si="1"/>
        <v>28.898752266400425</v>
      </c>
      <c r="I9" s="3">
        <f t="shared" si="2"/>
        <v>14751.218395999997</v>
      </c>
      <c r="J9" s="27">
        <f t="shared" si="3"/>
        <v>5.9612477335995742</v>
      </c>
      <c r="K9" s="28">
        <v>45426</v>
      </c>
      <c r="L9">
        <f t="shared" si="4"/>
        <v>161</v>
      </c>
      <c r="M9" s="5">
        <f t="shared" si="5"/>
        <v>0.20628045386341862</v>
      </c>
      <c r="N9">
        <v>70</v>
      </c>
      <c r="O9">
        <v>96</v>
      </c>
      <c r="P9" s="34">
        <v>70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31.75</v>
      </c>
      <c r="Y9" s="5">
        <f t="shared" si="11"/>
        <v>9.8663350836590322E-2</v>
      </c>
      <c r="Z9" s="6">
        <f t="shared" si="12"/>
        <v>0.11805594319208593</v>
      </c>
      <c r="AB9" s="31">
        <v>45604</v>
      </c>
      <c r="AC9" s="9">
        <v>95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50.65</v>
      </c>
      <c r="F10" s="3">
        <f t="shared" si="0"/>
        <v>64010.436740000005</v>
      </c>
      <c r="G10" s="3">
        <v>56489.42</v>
      </c>
      <c r="H10" s="4">
        <f t="shared" si="1"/>
        <v>44.698790833464948</v>
      </c>
      <c r="I10" s="3">
        <f t="shared" si="2"/>
        <v>7521.0167400000064</v>
      </c>
      <c r="J10" s="27">
        <f t="shared" si="3"/>
        <v>5.9512091665350511</v>
      </c>
      <c r="K10" s="28">
        <v>45527</v>
      </c>
      <c r="L10">
        <f t="shared" si="4"/>
        <v>62</v>
      </c>
      <c r="M10" s="5">
        <f t="shared" si="5"/>
        <v>0.13314027193056693</v>
      </c>
      <c r="N10">
        <v>144</v>
      </c>
      <c r="O10">
        <v>95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46</v>
      </c>
      <c r="Y10" s="5">
        <f t="shared" si="11"/>
        <v>2.9110612217296657E-2</v>
      </c>
      <c r="Z10" s="6">
        <f t="shared" si="12"/>
        <v>8.7603314934988172E-2</v>
      </c>
      <c r="AB10" s="31">
        <v>45608</v>
      </c>
      <c r="AC10" s="9">
        <v>94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18.079999999999998</v>
      </c>
      <c r="F11" s="3">
        <f t="shared" si="0"/>
        <v>54607.902687999995</v>
      </c>
      <c r="G11" s="3">
        <v>56486.59</v>
      </c>
      <c r="H11" s="4">
        <f t="shared" si="1"/>
        <v>18.702010092477405</v>
      </c>
      <c r="I11" s="3">
        <f t="shared" si="2"/>
        <v>-1878.6873120000018</v>
      </c>
      <c r="J11" s="27">
        <f t="shared" si="3"/>
        <v>-0.62201009247740657</v>
      </c>
      <c r="K11" s="28">
        <v>45527</v>
      </c>
      <c r="L11">
        <f t="shared" si="4"/>
        <v>62</v>
      </c>
      <c r="M11" s="5">
        <f t="shared" si="5"/>
        <v>-3.325899672825005E-2</v>
      </c>
      <c r="N11">
        <v>119</v>
      </c>
      <c r="O11">
        <v>91</v>
      </c>
      <c r="P11" s="34">
        <v>87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17.5</v>
      </c>
      <c r="Y11" s="5">
        <f t="shared" si="11"/>
        <v>-6.4271705904003065E-2</v>
      </c>
      <c r="Z11" s="6">
        <f t="shared" si="12"/>
        <v>7.4735207893475319E-2</v>
      </c>
      <c r="AB11" s="31">
        <v>45597</v>
      </c>
      <c r="AC11" s="9">
        <v>87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141.54</v>
      </c>
      <c r="F12" s="3">
        <f t="shared" si="0"/>
        <v>78224.713643999989</v>
      </c>
      <c r="G12" s="3">
        <v>70647.62</v>
      </c>
      <c r="H12" s="4">
        <f t="shared" si="1"/>
        <v>127.82998708448426</v>
      </c>
      <c r="I12" s="3">
        <f t="shared" si="2"/>
        <v>7577.0936439999932</v>
      </c>
      <c r="J12" s="27">
        <f t="shared" si="3"/>
        <v>13.710012915515733</v>
      </c>
      <c r="K12" s="28">
        <v>45531</v>
      </c>
      <c r="L12">
        <f t="shared" si="4"/>
        <v>58</v>
      </c>
      <c r="M12" s="5">
        <f t="shared" si="5"/>
        <v>0.10725193069490513</v>
      </c>
      <c r="N12">
        <v>28</v>
      </c>
      <c r="O12">
        <v>98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125</v>
      </c>
      <c r="Y12" s="5">
        <f t="shared" si="11"/>
        <v>-2.2138679264779155E-2</v>
      </c>
      <c r="Z12" s="6">
        <f t="shared" si="12"/>
        <v>0.10705667035032633</v>
      </c>
      <c r="AB12" s="31">
        <v>45616</v>
      </c>
      <c r="AC12" s="9">
        <v>99</v>
      </c>
    </row>
    <row r="13" spans="1:31" x14ac:dyDescent="0.25">
      <c r="A13" t="s">
        <v>163</v>
      </c>
      <c r="B13" t="s">
        <v>33</v>
      </c>
      <c r="C13" s="26" t="s">
        <v>164</v>
      </c>
      <c r="D13" s="2">
        <v>427.7285</v>
      </c>
      <c r="E13" s="27">
        <v>147.16999999999999</v>
      </c>
      <c r="F13" s="3">
        <f>E13*D13</f>
        <v>62948.803344999993</v>
      </c>
      <c r="G13" s="3">
        <v>56493.63</v>
      </c>
      <c r="H13" s="4">
        <f>G13/D13</f>
        <v>132.0782458966377</v>
      </c>
      <c r="I13" s="3">
        <f>F13-G13</f>
        <v>6455.1733449999956</v>
      </c>
      <c r="J13" s="27">
        <f>E13-H13</f>
        <v>15.091754103362291</v>
      </c>
      <c r="K13" s="28">
        <v>45554</v>
      </c>
      <c r="L13">
        <f>DAYS360(K13,$C$1)</f>
        <v>36</v>
      </c>
      <c r="M13" s="5">
        <f>(I13/G13)</f>
        <v>0.11426373814180459</v>
      </c>
      <c r="N13">
        <v>20</v>
      </c>
      <c r="O13">
        <v>93</v>
      </c>
      <c r="P13" s="58">
        <v>96</v>
      </c>
      <c r="Q13" s="29">
        <v>128.97999999999999</v>
      </c>
      <c r="R13" s="30">
        <f>Q13*0.93</f>
        <v>119.95139999999999</v>
      </c>
      <c r="S13" s="30">
        <v>120.04</v>
      </c>
      <c r="T13" s="32">
        <f>Q13*1.25</f>
        <v>161.22499999999999</v>
      </c>
      <c r="U13" s="29">
        <f>Q13*1.5</f>
        <v>193.46999999999997</v>
      </c>
      <c r="V13" s="29">
        <f>Q13*2</f>
        <v>257.95999999999998</v>
      </c>
      <c r="W13" s="29">
        <f>H13-(H13*0.07)</f>
        <v>122.83276868387306</v>
      </c>
      <c r="X13" s="30">
        <v>139</v>
      </c>
      <c r="Y13" s="5">
        <f>(X13-H13)/H13</f>
        <v>5.2406466003335303E-2</v>
      </c>
      <c r="Z13" s="6">
        <f>F13/F$19</f>
        <v>8.615038617236391E-2</v>
      </c>
      <c r="AB13" s="31">
        <v>45678</v>
      </c>
      <c r="AC13" s="9">
        <v>98</v>
      </c>
    </row>
    <row r="14" spans="1:31" x14ac:dyDescent="0.25">
      <c r="A14" t="s">
        <v>165</v>
      </c>
      <c r="B14" t="s">
        <v>33</v>
      </c>
      <c r="C14" s="26" t="s">
        <v>166</v>
      </c>
      <c r="D14" s="2">
        <v>341.22039999999998</v>
      </c>
      <c r="E14" s="27">
        <v>234.34</v>
      </c>
      <c r="F14" s="3">
        <f>E14*D14</f>
        <v>79961.588535999996</v>
      </c>
      <c r="G14" s="3">
        <v>71012.62</v>
      </c>
      <c r="H14" s="4">
        <f>G14/D14</f>
        <v>208.11364150560752</v>
      </c>
      <c r="I14" s="3">
        <f>F14-G14</f>
        <v>8948.9685360000003</v>
      </c>
      <c r="J14" s="27">
        <f>E14-H14</f>
        <v>26.226358494392485</v>
      </c>
      <c r="K14" s="28">
        <v>45580</v>
      </c>
      <c r="L14">
        <f>DAYS360(K14,$C$1)</f>
        <v>10</v>
      </c>
      <c r="M14" s="5">
        <f>(I14/G14)</f>
        <v>0.12601941085964721</v>
      </c>
      <c r="N14">
        <v>16</v>
      </c>
      <c r="O14">
        <v>99</v>
      </c>
      <c r="P14" s="34">
        <v>4</v>
      </c>
      <c r="Q14" s="29">
        <v>183.7</v>
      </c>
      <c r="R14" s="30">
        <f>Q14*0.93</f>
        <v>170.84100000000001</v>
      </c>
      <c r="S14" s="30">
        <v>178</v>
      </c>
      <c r="T14" s="29">
        <f>Q14*1.25</f>
        <v>229.625</v>
      </c>
      <c r="U14" s="29">
        <f>Q14*1.5</f>
        <v>275.54999999999995</v>
      </c>
      <c r="V14" s="29">
        <f>Q14*2</f>
        <v>367.4</v>
      </c>
      <c r="W14" s="29">
        <f>H14-(H14*0.07)</f>
        <v>193.54568660021499</v>
      </c>
      <c r="X14" s="30">
        <v>195</v>
      </c>
      <c r="Y14" s="5">
        <f>(X14-H14)/H14</f>
        <v>-6.3011926612480992E-2</v>
      </c>
      <c r="Z14" s="33">
        <f>F14/F$19</f>
        <v>0.10943372018650513</v>
      </c>
      <c r="AB14" s="31">
        <v>45595</v>
      </c>
      <c r="AC14" s="9">
        <v>72</v>
      </c>
    </row>
    <row r="15" spans="1:31" x14ac:dyDescent="0.25">
      <c r="A15" t="s">
        <v>167</v>
      </c>
      <c r="B15" t="s">
        <v>33</v>
      </c>
      <c r="C15" s="26" t="s">
        <v>168</v>
      </c>
      <c r="D15" s="2">
        <v>1552.0854999999999</v>
      </c>
      <c r="E15" s="27">
        <v>21.73</v>
      </c>
      <c r="F15" s="3">
        <f>E15*D15</f>
        <v>33726.817915</v>
      </c>
      <c r="G15" s="3">
        <v>36697.24</v>
      </c>
      <c r="H15" s="4">
        <f>G15/D15</f>
        <v>23.643826322712247</v>
      </c>
      <c r="I15" s="3">
        <f>F15-G15</f>
        <v>-2970.4220849999983</v>
      </c>
      <c r="J15" s="27">
        <f>E15-H15</f>
        <v>-1.9138263227122465</v>
      </c>
      <c r="K15" s="28">
        <v>45587</v>
      </c>
      <c r="L15">
        <f>DAYS360(K15,$C$1)</f>
        <v>3</v>
      </c>
      <c r="M15" s="5">
        <f>(I15/G15)</f>
        <v>-8.0944018814493909E-2</v>
      </c>
      <c r="N15">
        <v>131</v>
      </c>
      <c r="O15">
        <v>98</v>
      </c>
      <c r="P15" s="34">
        <v>81</v>
      </c>
      <c r="Q15" s="29">
        <v>23.07</v>
      </c>
      <c r="R15" s="30">
        <f>Q15*0.93</f>
        <v>21.455100000000002</v>
      </c>
      <c r="S15" s="30">
        <v>21.1</v>
      </c>
      <c r="T15" s="32">
        <f>Q15*1.25</f>
        <v>28.837499999999999</v>
      </c>
      <c r="U15" s="29">
        <f>Q15*1.5</f>
        <v>34.605000000000004</v>
      </c>
      <c r="V15" s="29">
        <f>Q15*2</f>
        <v>46.14</v>
      </c>
      <c r="W15" s="29">
        <f>H15-(H15*0.07)</f>
        <v>21.988758480122389</v>
      </c>
      <c r="X15" s="30">
        <v>21</v>
      </c>
      <c r="Y15" s="5">
        <f>(X15-H15)/H15</f>
        <v>-0.11181888610696607</v>
      </c>
      <c r="Z15" s="33">
        <f>F15/F$19</f>
        <v>4.6157801790413872E-2</v>
      </c>
      <c r="AA15" s="9"/>
      <c r="AB15" s="31">
        <v>45600</v>
      </c>
      <c r="AC15" s="9">
        <v>92</v>
      </c>
    </row>
    <row r="16" spans="1:31" x14ac:dyDescent="0.25">
      <c r="A16" s="35" t="s">
        <v>51</v>
      </c>
      <c r="B16" s="35" t="s">
        <v>33</v>
      </c>
      <c r="C16" s="35" t="s">
        <v>52</v>
      </c>
      <c r="D16" s="36">
        <v>363.71379999999999</v>
      </c>
      <c r="E16" s="37">
        <v>91.75</v>
      </c>
      <c r="F16" s="57">
        <f t="shared" si="0"/>
        <v>33370.741150000002</v>
      </c>
      <c r="G16" s="38">
        <v>33268.9</v>
      </c>
      <c r="H16" s="39">
        <f t="shared" si="1"/>
        <v>91.469996464252944</v>
      </c>
      <c r="I16" s="38">
        <f t="shared" si="2"/>
        <v>101.8411500000002</v>
      </c>
      <c r="J16" s="37">
        <f t="shared" si="3"/>
        <v>0.28000353574705628</v>
      </c>
      <c r="K16" s="40"/>
      <c r="L16" s="35"/>
      <c r="M16" s="41">
        <f t="shared" si="5"/>
        <v>3.0611517062481834E-3</v>
      </c>
      <c r="N16" s="35"/>
      <c r="O16" s="35"/>
      <c r="P16" s="35"/>
      <c r="Q16" s="42"/>
      <c r="R16" s="43">
        <f t="shared" si="6"/>
        <v>0</v>
      </c>
      <c r="S16" s="43"/>
      <c r="T16" s="42">
        <f t="shared" si="7"/>
        <v>0</v>
      </c>
      <c r="U16" s="42">
        <f t="shared" si="8"/>
        <v>0</v>
      </c>
      <c r="V16" s="42">
        <f t="shared" si="9"/>
        <v>0</v>
      </c>
      <c r="W16" s="42">
        <f t="shared" si="10"/>
        <v>85.067096711755241</v>
      </c>
      <c r="X16" s="43"/>
      <c r="Y16" s="41">
        <f t="shared" si="11"/>
        <v>-1</v>
      </c>
      <c r="Z16" s="44">
        <f t="shared" si="12"/>
        <v>4.5670482744114761E-2</v>
      </c>
      <c r="AB16" s="31"/>
      <c r="AC16" s="9"/>
    </row>
    <row r="17" spans="1:26" x14ac:dyDescent="0.25">
      <c r="A17" t="s">
        <v>53</v>
      </c>
      <c r="F17" s="3">
        <f>SUM(F6:F16)</f>
        <v>638198.09779000003</v>
      </c>
      <c r="G17" s="3">
        <f>SUM(G6:G16)</f>
        <v>556021.15</v>
      </c>
      <c r="H17" s="4"/>
      <c r="I17" s="3">
        <f>SUM(I6:I16)</f>
        <v>82176.947789999977</v>
      </c>
      <c r="M17" s="5"/>
      <c r="Z17" s="6"/>
    </row>
    <row r="18" spans="1:26" x14ac:dyDescent="0.25">
      <c r="D18" s="2" t="s">
        <v>54</v>
      </c>
      <c r="F18" s="3">
        <v>92487</v>
      </c>
      <c r="G18" s="6">
        <f>F18/F19</f>
        <v>0.12657573047504644</v>
      </c>
      <c r="H18" s="4"/>
      <c r="M18" s="5"/>
      <c r="Z18" s="6"/>
    </row>
    <row r="19" spans="1:26" x14ac:dyDescent="0.25">
      <c r="D19" s="2" t="s">
        <v>55</v>
      </c>
      <c r="F19" s="3">
        <f>SUM(F17:F18)</f>
        <v>730685.09779000003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'10-18-24'!F19</f>
        <v>729711.35814899998</v>
      </c>
      <c r="K20" s="1">
        <v>45291</v>
      </c>
      <c r="L20" s="47">
        <v>139707.06</v>
      </c>
      <c r="M20" s="47">
        <v>166577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1.3344175476041073E-3</v>
      </c>
      <c r="K21" s="9" t="s">
        <v>58</v>
      </c>
      <c r="L21" s="6">
        <f>(M20-L20)/L20</f>
        <v>0.19233058085969315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6" si="13">F25/D25</f>
        <v>47.428061535569462</v>
      </c>
      <c r="F25" s="3">
        <v>38349.050000000003</v>
      </c>
      <c r="G25" s="3">
        <v>35186.18</v>
      </c>
      <c r="H25" s="3">
        <f t="shared" ref="H25:H56" si="14">G25/D25</f>
        <v>43.516392459307944</v>
      </c>
      <c r="I25" s="3">
        <f t="shared" ref="I25:I56" si="15">G25-F25</f>
        <v>-3162.8700000000026</v>
      </c>
      <c r="J25" s="5">
        <f t="shared" ref="J25:J56" si="16">I25/F25</f>
        <v>-8.2475837080710018E-2</v>
      </c>
      <c r="K25" s="1">
        <v>45286</v>
      </c>
      <c r="L25" s="1">
        <v>45302</v>
      </c>
      <c r="M25">
        <f t="shared" ref="M25:M56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14688.370000000017</v>
      </c>
      <c r="J61" s="13" t="s">
        <v>68</v>
      </c>
    </row>
    <row r="62" spans="1:15" x14ac:dyDescent="0.25">
      <c r="H62" s="3" t="s">
        <v>69</v>
      </c>
      <c r="I62" s="55">
        <v>20</v>
      </c>
      <c r="J62" s="5">
        <v>-8.6900000000000005E-2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sortState xmlns:xlrd2="http://schemas.microsoft.com/office/spreadsheetml/2017/richdata2" ref="A13:AC14">
    <sortCondition descending="1" ref="L13:L14"/>
  </sortState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91EB-9206-4C39-84C2-4D33F8CC06D5}">
  <dimension ref="A1:AE213"/>
  <sheetViews>
    <sheetView zoomScaleNormal="100"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45597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10.57</v>
      </c>
      <c r="F7" s="3">
        <f t="shared" ref="F7:F16" si="0">E7*D7</f>
        <v>68511.763487999997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12720.723488000003</v>
      </c>
      <c r="J7" s="27">
        <f t="shared" ref="J7:J16" si="3">E7-H7</f>
        <v>1.9625541720541282</v>
      </c>
      <c r="K7" s="28">
        <v>45378</v>
      </c>
      <c r="L7">
        <f t="shared" ref="L7:L12" si="4">DAYS360(K7,$C$1)</f>
        <v>214</v>
      </c>
      <c r="M7" s="5">
        <f t="shared" ref="M7:M16" si="5">(I7/G7)</f>
        <v>0.22800656678921929</v>
      </c>
      <c r="N7">
        <v>6</v>
      </c>
      <c r="O7">
        <v>95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9.75</v>
      </c>
      <c r="Y7" s="5">
        <f t="shared" ref="Y7:Y16" si="11">(X7-H7)/H7</f>
        <v>0.13274021061446439</v>
      </c>
      <c r="Z7" s="6">
        <f t="shared" ref="Z7:Z16" si="12">F7/F$19</f>
        <v>9.4221893043252583E-2</v>
      </c>
      <c r="AB7" s="56">
        <v>45603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85.8</v>
      </c>
      <c r="F8" s="3">
        <f t="shared" si="0"/>
        <v>71076.91734</v>
      </c>
      <c r="G8" s="3">
        <v>47623.59</v>
      </c>
      <c r="H8" s="4">
        <f t="shared" si="1"/>
        <v>57.488481140141687</v>
      </c>
      <c r="I8" s="3">
        <f t="shared" si="2"/>
        <v>23453.327340000003</v>
      </c>
      <c r="J8" s="27">
        <f t="shared" si="3"/>
        <v>28.31151885985831</v>
      </c>
      <c r="K8" s="28">
        <v>45378</v>
      </c>
      <c r="L8">
        <f t="shared" si="4"/>
        <v>214</v>
      </c>
      <c r="M8" s="5">
        <f t="shared" si="5"/>
        <v>0.49247289715034093</v>
      </c>
      <c r="N8">
        <v>6</v>
      </c>
      <c r="O8">
        <v>93</v>
      </c>
      <c r="P8" s="34">
        <v>97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79</v>
      </c>
      <c r="Y8" s="5">
        <f t="shared" si="11"/>
        <v>0.37418833187502254</v>
      </c>
      <c r="Z8" s="6">
        <f t="shared" si="12"/>
        <v>9.7749661700455001E-2</v>
      </c>
      <c r="AB8" s="31">
        <v>45701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33.21</v>
      </c>
      <c r="F9" s="3">
        <f t="shared" si="0"/>
        <v>82178.762705999994</v>
      </c>
      <c r="G9" s="3">
        <f>44039.07+27471.43</f>
        <v>71510.5</v>
      </c>
      <c r="H9" s="4">
        <f t="shared" si="1"/>
        <v>28.898752266400425</v>
      </c>
      <c r="I9" s="3">
        <f t="shared" si="2"/>
        <v>10668.262705999994</v>
      </c>
      <c r="J9" s="27">
        <f t="shared" si="3"/>
        <v>4.3112477335995756</v>
      </c>
      <c r="K9" s="28">
        <v>45426</v>
      </c>
      <c r="L9">
        <f t="shared" si="4"/>
        <v>167</v>
      </c>
      <c r="M9" s="5">
        <f t="shared" si="5"/>
        <v>0.14918456319002096</v>
      </c>
      <c r="N9">
        <v>102</v>
      </c>
      <c r="O9">
        <v>95</v>
      </c>
      <c r="P9" s="34">
        <v>70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31.75</v>
      </c>
      <c r="Y9" s="5">
        <f t="shared" si="11"/>
        <v>9.8663350836590322E-2</v>
      </c>
      <c r="Z9" s="6">
        <f t="shared" si="12"/>
        <v>0.11301765121646266</v>
      </c>
      <c r="AB9" s="56">
        <v>45604</v>
      </c>
      <c r="AC9" s="9">
        <v>95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46.5</v>
      </c>
      <c r="F10" s="3">
        <f t="shared" si="0"/>
        <v>58765.751400000001</v>
      </c>
      <c r="G10" s="3">
        <v>56489.42</v>
      </c>
      <c r="H10" s="4">
        <f t="shared" si="1"/>
        <v>44.698790833464948</v>
      </c>
      <c r="I10" s="3">
        <f t="shared" si="2"/>
        <v>2276.3314000000028</v>
      </c>
      <c r="J10" s="27">
        <f t="shared" si="3"/>
        <v>1.8012091665350525</v>
      </c>
      <c r="K10" s="28">
        <v>45527</v>
      </c>
      <c r="L10">
        <f t="shared" si="4"/>
        <v>68</v>
      </c>
      <c r="M10" s="5">
        <f t="shared" si="5"/>
        <v>4.0296597132702068E-2</v>
      </c>
      <c r="N10">
        <v>144</v>
      </c>
      <c r="O10">
        <v>94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46</v>
      </c>
      <c r="Y10" s="5">
        <f t="shared" si="11"/>
        <v>2.9110612217296657E-2</v>
      </c>
      <c r="Z10" s="6">
        <f t="shared" si="12"/>
        <v>8.0818534819746587E-2</v>
      </c>
      <c r="AB10" s="31">
        <v>45608</v>
      </c>
      <c r="AC10" s="9">
        <v>93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23.24</v>
      </c>
      <c r="F11" s="3">
        <f t="shared" si="0"/>
        <v>70192.901463999995</v>
      </c>
      <c r="G11" s="3">
        <v>56486.59</v>
      </c>
      <c r="H11" s="4">
        <f t="shared" si="1"/>
        <v>18.702010092477405</v>
      </c>
      <c r="I11" s="3">
        <f t="shared" si="2"/>
        <v>13706.311463999999</v>
      </c>
      <c r="J11" s="27">
        <f t="shared" si="3"/>
        <v>4.5379899075225936</v>
      </c>
      <c r="K11" s="28">
        <v>45527</v>
      </c>
      <c r="L11">
        <f t="shared" si="4"/>
        <v>68</v>
      </c>
      <c r="M11" s="5">
        <f t="shared" si="5"/>
        <v>0.24264717455948392</v>
      </c>
      <c r="N11">
        <v>128</v>
      </c>
      <c r="O11">
        <v>88</v>
      </c>
      <c r="P11" s="34">
        <v>87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17.5</v>
      </c>
      <c r="Y11" s="5">
        <f t="shared" si="11"/>
        <v>-6.4271705904003065E-2</v>
      </c>
      <c r="Z11" s="6">
        <f t="shared" si="12"/>
        <v>9.653390479862603E-2</v>
      </c>
      <c r="AB11" s="31">
        <v>45720</v>
      </c>
      <c r="AC11" s="9">
        <v>85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135.37</v>
      </c>
      <c r="F12" s="3">
        <f t="shared" si="0"/>
        <v>74814.748382000005</v>
      </c>
      <c r="G12" s="3">
        <v>70647.62</v>
      </c>
      <c r="H12" s="4">
        <f t="shared" si="1"/>
        <v>127.82998708448426</v>
      </c>
      <c r="I12" s="3">
        <f t="shared" si="2"/>
        <v>4167.1283820000099</v>
      </c>
      <c r="J12" s="27">
        <f t="shared" si="3"/>
        <v>7.5400129155157458</v>
      </c>
      <c r="K12" s="28">
        <v>45531</v>
      </c>
      <c r="L12">
        <f t="shared" si="4"/>
        <v>64</v>
      </c>
      <c r="M12" s="5">
        <f t="shared" si="5"/>
        <v>5.8984695903414867E-2</v>
      </c>
      <c r="N12">
        <v>78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125</v>
      </c>
      <c r="Y12" s="5">
        <f t="shared" si="11"/>
        <v>-2.2138679264779155E-2</v>
      </c>
      <c r="Z12" s="6">
        <f t="shared" si="12"/>
        <v>0.1028901733253639</v>
      </c>
      <c r="AB12" s="31">
        <v>45616</v>
      </c>
      <c r="AC12" s="9">
        <v>98</v>
      </c>
    </row>
    <row r="13" spans="1:31" x14ac:dyDescent="0.25">
      <c r="A13" t="s">
        <v>163</v>
      </c>
      <c r="B13" t="s">
        <v>33</v>
      </c>
      <c r="C13" s="26" t="s">
        <v>164</v>
      </c>
      <c r="D13" s="2">
        <v>427.7285</v>
      </c>
      <c r="E13" s="27">
        <v>153.78</v>
      </c>
      <c r="F13" s="3">
        <f>E13*D13</f>
        <v>65776.088730000003</v>
      </c>
      <c r="G13" s="3">
        <v>56493.63</v>
      </c>
      <c r="H13" s="4">
        <f>G13/D13</f>
        <v>132.0782458966377</v>
      </c>
      <c r="I13" s="3">
        <f>F13-G13</f>
        <v>9282.4587300000057</v>
      </c>
      <c r="J13" s="27">
        <f>E13-H13</f>
        <v>21.701754103362305</v>
      </c>
      <c r="K13" s="28">
        <v>45554</v>
      </c>
      <c r="L13">
        <f>DAYS360(K13,$C$1)</f>
        <v>42</v>
      </c>
      <c r="M13" s="5">
        <f>(I13/G13)</f>
        <v>0.16430982979851014</v>
      </c>
      <c r="N13">
        <v>15</v>
      </c>
      <c r="O13">
        <v>94</v>
      </c>
      <c r="P13" s="58">
        <v>96</v>
      </c>
      <c r="Q13" s="29">
        <v>128.97999999999999</v>
      </c>
      <c r="R13" s="30">
        <f>Q13*0.93</f>
        <v>119.95139999999999</v>
      </c>
      <c r="S13" s="30">
        <v>120.04</v>
      </c>
      <c r="T13" s="32">
        <f>Q13*1.25</f>
        <v>161.22499999999999</v>
      </c>
      <c r="U13" s="29">
        <f>Q13*1.5</f>
        <v>193.46999999999997</v>
      </c>
      <c r="V13" s="29">
        <f>Q13*2</f>
        <v>257.95999999999998</v>
      </c>
      <c r="W13" s="29">
        <f>H13-(H13*0.07)</f>
        <v>122.83276868387306</v>
      </c>
      <c r="X13" s="30">
        <v>139</v>
      </c>
      <c r="Y13" s="5">
        <f>(X13-H13)/H13</f>
        <v>5.2406466003335303E-2</v>
      </c>
      <c r="Z13" s="6">
        <f t="shared" si="12"/>
        <v>9.0459612796378638E-2</v>
      </c>
      <c r="AB13" s="31">
        <v>45678</v>
      </c>
      <c r="AC13" s="9">
        <v>98</v>
      </c>
    </row>
    <row r="14" spans="1:31" x14ac:dyDescent="0.25">
      <c r="A14" t="s">
        <v>165</v>
      </c>
      <c r="B14" t="s">
        <v>33</v>
      </c>
      <c r="C14" s="26" t="s">
        <v>166</v>
      </c>
      <c r="D14" s="2">
        <v>341.22039999999998</v>
      </c>
      <c r="E14" s="27">
        <v>229.71</v>
      </c>
      <c r="F14" s="3">
        <f>E14*D14</f>
        <v>78381.738083999997</v>
      </c>
      <c r="G14" s="3">
        <v>71012.62</v>
      </c>
      <c r="H14" s="4">
        <f>G14/D14</f>
        <v>208.11364150560752</v>
      </c>
      <c r="I14" s="3">
        <f>F14-G14</f>
        <v>7369.1180840000015</v>
      </c>
      <c r="J14" s="27">
        <f>E14-H14</f>
        <v>21.59635849439249</v>
      </c>
      <c r="K14" s="28">
        <v>45580</v>
      </c>
      <c r="L14">
        <f>DAYS360(K14,$C$1)</f>
        <v>16</v>
      </c>
      <c r="M14" s="5">
        <f>(I14/G14)</f>
        <v>0.10377195045049742</v>
      </c>
      <c r="N14">
        <v>12</v>
      </c>
      <c r="O14">
        <v>99</v>
      </c>
      <c r="P14" s="34">
        <v>4</v>
      </c>
      <c r="Q14" s="29">
        <v>183.7</v>
      </c>
      <c r="R14" s="30">
        <f>Q14*0.93</f>
        <v>170.84100000000001</v>
      </c>
      <c r="S14" s="30">
        <v>178</v>
      </c>
      <c r="T14" s="29">
        <f>Q14*1.25</f>
        <v>229.625</v>
      </c>
      <c r="U14" s="29">
        <f>Q14*1.5</f>
        <v>275.54999999999995</v>
      </c>
      <c r="V14" s="29">
        <f>Q14*2</f>
        <v>367.4</v>
      </c>
      <c r="W14" s="29">
        <f>H14-(H14*0.07)</f>
        <v>193.54568660021499</v>
      </c>
      <c r="X14" s="30">
        <v>195</v>
      </c>
      <c r="Y14" s="5">
        <f>(X14-H14)/H14</f>
        <v>-6.3011926612480992E-2</v>
      </c>
      <c r="Z14" s="33">
        <f t="shared" si="12"/>
        <v>0.10779573267864334</v>
      </c>
      <c r="AB14" s="31">
        <v>45713</v>
      </c>
      <c r="AC14" s="9">
        <v>75</v>
      </c>
    </row>
    <row r="15" spans="1:31" x14ac:dyDescent="0.25">
      <c r="A15" t="s">
        <v>167</v>
      </c>
      <c r="B15" t="s">
        <v>33</v>
      </c>
      <c r="C15" s="26" t="s">
        <v>168</v>
      </c>
      <c r="D15" s="2">
        <v>1552.0854999999999</v>
      </c>
      <c r="E15" s="27">
        <v>20.36</v>
      </c>
      <c r="F15" s="3">
        <f>E15*D15</f>
        <v>31600.460779999998</v>
      </c>
      <c r="G15" s="3">
        <v>36697.24</v>
      </c>
      <c r="H15" s="4">
        <f>G15/D15</f>
        <v>23.643826322712247</v>
      </c>
      <c r="I15" s="3">
        <f>F15-G15</f>
        <v>-5096.7792200000004</v>
      </c>
      <c r="J15" s="27">
        <f>E15-H15</f>
        <v>-3.2838263227122475</v>
      </c>
      <c r="K15" s="28">
        <v>45587</v>
      </c>
      <c r="L15">
        <f>DAYS360(K15,$C$1)</f>
        <v>9</v>
      </c>
      <c r="M15" s="5">
        <f>(I15/G15)</f>
        <v>-0.13888726291132522</v>
      </c>
      <c r="N15">
        <v>127</v>
      </c>
      <c r="O15">
        <v>97</v>
      </c>
      <c r="P15" s="34">
        <v>81</v>
      </c>
      <c r="Q15" s="29">
        <v>23.07</v>
      </c>
      <c r="R15" s="30">
        <f>Q15*0.93</f>
        <v>21.455100000000002</v>
      </c>
      <c r="S15" s="30">
        <v>21.1</v>
      </c>
      <c r="T15" s="32">
        <f>Q15*1.25</f>
        <v>28.837499999999999</v>
      </c>
      <c r="U15" s="29">
        <f>Q15*1.5</f>
        <v>34.605000000000004</v>
      </c>
      <c r="V15" s="29">
        <f>Q15*2</f>
        <v>46.14</v>
      </c>
      <c r="W15" s="29">
        <f>H15-(H15*0.07)</f>
        <v>21.988758480122389</v>
      </c>
      <c r="X15" s="30">
        <v>21</v>
      </c>
      <c r="Y15" s="5">
        <f>(X15-H15)/H15</f>
        <v>-0.11181888610696607</v>
      </c>
      <c r="Z15" s="33">
        <f t="shared" si="12"/>
        <v>4.3459036582121642E-2</v>
      </c>
      <c r="AA15" s="9"/>
      <c r="AB15" s="56">
        <v>45600</v>
      </c>
      <c r="AC15" s="9">
        <v>82</v>
      </c>
    </row>
    <row r="16" spans="1:31" x14ac:dyDescent="0.25">
      <c r="A16" s="35" t="s">
        <v>138</v>
      </c>
      <c r="B16" s="35" t="s">
        <v>33</v>
      </c>
      <c r="C16" s="35" t="s">
        <v>169</v>
      </c>
      <c r="D16" s="36">
        <v>939.24239999999998</v>
      </c>
      <c r="E16" s="37">
        <v>39.369999999999997</v>
      </c>
      <c r="F16" s="57">
        <f t="shared" si="0"/>
        <v>36977.973287999994</v>
      </c>
      <c r="G16" s="38">
        <v>36992.18</v>
      </c>
      <c r="H16" s="39">
        <f t="shared" si="1"/>
        <v>39.385125714086165</v>
      </c>
      <c r="I16" s="38">
        <f t="shared" si="2"/>
        <v>-14.206712000006519</v>
      </c>
      <c r="J16" s="37">
        <f t="shared" si="3"/>
        <v>-1.5125714086167363E-2</v>
      </c>
      <c r="K16" s="40">
        <v>45593</v>
      </c>
      <c r="L16" s="35">
        <f>DAYS360(K16,$C$1)</f>
        <v>3</v>
      </c>
      <c r="M16" s="41">
        <f t="shared" si="5"/>
        <v>-3.8404635790609037E-4</v>
      </c>
      <c r="N16" s="35"/>
      <c r="O16" s="35">
        <v>89</v>
      </c>
      <c r="P16" s="59" t="s">
        <v>170</v>
      </c>
      <c r="Q16" s="42">
        <v>39.369999999999997</v>
      </c>
      <c r="R16" s="43">
        <f t="shared" si="6"/>
        <v>36.614100000000001</v>
      </c>
      <c r="S16" s="43">
        <v>37.090000000000003</v>
      </c>
      <c r="T16" s="42">
        <f t="shared" si="7"/>
        <v>49.212499999999999</v>
      </c>
      <c r="U16" s="42">
        <f t="shared" si="8"/>
        <v>59.054999999999993</v>
      </c>
      <c r="V16" s="42">
        <f t="shared" si="9"/>
        <v>78.739999999999995</v>
      </c>
      <c r="W16" s="42">
        <f t="shared" si="10"/>
        <v>36.628166914100134</v>
      </c>
      <c r="X16" s="43">
        <v>36.75</v>
      </c>
      <c r="Y16" s="41">
        <f t="shared" si="11"/>
        <v>-6.6906621886031123E-2</v>
      </c>
      <c r="Z16" s="44">
        <f t="shared" si="12"/>
        <v>5.0854546237281438E-2</v>
      </c>
      <c r="AB16" s="31"/>
      <c r="AC16" s="9"/>
    </row>
    <row r="17" spans="1:26" x14ac:dyDescent="0.25">
      <c r="A17" t="s">
        <v>53</v>
      </c>
      <c r="F17" s="3">
        <f>SUM(F6:F16)</f>
        <v>638277.10566200002</v>
      </c>
      <c r="G17" s="3">
        <f>SUM(G6:G16)</f>
        <v>559744.43000000005</v>
      </c>
      <c r="H17" s="4"/>
      <c r="I17" s="3">
        <f>SUM(I6:I16)</f>
        <v>78532.675662000023</v>
      </c>
      <c r="M17" s="5"/>
      <c r="Z17" s="6"/>
    </row>
    <row r="18" spans="1:26" x14ac:dyDescent="0.25">
      <c r="D18" s="2" t="s">
        <v>54</v>
      </c>
      <c r="F18" s="3">
        <v>88855</v>
      </c>
      <c r="G18" s="6">
        <f>F18/F19</f>
        <v>0.12219925280166813</v>
      </c>
      <c r="H18" s="4"/>
      <c r="M18" s="5"/>
      <c r="Z18" s="6"/>
    </row>
    <row r="19" spans="1:26" x14ac:dyDescent="0.25">
      <c r="D19" s="2" t="s">
        <v>55</v>
      </c>
      <c r="F19" s="3">
        <f>SUM(F17:F18)</f>
        <v>727132.10566200002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'10-25-24'!F19</f>
        <v>730685.09779000003</v>
      </c>
      <c r="K20" s="1">
        <v>45291</v>
      </c>
      <c r="L20" s="47">
        <v>139707.06</v>
      </c>
      <c r="M20" s="47">
        <v>165689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-4.8625490498523175E-3</v>
      </c>
      <c r="K21" s="9" t="s">
        <v>58</v>
      </c>
      <c r="L21" s="6">
        <f>(M20-L20)/L20</f>
        <v>0.18597442391243507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6" si="13">F25/D25</f>
        <v>47.428061535569462</v>
      </c>
      <c r="F25" s="3">
        <v>38349.050000000003</v>
      </c>
      <c r="G25" s="3">
        <v>35186.18</v>
      </c>
      <c r="H25" s="3">
        <f t="shared" ref="H25:H56" si="14">G25/D25</f>
        <v>43.516392459307944</v>
      </c>
      <c r="I25" s="3">
        <f t="shared" ref="I25:I56" si="15">G25-F25</f>
        <v>-3162.8700000000026</v>
      </c>
      <c r="J25" s="5">
        <f t="shared" ref="J25:J56" si="16">I25/F25</f>
        <v>-8.2475837080710018E-2</v>
      </c>
      <c r="K25" s="1">
        <v>45286</v>
      </c>
      <c r="L25" s="1">
        <v>45302</v>
      </c>
      <c r="M25">
        <f t="shared" ref="M25:M56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14688.370000000017</v>
      </c>
      <c r="J61" s="13" t="s">
        <v>68</v>
      </c>
    </row>
    <row r="62" spans="1:15" x14ac:dyDescent="0.25">
      <c r="H62" s="3" t="s">
        <v>69</v>
      </c>
      <c r="I62" s="55">
        <v>20</v>
      </c>
      <c r="J62" s="5">
        <v>-8.6900000000000005E-2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4F9F-4087-440D-8384-189A78119B05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8.42578125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45604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105</v>
      </c>
      <c r="B7" t="s">
        <v>33</v>
      </c>
      <c r="C7" s="26" t="s">
        <v>106</v>
      </c>
      <c r="D7" s="2">
        <f>2972.4372+3509.2812</f>
        <v>6481.7183999999997</v>
      </c>
      <c r="E7" s="27">
        <v>10.33</v>
      </c>
      <c r="F7" s="3">
        <f t="shared" ref="F7:F16" si="0">E7*D7</f>
        <v>66956.151071999993</v>
      </c>
      <c r="G7" s="3">
        <f>23794.37+31996.67</f>
        <v>55791.039999999994</v>
      </c>
      <c r="H7" s="4">
        <f t="shared" ref="H7:H16" si="1">G7/D7</f>
        <v>8.6074458279458721</v>
      </c>
      <c r="I7" s="3">
        <f t="shared" ref="I7:I16" si="2">F7-G7</f>
        <v>11165.111072</v>
      </c>
      <c r="J7" s="27">
        <f t="shared" ref="J7:J16" si="3">E7-H7</f>
        <v>1.722554172054128</v>
      </c>
      <c r="K7" s="28">
        <v>45378</v>
      </c>
      <c r="L7">
        <f t="shared" ref="L7:L12" si="4">DAYS360(K7,$C$1)</f>
        <v>221</v>
      </c>
      <c r="M7" s="5">
        <f t="shared" ref="M7:M16" si="5">(I7/G7)</f>
        <v>0.2001237308356324</v>
      </c>
      <c r="N7">
        <v>25</v>
      </c>
      <c r="O7">
        <v>92</v>
      </c>
      <c r="P7" s="34">
        <v>99</v>
      </c>
      <c r="Q7" s="29">
        <v>6.76</v>
      </c>
      <c r="R7" s="30">
        <f t="shared" ref="R7:R16" si="6">Q7*0.93</f>
        <v>6.2868000000000004</v>
      </c>
      <c r="S7" s="30">
        <v>8.41</v>
      </c>
      <c r="T7" s="32">
        <f t="shared" ref="T7:T16" si="7">Q7*1.25</f>
        <v>8.4499999999999993</v>
      </c>
      <c r="U7" s="29">
        <f t="shared" ref="U7:U16" si="8">Q7*1.5</f>
        <v>10.14</v>
      </c>
      <c r="V7" s="29">
        <f t="shared" ref="V7:V16" si="9">Q7*2</f>
        <v>13.52</v>
      </c>
      <c r="W7" s="29">
        <f t="shared" ref="W7:W16" si="10">H7-(H7*0.07)</f>
        <v>8.0049246199896604</v>
      </c>
      <c r="X7" s="30">
        <v>9.75</v>
      </c>
      <c r="Y7" s="5">
        <f t="shared" ref="Y7:Y16" si="11">(X7-H7)/H7</f>
        <v>0.13274021061446439</v>
      </c>
      <c r="Z7" s="6">
        <f t="shared" ref="Z7:Z16" si="12">F7/F$19</f>
        <v>8.5599623045542486E-2</v>
      </c>
      <c r="AB7" s="56" t="s">
        <v>170</v>
      </c>
      <c r="AC7" s="9">
        <v>99</v>
      </c>
    </row>
    <row r="8" spans="1:31" x14ac:dyDescent="0.25">
      <c r="A8" t="s">
        <v>109</v>
      </c>
      <c r="B8" t="s">
        <v>33</v>
      </c>
      <c r="C8" s="26" t="s">
        <v>107</v>
      </c>
      <c r="D8" s="2">
        <v>828.40229999999997</v>
      </c>
      <c r="E8" s="27">
        <v>83.84</v>
      </c>
      <c r="F8" s="3">
        <f t="shared" si="0"/>
        <v>69453.248831999997</v>
      </c>
      <c r="G8" s="3">
        <v>47623.59</v>
      </c>
      <c r="H8" s="4">
        <f t="shared" si="1"/>
        <v>57.488481140141687</v>
      </c>
      <c r="I8" s="3">
        <f t="shared" si="2"/>
        <v>21829.658832000001</v>
      </c>
      <c r="J8" s="27">
        <f t="shared" si="3"/>
        <v>26.351518859858317</v>
      </c>
      <c r="K8" s="28">
        <v>45378</v>
      </c>
      <c r="L8">
        <f t="shared" si="4"/>
        <v>221</v>
      </c>
      <c r="M8" s="5">
        <f t="shared" si="5"/>
        <v>0.45837911068863146</v>
      </c>
      <c r="N8">
        <v>25</v>
      </c>
      <c r="O8">
        <v>91</v>
      </c>
      <c r="P8" s="34">
        <v>98</v>
      </c>
      <c r="Q8" s="29">
        <v>70.47</v>
      </c>
      <c r="R8" s="30">
        <f t="shared" si="6"/>
        <v>65.537100000000009</v>
      </c>
      <c r="S8" s="30">
        <v>76.45</v>
      </c>
      <c r="T8" s="29">
        <f t="shared" si="7"/>
        <v>88.087500000000006</v>
      </c>
      <c r="U8" s="29">
        <f t="shared" si="8"/>
        <v>105.705</v>
      </c>
      <c r="V8" s="29">
        <f t="shared" si="9"/>
        <v>140.94</v>
      </c>
      <c r="W8" s="29">
        <f t="shared" si="10"/>
        <v>53.464287460331768</v>
      </c>
      <c r="X8" s="30">
        <v>79</v>
      </c>
      <c r="Y8" s="5">
        <f t="shared" si="11"/>
        <v>0.37418833187502254</v>
      </c>
      <c r="Z8" s="6">
        <f t="shared" si="12"/>
        <v>8.8792020212070416E-2</v>
      </c>
      <c r="AB8" s="31">
        <v>45701</v>
      </c>
      <c r="AC8" s="9">
        <v>99</v>
      </c>
    </row>
    <row r="9" spans="1:31" x14ac:dyDescent="0.25">
      <c r="A9" t="s">
        <v>131</v>
      </c>
      <c r="B9" t="s">
        <v>33</v>
      </c>
      <c r="C9" s="26" t="s">
        <v>132</v>
      </c>
      <c r="D9" s="2">
        <f>1542.0192+932.4994</f>
        <v>2474.5185999999999</v>
      </c>
      <c r="E9" s="27">
        <v>37.43</v>
      </c>
      <c r="F9" s="3">
        <f t="shared" si="0"/>
        <v>92621.231197999994</v>
      </c>
      <c r="G9" s="3">
        <f>44039.07+27471.43</f>
        <v>71510.5</v>
      </c>
      <c r="H9" s="4">
        <f t="shared" si="1"/>
        <v>28.898752266400425</v>
      </c>
      <c r="I9" s="3">
        <f t="shared" si="2"/>
        <v>21110.731197999994</v>
      </c>
      <c r="J9" s="27">
        <f t="shared" si="3"/>
        <v>8.5312477335995744</v>
      </c>
      <c r="K9" s="28">
        <v>45426</v>
      </c>
      <c r="L9">
        <f t="shared" si="4"/>
        <v>174</v>
      </c>
      <c r="M9" s="5">
        <f t="shared" si="5"/>
        <v>0.29521162903349851</v>
      </c>
      <c r="N9">
        <v>48</v>
      </c>
      <c r="O9">
        <v>94</v>
      </c>
      <c r="P9" s="34">
        <v>80</v>
      </c>
      <c r="Q9" s="29">
        <v>31.4</v>
      </c>
      <c r="R9" s="30">
        <f t="shared" si="6"/>
        <v>29.202000000000002</v>
      </c>
      <c r="S9" s="30">
        <v>31.76</v>
      </c>
      <c r="T9" s="32">
        <f t="shared" si="7"/>
        <v>39.25</v>
      </c>
      <c r="U9" s="29">
        <f t="shared" si="8"/>
        <v>47.099999999999994</v>
      </c>
      <c r="V9" s="29">
        <f t="shared" si="9"/>
        <v>62.8</v>
      </c>
      <c r="W9" s="29">
        <f t="shared" si="10"/>
        <v>26.875839607752397</v>
      </c>
      <c r="X9" s="30">
        <v>31.75</v>
      </c>
      <c r="Y9" s="5">
        <f t="shared" si="11"/>
        <v>9.8663350836590322E-2</v>
      </c>
      <c r="Z9" s="6">
        <f t="shared" si="12"/>
        <v>0.11841096523062161</v>
      </c>
      <c r="AB9" s="31">
        <v>45730</v>
      </c>
      <c r="AC9" s="9">
        <v>98</v>
      </c>
    </row>
    <row r="10" spans="1:31" x14ac:dyDescent="0.25">
      <c r="A10" t="s">
        <v>157</v>
      </c>
      <c r="B10" t="s">
        <v>33</v>
      </c>
      <c r="C10" s="26" t="s">
        <v>159</v>
      </c>
      <c r="D10" s="2">
        <v>1263.7796000000001</v>
      </c>
      <c r="E10" s="27">
        <v>51.49</v>
      </c>
      <c r="F10" s="3">
        <f t="shared" si="0"/>
        <v>65072.011604000007</v>
      </c>
      <c r="G10" s="3">
        <v>56489.42</v>
      </c>
      <c r="H10" s="4">
        <f t="shared" si="1"/>
        <v>44.698790833464948</v>
      </c>
      <c r="I10" s="3">
        <f t="shared" si="2"/>
        <v>8582.5916040000084</v>
      </c>
      <c r="J10" s="27">
        <f t="shared" si="3"/>
        <v>6.7912091665350545</v>
      </c>
      <c r="K10" s="28">
        <v>45527</v>
      </c>
      <c r="L10">
        <f t="shared" si="4"/>
        <v>75</v>
      </c>
      <c r="M10" s="5">
        <f t="shared" si="5"/>
        <v>0.15193272658844803</v>
      </c>
      <c r="N10">
        <v>176</v>
      </c>
      <c r="O10">
        <v>94</v>
      </c>
      <c r="P10" s="34">
        <v>81</v>
      </c>
      <c r="Q10" s="29">
        <v>43.2</v>
      </c>
      <c r="R10" s="30">
        <f t="shared" si="6"/>
        <v>40.176000000000002</v>
      </c>
      <c r="S10" s="30">
        <v>42</v>
      </c>
      <c r="T10" s="29">
        <f t="shared" si="7"/>
        <v>54</v>
      </c>
      <c r="U10" s="29">
        <f t="shared" si="8"/>
        <v>64.800000000000011</v>
      </c>
      <c r="V10" s="29">
        <f t="shared" si="9"/>
        <v>86.4</v>
      </c>
      <c r="W10" s="29">
        <f t="shared" si="10"/>
        <v>41.569875475122402</v>
      </c>
      <c r="X10" s="30">
        <v>46</v>
      </c>
      <c r="Y10" s="5">
        <f t="shared" si="11"/>
        <v>2.9110612217296657E-2</v>
      </c>
      <c r="Z10" s="6">
        <f t="shared" si="12"/>
        <v>8.3190858120381295E-2</v>
      </c>
      <c r="AB10" s="56">
        <v>45608</v>
      </c>
      <c r="AC10" s="9">
        <v>93</v>
      </c>
    </row>
    <row r="11" spans="1:31" x14ac:dyDescent="0.25">
      <c r="A11" t="s">
        <v>158</v>
      </c>
      <c r="B11" t="s">
        <v>33</v>
      </c>
      <c r="C11" s="26" t="s">
        <v>160</v>
      </c>
      <c r="D11" s="2">
        <v>3020.3485999999998</v>
      </c>
      <c r="E11" s="27">
        <v>25.03</v>
      </c>
      <c r="F11" s="3">
        <f t="shared" si="0"/>
        <v>75599.325457999992</v>
      </c>
      <c r="G11" s="3">
        <v>56486.59</v>
      </c>
      <c r="H11" s="4">
        <f t="shared" si="1"/>
        <v>18.702010092477405</v>
      </c>
      <c r="I11" s="3">
        <f t="shared" si="2"/>
        <v>19112.735457999996</v>
      </c>
      <c r="J11" s="27">
        <f t="shared" si="3"/>
        <v>6.3279899075225963</v>
      </c>
      <c r="K11" s="28">
        <v>45527</v>
      </c>
      <c r="L11">
        <f t="shared" si="4"/>
        <v>75</v>
      </c>
      <c r="M11" s="5">
        <f t="shared" si="5"/>
        <v>0.33835881149844588</v>
      </c>
      <c r="N11">
        <v>104</v>
      </c>
      <c r="O11">
        <v>97</v>
      </c>
      <c r="P11" s="34">
        <v>86</v>
      </c>
      <c r="Q11" s="29">
        <v>17.86</v>
      </c>
      <c r="R11" s="30">
        <f t="shared" si="6"/>
        <v>16.6098</v>
      </c>
      <c r="S11" s="30">
        <v>17.420000000000002</v>
      </c>
      <c r="T11" s="32">
        <f t="shared" si="7"/>
        <v>22.324999999999999</v>
      </c>
      <c r="U11" s="29">
        <f t="shared" si="8"/>
        <v>26.79</v>
      </c>
      <c r="V11" s="29">
        <f t="shared" si="9"/>
        <v>35.72</v>
      </c>
      <c r="W11" s="29">
        <f t="shared" si="10"/>
        <v>17.392869386003987</v>
      </c>
      <c r="X11" s="30">
        <v>17.5</v>
      </c>
      <c r="Y11" s="5">
        <f t="shared" si="11"/>
        <v>-6.4271705904003065E-2</v>
      </c>
      <c r="Z11" s="6">
        <f t="shared" si="12"/>
        <v>9.6649428888815975E-2</v>
      </c>
      <c r="AB11" s="31">
        <v>45720</v>
      </c>
      <c r="AC11" s="9">
        <v>93</v>
      </c>
    </row>
    <row r="12" spans="1:31" x14ac:dyDescent="0.25">
      <c r="A12" t="s">
        <v>133</v>
      </c>
      <c r="B12" t="s">
        <v>33</v>
      </c>
      <c r="C12" s="26" t="s">
        <v>134</v>
      </c>
      <c r="D12" s="2">
        <v>552.66859999999997</v>
      </c>
      <c r="E12" s="27">
        <v>147.65</v>
      </c>
      <c r="F12" s="3">
        <f t="shared" si="0"/>
        <v>81601.518790000002</v>
      </c>
      <c r="G12" s="3">
        <v>70647.62</v>
      </c>
      <c r="H12" s="4">
        <f t="shared" si="1"/>
        <v>127.82998708448426</v>
      </c>
      <c r="I12" s="3">
        <f t="shared" si="2"/>
        <v>10953.898790000007</v>
      </c>
      <c r="J12" s="27">
        <f t="shared" si="3"/>
        <v>19.820012915515747</v>
      </c>
      <c r="K12" s="28">
        <v>45531</v>
      </c>
      <c r="L12">
        <f t="shared" si="4"/>
        <v>71</v>
      </c>
      <c r="M12" s="5">
        <f t="shared" si="5"/>
        <v>0.15504979205244293</v>
      </c>
      <c r="N12">
        <v>84</v>
      </c>
      <c r="O12">
        <v>97</v>
      </c>
      <c r="P12" s="34">
        <v>99</v>
      </c>
      <c r="Q12" s="29">
        <v>131.26</v>
      </c>
      <c r="R12" s="30">
        <f t="shared" si="6"/>
        <v>122.0718</v>
      </c>
      <c r="S12" s="30">
        <v>100.95</v>
      </c>
      <c r="T12" s="29">
        <f t="shared" si="7"/>
        <v>164.07499999999999</v>
      </c>
      <c r="U12" s="29">
        <f t="shared" si="8"/>
        <v>196.89</v>
      </c>
      <c r="V12" s="29">
        <f t="shared" si="9"/>
        <v>262.52</v>
      </c>
      <c r="W12" s="29">
        <f t="shared" si="10"/>
        <v>118.88188798857036</v>
      </c>
      <c r="X12" s="30">
        <v>125</v>
      </c>
      <c r="Y12" s="5">
        <f t="shared" si="11"/>
        <v>-2.2138679264779155E-2</v>
      </c>
      <c r="Z12" s="6">
        <f t="shared" si="12"/>
        <v>0.10432289097466946</v>
      </c>
      <c r="AB12" s="31">
        <v>45616</v>
      </c>
      <c r="AC12" s="9">
        <v>97</v>
      </c>
    </row>
    <row r="13" spans="1:31" x14ac:dyDescent="0.25">
      <c r="A13" t="s">
        <v>163</v>
      </c>
      <c r="B13" t="s">
        <v>33</v>
      </c>
      <c r="C13" s="26" t="s">
        <v>164</v>
      </c>
      <c r="D13" s="2">
        <v>427.7285</v>
      </c>
      <c r="E13" s="27">
        <v>169.74</v>
      </c>
      <c r="F13" s="3">
        <f>E13*D13</f>
        <v>72602.635590000005</v>
      </c>
      <c r="G13" s="3">
        <v>56493.63</v>
      </c>
      <c r="H13" s="4">
        <f>G13/D13</f>
        <v>132.0782458966377</v>
      </c>
      <c r="I13" s="3">
        <f>F13-G13</f>
        <v>16109.005590000008</v>
      </c>
      <c r="J13" s="27">
        <f>E13-H13</f>
        <v>37.661754103362313</v>
      </c>
      <c r="K13" s="28">
        <v>45554</v>
      </c>
      <c r="L13">
        <f>DAYS360(K13,$C$1)</f>
        <v>49</v>
      </c>
      <c r="M13" s="5">
        <f>(I13/G13)</f>
        <v>0.28514729165040392</v>
      </c>
      <c r="N13">
        <v>7</v>
      </c>
      <c r="O13">
        <v>95</v>
      </c>
      <c r="P13" s="58">
        <v>96</v>
      </c>
      <c r="Q13" s="29">
        <v>128.97999999999999</v>
      </c>
      <c r="R13" s="30">
        <f>Q13*0.93</f>
        <v>119.95139999999999</v>
      </c>
      <c r="S13" s="30">
        <v>120.04</v>
      </c>
      <c r="T13" s="32">
        <f>Q13*1.25</f>
        <v>161.22499999999999</v>
      </c>
      <c r="U13" s="29">
        <f>Q13*1.5</f>
        <v>193.46999999999997</v>
      </c>
      <c r="V13" s="29">
        <f>Q13*2</f>
        <v>257.95999999999998</v>
      </c>
      <c r="W13" s="29">
        <f>H13-(H13*0.07)</f>
        <v>122.83276868387306</v>
      </c>
      <c r="X13" s="30">
        <v>139</v>
      </c>
      <c r="Y13" s="5">
        <f>(X13-H13)/H13</f>
        <v>5.2406466003335303E-2</v>
      </c>
      <c r="Z13" s="6">
        <f t="shared" si="12"/>
        <v>9.2818331685971145E-2</v>
      </c>
      <c r="AB13" s="31">
        <v>45678</v>
      </c>
      <c r="AC13" s="9">
        <v>98</v>
      </c>
    </row>
    <row r="14" spans="1:31" x14ac:dyDescent="0.25">
      <c r="A14" t="s">
        <v>165</v>
      </c>
      <c r="B14" t="s">
        <v>33</v>
      </c>
      <c r="C14" s="26" t="s">
        <v>166</v>
      </c>
      <c r="D14" s="2">
        <v>341.22039999999998</v>
      </c>
      <c r="E14" s="27">
        <v>270.42</v>
      </c>
      <c r="F14" s="3">
        <f>E14*D14</f>
        <v>92272.820567999996</v>
      </c>
      <c r="G14" s="3">
        <v>71012.62</v>
      </c>
      <c r="H14" s="4">
        <f>G14/D14</f>
        <v>208.11364150560752</v>
      </c>
      <c r="I14" s="3">
        <f>F14-G14</f>
        <v>21260.200568</v>
      </c>
      <c r="J14" s="27">
        <f>E14-H14</f>
        <v>62.306358494392498</v>
      </c>
      <c r="K14" s="28">
        <v>45580</v>
      </c>
      <c r="L14">
        <f>DAYS360(K14,$C$1)</f>
        <v>23</v>
      </c>
      <c r="M14" s="5">
        <f>(I14/G14)</f>
        <v>0.29938622977155332</v>
      </c>
      <c r="N14">
        <v>4</v>
      </c>
      <c r="O14">
        <v>99</v>
      </c>
      <c r="P14" s="34">
        <v>4</v>
      </c>
      <c r="Q14" s="29">
        <v>183.7</v>
      </c>
      <c r="R14" s="30">
        <f>Q14*0.93</f>
        <v>170.84100000000001</v>
      </c>
      <c r="S14" s="30">
        <v>178</v>
      </c>
      <c r="T14" s="29">
        <f>Q14*1.25</f>
        <v>229.625</v>
      </c>
      <c r="U14" s="29">
        <f>Q14*1.5</f>
        <v>275.54999999999995</v>
      </c>
      <c r="V14" s="29">
        <f>Q14*2</f>
        <v>367.4</v>
      </c>
      <c r="W14" s="29">
        <f>H14-(H14*0.07)</f>
        <v>193.54568660021499</v>
      </c>
      <c r="X14" s="30">
        <v>195</v>
      </c>
      <c r="Y14" s="5">
        <f>(X14-H14)/H14</f>
        <v>-6.3011926612480992E-2</v>
      </c>
      <c r="Z14" s="33">
        <f t="shared" si="12"/>
        <v>0.11796554209748797</v>
      </c>
      <c r="AB14" s="31">
        <v>45692</v>
      </c>
      <c r="AC14" s="9">
        <v>72</v>
      </c>
    </row>
    <row r="15" spans="1:31" x14ac:dyDescent="0.25">
      <c r="A15" t="s">
        <v>167</v>
      </c>
      <c r="B15" t="s">
        <v>33</v>
      </c>
      <c r="C15" s="26" t="s">
        <v>168</v>
      </c>
      <c r="D15" s="2">
        <f>1552.0855+958.8847</f>
        <v>2510.9701999999997</v>
      </c>
      <c r="E15" s="27">
        <v>23.41</v>
      </c>
      <c r="F15" s="3">
        <f>E15*D15</f>
        <v>58781.812381999996</v>
      </c>
      <c r="G15" s="3">
        <f>36697.24+23148.15</f>
        <v>59845.39</v>
      </c>
      <c r="H15" s="4">
        <f>G15/D15</f>
        <v>23.833572377720774</v>
      </c>
      <c r="I15" s="3">
        <f>F15-G15</f>
        <v>-1063.577618000003</v>
      </c>
      <c r="J15" s="27">
        <f>E15-H15</f>
        <v>-0.42357237772077383</v>
      </c>
      <c r="K15" s="28">
        <v>45587</v>
      </c>
      <c r="L15">
        <f>DAYS360(K15,$C$1)</f>
        <v>16</v>
      </c>
      <c r="M15" s="5">
        <f>(I15/G15)</f>
        <v>-1.7772089345562004E-2</v>
      </c>
      <c r="N15">
        <v>130</v>
      </c>
      <c r="O15">
        <v>98</v>
      </c>
      <c r="P15" s="34">
        <v>81</v>
      </c>
      <c r="Q15" s="29">
        <v>23.07</v>
      </c>
      <c r="R15" s="30">
        <f>Q15*0.93</f>
        <v>21.455100000000002</v>
      </c>
      <c r="S15" s="30">
        <v>21.1</v>
      </c>
      <c r="T15" s="32">
        <f>Q15*1.25</f>
        <v>28.837499999999999</v>
      </c>
      <c r="U15" s="29">
        <f>Q15*1.5</f>
        <v>34.605000000000004</v>
      </c>
      <c r="V15" s="29">
        <f>Q15*2</f>
        <v>46.14</v>
      </c>
      <c r="W15" s="29">
        <f>H15-(H15*0.07)</f>
        <v>22.165222311280321</v>
      </c>
      <c r="X15" s="30">
        <v>21</v>
      </c>
      <c r="Y15" s="5">
        <f>(X15-H15)/H15</f>
        <v>-0.11888995626897922</v>
      </c>
      <c r="Z15" s="33">
        <f t="shared" si="12"/>
        <v>7.5149196918775391E-2</v>
      </c>
      <c r="AA15" s="9"/>
      <c r="AB15" s="31">
        <v>45719</v>
      </c>
      <c r="AC15" s="9">
        <v>92</v>
      </c>
    </row>
    <row r="16" spans="1:31" x14ac:dyDescent="0.25">
      <c r="A16" s="35" t="s">
        <v>138</v>
      </c>
      <c r="B16" s="35" t="s">
        <v>33</v>
      </c>
      <c r="C16" s="35" t="s">
        <v>169</v>
      </c>
      <c r="D16" s="36">
        <v>939.24239999999998</v>
      </c>
      <c r="E16" s="37">
        <v>43.67</v>
      </c>
      <c r="F16" s="57">
        <f t="shared" si="0"/>
        <v>41016.715607999999</v>
      </c>
      <c r="G16" s="38">
        <v>36992.18</v>
      </c>
      <c r="H16" s="39">
        <f t="shared" si="1"/>
        <v>39.385125714086165</v>
      </c>
      <c r="I16" s="38">
        <f t="shared" si="2"/>
        <v>4024.5356079999983</v>
      </c>
      <c r="J16" s="37">
        <f t="shared" si="3"/>
        <v>4.2848742859138369</v>
      </c>
      <c r="K16" s="40">
        <v>45593</v>
      </c>
      <c r="L16" s="35">
        <f>DAYS360(K16,$C$1)</f>
        <v>10</v>
      </c>
      <c r="M16" s="41">
        <f t="shared" si="5"/>
        <v>0.10879422645542919</v>
      </c>
      <c r="N16" s="35"/>
      <c r="O16" s="35">
        <v>90</v>
      </c>
      <c r="P16" s="59" t="s">
        <v>170</v>
      </c>
      <c r="Q16" s="42">
        <v>39.369999999999997</v>
      </c>
      <c r="R16" s="43">
        <f t="shared" si="6"/>
        <v>36.614100000000001</v>
      </c>
      <c r="S16" s="43">
        <v>37.090000000000003</v>
      </c>
      <c r="T16" s="42">
        <f t="shared" si="7"/>
        <v>49.212499999999999</v>
      </c>
      <c r="U16" s="42">
        <f t="shared" si="8"/>
        <v>59.054999999999993</v>
      </c>
      <c r="V16" s="42">
        <f t="shared" si="9"/>
        <v>78.739999999999995</v>
      </c>
      <c r="W16" s="42">
        <f t="shared" si="10"/>
        <v>36.628166914100134</v>
      </c>
      <c r="X16" s="43">
        <v>36.75</v>
      </c>
      <c r="Y16" s="41">
        <f t="shared" si="11"/>
        <v>-6.6906621886031123E-2</v>
      </c>
      <c r="Z16" s="44">
        <f t="shared" si="12"/>
        <v>5.243753319744316E-2</v>
      </c>
      <c r="AB16" s="31"/>
      <c r="AC16" s="9"/>
    </row>
    <row r="17" spans="1:26" x14ac:dyDescent="0.25">
      <c r="A17" t="s">
        <v>53</v>
      </c>
      <c r="F17" s="3">
        <f>SUM(F6:F16)</f>
        <v>715977.47110199998</v>
      </c>
      <c r="G17" s="3">
        <f>SUM(G6:G16)</f>
        <v>582892.58000000007</v>
      </c>
      <c r="H17" s="4"/>
      <c r="I17" s="3">
        <f>SUM(I6:I16)</f>
        <v>133084.89110200002</v>
      </c>
      <c r="M17" s="5"/>
      <c r="Z17" s="6"/>
    </row>
    <row r="18" spans="1:26" x14ac:dyDescent="0.25">
      <c r="D18" s="2" t="s">
        <v>54</v>
      </c>
      <c r="F18" s="3">
        <v>66224</v>
      </c>
      <c r="G18" s="6">
        <f>F18/F19</f>
        <v>8.4663609628221101E-2</v>
      </c>
      <c r="H18" s="4"/>
      <c r="M18" s="5"/>
      <c r="Z18" s="6"/>
    </row>
    <row r="19" spans="1:26" x14ac:dyDescent="0.25">
      <c r="D19" s="2" t="s">
        <v>55</v>
      </c>
      <c r="F19" s="3">
        <f>SUM(F17:F18)</f>
        <v>782201.47110199998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'11-01-24'!F19</f>
        <v>727132.10566200002</v>
      </c>
      <c r="K20" s="1">
        <v>45291</v>
      </c>
      <c r="L20" s="47">
        <v>139707.06</v>
      </c>
      <c r="M20" s="47">
        <v>178009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7.5735021203421321E-2</v>
      </c>
      <c r="K21" s="9" t="s">
        <v>58</v>
      </c>
      <c r="L21" s="6">
        <f>(M20-L20)/L20</f>
        <v>0.27415894372124072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6" si="13">F25/D25</f>
        <v>47.428061535569462</v>
      </c>
      <c r="F25" s="3">
        <v>38349.050000000003</v>
      </c>
      <c r="G25" s="3">
        <v>35186.18</v>
      </c>
      <c r="H25" s="3">
        <f t="shared" ref="H25:H56" si="14">G25/D25</f>
        <v>43.516392459307944</v>
      </c>
      <c r="I25" s="3">
        <f t="shared" ref="I25:I56" si="15">G25-F25</f>
        <v>-3162.8700000000026</v>
      </c>
      <c r="J25" s="5">
        <f t="shared" ref="J25:J56" si="16">I25/F25</f>
        <v>-8.2475837080710018E-2</v>
      </c>
      <c r="K25" s="1">
        <v>45286</v>
      </c>
      <c r="L25" s="1">
        <v>45302</v>
      </c>
      <c r="M25">
        <f t="shared" ref="M25:M56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C57" s="26"/>
      <c r="E57" s="3"/>
      <c r="J57" s="5"/>
      <c r="K57" s="1"/>
      <c r="L57" s="1"/>
      <c r="M57" s="54"/>
    </row>
    <row r="58" spans="1:15" x14ac:dyDescent="0.25">
      <c r="C58" s="26"/>
      <c r="E58" s="3"/>
      <c r="J58" s="5"/>
      <c r="K58" s="1"/>
      <c r="L58" s="1"/>
      <c r="M58" s="54"/>
    </row>
    <row r="59" spans="1:15" x14ac:dyDescent="0.25">
      <c r="C59" s="26"/>
      <c r="E59" s="3"/>
      <c r="J59" s="5"/>
      <c r="K59" s="1"/>
      <c r="L59" s="1"/>
      <c r="M59" s="54"/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14688.370000000017</v>
      </c>
      <c r="J61" s="13" t="s">
        <v>68</v>
      </c>
    </row>
    <row r="62" spans="1:15" x14ac:dyDescent="0.25">
      <c r="H62" s="3" t="s">
        <v>69</v>
      </c>
      <c r="I62" s="55">
        <v>20</v>
      </c>
      <c r="J62" s="5">
        <v>-8.6900000000000005E-2</v>
      </c>
    </row>
    <row r="63" spans="1:15" x14ac:dyDescent="0.25">
      <c r="H63" s="3" t="s">
        <v>70</v>
      </c>
      <c r="I63" s="55">
        <v>12</v>
      </c>
      <c r="J63" s="5">
        <v>0.28100000000000003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5DE3-AA7C-4482-BE7F-FAC12C0C13ED}">
  <dimension ref="A1:AE21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0" max="10" width="9.140625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45611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131</v>
      </c>
      <c r="B7" t="s">
        <v>33</v>
      </c>
      <c r="C7" s="26" t="s">
        <v>132</v>
      </c>
      <c r="D7" s="2">
        <f>1542.0192+932.4994</f>
        <v>2474.5185999999999</v>
      </c>
      <c r="E7" s="27">
        <v>37.92</v>
      </c>
      <c r="F7" s="3">
        <f t="shared" ref="F7:F16" si="0">E7*D7</f>
        <v>93833.745311999999</v>
      </c>
      <c r="G7" s="3">
        <f>44039.07+27471.43</f>
        <v>71510.5</v>
      </c>
      <c r="H7" s="4">
        <f t="shared" ref="H7:H16" si="1">G7/D7</f>
        <v>28.898752266400425</v>
      </c>
      <c r="I7" s="3">
        <f t="shared" ref="I7:I16" si="2">F7-G7</f>
        <v>22323.245311999999</v>
      </c>
      <c r="J7" s="27">
        <f t="shared" ref="J7:J16" si="3">E7-H7</f>
        <v>9.0212477335995764</v>
      </c>
      <c r="K7" s="28">
        <v>45426</v>
      </c>
      <c r="L7">
        <f t="shared" ref="L7:L16" si="4">DAYS360(K7,$C$1)</f>
        <v>181</v>
      </c>
      <c r="M7" s="5">
        <f t="shared" ref="M7:M16" si="5">(I7/G7)</f>
        <v>0.31216737838499242</v>
      </c>
      <c r="N7">
        <v>51</v>
      </c>
      <c r="O7">
        <v>95</v>
      </c>
      <c r="P7" s="34">
        <v>80</v>
      </c>
      <c r="Q7" s="29">
        <v>31.4</v>
      </c>
      <c r="R7" s="30">
        <f t="shared" ref="R7:R16" si="6">Q7*0.93</f>
        <v>29.202000000000002</v>
      </c>
      <c r="S7" s="30">
        <v>31.76</v>
      </c>
      <c r="T7" s="32">
        <f t="shared" ref="T7:T16" si="7">Q7*1.25</f>
        <v>39.25</v>
      </c>
      <c r="U7" s="29">
        <f t="shared" ref="U7:U16" si="8">Q7*1.5</f>
        <v>47.099999999999994</v>
      </c>
      <c r="V7" s="29">
        <f t="shared" ref="V7:V16" si="9">Q7*2</f>
        <v>62.8</v>
      </c>
      <c r="W7" s="29">
        <f t="shared" ref="W7:W16" si="10">H7-(H7*0.07)</f>
        <v>26.875839607752397</v>
      </c>
      <c r="X7" s="30">
        <v>35</v>
      </c>
      <c r="Y7" s="5">
        <f t="shared" ref="Y7:Y16" si="11">(X7-H7)/H7</f>
        <v>0.21112495367813106</v>
      </c>
      <c r="Z7" s="6">
        <f t="shared" ref="Z7:Z16" si="12">F7/F$19</f>
        <v>0.11829390094997963</v>
      </c>
      <c r="AB7" s="31">
        <v>45730</v>
      </c>
      <c r="AC7" s="9">
        <v>97</v>
      </c>
    </row>
    <row r="8" spans="1:31" x14ac:dyDescent="0.25">
      <c r="A8" t="s">
        <v>157</v>
      </c>
      <c r="B8" t="s">
        <v>33</v>
      </c>
      <c r="C8" s="26" t="s">
        <v>159</v>
      </c>
      <c r="D8" s="2">
        <v>1263.7796000000001</v>
      </c>
      <c r="E8" s="27">
        <v>51.92</v>
      </c>
      <c r="F8" s="3">
        <f t="shared" si="0"/>
        <v>65615.436832000007</v>
      </c>
      <c r="G8" s="3">
        <v>56489.42</v>
      </c>
      <c r="H8" s="4">
        <f t="shared" si="1"/>
        <v>44.698790833464948</v>
      </c>
      <c r="I8" s="3">
        <f t="shared" si="2"/>
        <v>9126.0168320000084</v>
      </c>
      <c r="J8" s="27">
        <f t="shared" si="3"/>
        <v>7.2212091665350542</v>
      </c>
      <c r="K8" s="28">
        <v>45527</v>
      </c>
      <c r="L8">
        <f t="shared" si="4"/>
        <v>82</v>
      </c>
      <c r="M8" s="5">
        <f t="shared" si="5"/>
        <v>0.1615526736156967</v>
      </c>
      <c r="N8">
        <v>176</v>
      </c>
      <c r="O8">
        <v>94</v>
      </c>
      <c r="P8" s="34">
        <v>89</v>
      </c>
      <c r="Q8" s="29">
        <v>43.2</v>
      </c>
      <c r="R8" s="30">
        <f t="shared" si="6"/>
        <v>40.176000000000002</v>
      </c>
      <c r="S8" s="30">
        <v>42</v>
      </c>
      <c r="T8" s="29">
        <f t="shared" si="7"/>
        <v>54</v>
      </c>
      <c r="U8" s="29">
        <f t="shared" si="8"/>
        <v>64.800000000000011</v>
      </c>
      <c r="V8" s="29">
        <f t="shared" si="9"/>
        <v>86.4</v>
      </c>
      <c r="W8" s="29">
        <f t="shared" si="10"/>
        <v>41.569875475122402</v>
      </c>
      <c r="X8" s="30">
        <v>46</v>
      </c>
      <c r="Y8" s="5">
        <f t="shared" si="11"/>
        <v>2.9110612217296657E-2</v>
      </c>
      <c r="Z8" s="6">
        <f t="shared" si="12"/>
        <v>8.2719771651293308E-2</v>
      </c>
      <c r="AB8" s="31">
        <v>45729</v>
      </c>
      <c r="AC8" s="9">
        <v>95</v>
      </c>
    </row>
    <row r="9" spans="1:31" x14ac:dyDescent="0.25">
      <c r="A9" t="s">
        <v>158</v>
      </c>
      <c r="B9" t="s">
        <v>33</v>
      </c>
      <c r="C9" s="26" t="s">
        <v>160</v>
      </c>
      <c r="D9" s="2">
        <v>3020.3485999999998</v>
      </c>
      <c r="E9" s="27">
        <v>24.99</v>
      </c>
      <c r="F9" s="3">
        <f t="shared" si="0"/>
        <v>75478.511513999983</v>
      </c>
      <c r="G9" s="3">
        <v>56486.59</v>
      </c>
      <c r="H9" s="4">
        <f t="shared" si="1"/>
        <v>18.702010092477405</v>
      </c>
      <c r="I9" s="3">
        <f t="shared" si="2"/>
        <v>18991.921513999987</v>
      </c>
      <c r="J9" s="27">
        <f t="shared" si="3"/>
        <v>6.2879899075225936</v>
      </c>
      <c r="K9" s="28">
        <v>45527</v>
      </c>
      <c r="L9">
        <f t="shared" si="4"/>
        <v>82</v>
      </c>
      <c r="M9" s="5">
        <f t="shared" si="5"/>
        <v>0.33622000396908341</v>
      </c>
      <c r="N9">
        <v>89</v>
      </c>
      <c r="O9">
        <v>97</v>
      </c>
      <c r="P9" s="34">
        <v>86</v>
      </c>
      <c r="Q9" s="29">
        <v>17.86</v>
      </c>
      <c r="R9" s="30">
        <f t="shared" si="6"/>
        <v>16.6098</v>
      </c>
      <c r="S9" s="30">
        <v>17.420000000000002</v>
      </c>
      <c r="T9" s="32">
        <f t="shared" si="7"/>
        <v>22.324999999999999</v>
      </c>
      <c r="U9" s="29">
        <f t="shared" si="8"/>
        <v>26.79</v>
      </c>
      <c r="V9" s="29">
        <f t="shared" si="9"/>
        <v>35.72</v>
      </c>
      <c r="W9" s="29">
        <f t="shared" si="10"/>
        <v>17.392869386003987</v>
      </c>
      <c r="X9" s="30">
        <v>22</v>
      </c>
      <c r="Y9" s="5">
        <f t="shared" si="11"/>
        <v>0.17634414114925329</v>
      </c>
      <c r="Z9" s="6">
        <f t="shared" si="12"/>
        <v>9.5153907959242084E-2</v>
      </c>
      <c r="AB9" s="31">
        <v>45720</v>
      </c>
      <c r="AC9" s="9">
        <v>94</v>
      </c>
    </row>
    <row r="10" spans="1:31" x14ac:dyDescent="0.25">
      <c r="A10" t="s">
        <v>133</v>
      </c>
      <c r="B10" t="s">
        <v>33</v>
      </c>
      <c r="C10" s="26" t="s">
        <v>134</v>
      </c>
      <c r="D10" s="2">
        <v>552.66859999999997</v>
      </c>
      <c r="E10" s="27">
        <v>141.30000000000001</v>
      </c>
      <c r="F10" s="3">
        <f t="shared" si="0"/>
        <v>78092.073180000007</v>
      </c>
      <c r="G10" s="3">
        <v>70647.62</v>
      </c>
      <c r="H10" s="4">
        <f t="shared" si="1"/>
        <v>127.82998708448426</v>
      </c>
      <c r="I10" s="3">
        <f t="shared" si="2"/>
        <v>7444.4531800000113</v>
      </c>
      <c r="J10" s="27">
        <f t="shared" si="3"/>
        <v>13.470012915515753</v>
      </c>
      <c r="K10" s="28">
        <v>45531</v>
      </c>
      <c r="L10">
        <f t="shared" si="4"/>
        <v>78</v>
      </c>
      <c r="M10" s="5">
        <f t="shared" si="5"/>
        <v>0.10537443695909376</v>
      </c>
      <c r="N10">
        <v>105</v>
      </c>
      <c r="O10">
        <v>97</v>
      </c>
      <c r="P10" s="34">
        <v>99</v>
      </c>
      <c r="Q10" s="29">
        <v>131.26</v>
      </c>
      <c r="R10" s="30">
        <f t="shared" si="6"/>
        <v>122.0718</v>
      </c>
      <c r="S10" s="30">
        <v>100.95</v>
      </c>
      <c r="T10" s="29">
        <f t="shared" si="7"/>
        <v>164.07499999999999</v>
      </c>
      <c r="U10" s="29">
        <f t="shared" si="8"/>
        <v>196.89</v>
      </c>
      <c r="V10" s="29">
        <f t="shared" si="9"/>
        <v>262.52</v>
      </c>
      <c r="W10" s="29">
        <f t="shared" si="10"/>
        <v>118.88188798857036</v>
      </c>
      <c r="X10" s="30">
        <v>130</v>
      </c>
      <c r="Y10" s="5">
        <f t="shared" si="11"/>
        <v>1.6975773564629679E-2</v>
      </c>
      <c r="Z10" s="6">
        <f t="shared" si="12"/>
        <v>9.8448761040257626E-2</v>
      </c>
      <c r="AB10" s="31">
        <v>45616</v>
      </c>
      <c r="AC10" s="9">
        <v>98</v>
      </c>
    </row>
    <row r="11" spans="1:31" x14ac:dyDescent="0.25">
      <c r="A11" t="s">
        <v>163</v>
      </c>
      <c r="B11" t="s">
        <v>33</v>
      </c>
      <c r="C11" s="26" t="s">
        <v>164</v>
      </c>
      <c r="D11" s="2">
        <v>427.7285</v>
      </c>
      <c r="E11" s="27">
        <v>180.21</v>
      </c>
      <c r="F11" s="3">
        <f t="shared" si="0"/>
        <v>77080.952984999996</v>
      </c>
      <c r="G11" s="3">
        <v>56493.63</v>
      </c>
      <c r="H11" s="4">
        <f t="shared" si="1"/>
        <v>132.0782458966377</v>
      </c>
      <c r="I11" s="3">
        <f t="shared" si="2"/>
        <v>20587.322984999999</v>
      </c>
      <c r="J11" s="27">
        <f t="shared" si="3"/>
        <v>48.131754103362312</v>
      </c>
      <c r="K11" s="28">
        <v>45554</v>
      </c>
      <c r="L11">
        <f t="shared" si="4"/>
        <v>56</v>
      </c>
      <c r="M11" s="5">
        <f t="shared" si="5"/>
        <v>0.36441848372993557</v>
      </c>
      <c r="N11">
        <v>10</v>
      </c>
      <c r="O11">
        <v>96</v>
      </c>
      <c r="P11" s="58">
        <v>96</v>
      </c>
      <c r="Q11" s="29">
        <v>128.97999999999999</v>
      </c>
      <c r="R11" s="30">
        <f t="shared" si="6"/>
        <v>119.95139999999999</v>
      </c>
      <c r="S11" s="30">
        <v>120.04</v>
      </c>
      <c r="T11" s="32">
        <f t="shared" si="7"/>
        <v>161.22499999999999</v>
      </c>
      <c r="U11" s="29">
        <f t="shared" si="8"/>
        <v>193.46999999999997</v>
      </c>
      <c r="V11" s="29">
        <f t="shared" si="9"/>
        <v>257.95999999999998</v>
      </c>
      <c r="W11" s="29">
        <f t="shared" si="10"/>
        <v>122.83276868387306</v>
      </c>
      <c r="X11" s="30">
        <v>160</v>
      </c>
      <c r="Y11" s="5">
        <f t="shared" si="11"/>
        <v>0.21140312633477445</v>
      </c>
      <c r="Z11" s="6">
        <f t="shared" si="12"/>
        <v>9.7174066613448254E-2</v>
      </c>
      <c r="AB11" s="31">
        <v>45678</v>
      </c>
      <c r="AC11" s="9">
        <v>98</v>
      </c>
    </row>
    <row r="12" spans="1:31" x14ac:dyDescent="0.25">
      <c r="A12" t="s">
        <v>165</v>
      </c>
      <c r="B12" t="s">
        <v>33</v>
      </c>
      <c r="C12" s="26" t="s">
        <v>166</v>
      </c>
      <c r="D12" s="2">
        <v>341.22039999999998</v>
      </c>
      <c r="E12" s="27">
        <v>340.65</v>
      </c>
      <c r="F12" s="3">
        <f t="shared" si="0"/>
        <v>116236.72925999999</v>
      </c>
      <c r="G12" s="3">
        <v>71012.62</v>
      </c>
      <c r="H12" s="4">
        <f t="shared" si="1"/>
        <v>208.11364150560752</v>
      </c>
      <c r="I12" s="3">
        <f t="shared" si="2"/>
        <v>45224.109259999997</v>
      </c>
      <c r="J12" s="27">
        <f t="shared" si="3"/>
        <v>132.53635849439246</v>
      </c>
      <c r="K12" s="28">
        <v>45580</v>
      </c>
      <c r="L12">
        <f t="shared" si="4"/>
        <v>30</v>
      </c>
      <c r="M12" s="5">
        <f t="shared" si="5"/>
        <v>0.63684608820235056</v>
      </c>
      <c r="N12">
        <v>6</v>
      </c>
      <c r="O12">
        <v>99</v>
      </c>
      <c r="P12" s="34">
        <v>4</v>
      </c>
      <c r="Q12" s="29">
        <v>183.7</v>
      </c>
      <c r="R12" s="30">
        <f t="shared" si="6"/>
        <v>170.84100000000001</v>
      </c>
      <c r="S12" s="30">
        <v>178</v>
      </c>
      <c r="T12" s="29">
        <f t="shared" si="7"/>
        <v>229.625</v>
      </c>
      <c r="U12" s="29">
        <f t="shared" si="8"/>
        <v>275.54999999999995</v>
      </c>
      <c r="V12" s="29">
        <f t="shared" si="9"/>
        <v>367.4</v>
      </c>
      <c r="W12" s="29">
        <f t="shared" si="10"/>
        <v>193.54568660021499</v>
      </c>
      <c r="X12" s="30">
        <v>270</v>
      </c>
      <c r="Y12" s="5">
        <f t="shared" si="11"/>
        <v>0.29736810161348787</v>
      </c>
      <c r="Z12" s="33">
        <f t="shared" si="12"/>
        <v>0.14653679326251509</v>
      </c>
      <c r="AB12" s="31">
        <v>45692</v>
      </c>
      <c r="AC12" s="9">
        <v>72</v>
      </c>
    </row>
    <row r="13" spans="1:31" x14ac:dyDescent="0.25">
      <c r="A13" t="s">
        <v>138</v>
      </c>
      <c r="B13" t="s">
        <v>33</v>
      </c>
      <c r="C13" t="s">
        <v>169</v>
      </c>
      <c r="D13" s="2">
        <v>939.24239999999998</v>
      </c>
      <c r="E13" s="27">
        <v>52.13</v>
      </c>
      <c r="F13" s="3">
        <f t="shared" si="0"/>
        <v>48962.706312000002</v>
      </c>
      <c r="G13" s="3">
        <v>36992.18</v>
      </c>
      <c r="H13" s="4">
        <f t="shared" si="1"/>
        <v>39.385125714086165</v>
      </c>
      <c r="I13" s="3">
        <f t="shared" si="2"/>
        <v>11970.526312000002</v>
      </c>
      <c r="J13" s="27">
        <f t="shared" si="3"/>
        <v>12.744874285913838</v>
      </c>
      <c r="K13" s="28">
        <v>45593</v>
      </c>
      <c r="L13">
        <f t="shared" si="4"/>
        <v>17</v>
      </c>
      <c r="M13" s="5">
        <f t="shared" si="5"/>
        <v>0.32359613064166537</v>
      </c>
      <c r="O13">
        <v>95</v>
      </c>
      <c r="P13" s="61" t="s">
        <v>170</v>
      </c>
      <c r="Q13" s="29">
        <v>39.369999999999997</v>
      </c>
      <c r="R13" s="30">
        <f t="shared" si="6"/>
        <v>36.614100000000001</v>
      </c>
      <c r="S13" s="30">
        <v>37.090000000000003</v>
      </c>
      <c r="T13" s="29">
        <f t="shared" si="7"/>
        <v>49.212499999999999</v>
      </c>
      <c r="U13" s="29">
        <f t="shared" si="8"/>
        <v>59.054999999999993</v>
      </c>
      <c r="V13" s="29">
        <f t="shared" si="9"/>
        <v>78.739999999999995</v>
      </c>
      <c r="W13" s="29">
        <f t="shared" si="10"/>
        <v>36.628166914100134</v>
      </c>
      <c r="X13" s="30">
        <v>43</v>
      </c>
      <c r="Y13" s="5">
        <f t="shared" si="11"/>
        <v>9.1782728133351338E-2</v>
      </c>
      <c r="Z13" s="33">
        <f t="shared" si="12"/>
        <v>6.1726082780306092E-2</v>
      </c>
      <c r="AB13" s="31"/>
      <c r="AC13" s="9"/>
    </row>
    <row r="14" spans="1:31" x14ac:dyDescent="0.25">
      <c r="A14" t="s">
        <v>171</v>
      </c>
      <c r="B14" t="s">
        <v>33</v>
      </c>
      <c r="C14" s="26" t="s">
        <v>172</v>
      </c>
      <c r="D14" s="2">
        <v>935.03689999999995</v>
      </c>
      <c r="E14" s="27">
        <v>70.52</v>
      </c>
      <c r="F14" s="3">
        <f t="shared" si="0"/>
        <v>65938.802187999987</v>
      </c>
      <c r="G14" s="3">
        <v>67635.899999999994</v>
      </c>
      <c r="H14" s="4">
        <f t="shared" si="1"/>
        <v>72.335006244138597</v>
      </c>
      <c r="I14" s="3">
        <f t="shared" si="2"/>
        <v>-1697.0978120000073</v>
      </c>
      <c r="J14" s="27">
        <f t="shared" si="3"/>
        <v>-1.8150062441386012</v>
      </c>
      <c r="K14" s="28">
        <v>45609</v>
      </c>
      <c r="L14">
        <f t="shared" si="4"/>
        <v>2</v>
      </c>
      <c r="M14" s="5">
        <f t="shared" si="5"/>
        <v>-2.5091671907966146E-2</v>
      </c>
      <c r="N14">
        <v>94</v>
      </c>
      <c r="O14">
        <v>85</v>
      </c>
      <c r="P14" s="34">
        <v>95</v>
      </c>
      <c r="Q14" s="29">
        <v>71.2</v>
      </c>
      <c r="R14" s="30">
        <f t="shared" si="6"/>
        <v>66.216000000000008</v>
      </c>
      <c r="S14" s="30">
        <v>66.84</v>
      </c>
      <c r="T14" s="32">
        <f t="shared" si="7"/>
        <v>89</v>
      </c>
      <c r="U14" s="29">
        <f t="shared" si="8"/>
        <v>106.80000000000001</v>
      </c>
      <c r="V14" s="29">
        <f t="shared" si="9"/>
        <v>142.4</v>
      </c>
      <c r="W14" s="29">
        <f t="shared" si="10"/>
        <v>67.271555807048898</v>
      </c>
      <c r="X14" s="30">
        <v>67.25</v>
      </c>
      <c r="Y14" s="5">
        <f t="shared" si="11"/>
        <v>-7.0297999656986854E-2</v>
      </c>
      <c r="Z14" s="33">
        <f t="shared" si="12"/>
        <v>8.3127430423370743E-2</v>
      </c>
      <c r="AB14" s="31">
        <v>45679</v>
      </c>
      <c r="AC14" s="9">
        <v>98</v>
      </c>
    </row>
    <row r="15" spans="1:31" x14ac:dyDescent="0.25">
      <c r="A15" t="s">
        <v>174</v>
      </c>
      <c r="B15" t="s">
        <v>33</v>
      </c>
      <c r="C15" s="26" t="s">
        <v>173</v>
      </c>
      <c r="D15" s="2">
        <v>1376.2525000000001</v>
      </c>
      <c r="E15" s="27">
        <v>24.23</v>
      </c>
      <c r="F15" s="3">
        <f t="shared" si="0"/>
        <v>33346.598075000002</v>
      </c>
      <c r="G15" s="3">
        <v>42193.66</v>
      </c>
      <c r="H15" s="4">
        <f t="shared" si="1"/>
        <v>30.658371192786209</v>
      </c>
      <c r="I15" s="3">
        <f t="shared" si="2"/>
        <v>-8847.0619250000018</v>
      </c>
      <c r="J15" s="27">
        <f t="shared" si="3"/>
        <v>-6.4283711927862086</v>
      </c>
      <c r="K15" s="28">
        <v>45609</v>
      </c>
      <c r="L15">
        <f t="shared" si="4"/>
        <v>2</v>
      </c>
      <c r="M15" s="5">
        <f t="shared" si="5"/>
        <v>-0.20967751849448474</v>
      </c>
      <c r="N15">
        <v>32</v>
      </c>
      <c r="O15">
        <v>99</v>
      </c>
      <c r="P15" s="34">
        <v>11</v>
      </c>
      <c r="Q15" s="29">
        <v>30.55</v>
      </c>
      <c r="R15" s="30">
        <f t="shared" si="6"/>
        <v>28.411500000000004</v>
      </c>
      <c r="S15" s="30">
        <v>20.2</v>
      </c>
      <c r="T15" s="29">
        <f t="shared" si="7"/>
        <v>38.1875</v>
      </c>
      <c r="U15" s="29">
        <f t="shared" si="8"/>
        <v>45.825000000000003</v>
      </c>
      <c r="V15" s="29">
        <f t="shared" si="9"/>
        <v>61.1</v>
      </c>
      <c r="W15" s="29">
        <f t="shared" si="10"/>
        <v>28.512285209291175</v>
      </c>
      <c r="X15" s="30">
        <v>28.5</v>
      </c>
      <c r="Y15" s="5">
        <f t="shared" si="11"/>
        <v>-7.0400713045514471E-2</v>
      </c>
      <c r="Z15" s="33">
        <f t="shared" si="12"/>
        <v>4.2039238192897337E-2</v>
      </c>
      <c r="AB15" s="31">
        <v>45744</v>
      </c>
      <c r="AC15" s="9">
        <v>49</v>
      </c>
    </row>
    <row r="16" spans="1:31" x14ac:dyDescent="0.25">
      <c r="A16" s="35"/>
      <c r="B16" s="35"/>
      <c r="C16" s="60"/>
      <c r="D16" s="36"/>
      <c r="E16" s="37"/>
      <c r="F16" s="57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si="4"/>
        <v>44955</v>
      </c>
      <c r="M16" s="41" t="e">
        <f t="shared" si="5"/>
        <v>#DIV/0!</v>
      </c>
      <c r="N16" s="35"/>
      <c r="O16" s="35"/>
      <c r="P16" s="62"/>
      <c r="Q16" s="42"/>
      <c r="R16" s="43">
        <f t="shared" si="6"/>
        <v>0</v>
      </c>
      <c r="S16" s="43"/>
      <c r="T16" s="63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654585.55565799994</v>
      </c>
      <c r="G17" s="3">
        <f>SUM(G6:G16)</f>
        <v>529462.12</v>
      </c>
      <c r="H17" s="4"/>
      <c r="I17" s="3">
        <f>SUM(I6:I16)</f>
        <v>125123.43565799999</v>
      </c>
      <c r="M17" s="5"/>
      <c r="Z17" s="6"/>
    </row>
    <row r="18" spans="1:26" x14ac:dyDescent="0.25">
      <c r="D18" s="2" t="s">
        <v>54</v>
      </c>
      <c r="F18" s="3">
        <v>138640</v>
      </c>
      <c r="G18" s="6">
        <f>F18/F19</f>
        <v>0.17478004712668987</v>
      </c>
      <c r="H18" s="4"/>
      <c r="M18" s="5"/>
      <c r="Z18" s="6"/>
    </row>
    <row r="19" spans="1:26" x14ac:dyDescent="0.25">
      <c r="D19" s="2" t="s">
        <v>55</v>
      </c>
      <c r="F19" s="3">
        <f>SUM(F17:F18)</f>
        <v>793225.55565799994</v>
      </c>
      <c r="H19" s="46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'11-08-24'!F19</f>
        <v>782201.47110199998</v>
      </c>
      <c r="K20" s="1">
        <v>45291</v>
      </c>
      <c r="L20" s="47">
        <v>139707.06</v>
      </c>
      <c r="M20" s="47">
        <v>180147</v>
      </c>
      <c r="Z20" s="6"/>
    </row>
    <row r="21" spans="1:26" x14ac:dyDescent="0.25">
      <c r="F21" s="48"/>
      <c r="G21" s="49"/>
      <c r="H21" s="4" t="s">
        <v>57</v>
      </c>
      <c r="I21" s="6">
        <f>(F19-I20)/I20</f>
        <v>1.4093663797983838E-2</v>
      </c>
      <c r="K21" s="9" t="s">
        <v>58</v>
      </c>
      <c r="L21" s="6">
        <f>(M20-L20)/L20</f>
        <v>0.28946239366858056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59" si="13">F25/D25</f>
        <v>47.428061535569462</v>
      </c>
      <c r="F25" s="3">
        <v>38349.050000000003</v>
      </c>
      <c r="G25" s="3">
        <v>35186.18</v>
      </c>
      <c r="H25" s="3">
        <f t="shared" ref="H25:H56" si="14">G25/D25</f>
        <v>43.516392459307944</v>
      </c>
      <c r="I25" s="3">
        <f t="shared" ref="I25:I56" si="15">G25-F25</f>
        <v>-3162.8700000000026</v>
      </c>
      <c r="J25" s="5">
        <f t="shared" ref="J25:J56" si="16">I25/F25</f>
        <v>-8.2475837080710018E-2</v>
      </c>
      <c r="K25" s="1">
        <v>45286</v>
      </c>
      <c r="L25" s="1">
        <v>45302</v>
      </c>
      <c r="M25">
        <f t="shared" ref="M25:M59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13"/>
        <v>8.6074458279458721</v>
      </c>
      <c r="F57" s="3">
        <f>23794.37+31996.67</f>
        <v>55791.039999999994</v>
      </c>
      <c r="G57" s="3">
        <v>64158.11</v>
      </c>
      <c r="H57" s="3">
        <f t="shared" ref="H57" si="18">G57/D57</f>
        <v>9.8983180139390203</v>
      </c>
      <c r="I57" s="3">
        <f t="shared" ref="I57" si="19">G57-F57</f>
        <v>8367.070000000007</v>
      </c>
      <c r="J57" s="5">
        <f t="shared" ref="J57" si="20">I57/F57</f>
        <v>0.14997157249622892</v>
      </c>
      <c r="K57" s="1">
        <v>45378</v>
      </c>
      <c r="L57" s="1">
        <v>45607</v>
      </c>
      <c r="M57" s="54">
        <f t="shared" si="17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13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17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13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17"/>
        <v>22</v>
      </c>
    </row>
    <row r="60" spans="1:15" x14ac:dyDescent="0.25">
      <c r="C60" s="26"/>
      <c r="E60" s="3"/>
      <c r="J60" s="5"/>
      <c r="K60" s="1"/>
      <c r="L60" s="1"/>
      <c r="M60" s="54"/>
    </row>
    <row r="61" spans="1:15" x14ac:dyDescent="0.25">
      <c r="I61" s="3">
        <f>SUM(I25:I60)</f>
        <v>33749.280000000028</v>
      </c>
      <c r="J61" s="13" t="s">
        <v>68</v>
      </c>
    </row>
    <row r="62" spans="1:15" x14ac:dyDescent="0.25">
      <c r="H62" s="3" t="s">
        <v>69</v>
      </c>
      <c r="I62" s="55">
        <v>21</v>
      </c>
      <c r="J62" s="5">
        <v>-8.7300000000000003E-2</v>
      </c>
    </row>
    <row r="63" spans="1:15" x14ac:dyDescent="0.25">
      <c r="H63" s="3" t="s">
        <v>70</v>
      </c>
      <c r="I63" s="55">
        <v>14</v>
      </c>
      <c r="J63" s="5">
        <v>0.27600000000000002</v>
      </c>
    </row>
    <row r="64" spans="1:15" x14ac:dyDescent="0.25">
      <c r="J64" s="5"/>
    </row>
    <row r="65" spans="10:10" x14ac:dyDescent="0.25">
      <c r="J65" s="5"/>
    </row>
    <row r="66" spans="10:10" x14ac:dyDescent="0.25">
      <c r="J66" s="5"/>
    </row>
    <row r="67" spans="10:10" x14ac:dyDescent="0.25">
      <c r="J67" s="5"/>
    </row>
    <row r="68" spans="10:10" x14ac:dyDescent="0.25">
      <c r="J68" s="5"/>
    </row>
    <row r="69" spans="10:10" x14ac:dyDescent="0.25">
      <c r="J69" s="5"/>
    </row>
    <row r="70" spans="10:10" x14ac:dyDescent="0.25">
      <c r="J70" s="5"/>
    </row>
    <row r="71" spans="10:10" x14ac:dyDescent="0.25">
      <c r="J71" s="5"/>
    </row>
    <row r="72" spans="10:10" x14ac:dyDescent="0.25">
      <c r="J72" s="5"/>
    </row>
    <row r="73" spans="10:10" x14ac:dyDescent="0.25">
      <c r="J73" s="5"/>
    </row>
    <row r="74" spans="10:10" x14ac:dyDescent="0.25">
      <c r="J74" s="5"/>
    </row>
    <row r="75" spans="10:10" x14ac:dyDescent="0.25">
      <c r="J75" s="5"/>
    </row>
    <row r="76" spans="10:10" x14ac:dyDescent="0.25">
      <c r="J76" s="5"/>
    </row>
    <row r="77" spans="10:10" x14ac:dyDescent="0.25">
      <c r="J77" s="5"/>
    </row>
    <row r="78" spans="10:10" x14ac:dyDescent="0.25">
      <c r="J78" s="5"/>
    </row>
    <row r="79" spans="10:10" x14ac:dyDescent="0.25">
      <c r="J79" s="5"/>
    </row>
    <row r="80" spans="10:10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</sheetData>
  <sortState xmlns:xlrd2="http://schemas.microsoft.com/office/spreadsheetml/2017/richdata2" ref="A7:AC15">
    <sortCondition descending="1" ref="L7:L15"/>
  </sortState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8F85-A46A-4686-9C3B-9244F3E7FD18}">
  <dimension ref="A1:AE22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45618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131</v>
      </c>
      <c r="B7" t="s">
        <v>33</v>
      </c>
      <c r="C7" s="26" t="s">
        <v>132</v>
      </c>
      <c r="D7" s="2">
        <f>1542.0192+932.4994</f>
        <v>2474.5185999999999</v>
      </c>
      <c r="E7" s="27">
        <v>39</v>
      </c>
      <c r="F7" s="3">
        <f t="shared" ref="F7:F16" si="0">E7*D7</f>
        <v>96506.225399999996</v>
      </c>
      <c r="G7" s="3">
        <f>44039.07+27471.43</f>
        <v>71510.5</v>
      </c>
      <c r="H7" s="4">
        <f t="shared" ref="H7:H16" si="1">G7/D7</f>
        <v>28.898752266400425</v>
      </c>
      <c r="I7" s="3">
        <f t="shared" ref="I7:I16" si="2">F7-G7</f>
        <v>24995.725399999996</v>
      </c>
      <c r="J7" s="27">
        <f t="shared" ref="J7:J16" si="3">E7-H7</f>
        <v>10.101247733599575</v>
      </c>
      <c r="K7" s="28">
        <v>45426</v>
      </c>
      <c r="L7">
        <f t="shared" ref="L7:L16" si="4">DAYS360(K7,$C$1)</f>
        <v>188</v>
      </c>
      <c r="M7" s="5">
        <f t="shared" ref="M7:M16" si="5">(I7/G7)</f>
        <v>0.34953923409848897</v>
      </c>
      <c r="N7">
        <v>54</v>
      </c>
      <c r="O7">
        <v>54</v>
      </c>
      <c r="P7" s="34">
        <v>80</v>
      </c>
      <c r="Q7" s="29">
        <v>31.4</v>
      </c>
      <c r="R7" s="30">
        <f t="shared" ref="R7:R16" si="6">Q7*0.93</f>
        <v>29.202000000000002</v>
      </c>
      <c r="S7" s="30">
        <v>31.76</v>
      </c>
      <c r="T7" s="32">
        <f t="shared" ref="T7:T16" si="7">Q7*1.25</f>
        <v>39.25</v>
      </c>
      <c r="U7" s="29">
        <f t="shared" ref="U7:U16" si="8">Q7*1.5</f>
        <v>47.099999999999994</v>
      </c>
      <c r="V7" s="29">
        <f t="shared" ref="V7:V16" si="9">Q7*2</f>
        <v>62.8</v>
      </c>
      <c r="W7" s="29">
        <f t="shared" ref="W7:W16" si="10">H7-(H7*0.07)</f>
        <v>26.875839607752397</v>
      </c>
      <c r="X7" s="30">
        <v>35</v>
      </c>
      <c r="Y7" s="5">
        <f t="shared" ref="Y7:Y16" si="11">(X7-H7)/H7</f>
        <v>0.21112495367813106</v>
      </c>
      <c r="Z7" s="6">
        <f t="shared" ref="Z7:Z16" si="12">F7/F$19</f>
        <v>0.11659687237019874</v>
      </c>
      <c r="AB7" s="31">
        <v>45730</v>
      </c>
      <c r="AC7" s="9">
        <v>96</v>
      </c>
    </row>
    <row r="8" spans="1:31" x14ac:dyDescent="0.25">
      <c r="A8" t="s">
        <v>157</v>
      </c>
      <c r="B8" t="s">
        <v>33</v>
      </c>
      <c r="C8" s="26" t="s">
        <v>159</v>
      </c>
      <c r="D8" s="2">
        <v>1263.7796000000001</v>
      </c>
      <c r="E8" s="27">
        <v>58.13</v>
      </c>
      <c r="F8" s="3">
        <f t="shared" si="0"/>
        <v>73463.508148000008</v>
      </c>
      <c r="G8" s="3">
        <v>56489.42</v>
      </c>
      <c r="H8" s="4">
        <f t="shared" si="1"/>
        <v>44.698790833464948</v>
      </c>
      <c r="I8" s="3">
        <f t="shared" si="2"/>
        <v>16974.08814800001</v>
      </c>
      <c r="J8" s="27">
        <f t="shared" si="3"/>
        <v>13.431209166535055</v>
      </c>
      <c r="K8" s="28">
        <v>45527</v>
      </c>
      <c r="L8">
        <f t="shared" si="4"/>
        <v>89</v>
      </c>
      <c r="M8" s="5">
        <f t="shared" si="5"/>
        <v>0.30048260626503176</v>
      </c>
      <c r="N8">
        <v>181</v>
      </c>
      <c r="O8">
        <v>94</v>
      </c>
      <c r="P8" s="34">
        <v>89</v>
      </c>
      <c r="Q8" s="29">
        <v>43.2</v>
      </c>
      <c r="R8" s="30">
        <f t="shared" si="6"/>
        <v>40.176000000000002</v>
      </c>
      <c r="S8" s="30">
        <v>42</v>
      </c>
      <c r="T8" s="29">
        <f t="shared" si="7"/>
        <v>54</v>
      </c>
      <c r="U8" s="29">
        <f t="shared" si="8"/>
        <v>64.800000000000011</v>
      </c>
      <c r="V8" s="29">
        <f t="shared" si="9"/>
        <v>86.4</v>
      </c>
      <c r="W8" s="29">
        <f t="shared" si="10"/>
        <v>41.569875475122402</v>
      </c>
      <c r="X8" s="30">
        <v>46</v>
      </c>
      <c r="Y8" s="5">
        <f t="shared" si="11"/>
        <v>2.9110612217296657E-2</v>
      </c>
      <c r="Z8" s="6">
        <f t="shared" si="12"/>
        <v>8.8757126785309046E-2</v>
      </c>
      <c r="AB8" s="31">
        <v>45729</v>
      </c>
      <c r="AC8" s="9">
        <v>95</v>
      </c>
    </row>
    <row r="9" spans="1:31" x14ac:dyDescent="0.25">
      <c r="A9" t="s">
        <v>158</v>
      </c>
      <c r="B9" t="s">
        <v>33</v>
      </c>
      <c r="C9" s="26" t="s">
        <v>160</v>
      </c>
      <c r="D9" s="2">
        <v>3020.3485999999998</v>
      </c>
      <c r="E9" s="27">
        <v>25.46</v>
      </c>
      <c r="F9" s="3">
        <f t="shared" si="0"/>
        <v>76898.075356000001</v>
      </c>
      <c r="G9" s="3">
        <v>56486.59</v>
      </c>
      <c r="H9" s="4">
        <f t="shared" si="1"/>
        <v>18.702010092477405</v>
      </c>
      <c r="I9" s="3">
        <f t="shared" si="2"/>
        <v>20411.485356000005</v>
      </c>
      <c r="J9" s="27">
        <f t="shared" si="3"/>
        <v>6.757989907522596</v>
      </c>
      <c r="K9" s="28">
        <v>45527</v>
      </c>
      <c r="L9">
        <f t="shared" si="4"/>
        <v>89</v>
      </c>
      <c r="M9" s="5">
        <f t="shared" si="5"/>
        <v>0.36135099243909052</v>
      </c>
      <c r="N9">
        <v>100</v>
      </c>
      <c r="O9">
        <v>96</v>
      </c>
      <c r="P9" s="34">
        <v>86</v>
      </c>
      <c r="Q9" s="29">
        <v>17.86</v>
      </c>
      <c r="R9" s="30">
        <f t="shared" si="6"/>
        <v>16.6098</v>
      </c>
      <c r="S9" s="30">
        <v>17.420000000000002</v>
      </c>
      <c r="T9" s="32">
        <f t="shared" si="7"/>
        <v>22.324999999999999</v>
      </c>
      <c r="U9" s="29">
        <f t="shared" si="8"/>
        <v>26.79</v>
      </c>
      <c r="V9" s="29">
        <f t="shared" si="9"/>
        <v>35.72</v>
      </c>
      <c r="W9" s="29">
        <f t="shared" si="10"/>
        <v>17.392869386003987</v>
      </c>
      <c r="X9" s="30">
        <v>22</v>
      </c>
      <c r="Y9" s="5">
        <f t="shared" si="11"/>
        <v>0.17634414114925329</v>
      </c>
      <c r="Z9" s="6">
        <f t="shared" si="12"/>
        <v>9.2906701517283238E-2</v>
      </c>
      <c r="AB9" s="31">
        <v>45720</v>
      </c>
      <c r="AC9" s="9">
        <v>92</v>
      </c>
    </row>
    <row r="10" spans="1:31" x14ac:dyDescent="0.25">
      <c r="A10" t="s">
        <v>133</v>
      </c>
      <c r="B10" t="s">
        <v>33</v>
      </c>
      <c r="C10" s="26" t="s">
        <v>134</v>
      </c>
      <c r="D10" s="2">
        <v>552.66859999999997</v>
      </c>
      <c r="E10" s="27">
        <v>141.94999999999999</v>
      </c>
      <c r="F10" s="3">
        <f t="shared" si="0"/>
        <v>78451.307769999985</v>
      </c>
      <c r="G10" s="3">
        <v>70647.62</v>
      </c>
      <c r="H10" s="4">
        <f t="shared" si="1"/>
        <v>127.82998708448426</v>
      </c>
      <c r="I10" s="3">
        <f t="shared" si="2"/>
        <v>7803.6877699999895</v>
      </c>
      <c r="J10" s="27">
        <f t="shared" si="3"/>
        <v>14.12001291551573</v>
      </c>
      <c r="K10" s="28">
        <v>45531</v>
      </c>
      <c r="L10">
        <f t="shared" si="4"/>
        <v>85</v>
      </c>
      <c r="M10" s="5">
        <f t="shared" si="5"/>
        <v>0.11045931582691661</v>
      </c>
      <c r="N10">
        <v>119</v>
      </c>
      <c r="O10">
        <v>96</v>
      </c>
      <c r="P10" s="34">
        <v>99</v>
      </c>
      <c r="Q10" s="29">
        <v>131.26</v>
      </c>
      <c r="R10" s="30">
        <f t="shared" si="6"/>
        <v>122.0718</v>
      </c>
      <c r="S10" s="30">
        <v>100.95</v>
      </c>
      <c r="T10" s="29">
        <f t="shared" si="7"/>
        <v>164.07499999999999</v>
      </c>
      <c r="U10" s="29">
        <f t="shared" si="8"/>
        <v>196.89</v>
      </c>
      <c r="V10" s="29">
        <f t="shared" si="9"/>
        <v>262.52</v>
      </c>
      <c r="W10" s="29">
        <f t="shared" si="10"/>
        <v>118.88188798857036</v>
      </c>
      <c r="X10" s="30">
        <v>130</v>
      </c>
      <c r="Y10" s="5">
        <f t="shared" si="11"/>
        <v>1.6975773564629679E-2</v>
      </c>
      <c r="Z10" s="6">
        <f t="shared" si="12"/>
        <v>9.478328554889133E-2</v>
      </c>
      <c r="AB10" s="31">
        <v>45714</v>
      </c>
      <c r="AC10" s="9">
        <v>97</v>
      </c>
    </row>
    <row r="11" spans="1:31" x14ac:dyDescent="0.25">
      <c r="A11" t="s">
        <v>163</v>
      </c>
      <c r="B11" t="s">
        <v>33</v>
      </c>
      <c r="C11" s="26" t="s">
        <v>164</v>
      </c>
      <c r="D11" s="2">
        <v>427.7285</v>
      </c>
      <c r="E11" s="27">
        <v>191.62</v>
      </c>
      <c r="F11" s="3">
        <f t="shared" si="0"/>
        <v>81961.335170000006</v>
      </c>
      <c r="G11" s="3">
        <v>56493.63</v>
      </c>
      <c r="H11" s="4">
        <f t="shared" si="1"/>
        <v>132.0782458966377</v>
      </c>
      <c r="I11" s="3">
        <f t="shared" si="2"/>
        <v>25467.705170000008</v>
      </c>
      <c r="J11" s="27">
        <f t="shared" si="3"/>
        <v>59.541754103362308</v>
      </c>
      <c r="K11" s="28">
        <v>45554</v>
      </c>
      <c r="L11">
        <f t="shared" si="4"/>
        <v>63</v>
      </c>
      <c r="M11" s="5">
        <f t="shared" si="5"/>
        <v>0.45080666917668433</v>
      </c>
      <c r="N11">
        <v>15</v>
      </c>
      <c r="O11">
        <v>96</v>
      </c>
      <c r="P11" s="58">
        <v>96</v>
      </c>
      <c r="Q11" s="29">
        <v>128.97999999999999</v>
      </c>
      <c r="R11" s="30">
        <f t="shared" si="6"/>
        <v>119.95139999999999</v>
      </c>
      <c r="S11" s="30">
        <v>120.04</v>
      </c>
      <c r="T11" s="32">
        <f t="shared" si="7"/>
        <v>161.22499999999999</v>
      </c>
      <c r="U11" s="29">
        <f t="shared" si="8"/>
        <v>193.46999999999997</v>
      </c>
      <c r="V11" s="29">
        <f t="shared" si="9"/>
        <v>257.95999999999998</v>
      </c>
      <c r="W11" s="29">
        <f t="shared" si="10"/>
        <v>122.83276868387306</v>
      </c>
      <c r="X11" s="30">
        <v>160</v>
      </c>
      <c r="Y11" s="5">
        <f t="shared" si="11"/>
        <v>0.21140312633477445</v>
      </c>
      <c r="Z11" s="6">
        <f t="shared" si="12"/>
        <v>9.9024029760753363E-2</v>
      </c>
      <c r="AB11" s="31">
        <v>45678</v>
      </c>
      <c r="AC11" s="9">
        <v>98</v>
      </c>
    </row>
    <row r="12" spans="1:31" x14ac:dyDescent="0.25">
      <c r="A12" t="s">
        <v>165</v>
      </c>
      <c r="B12" t="s">
        <v>33</v>
      </c>
      <c r="C12" s="26" t="s">
        <v>166</v>
      </c>
      <c r="D12" s="2">
        <f>341.2204-83.2121</f>
        <v>258.00829999999996</v>
      </c>
      <c r="E12" s="27">
        <v>421.88</v>
      </c>
      <c r="F12" s="3">
        <f t="shared" si="0"/>
        <v>108848.54160399998</v>
      </c>
      <c r="G12" s="3">
        <f>71012.62-17317.27</f>
        <v>53695.349999999991</v>
      </c>
      <c r="H12" s="4">
        <f t="shared" si="1"/>
        <v>208.11481646133089</v>
      </c>
      <c r="I12" s="3">
        <f t="shared" si="2"/>
        <v>55153.191603999992</v>
      </c>
      <c r="J12" s="27">
        <f t="shared" si="3"/>
        <v>213.76518353866911</v>
      </c>
      <c r="K12" s="28">
        <v>45580</v>
      </c>
      <c r="L12">
        <f t="shared" si="4"/>
        <v>37</v>
      </c>
      <c r="M12" s="5">
        <f t="shared" si="5"/>
        <v>1.027150239341023</v>
      </c>
      <c r="N12">
        <v>4</v>
      </c>
      <c r="O12">
        <v>99</v>
      </c>
      <c r="P12" s="34">
        <v>4</v>
      </c>
      <c r="Q12" s="29">
        <v>183.7</v>
      </c>
      <c r="R12" s="30">
        <f t="shared" si="6"/>
        <v>170.84100000000001</v>
      </c>
      <c r="S12" s="30">
        <v>178</v>
      </c>
      <c r="T12" s="29">
        <f t="shared" si="7"/>
        <v>229.625</v>
      </c>
      <c r="U12" s="29">
        <f t="shared" si="8"/>
        <v>275.54999999999995</v>
      </c>
      <c r="V12" s="29">
        <f t="shared" si="9"/>
        <v>367.4</v>
      </c>
      <c r="W12" s="29">
        <f t="shared" si="10"/>
        <v>193.54677930903773</v>
      </c>
      <c r="X12" s="30">
        <v>270</v>
      </c>
      <c r="Y12" s="5">
        <f t="shared" si="11"/>
        <v>0.29736077705052677</v>
      </c>
      <c r="Z12" s="33">
        <f t="shared" si="12"/>
        <v>0.13150860952731713</v>
      </c>
      <c r="AB12" s="31">
        <v>45692</v>
      </c>
      <c r="AC12" s="9">
        <v>70</v>
      </c>
    </row>
    <row r="13" spans="1:31" x14ac:dyDescent="0.25">
      <c r="A13" t="s">
        <v>138</v>
      </c>
      <c r="B13" t="s">
        <v>33</v>
      </c>
      <c r="C13" t="s">
        <v>169</v>
      </c>
      <c r="D13" s="2">
        <v>939.24239999999998</v>
      </c>
      <c r="E13" s="27">
        <v>56.49</v>
      </c>
      <c r="F13" s="3">
        <f t="shared" si="0"/>
        <v>53057.803176000001</v>
      </c>
      <c r="G13" s="3">
        <v>36992.18</v>
      </c>
      <c r="H13" s="4">
        <f t="shared" si="1"/>
        <v>39.385125714086165</v>
      </c>
      <c r="I13" s="3">
        <f t="shared" si="2"/>
        <v>16065.623176000001</v>
      </c>
      <c r="J13" s="27">
        <f t="shared" si="3"/>
        <v>17.104874285913837</v>
      </c>
      <c r="K13" s="28">
        <v>45593</v>
      </c>
      <c r="L13">
        <f t="shared" si="4"/>
        <v>24</v>
      </c>
      <c r="M13" s="5">
        <f t="shared" si="5"/>
        <v>0.43429782121518656</v>
      </c>
      <c r="O13">
        <v>96</v>
      </c>
      <c r="P13" s="61" t="s">
        <v>170</v>
      </c>
      <c r="Q13" s="29">
        <v>39.369999999999997</v>
      </c>
      <c r="R13" s="30">
        <f t="shared" si="6"/>
        <v>36.614100000000001</v>
      </c>
      <c r="S13" s="30">
        <v>37.090000000000003</v>
      </c>
      <c r="T13" s="29">
        <f t="shared" si="7"/>
        <v>49.212499999999999</v>
      </c>
      <c r="U13" s="29">
        <f t="shared" si="8"/>
        <v>59.054999999999993</v>
      </c>
      <c r="V13" s="29">
        <f t="shared" si="9"/>
        <v>78.739999999999995</v>
      </c>
      <c r="W13" s="29">
        <f t="shared" si="10"/>
        <v>36.628166914100134</v>
      </c>
      <c r="X13" s="30">
        <v>43</v>
      </c>
      <c r="Y13" s="5">
        <f t="shared" si="11"/>
        <v>9.1782728133351338E-2</v>
      </c>
      <c r="Z13" s="33">
        <f t="shared" si="12"/>
        <v>6.4103366176781362E-2</v>
      </c>
      <c r="AB13" s="31"/>
      <c r="AC13" s="9"/>
    </row>
    <row r="14" spans="1:31" x14ac:dyDescent="0.25">
      <c r="A14" t="s">
        <v>171</v>
      </c>
      <c r="B14" t="s">
        <v>33</v>
      </c>
      <c r="C14" s="26" t="s">
        <v>172</v>
      </c>
      <c r="D14" s="2">
        <v>935.03689999999995</v>
      </c>
      <c r="E14" s="27">
        <v>74.290000000000006</v>
      </c>
      <c r="F14" s="3">
        <f t="shared" si="0"/>
        <v>69463.891300999996</v>
      </c>
      <c r="G14" s="3">
        <v>67635.899999999994</v>
      </c>
      <c r="H14" s="4">
        <f t="shared" si="1"/>
        <v>72.335006244138597</v>
      </c>
      <c r="I14" s="3">
        <f t="shared" si="2"/>
        <v>1827.9913010000018</v>
      </c>
      <c r="J14" s="27">
        <f t="shared" si="3"/>
        <v>1.954993755861409</v>
      </c>
      <c r="K14" s="28">
        <v>45609</v>
      </c>
      <c r="L14">
        <f t="shared" si="4"/>
        <v>9</v>
      </c>
      <c r="M14" s="5">
        <f t="shared" si="5"/>
        <v>2.7026938371486179E-2</v>
      </c>
      <c r="N14">
        <v>105</v>
      </c>
      <c r="O14">
        <v>83</v>
      </c>
      <c r="P14" s="34">
        <v>95</v>
      </c>
      <c r="Q14" s="29">
        <v>71.2</v>
      </c>
      <c r="R14" s="30">
        <f t="shared" si="6"/>
        <v>66.216000000000008</v>
      </c>
      <c r="S14" s="30">
        <v>66.84</v>
      </c>
      <c r="T14" s="32">
        <f t="shared" si="7"/>
        <v>89</v>
      </c>
      <c r="U14" s="29">
        <f t="shared" si="8"/>
        <v>106.80000000000001</v>
      </c>
      <c r="V14" s="29">
        <f t="shared" si="9"/>
        <v>142.4</v>
      </c>
      <c r="W14" s="29">
        <f t="shared" si="10"/>
        <v>67.271555807048898</v>
      </c>
      <c r="X14" s="30">
        <v>67.25</v>
      </c>
      <c r="Y14" s="5">
        <f t="shared" si="11"/>
        <v>-7.0297999656986854E-2</v>
      </c>
      <c r="Z14" s="33">
        <f t="shared" si="12"/>
        <v>8.3924870491930523E-2</v>
      </c>
      <c r="AB14" s="31">
        <v>45679</v>
      </c>
      <c r="AC14" s="9">
        <v>96</v>
      </c>
    </row>
    <row r="15" spans="1:31" x14ac:dyDescent="0.25">
      <c r="A15" t="s">
        <v>174</v>
      </c>
      <c r="B15" t="s">
        <v>33</v>
      </c>
      <c r="C15" s="26" t="s">
        <v>173</v>
      </c>
      <c r="D15" s="2">
        <v>1376.2525000000001</v>
      </c>
      <c r="E15" s="27">
        <v>24.1</v>
      </c>
      <c r="F15" s="3">
        <f t="shared" si="0"/>
        <v>33167.685250000002</v>
      </c>
      <c r="G15" s="3">
        <v>42193.66</v>
      </c>
      <c r="H15" s="4">
        <f t="shared" si="1"/>
        <v>30.658371192786209</v>
      </c>
      <c r="I15" s="3">
        <f t="shared" si="2"/>
        <v>-9025.9747500000012</v>
      </c>
      <c r="J15" s="27">
        <f t="shared" si="3"/>
        <v>-6.5583711927862076</v>
      </c>
      <c r="K15" s="28">
        <v>45609</v>
      </c>
      <c r="L15">
        <f t="shared" si="4"/>
        <v>9</v>
      </c>
      <c r="M15" s="5">
        <f t="shared" si="5"/>
        <v>-0.21391779594375079</v>
      </c>
      <c r="N15">
        <v>83</v>
      </c>
      <c r="O15">
        <v>99</v>
      </c>
      <c r="P15" s="34">
        <v>1</v>
      </c>
      <c r="Q15" s="29">
        <v>30.55</v>
      </c>
      <c r="R15" s="30">
        <f t="shared" si="6"/>
        <v>28.411500000000004</v>
      </c>
      <c r="S15" s="30">
        <v>20.2</v>
      </c>
      <c r="T15" s="29">
        <f t="shared" si="7"/>
        <v>38.1875</v>
      </c>
      <c r="U15" s="29">
        <f t="shared" si="8"/>
        <v>45.825000000000003</v>
      </c>
      <c r="V15" s="29">
        <f t="shared" si="9"/>
        <v>61.1</v>
      </c>
      <c r="W15" s="29">
        <f t="shared" si="10"/>
        <v>28.512285209291175</v>
      </c>
      <c r="X15" s="30">
        <v>28.5</v>
      </c>
      <c r="Y15" s="5">
        <f t="shared" si="11"/>
        <v>-7.0400713045514471E-2</v>
      </c>
      <c r="Z15" s="33">
        <f t="shared" si="12"/>
        <v>4.0072527423802587E-2</v>
      </c>
      <c r="AB15" s="31">
        <v>45744</v>
      </c>
      <c r="AC15" s="9">
        <v>46</v>
      </c>
    </row>
    <row r="16" spans="1:31" x14ac:dyDescent="0.25">
      <c r="A16" s="35"/>
      <c r="B16" s="35"/>
      <c r="C16" s="60"/>
      <c r="D16" s="36"/>
      <c r="E16" s="37"/>
      <c r="F16" s="57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si="4"/>
        <v>44962</v>
      </c>
      <c r="M16" s="41" t="e">
        <f t="shared" si="5"/>
        <v>#DIV/0!</v>
      </c>
      <c r="N16" s="35"/>
      <c r="O16" s="35"/>
      <c r="P16" s="62"/>
      <c r="Q16" s="42"/>
      <c r="R16" s="43">
        <f t="shared" si="6"/>
        <v>0</v>
      </c>
      <c r="S16" s="43"/>
      <c r="T16" s="63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671818.37317499984</v>
      </c>
      <c r="G17" s="3">
        <f>SUM(G6:G16)</f>
        <v>512144.85</v>
      </c>
      <c r="H17" s="4"/>
      <c r="I17" s="3">
        <f>SUM(I6:I16)</f>
        <v>159673.52317500001</v>
      </c>
      <c r="M17" s="5"/>
      <c r="Z17" s="6"/>
    </row>
    <row r="18" spans="1:26" x14ac:dyDescent="0.25">
      <c r="D18" s="2" t="s">
        <v>54</v>
      </c>
      <c r="F18" s="3">
        <v>155873</v>
      </c>
      <c r="G18" s="6">
        <f>F18/F19</f>
        <v>0.18832261039773285</v>
      </c>
      <c r="H18" s="4"/>
      <c r="M18" s="5"/>
      <c r="Z18" s="6"/>
    </row>
    <row r="19" spans="1:26" x14ac:dyDescent="0.25">
      <c r="D19" s="2" t="s">
        <v>55</v>
      </c>
      <c r="F19" s="3">
        <f>SUM(F17:F18)</f>
        <v>827691.37317499984</v>
      </c>
      <c r="H19" s="46"/>
      <c r="I19" s="48" t="s">
        <v>175</v>
      </c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('11-15-24'!F19)-19695</f>
        <v>773530.55565799994</v>
      </c>
      <c r="K20" s="1">
        <v>45291</v>
      </c>
      <c r="L20" s="47">
        <v>139707.06</v>
      </c>
      <c r="M20" s="47">
        <v>192771</v>
      </c>
      <c r="Z20" s="6"/>
    </row>
    <row r="21" spans="1:26" x14ac:dyDescent="0.25">
      <c r="G21" s="49"/>
      <c r="H21" s="4" t="s">
        <v>57</v>
      </c>
      <c r="I21" s="6">
        <f>(F19-I20)/I20</f>
        <v>7.001768336213722E-2</v>
      </c>
      <c r="K21" s="9" t="s">
        <v>58</v>
      </c>
      <c r="L21" s="6">
        <f>(M20-L20)/L20</f>
        <v>0.37982289513500611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0" si="13">F25/D25</f>
        <v>47.428061535569462</v>
      </c>
      <c r="F25" s="3">
        <v>38349.050000000003</v>
      </c>
      <c r="G25" s="3">
        <v>35186.18</v>
      </c>
      <c r="H25" s="3">
        <f t="shared" ref="H25:H57" si="14">G25/D25</f>
        <v>43.516392459307944</v>
      </c>
      <c r="I25" s="3">
        <f t="shared" ref="I25:I57" si="15">G25-F25</f>
        <v>-3162.8700000000026</v>
      </c>
      <c r="J25" s="5">
        <f t="shared" ref="J25:J57" si="16">I25/F25</f>
        <v>-8.2475837080710018E-2</v>
      </c>
      <c r="K25" s="1">
        <v>45286</v>
      </c>
      <c r="L25" s="1">
        <v>45302</v>
      </c>
      <c r="M25">
        <f t="shared" ref="M25:M60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13"/>
        <v>8.6074458279458721</v>
      </c>
      <c r="F57" s="3">
        <f>23794.37+31996.67</f>
        <v>55791.039999999994</v>
      </c>
      <c r="G57" s="3">
        <v>64158.11</v>
      </c>
      <c r="H57" s="3">
        <f t="shared" si="14"/>
        <v>9.8983180139390203</v>
      </c>
      <c r="I57" s="3">
        <f t="shared" si="15"/>
        <v>8367.070000000007</v>
      </c>
      <c r="J57" s="5">
        <f t="shared" si="16"/>
        <v>0.14997157249622892</v>
      </c>
      <c r="K57" s="1">
        <v>45378</v>
      </c>
      <c r="L57" s="1">
        <v>45607</v>
      </c>
      <c r="M57" s="54">
        <f t="shared" si="17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13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17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13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17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13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17"/>
        <v>33</v>
      </c>
    </row>
    <row r="61" spans="1:15" x14ac:dyDescent="0.25">
      <c r="C61" s="26"/>
      <c r="E61" s="3"/>
      <c r="J61" s="5"/>
      <c r="K61" s="1"/>
      <c r="L61" s="1"/>
      <c r="M61" s="54"/>
    </row>
    <row r="62" spans="1:15" x14ac:dyDescent="0.25">
      <c r="C62" s="26"/>
      <c r="E62" s="3"/>
      <c r="J62" s="5"/>
      <c r="K62" s="1"/>
      <c r="L62" s="1"/>
      <c r="M62" s="54"/>
    </row>
    <row r="63" spans="1:15" x14ac:dyDescent="0.25">
      <c r="C63" s="26"/>
      <c r="E63" s="3"/>
      <c r="J63" s="5"/>
      <c r="K63" s="1"/>
      <c r="L63" s="1"/>
      <c r="M63" s="54"/>
    </row>
    <row r="64" spans="1:15" x14ac:dyDescent="0.25">
      <c r="C64" s="26"/>
      <c r="E64" s="3"/>
      <c r="J64" s="5"/>
      <c r="K64" s="1"/>
      <c r="L64" s="1"/>
      <c r="M64" s="54"/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53391.47000000003</v>
      </c>
      <c r="J69" s="13" t="s">
        <v>68</v>
      </c>
    </row>
    <row r="70" spans="3:13" x14ac:dyDescent="0.25">
      <c r="H70" s="3" t="s">
        <v>69</v>
      </c>
      <c r="I70" s="55">
        <v>21</v>
      </c>
      <c r="J70" s="5">
        <v>-8.7300000000000003E-2</v>
      </c>
    </row>
    <row r="71" spans="3:13" x14ac:dyDescent="0.25">
      <c r="H71" s="3" t="s">
        <v>70</v>
      </c>
      <c r="I71" s="55">
        <v>15</v>
      </c>
      <c r="J71" s="5">
        <v>0.3332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DE6D-2F27-497B-A4B4-4563BA67D995}">
  <dimension ref="A1:AE22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45625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131</v>
      </c>
      <c r="B7" t="s">
        <v>33</v>
      </c>
      <c r="C7" s="26" t="s">
        <v>132</v>
      </c>
      <c r="D7" s="2">
        <f>1542.0192+932.4994</f>
        <v>2474.5185999999999</v>
      </c>
      <c r="E7" s="27">
        <v>38.229999999999997</v>
      </c>
      <c r="F7" s="3">
        <f t="shared" ref="F7:F16" si="0">E7*D7</f>
        <v>94600.846077999988</v>
      </c>
      <c r="G7" s="3">
        <f>44039.07+27471.43</f>
        <v>71510.5</v>
      </c>
      <c r="H7" s="4">
        <f t="shared" ref="H7:H16" si="1">G7/D7</f>
        <v>28.898752266400425</v>
      </c>
      <c r="I7" s="3">
        <f t="shared" ref="I7:I16" si="2">F7-G7</f>
        <v>23090.346077999988</v>
      </c>
      <c r="J7" s="27">
        <f t="shared" ref="J7:J16" si="3">E7-H7</f>
        <v>9.3312477335995716</v>
      </c>
      <c r="K7" s="28">
        <v>45426</v>
      </c>
      <c r="L7">
        <f t="shared" ref="L7:L16" si="4">DAYS360(K7,$C$1)</f>
        <v>195</v>
      </c>
      <c r="M7" s="5">
        <f t="shared" ref="M7:M16" si="5">(I7/G7)</f>
        <v>0.32289448511756996</v>
      </c>
      <c r="N7">
        <v>41</v>
      </c>
      <c r="O7">
        <v>93</v>
      </c>
      <c r="P7" s="34">
        <v>80</v>
      </c>
      <c r="Q7" s="29">
        <v>31.4</v>
      </c>
      <c r="R7" s="30">
        <f t="shared" ref="R7:R16" si="6">Q7*0.93</f>
        <v>29.202000000000002</v>
      </c>
      <c r="S7" s="30">
        <v>31.76</v>
      </c>
      <c r="T7" s="32">
        <f t="shared" ref="T7:T16" si="7">Q7*1.25</f>
        <v>39.25</v>
      </c>
      <c r="U7" s="29">
        <f t="shared" ref="U7:U16" si="8">Q7*1.5</f>
        <v>47.099999999999994</v>
      </c>
      <c r="V7" s="29">
        <f t="shared" ref="V7:V16" si="9">Q7*2</f>
        <v>62.8</v>
      </c>
      <c r="W7" s="29">
        <f t="shared" ref="W7:W16" si="10">H7-(H7*0.07)</f>
        <v>26.875839607752397</v>
      </c>
      <c r="X7" s="30">
        <v>35</v>
      </c>
      <c r="Y7" s="5">
        <f t="shared" ref="Y7:Y16" si="11">(X7-H7)/H7</f>
        <v>0.21112495367813106</v>
      </c>
      <c r="Z7" s="6">
        <f t="shared" ref="Z7:Z16" si="12">F7/F$19</f>
        <v>0.11606803687246108</v>
      </c>
      <c r="AB7" s="31">
        <v>45730</v>
      </c>
      <c r="AC7" s="9">
        <v>94</v>
      </c>
    </row>
    <row r="8" spans="1:31" x14ac:dyDescent="0.25">
      <c r="A8" t="s">
        <v>157</v>
      </c>
      <c r="B8" t="s">
        <v>33</v>
      </c>
      <c r="C8" s="26" t="s">
        <v>159</v>
      </c>
      <c r="D8" s="2">
        <v>1263.7796000000001</v>
      </c>
      <c r="E8" s="27">
        <v>58.33</v>
      </c>
      <c r="F8" s="3">
        <f t="shared" si="0"/>
        <v>73716.264068000004</v>
      </c>
      <c r="G8" s="3">
        <v>56489.42</v>
      </c>
      <c r="H8" s="4">
        <f t="shared" si="1"/>
        <v>44.698790833464948</v>
      </c>
      <c r="I8" s="3">
        <f t="shared" si="2"/>
        <v>17226.844068000006</v>
      </c>
      <c r="J8" s="27">
        <f t="shared" si="3"/>
        <v>13.631209166535051</v>
      </c>
      <c r="K8" s="28">
        <v>45527</v>
      </c>
      <c r="L8">
        <f t="shared" si="4"/>
        <v>96</v>
      </c>
      <c r="M8" s="5">
        <f t="shared" si="5"/>
        <v>0.30495700023119382</v>
      </c>
      <c r="N8">
        <v>179</v>
      </c>
      <c r="O8">
        <v>93</v>
      </c>
      <c r="P8" s="34">
        <v>89</v>
      </c>
      <c r="Q8" s="29">
        <v>43.2</v>
      </c>
      <c r="R8" s="30">
        <f t="shared" si="6"/>
        <v>40.176000000000002</v>
      </c>
      <c r="S8" s="30">
        <v>42</v>
      </c>
      <c r="T8" s="29">
        <f t="shared" si="7"/>
        <v>54</v>
      </c>
      <c r="U8" s="29">
        <f t="shared" si="8"/>
        <v>64.800000000000011</v>
      </c>
      <c r="V8" s="29">
        <f t="shared" si="9"/>
        <v>86.4</v>
      </c>
      <c r="W8" s="29">
        <f t="shared" si="10"/>
        <v>41.569875475122402</v>
      </c>
      <c r="X8" s="30">
        <v>46</v>
      </c>
      <c r="Y8" s="5">
        <f t="shared" si="11"/>
        <v>2.9110612217296657E-2</v>
      </c>
      <c r="Z8" s="6">
        <f t="shared" si="12"/>
        <v>9.0444244535509255E-2</v>
      </c>
      <c r="AB8" s="31">
        <v>45729</v>
      </c>
      <c r="AC8" s="9">
        <v>95</v>
      </c>
    </row>
    <row r="9" spans="1:31" x14ac:dyDescent="0.25">
      <c r="A9" t="s">
        <v>158</v>
      </c>
      <c r="B9" t="s">
        <v>33</v>
      </c>
      <c r="C9" s="26" t="s">
        <v>160</v>
      </c>
      <c r="D9" s="2">
        <v>3020.3485999999998</v>
      </c>
      <c r="E9" s="27">
        <v>26.55</v>
      </c>
      <c r="F9" s="3">
        <f t="shared" si="0"/>
        <v>80190.25533</v>
      </c>
      <c r="G9" s="3">
        <v>56486.59</v>
      </c>
      <c r="H9" s="4">
        <f t="shared" si="1"/>
        <v>18.702010092477405</v>
      </c>
      <c r="I9" s="3">
        <f t="shared" si="2"/>
        <v>23703.665330000003</v>
      </c>
      <c r="J9" s="27">
        <f t="shared" si="3"/>
        <v>7.8479899075225958</v>
      </c>
      <c r="K9" s="28">
        <v>45527</v>
      </c>
      <c r="L9">
        <f t="shared" si="4"/>
        <v>96</v>
      </c>
      <c r="M9" s="5">
        <f t="shared" si="5"/>
        <v>0.41963349761421259</v>
      </c>
      <c r="N9">
        <v>98</v>
      </c>
      <c r="O9">
        <v>96</v>
      </c>
      <c r="P9" s="34">
        <v>86</v>
      </c>
      <c r="Q9" s="29">
        <v>17.86</v>
      </c>
      <c r="R9" s="30">
        <f t="shared" si="6"/>
        <v>16.6098</v>
      </c>
      <c r="S9" s="30">
        <v>17.420000000000002</v>
      </c>
      <c r="T9" s="32">
        <f t="shared" si="7"/>
        <v>22.324999999999999</v>
      </c>
      <c r="U9" s="29">
        <f t="shared" si="8"/>
        <v>26.79</v>
      </c>
      <c r="V9" s="29">
        <f t="shared" si="9"/>
        <v>35.72</v>
      </c>
      <c r="W9" s="29">
        <f t="shared" si="10"/>
        <v>17.392869386003987</v>
      </c>
      <c r="X9" s="30">
        <v>22</v>
      </c>
      <c r="Y9" s="5">
        <f t="shared" si="11"/>
        <v>0.17634414114925329</v>
      </c>
      <c r="Z9" s="6">
        <f t="shared" si="12"/>
        <v>9.838733899673896E-2</v>
      </c>
      <c r="AB9" s="31">
        <v>45720</v>
      </c>
      <c r="AC9" s="9">
        <v>93</v>
      </c>
    </row>
    <row r="10" spans="1:31" x14ac:dyDescent="0.25">
      <c r="A10" t="s">
        <v>133</v>
      </c>
      <c r="B10" t="s">
        <v>33</v>
      </c>
      <c r="C10" s="26" t="s">
        <v>134</v>
      </c>
      <c r="D10" s="2">
        <v>552.66859999999997</v>
      </c>
      <c r="E10" s="27">
        <v>138.25</v>
      </c>
      <c r="F10" s="3">
        <f t="shared" si="0"/>
        <v>76406.433949999991</v>
      </c>
      <c r="G10" s="3">
        <v>70647.62</v>
      </c>
      <c r="H10" s="4">
        <f t="shared" si="1"/>
        <v>127.82998708448426</v>
      </c>
      <c r="I10" s="3">
        <f t="shared" si="2"/>
        <v>5758.8139499999961</v>
      </c>
      <c r="J10" s="27">
        <f t="shared" si="3"/>
        <v>10.420012915515741</v>
      </c>
      <c r="K10" s="28">
        <v>45531</v>
      </c>
      <c r="L10">
        <f t="shared" si="4"/>
        <v>92</v>
      </c>
      <c r="M10" s="5">
        <f t="shared" si="5"/>
        <v>8.1514620733154158E-2</v>
      </c>
      <c r="N10">
        <v>89</v>
      </c>
      <c r="O10">
        <v>95</v>
      </c>
      <c r="P10" s="34">
        <v>99</v>
      </c>
      <c r="Q10" s="29">
        <v>131.26</v>
      </c>
      <c r="R10" s="30">
        <f t="shared" si="6"/>
        <v>122.0718</v>
      </c>
      <c r="S10" s="30">
        <v>100.95</v>
      </c>
      <c r="T10" s="29">
        <f t="shared" si="7"/>
        <v>164.07499999999999</v>
      </c>
      <c r="U10" s="29">
        <f t="shared" si="8"/>
        <v>196.89</v>
      </c>
      <c r="V10" s="29">
        <f t="shared" si="9"/>
        <v>262.52</v>
      </c>
      <c r="W10" s="29">
        <f t="shared" si="10"/>
        <v>118.88188798857036</v>
      </c>
      <c r="X10" s="30">
        <v>130</v>
      </c>
      <c r="Y10" s="5">
        <f t="shared" si="11"/>
        <v>1.6975773564629679E-2</v>
      </c>
      <c r="Z10" s="6">
        <f t="shared" si="12"/>
        <v>9.3744878197915493E-2</v>
      </c>
      <c r="AB10" s="31">
        <v>45714</v>
      </c>
      <c r="AC10" s="9">
        <v>96</v>
      </c>
    </row>
    <row r="11" spans="1:31" x14ac:dyDescent="0.25">
      <c r="A11" t="s">
        <v>163</v>
      </c>
      <c r="B11" t="s">
        <v>33</v>
      </c>
      <c r="C11" s="26" t="s">
        <v>164</v>
      </c>
      <c r="D11" s="2">
        <v>427.7285</v>
      </c>
      <c r="E11" s="27">
        <v>191.09</v>
      </c>
      <c r="F11" s="3">
        <f t="shared" si="0"/>
        <v>81734.639064999996</v>
      </c>
      <c r="G11" s="3">
        <v>56493.63</v>
      </c>
      <c r="H11" s="4">
        <f t="shared" si="1"/>
        <v>132.0782458966377</v>
      </c>
      <c r="I11" s="3">
        <f t="shared" si="2"/>
        <v>25241.009064999998</v>
      </c>
      <c r="J11" s="27">
        <f t="shared" si="3"/>
        <v>59.011754103362307</v>
      </c>
      <c r="K11" s="28">
        <v>45554</v>
      </c>
      <c r="L11">
        <f t="shared" si="4"/>
        <v>70</v>
      </c>
      <c r="M11" s="5">
        <f t="shared" si="5"/>
        <v>0.44679389632070021</v>
      </c>
      <c r="N11">
        <v>13</v>
      </c>
      <c r="O11">
        <v>96</v>
      </c>
      <c r="P11" s="58">
        <v>96</v>
      </c>
      <c r="Q11" s="29">
        <v>128.97999999999999</v>
      </c>
      <c r="R11" s="30">
        <f t="shared" si="6"/>
        <v>119.95139999999999</v>
      </c>
      <c r="S11" s="30">
        <v>120.04</v>
      </c>
      <c r="T11" s="32">
        <f t="shared" si="7"/>
        <v>161.22499999999999</v>
      </c>
      <c r="U11" s="29">
        <f t="shared" si="8"/>
        <v>193.46999999999997</v>
      </c>
      <c r="V11" s="29">
        <f t="shared" si="9"/>
        <v>257.95999999999998</v>
      </c>
      <c r="W11" s="29">
        <f t="shared" si="10"/>
        <v>122.83276868387306</v>
      </c>
      <c r="X11" s="30">
        <v>160</v>
      </c>
      <c r="Y11" s="5">
        <f t="shared" si="11"/>
        <v>0.21140312633477445</v>
      </c>
      <c r="Z11" s="6">
        <f t="shared" si="12"/>
        <v>0.10028218027703165</v>
      </c>
      <c r="AB11" s="31">
        <v>45678</v>
      </c>
      <c r="AC11" s="9">
        <v>98</v>
      </c>
    </row>
    <row r="12" spans="1:31" x14ac:dyDescent="0.25">
      <c r="A12" t="s">
        <v>165</v>
      </c>
      <c r="B12" t="s">
        <v>33</v>
      </c>
      <c r="C12" s="26" t="s">
        <v>166</v>
      </c>
      <c r="D12" s="2">
        <f>341.2204-83.2121</f>
        <v>258.00829999999996</v>
      </c>
      <c r="E12" s="27">
        <v>387.47</v>
      </c>
      <c r="F12" s="3">
        <f t="shared" si="0"/>
        <v>99970.476000999988</v>
      </c>
      <c r="G12" s="3">
        <f>71012.62-17317.27</f>
        <v>53695.349999999991</v>
      </c>
      <c r="H12" s="4">
        <f t="shared" si="1"/>
        <v>208.11481646133089</v>
      </c>
      <c r="I12" s="3">
        <f t="shared" si="2"/>
        <v>46275.126000999997</v>
      </c>
      <c r="J12" s="27">
        <f t="shared" si="3"/>
        <v>179.35518353866914</v>
      </c>
      <c r="K12" s="28">
        <v>45580</v>
      </c>
      <c r="L12">
        <f t="shared" si="4"/>
        <v>44</v>
      </c>
      <c r="M12" s="5">
        <f t="shared" si="5"/>
        <v>0.86180881586580593</v>
      </c>
      <c r="N12">
        <v>4</v>
      </c>
      <c r="O12">
        <v>99</v>
      </c>
      <c r="P12" s="34">
        <v>4</v>
      </c>
      <c r="Q12" s="29">
        <v>183.7</v>
      </c>
      <c r="R12" s="30">
        <f t="shared" si="6"/>
        <v>170.84100000000001</v>
      </c>
      <c r="S12" s="30">
        <v>178</v>
      </c>
      <c r="T12" s="29">
        <f t="shared" si="7"/>
        <v>229.625</v>
      </c>
      <c r="U12" s="29">
        <f t="shared" si="8"/>
        <v>275.54999999999995</v>
      </c>
      <c r="V12" s="29">
        <f t="shared" si="9"/>
        <v>367.4</v>
      </c>
      <c r="W12" s="29">
        <f t="shared" si="10"/>
        <v>193.54677930903773</v>
      </c>
      <c r="X12" s="30">
        <v>270</v>
      </c>
      <c r="Y12" s="5">
        <f t="shared" si="11"/>
        <v>0.29736077705052677</v>
      </c>
      <c r="Z12" s="33">
        <f t="shared" si="12"/>
        <v>0.12265616403762787</v>
      </c>
      <c r="AB12" s="31">
        <v>45692</v>
      </c>
      <c r="AC12" s="9">
        <v>64</v>
      </c>
    </row>
    <row r="13" spans="1:31" x14ac:dyDescent="0.25">
      <c r="A13" t="s">
        <v>138</v>
      </c>
      <c r="B13" t="s">
        <v>33</v>
      </c>
      <c r="C13" t="s">
        <v>169</v>
      </c>
      <c r="D13" s="2">
        <v>939.24239999999998</v>
      </c>
      <c r="E13" s="27">
        <v>55.21</v>
      </c>
      <c r="F13" s="3">
        <f t="shared" si="0"/>
        <v>51855.572904000001</v>
      </c>
      <c r="G13" s="3">
        <v>36992.18</v>
      </c>
      <c r="H13" s="4">
        <f t="shared" si="1"/>
        <v>39.385125714086165</v>
      </c>
      <c r="I13" s="3">
        <f t="shared" si="2"/>
        <v>14863.392904</v>
      </c>
      <c r="J13" s="27">
        <f t="shared" si="3"/>
        <v>15.824874285913836</v>
      </c>
      <c r="K13" s="28">
        <v>45593</v>
      </c>
      <c r="L13">
        <f t="shared" si="4"/>
        <v>31</v>
      </c>
      <c r="M13" s="5">
        <f t="shared" si="5"/>
        <v>0.40179824233121703</v>
      </c>
      <c r="O13">
        <v>95</v>
      </c>
      <c r="P13" s="61" t="s">
        <v>170</v>
      </c>
      <c r="Q13" s="29">
        <v>39.369999999999997</v>
      </c>
      <c r="R13" s="30">
        <f t="shared" si="6"/>
        <v>36.614100000000001</v>
      </c>
      <c r="S13" s="30">
        <v>37.090000000000003</v>
      </c>
      <c r="T13" s="29">
        <f t="shared" si="7"/>
        <v>49.212499999999999</v>
      </c>
      <c r="U13" s="29">
        <f t="shared" si="8"/>
        <v>59.054999999999993</v>
      </c>
      <c r="V13" s="29">
        <f t="shared" si="9"/>
        <v>78.739999999999995</v>
      </c>
      <c r="W13" s="29">
        <f t="shared" si="10"/>
        <v>36.628166914100134</v>
      </c>
      <c r="X13" s="30">
        <v>43</v>
      </c>
      <c r="Y13" s="5">
        <f t="shared" si="11"/>
        <v>9.1782728133351338E-2</v>
      </c>
      <c r="Z13" s="33">
        <f t="shared" si="12"/>
        <v>6.3622840570595793E-2</v>
      </c>
      <c r="AB13" s="31"/>
      <c r="AC13" s="9"/>
    </row>
    <row r="14" spans="1:31" x14ac:dyDescent="0.25">
      <c r="A14" t="s">
        <v>171</v>
      </c>
      <c r="B14" t="s">
        <v>33</v>
      </c>
      <c r="C14" s="26" t="s">
        <v>172</v>
      </c>
      <c r="D14" s="2">
        <v>935.03689999999995</v>
      </c>
      <c r="E14" s="27">
        <v>72.650000000000006</v>
      </c>
      <c r="F14" s="3">
        <f t="shared" si="0"/>
        <v>67930.430785000004</v>
      </c>
      <c r="G14" s="3">
        <v>67635.899999999994</v>
      </c>
      <c r="H14" s="4">
        <f t="shared" si="1"/>
        <v>72.335006244138597</v>
      </c>
      <c r="I14" s="3">
        <f t="shared" si="2"/>
        <v>294.53078500000993</v>
      </c>
      <c r="J14" s="27">
        <f t="shared" si="3"/>
        <v>0.31499375586140843</v>
      </c>
      <c r="K14" s="28">
        <v>45609</v>
      </c>
      <c r="L14">
        <f t="shared" si="4"/>
        <v>16</v>
      </c>
      <c r="M14" s="5">
        <f t="shared" si="5"/>
        <v>4.3546516716715528E-3</v>
      </c>
      <c r="N14">
        <v>106</v>
      </c>
      <c r="O14">
        <v>81</v>
      </c>
      <c r="P14" s="34">
        <v>95</v>
      </c>
      <c r="Q14" s="29">
        <v>71.2</v>
      </c>
      <c r="R14" s="30">
        <f t="shared" si="6"/>
        <v>66.216000000000008</v>
      </c>
      <c r="S14" s="30">
        <v>66.84</v>
      </c>
      <c r="T14" s="32">
        <f t="shared" si="7"/>
        <v>89</v>
      </c>
      <c r="U14" s="29">
        <f t="shared" si="8"/>
        <v>106.80000000000001</v>
      </c>
      <c r="V14" s="29">
        <f t="shared" si="9"/>
        <v>142.4</v>
      </c>
      <c r="W14" s="29">
        <f t="shared" si="10"/>
        <v>67.271555807048898</v>
      </c>
      <c r="X14" s="30">
        <v>67.25</v>
      </c>
      <c r="Y14" s="5">
        <f t="shared" si="11"/>
        <v>-7.0297999656986854E-2</v>
      </c>
      <c r="Z14" s="33">
        <f t="shared" si="12"/>
        <v>8.3345467530117012E-2</v>
      </c>
      <c r="AB14" s="31">
        <v>45679</v>
      </c>
      <c r="AC14" s="9">
        <v>94</v>
      </c>
    </row>
    <row r="15" spans="1:31" x14ac:dyDescent="0.25">
      <c r="A15" t="s">
        <v>174</v>
      </c>
      <c r="B15" t="s">
        <v>33</v>
      </c>
      <c r="C15" s="26" t="s">
        <v>173</v>
      </c>
      <c r="D15" s="2">
        <v>1376.2525000000001</v>
      </c>
      <c r="E15" s="27">
        <v>23.81</v>
      </c>
      <c r="F15" s="3">
        <f t="shared" si="0"/>
        <v>32768.572025000001</v>
      </c>
      <c r="G15" s="3">
        <v>42193.66</v>
      </c>
      <c r="H15" s="4">
        <f t="shared" si="1"/>
        <v>30.658371192786209</v>
      </c>
      <c r="I15" s="3">
        <f t="shared" si="2"/>
        <v>-9425.0879750000022</v>
      </c>
      <c r="J15" s="27">
        <f t="shared" si="3"/>
        <v>-6.8483711927862103</v>
      </c>
      <c r="K15" s="28">
        <v>45609</v>
      </c>
      <c r="L15">
        <f t="shared" si="4"/>
        <v>16</v>
      </c>
      <c r="M15" s="5">
        <f t="shared" si="5"/>
        <v>-0.22337687640749823</v>
      </c>
      <c r="N15">
        <v>112</v>
      </c>
      <c r="O15">
        <v>99</v>
      </c>
      <c r="P15" s="34">
        <v>1</v>
      </c>
      <c r="Q15" s="29">
        <v>30.55</v>
      </c>
      <c r="R15" s="30">
        <f t="shared" si="6"/>
        <v>28.411500000000004</v>
      </c>
      <c r="S15" s="30">
        <v>20.2</v>
      </c>
      <c r="T15" s="29">
        <f t="shared" si="7"/>
        <v>38.1875</v>
      </c>
      <c r="U15" s="29">
        <f t="shared" si="8"/>
        <v>45.825000000000003</v>
      </c>
      <c r="V15" s="29">
        <f t="shared" si="9"/>
        <v>61.1</v>
      </c>
      <c r="W15" s="29">
        <f t="shared" si="10"/>
        <v>28.512285209291175</v>
      </c>
      <c r="X15" s="30">
        <v>28.5</v>
      </c>
      <c r="Y15" s="5">
        <f t="shared" si="11"/>
        <v>-7.0400713045514471E-2</v>
      </c>
      <c r="Z15" s="33">
        <f t="shared" si="12"/>
        <v>4.0204543444776836E-2</v>
      </c>
      <c r="AB15" s="31">
        <v>45744</v>
      </c>
      <c r="AC15" s="9">
        <v>43</v>
      </c>
    </row>
    <row r="16" spans="1:31" x14ac:dyDescent="0.25">
      <c r="A16" s="35"/>
      <c r="B16" s="35"/>
      <c r="C16" s="60"/>
      <c r="D16" s="36"/>
      <c r="E16" s="37"/>
      <c r="F16" s="57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si="4"/>
        <v>44969</v>
      </c>
      <c r="M16" s="41" t="e">
        <f t="shared" si="5"/>
        <v>#DIV/0!</v>
      </c>
      <c r="N16" s="35"/>
      <c r="O16" s="35"/>
      <c r="P16" s="62"/>
      <c r="Q16" s="42"/>
      <c r="R16" s="43">
        <f t="shared" si="6"/>
        <v>0</v>
      </c>
      <c r="S16" s="43"/>
      <c r="T16" s="63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659173.49020599993</v>
      </c>
      <c r="G17" s="3">
        <f>SUM(G6:G16)</f>
        <v>512144.85</v>
      </c>
      <c r="H17" s="4"/>
      <c r="I17" s="3">
        <f>SUM(I6:I16)</f>
        <v>147028.64020600001</v>
      </c>
      <c r="M17" s="5"/>
      <c r="Z17" s="6"/>
    </row>
    <row r="18" spans="1:26" x14ac:dyDescent="0.25">
      <c r="D18" s="2" t="s">
        <v>54</v>
      </c>
      <c r="F18" s="3">
        <v>155873</v>
      </c>
      <c r="G18" s="6">
        <f>F18/F19</f>
        <v>0.1912443055372261</v>
      </c>
      <c r="H18" s="4"/>
      <c r="M18" s="5"/>
      <c r="Z18" s="6"/>
    </row>
    <row r="19" spans="1:26" x14ac:dyDescent="0.25">
      <c r="D19" s="2" t="s">
        <v>55</v>
      </c>
      <c r="F19" s="3">
        <f>SUM(F17:F18)</f>
        <v>815046.49020599993</v>
      </c>
      <c r="H19" s="46"/>
      <c r="I19" s="48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'11-22-24'!F19</f>
        <v>827691.37317499984</v>
      </c>
      <c r="K20" s="1">
        <v>45291</v>
      </c>
      <c r="L20" s="47">
        <v>139707.06</v>
      </c>
      <c r="M20" s="47">
        <v>190303</v>
      </c>
      <c r="Z20" s="6"/>
    </row>
    <row r="21" spans="1:26" x14ac:dyDescent="0.25">
      <c r="G21" s="49"/>
      <c r="H21" s="4" t="s">
        <v>57</v>
      </c>
      <c r="I21" s="6">
        <f>(F19-I20)/I20</f>
        <v>-1.5277292211581849E-2</v>
      </c>
      <c r="K21" s="9" t="s">
        <v>58</v>
      </c>
      <c r="L21" s="6">
        <f>(M20-L20)/L20</f>
        <v>0.36215735983564468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0" si="13">F25/D25</f>
        <v>47.428061535569462</v>
      </c>
      <c r="F25" s="3">
        <v>38349.050000000003</v>
      </c>
      <c r="G25" s="3">
        <v>35186.18</v>
      </c>
      <c r="H25" s="3">
        <f t="shared" ref="H25:H57" si="14">G25/D25</f>
        <v>43.516392459307944</v>
      </c>
      <c r="I25" s="3">
        <f t="shared" ref="I25:I57" si="15">G25-F25</f>
        <v>-3162.8700000000026</v>
      </c>
      <c r="J25" s="5">
        <f t="shared" ref="J25:J57" si="16">I25/F25</f>
        <v>-8.2475837080710018E-2</v>
      </c>
      <c r="K25" s="1">
        <v>45286</v>
      </c>
      <c r="L25" s="1">
        <v>45302</v>
      </c>
      <c r="M25">
        <f t="shared" ref="M25:M60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13"/>
        <v>8.6074458279458721</v>
      </c>
      <c r="F57" s="3">
        <f>23794.37+31996.67</f>
        <v>55791.039999999994</v>
      </c>
      <c r="G57" s="3">
        <v>64158.11</v>
      </c>
      <c r="H57" s="3">
        <f t="shared" si="14"/>
        <v>9.8983180139390203</v>
      </c>
      <c r="I57" s="3">
        <f t="shared" si="15"/>
        <v>8367.070000000007</v>
      </c>
      <c r="J57" s="5">
        <f t="shared" si="16"/>
        <v>0.14997157249622892</v>
      </c>
      <c r="K57" s="1">
        <v>45378</v>
      </c>
      <c r="L57" s="1">
        <v>45607</v>
      </c>
      <c r="M57" s="54">
        <f t="shared" si="17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13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17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13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17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13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17"/>
        <v>33</v>
      </c>
    </row>
    <row r="61" spans="1:15" x14ac:dyDescent="0.25">
      <c r="C61" s="26"/>
      <c r="E61" s="3"/>
      <c r="J61" s="5"/>
      <c r="K61" s="1"/>
      <c r="L61" s="1"/>
      <c r="M61" s="54"/>
    </row>
    <row r="62" spans="1:15" x14ac:dyDescent="0.25">
      <c r="C62" s="26"/>
      <c r="E62" s="3"/>
      <c r="J62" s="5"/>
      <c r="K62" s="1"/>
      <c r="L62" s="1"/>
      <c r="M62" s="54"/>
    </row>
    <row r="63" spans="1:15" x14ac:dyDescent="0.25">
      <c r="C63" s="26"/>
      <c r="E63" s="3"/>
      <c r="J63" s="5"/>
      <c r="K63" s="1"/>
      <c r="L63" s="1"/>
      <c r="M63" s="54"/>
    </row>
    <row r="64" spans="1:15" x14ac:dyDescent="0.25">
      <c r="C64" s="26"/>
      <c r="E64" s="3"/>
      <c r="J64" s="5"/>
      <c r="K64" s="1"/>
      <c r="L64" s="1"/>
      <c r="M64" s="54"/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53391.47000000003</v>
      </c>
      <c r="J69" s="13" t="s">
        <v>68</v>
      </c>
    </row>
    <row r="70" spans="3:13" x14ac:dyDescent="0.25">
      <c r="H70" s="3" t="s">
        <v>69</v>
      </c>
      <c r="I70" s="55">
        <v>21</v>
      </c>
      <c r="J70" s="5">
        <v>-8.7300000000000003E-2</v>
      </c>
    </row>
    <row r="71" spans="3:13" x14ac:dyDescent="0.25">
      <c r="H71" s="3" t="s">
        <v>70</v>
      </c>
      <c r="I71" s="55">
        <v>15</v>
      </c>
      <c r="J71" s="5">
        <v>0.3332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A9EB-3ADF-48A5-AFE8-D78ED07B1678}">
  <dimension ref="A1:AE22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45632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131</v>
      </c>
      <c r="B7" t="s">
        <v>33</v>
      </c>
      <c r="C7" s="26" t="s">
        <v>132</v>
      </c>
      <c r="D7" s="2">
        <f>1542.0192+932.4994</f>
        <v>2474.5185999999999</v>
      </c>
      <c r="E7" s="27">
        <v>37.840000000000003</v>
      </c>
      <c r="F7" s="3">
        <f t="shared" ref="F7:F15" si="0">E7*D7</f>
        <v>93635.783823999998</v>
      </c>
      <c r="G7" s="3">
        <f>44039.07+27471.43</f>
        <v>71510.5</v>
      </c>
      <c r="H7" s="4">
        <f t="shared" ref="H7:H15" si="1">G7/D7</f>
        <v>28.898752266400425</v>
      </c>
      <c r="I7" s="3">
        <f t="shared" ref="I7:I15" si="2">F7-G7</f>
        <v>22125.283823999998</v>
      </c>
      <c r="J7" s="27">
        <f t="shared" ref="J7:J15" si="3">E7-H7</f>
        <v>8.9412477335995781</v>
      </c>
      <c r="K7" s="28">
        <v>45426</v>
      </c>
      <c r="L7">
        <f t="shared" ref="L7:L15" si="4">DAYS360(K7,$C$1)</f>
        <v>202</v>
      </c>
      <c r="M7" s="5">
        <f t="shared" ref="M7:M15" si="5">(I7/G7)</f>
        <v>0.30939909277658523</v>
      </c>
      <c r="N7">
        <v>53</v>
      </c>
      <c r="O7">
        <v>91</v>
      </c>
      <c r="P7" s="34">
        <v>80</v>
      </c>
      <c r="Q7" s="29">
        <v>31.4</v>
      </c>
      <c r="R7" s="30">
        <f t="shared" ref="R7:R15" si="6">Q7*0.93</f>
        <v>29.202000000000002</v>
      </c>
      <c r="S7" s="30">
        <v>36.33</v>
      </c>
      <c r="T7" s="32">
        <f t="shared" ref="T7:T15" si="7">Q7*1.25</f>
        <v>39.25</v>
      </c>
      <c r="U7" s="29">
        <f t="shared" ref="U7:U15" si="8">Q7*1.5</f>
        <v>47.099999999999994</v>
      </c>
      <c r="V7" s="29">
        <f t="shared" ref="V7:V15" si="9">Q7*2</f>
        <v>62.8</v>
      </c>
      <c r="W7" s="29">
        <f t="shared" ref="W7:W15" si="10">H7-(H7*0.07)</f>
        <v>26.875839607752397</v>
      </c>
      <c r="X7" s="30">
        <v>35</v>
      </c>
      <c r="Y7" s="5">
        <f t="shared" ref="Y7:Y15" si="11">(X7-H7)/H7</f>
        <v>0.21112495367813106</v>
      </c>
      <c r="Z7" s="6">
        <f t="shared" ref="Z7:Z15" si="12">F7/F$19</f>
        <v>0.115224134272048</v>
      </c>
      <c r="AB7" s="31">
        <v>45730</v>
      </c>
      <c r="AC7" s="9">
        <v>95</v>
      </c>
    </row>
    <row r="8" spans="1:31" x14ac:dyDescent="0.25">
      <c r="A8" t="s">
        <v>157</v>
      </c>
      <c r="B8" t="s">
        <v>33</v>
      </c>
      <c r="C8" s="26" t="s">
        <v>159</v>
      </c>
      <c r="D8" s="2">
        <v>1263.7796000000001</v>
      </c>
      <c r="E8" s="27">
        <v>57.64</v>
      </c>
      <c r="F8" s="3">
        <f t="shared" si="0"/>
        <v>72844.256143999999</v>
      </c>
      <c r="G8" s="3">
        <v>56489.42</v>
      </c>
      <c r="H8" s="4">
        <f t="shared" si="1"/>
        <v>44.698790833464948</v>
      </c>
      <c r="I8" s="3">
        <f t="shared" si="2"/>
        <v>16354.836144000001</v>
      </c>
      <c r="J8" s="27">
        <f t="shared" si="3"/>
        <v>12.941209166535053</v>
      </c>
      <c r="K8" s="28">
        <v>45527</v>
      </c>
      <c r="L8">
        <f t="shared" si="4"/>
        <v>103</v>
      </c>
      <c r="M8" s="5">
        <f t="shared" si="5"/>
        <v>0.28952034104793428</v>
      </c>
      <c r="N8">
        <v>180</v>
      </c>
      <c r="O8">
        <v>93</v>
      </c>
      <c r="P8" s="34">
        <v>89</v>
      </c>
      <c r="Q8" s="29">
        <v>43.2</v>
      </c>
      <c r="R8" s="30">
        <f t="shared" si="6"/>
        <v>40.176000000000002</v>
      </c>
      <c r="S8" s="30">
        <v>49.51</v>
      </c>
      <c r="T8" s="29">
        <f t="shared" si="7"/>
        <v>54</v>
      </c>
      <c r="U8" s="29">
        <f t="shared" si="8"/>
        <v>64.800000000000011</v>
      </c>
      <c r="V8" s="29">
        <f t="shared" si="9"/>
        <v>86.4</v>
      </c>
      <c r="W8" s="29">
        <f t="shared" si="10"/>
        <v>41.569875475122402</v>
      </c>
      <c r="X8" s="30">
        <v>51</v>
      </c>
      <c r="Y8" s="5">
        <f t="shared" si="11"/>
        <v>0.14097046137135064</v>
      </c>
      <c r="Z8" s="6">
        <f t="shared" si="12"/>
        <v>8.9638982108166843E-2</v>
      </c>
      <c r="AB8" s="31">
        <v>45729</v>
      </c>
      <c r="AC8" s="9">
        <v>94</v>
      </c>
    </row>
    <row r="9" spans="1:31" x14ac:dyDescent="0.25">
      <c r="A9" t="s">
        <v>158</v>
      </c>
      <c r="B9" t="s">
        <v>33</v>
      </c>
      <c r="C9" s="26" t="s">
        <v>160</v>
      </c>
      <c r="D9" s="2">
        <v>3020.3485999999998</v>
      </c>
      <c r="E9" s="27">
        <v>26.52</v>
      </c>
      <c r="F9" s="3">
        <f t="shared" si="0"/>
        <v>80099.64487199999</v>
      </c>
      <c r="G9" s="3">
        <v>56486.59</v>
      </c>
      <c r="H9" s="4">
        <f t="shared" si="1"/>
        <v>18.702010092477405</v>
      </c>
      <c r="I9" s="3">
        <f t="shared" si="2"/>
        <v>23613.054871999993</v>
      </c>
      <c r="J9" s="27">
        <f t="shared" si="3"/>
        <v>7.8179899075225947</v>
      </c>
      <c r="K9" s="28">
        <v>45527</v>
      </c>
      <c r="L9">
        <f t="shared" si="4"/>
        <v>103</v>
      </c>
      <c r="M9" s="5">
        <f t="shared" si="5"/>
        <v>0.41802939196719069</v>
      </c>
      <c r="N9">
        <v>98</v>
      </c>
      <c r="O9">
        <v>96</v>
      </c>
      <c r="P9" s="34">
        <v>86</v>
      </c>
      <c r="Q9" s="29">
        <v>17.86</v>
      </c>
      <c r="R9" s="30">
        <f t="shared" si="6"/>
        <v>16.6098</v>
      </c>
      <c r="S9" s="30">
        <v>24.64</v>
      </c>
      <c r="T9" s="32">
        <f t="shared" si="7"/>
        <v>22.324999999999999</v>
      </c>
      <c r="U9" s="29">
        <f t="shared" si="8"/>
        <v>26.79</v>
      </c>
      <c r="V9" s="29">
        <f t="shared" si="9"/>
        <v>35.72</v>
      </c>
      <c r="W9" s="29">
        <f t="shared" si="10"/>
        <v>17.392869386003987</v>
      </c>
      <c r="X9" s="30">
        <v>22</v>
      </c>
      <c r="Y9" s="5">
        <f t="shared" si="11"/>
        <v>0.17634414114925329</v>
      </c>
      <c r="Z9" s="6">
        <f t="shared" si="12"/>
        <v>9.8567148786007988E-2</v>
      </c>
      <c r="AB9" s="31">
        <v>45720</v>
      </c>
      <c r="AC9" s="9">
        <v>93</v>
      </c>
    </row>
    <row r="10" spans="1:31" x14ac:dyDescent="0.25">
      <c r="A10" t="s">
        <v>133</v>
      </c>
      <c r="B10" t="s">
        <v>33</v>
      </c>
      <c r="C10" s="26" t="s">
        <v>134</v>
      </c>
      <c r="D10" s="2">
        <v>552.66859999999997</v>
      </c>
      <c r="E10" s="27">
        <v>142.44</v>
      </c>
      <c r="F10" s="3">
        <f t="shared" si="0"/>
        <v>78722.11538399999</v>
      </c>
      <c r="G10" s="3">
        <v>70647.62</v>
      </c>
      <c r="H10" s="4">
        <f t="shared" si="1"/>
        <v>127.82998708448426</v>
      </c>
      <c r="I10" s="3">
        <f t="shared" si="2"/>
        <v>8074.4953839999944</v>
      </c>
      <c r="J10" s="27">
        <f t="shared" si="3"/>
        <v>14.610012915515739</v>
      </c>
      <c r="K10" s="28">
        <v>45531</v>
      </c>
      <c r="L10">
        <f t="shared" si="4"/>
        <v>99</v>
      </c>
      <c r="M10" s="5">
        <f t="shared" si="5"/>
        <v>0.11429253220419874</v>
      </c>
      <c r="N10">
        <v>84</v>
      </c>
      <c r="O10">
        <v>95</v>
      </c>
      <c r="P10" s="34">
        <v>99</v>
      </c>
      <c r="Q10" s="29">
        <v>131.26</v>
      </c>
      <c r="R10" s="30">
        <f t="shared" si="6"/>
        <v>122.0718</v>
      </c>
      <c r="S10" s="30">
        <v>132.11000000000001</v>
      </c>
      <c r="T10" s="29">
        <f t="shared" si="7"/>
        <v>164.07499999999999</v>
      </c>
      <c r="U10" s="29">
        <f t="shared" si="8"/>
        <v>196.89</v>
      </c>
      <c r="V10" s="29">
        <f t="shared" si="9"/>
        <v>262.52</v>
      </c>
      <c r="W10" s="29">
        <f t="shared" si="10"/>
        <v>118.88188798857036</v>
      </c>
      <c r="X10" s="30">
        <v>130</v>
      </c>
      <c r="Y10" s="5">
        <f t="shared" si="11"/>
        <v>1.6975773564629679E-2</v>
      </c>
      <c r="Z10" s="6">
        <f t="shared" si="12"/>
        <v>9.6872020746204754E-2</v>
      </c>
      <c r="AB10" s="31">
        <v>45714</v>
      </c>
      <c r="AC10" s="9">
        <v>97</v>
      </c>
    </row>
    <row r="11" spans="1:31" x14ac:dyDescent="0.25">
      <c r="A11" t="s">
        <v>165</v>
      </c>
      <c r="B11" t="s">
        <v>33</v>
      </c>
      <c r="C11" s="26" t="s">
        <v>166</v>
      </c>
      <c r="D11" s="2">
        <f>341.2204-83.2121</f>
        <v>258.00829999999996</v>
      </c>
      <c r="E11" s="27">
        <v>395.01</v>
      </c>
      <c r="F11" s="3">
        <f t="shared" si="0"/>
        <v>101915.85858299998</v>
      </c>
      <c r="G11" s="3">
        <f>71012.62-17317.27</f>
        <v>53695.349999999991</v>
      </c>
      <c r="H11" s="4">
        <f t="shared" si="1"/>
        <v>208.11481646133089</v>
      </c>
      <c r="I11" s="3">
        <f t="shared" si="2"/>
        <v>48220.508582999988</v>
      </c>
      <c r="J11" s="27">
        <f t="shared" si="3"/>
        <v>186.8951835386691</v>
      </c>
      <c r="K11" s="28">
        <v>45580</v>
      </c>
      <c r="L11">
        <f t="shared" si="4"/>
        <v>51</v>
      </c>
      <c r="M11" s="5">
        <f t="shared" si="5"/>
        <v>0.89803881682492048</v>
      </c>
      <c r="N11">
        <v>5</v>
      </c>
      <c r="O11">
        <v>99</v>
      </c>
      <c r="P11" s="34">
        <v>4</v>
      </c>
      <c r="Q11" s="29">
        <v>183.7</v>
      </c>
      <c r="R11" s="30">
        <f t="shared" si="6"/>
        <v>170.84100000000001</v>
      </c>
      <c r="S11" s="30">
        <v>318.62</v>
      </c>
      <c r="T11" s="29">
        <f t="shared" si="7"/>
        <v>229.625</v>
      </c>
      <c r="U11" s="29">
        <f t="shared" si="8"/>
        <v>275.54999999999995</v>
      </c>
      <c r="V11" s="29">
        <f t="shared" si="9"/>
        <v>367.4</v>
      </c>
      <c r="W11" s="29">
        <f t="shared" si="10"/>
        <v>193.54677930903773</v>
      </c>
      <c r="X11" s="30">
        <v>335</v>
      </c>
      <c r="Y11" s="5">
        <f t="shared" si="11"/>
        <v>0.60968837152565358</v>
      </c>
      <c r="Z11" s="33">
        <f t="shared" si="12"/>
        <v>0.12541323513552655</v>
      </c>
      <c r="AB11" s="31">
        <v>45692</v>
      </c>
      <c r="AC11" s="9">
        <v>63</v>
      </c>
    </row>
    <row r="12" spans="1:31" x14ac:dyDescent="0.25">
      <c r="A12" t="s">
        <v>138</v>
      </c>
      <c r="B12" t="s">
        <v>33</v>
      </c>
      <c r="C12" t="s">
        <v>169</v>
      </c>
      <c r="D12" s="2">
        <v>939.24239999999998</v>
      </c>
      <c r="E12" s="27">
        <v>57.8</v>
      </c>
      <c r="F12" s="3">
        <f t="shared" si="0"/>
        <v>54288.210719999995</v>
      </c>
      <c r="G12" s="3">
        <v>36992.18</v>
      </c>
      <c r="H12" s="4">
        <f t="shared" si="1"/>
        <v>39.385125714086165</v>
      </c>
      <c r="I12" s="3">
        <f t="shared" si="2"/>
        <v>17296.030719999995</v>
      </c>
      <c r="J12" s="27">
        <f t="shared" si="3"/>
        <v>18.414874285913832</v>
      </c>
      <c r="K12" s="28">
        <v>45593</v>
      </c>
      <c r="L12">
        <f t="shared" si="4"/>
        <v>38</v>
      </c>
      <c r="M12" s="5">
        <f t="shared" si="5"/>
        <v>0.46755910897924902</v>
      </c>
      <c r="O12">
        <v>96</v>
      </c>
      <c r="P12" s="61" t="s">
        <v>170</v>
      </c>
      <c r="Q12" s="29">
        <v>39.369999999999997</v>
      </c>
      <c r="R12" s="30">
        <f t="shared" si="6"/>
        <v>36.614100000000001</v>
      </c>
      <c r="S12" s="30">
        <v>51.54</v>
      </c>
      <c r="T12" s="29">
        <f t="shared" si="7"/>
        <v>49.212499999999999</v>
      </c>
      <c r="U12" s="29">
        <f t="shared" si="8"/>
        <v>59.054999999999993</v>
      </c>
      <c r="V12" s="29">
        <f t="shared" si="9"/>
        <v>78.739999999999995</v>
      </c>
      <c r="W12" s="29">
        <f t="shared" si="10"/>
        <v>36.628166914100134</v>
      </c>
      <c r="X12" s="30">
        <v>50</v>
      </c>
      <c r="Y12" s="5">
        <f t="shared" si="11"/>
        <v>0.26951480015505969</v>
      </c>
      <c r="Z12" s="33">
        <f t="shared" si="12"/>
        <v>6.680471744806607E-2</v>
      </c>
      <c r="AB12" s="31"/>
      <c r="AC12" s="9"/>
    </row>
    <row r="13" spans="1:31" x14ac:dyDescent="0.25">
      <c r="A13" t="s">
        <v>171</v>
      </c>
      <c r="B13" t="s">
        <v>33</v>
      </c>
      <c r="C13" s="26" t="s">
        <v>172</v>
      </c>
      <c r="D13" s="2">
        <v>935.03689999999995</v>
      </c>
      <c r="E13" s="27">
        <v>74.209999999999994</v>
      </c>
      <c r="F13" s="3">
        <f t="shared" si="0"/>
        <v>69389.088348999983</v>
      </c>
      <c r="G13" s="3">
        <v>67635.899999999994</v>
      </c>
      <c r="H13" s="4">
        <f t="shared" si="1"/>
        <v>72.335006244138597</v>
      </c>
      <c r="I13" s="3">
        <f t="shared" si="2"/>
        <v>1753.1883489999891</v>
      </c>
      <c r="J13" s="27">
        <f t="shared" si="3"/>
        <v>1.8749937558613965</v>
      </c>
      <c r="K13" s="28">
        <v>45609</v>
      </c>
      <c r="L13">
        <f t="shared" si="4"/>
        <v>23</v>
      </c>
      <c r="M13" s="5">
        <f t="shared" si="5"/>
        <v>2.5920973166616977E-2</v>
      </c>
      <c r="N13">
        <v>102</v>
      </c>
      <c r="O13">
        <v>85</v>
      </c>
      <c r="P13" s="34">
        <v>95</v>
      </c>
      <c r="Q13" s="29">
        <v>71.2</v>
      </c>
      <c r="R13" s="30">
        <f t="shared" si="6"/>
        <v>66.216000000000008</v>
      </c>
      <c r="S13" s="30">
        <v>69.11</v>
      </c>
      <c r="T13" s="32">
        <f t="shared" si="7"/>
        <v>89</v>
      </c>
      <c r="U13" s="29">
        <f t="shared" si="8"/>
        <v>106.80000000000001</v>
      </c>
      <c r="V13" s="29">
        <f t="shared" si="9"/>
        <v>142.4</v>
      </c>
      <c r="W13" s="29">
        <f t="shared" si="10"/>
        <v>67.271555807048898</v>
      </c>
      <c r="X13" s="30">
        <v>69</v>
      </c>
      <c r="Y13" s="5">
        <f t="shared" si="11"/>
        <v>-4.6105010800477221E-2</v>
      </c>
      <c r="Z13" s="33">
        <f t="shared" si="12"/>
        <v>8.5387202481994745E-2</v>
      </c>
      <c r="AB13" s="31">
        <v>45679</v>
      </c>
      <c r="AC13" s="9">
        <v>97</v>
      </c>
    </row>
    <row r="14" spans="1:31" x14ac:dyDescent="0.25">
      <c r="A14" t="s">
        <v>174</v>
      </c>
      <c r="B14" t="s">
        <v>33</v>
      </c>
      <c r="C14" s="26" t="s">
        <v>173</v>
      </c>
      <c r="D14" s="2">
        <v>1376.2525000000001</v>
      </c>
      <c r="E14" s="27">
        <v>25.32</v>
      </c>
      <c r="F14" s="3">
        <f t="shared" si="0"/>
        <v>34846.713300000003</v>
      </c>
      <c r="G14" s="3">
        <v>42193.66</v>
      </c>
      <c r="H14" s="4">
        <f t="shared" si="1"/>
        <v>30.658371192786209</v>
      </c>
      <c r="I14" s="3">
        <f t="shared" si="2"/>
        <v>-7346.9467000000004</v>
      </c>
      <c r="J14" s="27">
        <f t="shared" si="3"/>
        <v>-5.3383711927862088</v>
      </c>
      <c r="K14" s="28">
        <v>45609</v>
      </c>
      <c r="L14">
        <f t="shared" si="4"/>
        <v>23</v>
      </c>
      <c r="M14" s="5">
        <f t="shared" si="5"/>
        <v>-0.17412442295833069</v>
      </c>
      <c r="N14">
        <v>79</v>
      </c>
      <c r="O14">
        <v>99</v>
      </c>
      <c r="P14" s="34">
        <v>1</v>
      </c>
      <c r="Q14" s="29">
        <v>30.55</v>
      </c>
      <c r="R14" s="30">
        <f t="shared" si="6"/>
        <v>28.411500000000004</v>
      </c>
      <c r="S14" s="30">
        <v>20.2</v>
      </c>
      <c r="T14" s="29">
        <f t="shared" si="7"/>
        <v>38.1875</v>
      </c>
      <c r="U14" s="29">
        <f t="shared" si="8"/>
        <v>45.825000000000003</v>
      </c>
      <c r="V14" s="29">
        <f t="shared" si="9"/>
        <v>61.1</v>
      </c>
      <c r="W14" s="29">
        <f t="shared" si="10"/>
        <v>28.512285209291175</v>
      </c>
      <c r="X14" s="30">
        <v>28.5</v>
      </c>
      <c r="Y14" s="5">
        <f t="shared" si="11"/>
        <v>-7.0400713045514471E-2</v>
      </c>
      <c r="Z14" s="33">
        <f t="shared" si="12"/>
        <v>4.2880853966746214E-2</v>
      </c>
      <c r="AB14" s="31">
        <v>45744</v>
      </c>
      <c r="AC14" s="9">
        <v>46</v>
      </c>
    </row>
    <row r="15" spans="1:31" x14ac:dyDescent="0.25">
      <c r="A15" t="s">
        <v>176</v>
      </c>
      <c r="B15" t="s">
        <v>33</v>
      </c>
      <c r="C15" s="26" t="s">
        <v>177</v>
      </c>
      <c r="D15" s="2">
        <f>1398.5013+654.0854</f>
        <v>2052.5866999999998</v>
      </c>
      <c r="E15" s="27">
        <v>31.2</v>
      </c>
      <c r="F15" s="3">
        <f t="shared" si="0"/>
        <v>64040.705039999993</v>
      </c>
      <c r="G15" s="3">
        <f>49240.42+24059.69</f>
        <v>73300.11</v>
      </c>
      <c r="H15" s="4">
        <f t="shared" si="1"/>
        <v>35.711090790951729</v>
      </c>
      <c r="I15" s="3">
        <f t="shared" si="2"/>
        <v>-9259.4049600000071</v>
      </c>
      <c r="J15" s="27">
        <f t="shared" si="3"/>
        <v>-4.5110907909517302</v>
      </c>
      <c r="K15" s="28">
        <v>45630</v>
      </c>
      <c r="L15">
        <f t="shared" si="4"/>
        <v>2</v>
      </c>
      <c r="M15" s="5">
        <f t="shared" si="5"/>
        <v>-0.12632184262752139</v>
      </c>
      <c r="N15">
        <v>66</v>
      </c>
      <c r="O15">
        <v>97</v>
      </c>
      <c r="P15" s="58">
        <v>81</v>
      </c>
      <c r="Q15" s="29">
        <v>30.08</v>
      </c>
      <c r="R15" s="30">
        <f t="shared" si="6"/>
        <v>27.974399999999999</v>
      </c>
      <c r="S15" s="30">
        <v>32.11</v>
      </c>
      <c r="T15" s="32">
        <f t="shared" si="7"/>
        <v>37.599999999999994</v>
      </c>
      <c r="U15" s="29">
        <f t="shared" si="8"/>
        <v>45.12</v>
      </c>
      <c r="V15" s="29">
        <f t="shared" si="9"/>
        <v>60.16</v>
      </c>
      <c r="W15" s="29">
        <f t="shared" si="10"/>
        <v>33.211314435585109</v>
      </c>
      <c r="X15" s="30">
        <v>32.75</v>
      </c>
      <c r="Y15" s="5">
        <f t="shared" si="11"/>
        <v>-8.2917959809337263E-2</v>
      </c>
      <c r="Z15" s="6">
        <f t="shared" si="12"/>
        <v>7.880571395947715E-2</v>
      </c>
      <c r="AB15" s="31">
        <v>45686</v>
      </c>
      <c r="AC15" s="9">
        <v>98</v>
      </c>
    </row>
    <row r="16" spans="1:31" x14ac:dyDescent="0.25">
      <c r="A16" s="35"/>
      <c r="B16" s="35"/>
      <c r="C16" s="60"/>
      <c r="D16" s="36"/>
      <c r="E16" s="37"/>
      <c r="F16" s="57">
        <f t="shared" ref="F16" si="13">E16*D16</f>
        <v>0</v>
      </c>
      <c r="G16" s="38"/>
      <c r="H16" s="39" t="e">
        <f t="shared" ref="H16" si="14">G16/D16</f>
        <v>#DIV/0!</v>
      </c>
      <c r="I16" s="38">
        <f t="shared" ref="I16" si="15">F16-G16</f>
        <v>0</v>
      </c>
      <c r="J16" s="37" t="e">
        <f t="shared" ref="J16" si="16">E16-H16</f>
        <v>#DIV/0!</v>
      </c>
      <c r="K16" s="40"/>
      <c r="L16" s="35">
        <f t="shared" ref="L16" si="17">DAYS360(K16,$C$1)</f>
        <v>44976</v>
      </c>
      <c r="M16" s="41" t="e">
        <f t="shared" ref="M16" si="18">(I16/G16)</f>
        <v>#DIV/0!</v>
      </c>
      <c r="N16" s="35"/>
      <c r="O16" s="35"/>
      <c r="P16" s="62"/>
      <c r="Q16" s="42"/>
      <c r="R16" s="43">
        <f t="shared" ref="R16" si="19">Q16*0.93</f>
        <v>0</v>
      </c>
      <c r="S16" s="43"/>
      <c r="T16" s="63">
        <f t="shared" ref="T16" si="20">Q16*1.25</f>
        <v>0</v>
      </c>
      <c r="U16" s="42">
        <f t="shared" ref="U16" si="21">Q16*1.5</f>
        <v>0</v>
      </c>
      <c r="V16" s="42">
        <f t="shared" ref="V16" si="22">Q16*2</f>
        <v>0</v>
      </c>
      <c r="W16" s="42" t="e">
        <f t="shared" ref="W16" si="23">H16-(H16*0.07)</f>
        <v>#DIV/0!</v>
      </c>
      <c r="X16" s="43"/>
      <c r="Y16" s="41" t="e">
        <f t="shared" ref="Y16" si="24">(X16-H16)/H16</f>
        <v>#DIV/0!</v>
      </c>
      <c r="Z16" s="44">
        <f t="shared" ref="Z16" si="25">F16/F$19</f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649782.37621600006</v>
      </c>
      <c r="G17" s="3">
        <f>SUM(G6:G16)</f>
        <v>528951.32999999996</v>
      </c>
      <c r="H17" s="4"/>
      <c r="I17" s="3">
        <f>SUM(I6:I16)</f>
        <v>120831.04621599996</v>
      </c>
      <c r="M17" s="5"/>
      <c r="Z17" s="6"/>
    </row>
    <row r="18" spans="1:26" x14ac:dyDescent="0.25">
      <c r="D18" s="2" t="s">
        <v>54</v>
      </c>
      <c r="F18" s="3">
        <v>162858</v>
      </c>
      <c r="G18" s="6">
        <f>F18/F19</f>
        <v>0.20040599109576152</v>
      </c>
      <c r="H18" s="4"/>
      <c r="M18" s="5"/>
      <c r="Z18" s="6"/>
    </row>
    <row r="19" spans="1:26" x14ac:dyDescent="0.25">
      <c r="D19" s="2" t="s">
        <v>55</v>
      </c>
      <c r="F19" s="3">
        <f>SUM(F17:F18)</f>
        <v>812640.37621600006</v>
      </c>
      <c r="H19" s="46"/>
      <c r="I19" s="48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'11-29-24'!F19</f>
        <v>815046.49020599993</v>
      </c>
      <c r="K20" s="1">
        <v>45291</v>
      </c>
      <c r="L20" s="47">
        <v>139707.06</v>
      </c>
      <c r="M20" s="47">
        <v>189208</v>
      </c>
      <c r="Z20" s="6"/>
    </row>
    <row r="21" spans="1:26" x14ac:dyDescent="0.25">
      <c r="G21" s="49"/>
      <c r="H21" s="4" t="s">
        <v>57</v>
      </c>
      <c r="I21" s="6">
        <f>(F19-I20)/I20</f>
        <v>-2.9521187060037898E-3</v>
      </c>
      <c r="K21" s="9" t="s">
        <v>58</v>
      </c>
      <c r="L21" s="6">
        <f>(M20-L20)/L20</f>
        <v>0.35431953116757309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1" si="26">F25/D25</f>
        <v>47.428061535569462</v>
      </c>
      <c r="F25" s="3">
        <v>38349.050000000003</v>
      </c>
      <c r="G25" s="3">
        <v>35186.18</v>
      </c>
      <c r="H25" s="3">
        <f t="shared" ref="H25:H57" si="27">G25/D25</f>
        <v>43.516392459307944</v>
      </c>
      <c r="I25" s="3">
        <f t="shared" ref="I25:I57" si="28">G25-F25</f>
        <v>-3162.8700000000026</v>
      </c>
      <c r="J25" s="5">
        <f t="shared" ref="J25:J57" si="29">I25/F25</f>
        <v>-8.2475837080710018E-2</v>
      </c>
      <c r="K25" s="1">
        <v>45286</v>
      </c>
      <c r="L25" s="1">
        <v>45302</v>
      </c>
      <c r="M25">
        <f t="shared" ref="M25:M61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si="27"/>
        <v>34.904632944513089</v>
      </c>
      <c r="I33" s="3">
        <f t="shared" si="28"/>
        <v>2.8099999999976717</v>
      </c>
      <c r="J33" s="5">
        <f t="shared" si="29"/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6"/>
        <v>17.884521773182534</v>
      </c>
      <c r="F34" s="3">
        <f>20288.83+19170.47</f>
        <v>39459.300000000003</v>
      </c>
      <c r="G34" s="3">
        <v>47805.42</v>
      </c>
      <c r="H34" s="3">
        <f t="shared" si="27"/>
        <v>21.667314799455028</v>
      </c>
      <c r="I34" s="3">
        <f t="shared" si="28"/>
        <v>8346.1199999999953</v>
      </c>
      <c r="J34" s="5">
        <f t="shared" si="29"/>
        <v>0.21151211501471123</v>
      </c>
      <c r="K34" s="1">
        <v>45243</v>
      </c>
      <c r="L34" s="1">
        <v>45373</v>
      </c>
      <c r="M34" s="54">
        <f t="shared" si="30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6"/>
        <v>97.201614911338325</v>
      </c>
      <c r="F35" s="3">
        <v>71279.48</v>
      </c>
      <c r="G35" s="3">
        <v>66395.73</v>
      </c>
      <c r="H35" s="3">
        <f t="shared" si="27"/>
        <v>90.541796590227548</v>
      </c>
      <c r="I35" s="3">
        <f t="shared" si="28"/>
        <v>-4883.75</v>
      </c>
      <c r="J35" s="5">
        <f t="shared" si="29"/>
        <v>-6.85155110559168E-2</v>
      </c>
      <c r="K35" s="1">
        <v>45349</v>
      </c>
      <c r="L35" s="1">
        <v>45394</v>
      </c>
      <c r="M35" s="54">
        <f t="shared" si="30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6"/>
        <v>51.760011005615979</v>
      </c>
      <c r="F36" s="3">
        <v>46654.3</v>
      </c>
      <c r="G36" s="3">
        <v>44379.95</v>
      </c>
      <c r="H36" s="3">
        <f t="shared" si="27"/>
        <v>49.23676275131524</v>
      </c>
      <c r="I36" s="3">
        <f t="shared" si="28"/>
        <v>-2274.3500000000058</v>
      </c>
      <c r="J36" s="5">
        <f t="shared" si="29"/>
        <v>-4.874898991089794E-2</v>
      </c>
      <c r="K36" s="1">
        <v>45394</v>
      </c>
      <c r="L36" s="1">
        <v>45394</v>
      </c>
      <c r="M36" s="54">
        <f t="shared" si="30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6"/>
        <v>228.36593513142583</v>
      </c>
      <c r="F37" s="3">
        <v>61166.239999999998</v>
      </c>
      <c r="G37" s="3">
        <v>81558.94</v>
      </c>
      <c r="H37" s="3">
        <f t="shared" si="27"/>
        <v>304.50267339349045</v>
      </c>
      <c r="I37" s="3">
        <f t="shared" si="28"/>
        <v>20392.700000000004</v>
      </c>
      <c r="J37" s="5">
        <f t="shared" si="29"/>
        <v>0.33339796593676518</v>
      </c>
      <c r="K37" s="1">
        <v>45238</v>
      </c>
      <c r="L37" s="1">
        <v>45397</v>
      </c>
      <c r="M37" s="54">
        <f t="shared" si="30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6"/>
        <v>131.07547316942754</v>
      </c>
      <c r="F38" s="3">
        <v>29415.63</v>
      </c>
      <c r="G38" s="3">
        <v>27481.43</v>
      </c>
      <c r="H38" s="3">
        <f t="shared" si="27"/>
        <v>122.45671571958516</v>
      </c>
      <c r="I38" s="3">
        <f t="shared" si="28"/>
        <v>-1934.2000000000007</v>
      </c>
      <c r="J38" s="5">
        <f t="shared" si="29"/>
        <v>-6.5754158588478329E-2</v>
      </c>
      <c r="K38" s="1">
        <v>45393</v>
      </c>
      <c r="L38" s="1">
        <v>45397</v>
      </c>
      <c r="M38" s="54">
        <f t="shared" si="30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6"/>
        <v>30.008099047901005</v>
      </c>
      <c r="F39" s="3">
        <v>43950.36</v>
      </c>
      <c r="G39" s="3">
        <v>49174.83</v>
      </c>
      <c r="H39" s="3">
        <f t="shared" si="27"/>
        <v>33.575223713837467</v>
      </c>
      <c r="I39" s="3">
        <f t="shared" si="28"/>
        <v>5224.4700000000012</v>
      </c>
      <c r="J39" s="5">
        <f t="shared" si="29"/>
        <v>0.11887206384657603</v>
      </c>
      <c r="K39" s="1">
        <v>45321</v>
      </c>
      <c r="L39" s="1">
        <v>45400</v>
      </c>
      <c r="M39" s="54">
        <f t="shared" si="30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6"/>
        <v>202.80010053151383</v>
      </c>
      <c r="F40" s="3">
        <v>54466.53</v>
      </c>
      <c r="G40" s="3">
        <v>57142.12</v>
      </c>
      <c r="H40" s="3">
        <f t="shared" si="27"/>
        <v>212.76236397993094</v>
      </c>
      <c r="I40" s="3">
        <f t="shared" si="28"/>
        <v>2675.5900000000038</v>
      </c>
      <c r="J40" s="5">
        <f t="shared" si="29"/>
        <v>4.912356267234215E-2</v>
      </c>
      <c r="K40" s="1">
        <v>45370</v>
      </c>
      <c r="L40" s="1">
        <v>45401</v>
      </c>
      <c r="M40" s="54">
        <f t="shared" si="30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6"/>
        <v>72.032301948546731</v>
      </c>
      <c r="F41" s="3">
        <f>38270.34+5640.4</f>
        <v>43910.74</v>
      </c>
      <c r="G41" s="3">
        <v>46906.35</v>
      </c>
      <c r="H41" s="3">
        <f t="shared" si="27"/>
        <v>76.946377275905974</v>
      </c>
      <c r="I41" s="3">
        <f t="shared" si="28"/>
        <v>2995.6100000000006</v>
      </c>
      <c r="J41" s="5">
        <f t="shared" si="29"/>
        <v>6.8220439919709858E-2</v>
      </c>
      <c r="K41" s="1">
        <v>45313</v>
      </c>
      <c r="L41" s="1">
        <v>45420</v>
      </c>
      <c r="M41" s="54">
        <f t="shared" si="30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6"/>
        <v>26.796152173251542</v>
      </c>
      <c r="F42" s="3">
        <f>36957.24+22924.55</f>
        <v>59881.789999999994</v>
      </c>
      <c r="G42" s="3">
        <v>53143.62</v>
      </c>
      <c r="H42" s="3">
        <f t="shared" si="27"/>
        <v>23.780927867344218</v>
      </c>
      <c r="I42" s="3">
        <f t="shared" si="28"/>
        <v>-6738.169999999991</v>
      </c>
      <c r="J42" s="5">
        <f t="shared" si="29"/>
        <v>-0.11252452540246362</v>
      </c>
      <c r="K42" s="1">
        <v>45421</v>
      </c>
      <c r="L42" s="1">
        <v>45441</v>
      </c>
      <c r="M42" s="54">
        <f t="shared" si="30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6"/>
        <v>21.526049990446886</v>
      </c>
      <c r="F43" s="3">
        <f>28174.78+19947.6-17409.86</f>
        <v>30712.519999999997</v>
      </c>
      <c r="G43" s="3">
        <v>80427.22</v>
      </c>
      <c r="H43" s="3">
        <f t="shared" si="27"/>
        <v>56.370508128693771</v>
      </c>
      <c r="I43" s="3">
        <f t="shared" si="28"/>
        <v>49714.700000000004</v>
      </c>
      <c r="J43" s="5">
        <f t="shared" si="29"/>
        <v>1.6187111966064658</v>
      </c>
      <c r="K43" s="1">
        <v>45309</v>
      </c>
      <c r="L43" s="1">
        <v>45447</v>
      </c>
      <c r="M43" s="54">
        <f t="shared" si="30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6"/>
        <v>119.9800324750113</v>
      </c>
      <c r="F44" s="3">
        <v>59378.55</v>
      </c>
      <c r="G44" s="3">
        <v>52305.62</v>
      </c>
      <c r="H44" s="3">
        <f t="shared" si="27"/>
        <v>105.68850176074695</v>
      </c>
      <c r="I44" s="3">
        <f t="shared" si="28"/>
        <v>-7072.93</v>
      </c>
      <c r="J44" s="5">
        <f t="shared" si="29"/>
        <v>-0.1191159097013989</v>
      </c>
      <c r="K44" s="1">
        <v>45422</v>
      </c>
      <c r="L44" s="1">
        <v>45456</v>
      </c>
      <c r="M44" s="54">
        <f t="shared" si="30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6"/>
        <v>40.121826742024723</v>
      </c>
      <c r="F45" s="3">
        <v>84857.15</v>
      </c>
      <c r="G45" s="3">
        <v>77799.8</v>
      </c>
      <c r="H45" s="3">
        <f t="shared" si="27"/>
        <v>36.784998036867556</v>
      </c>
      <c r="I45" s="3">
        <f t="shared" si="28"/>
        <v>-7057.3499999999913</v>
      </c>
      <c r="J45" s="5">
        <f t="shared" si="29"/>
        <v>-8.3167417241799796E-2</v>
      </c>
      <c r="K45" s="1">
        <v>45446</v>
      </c>
      <c r="L45" s="1">
        <v>45461</v>
      </c>
      <c r="M45" s="54">
        <f t="shared" si="30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6"/>
        <v>190.14353095648559</v>
      </c>
      <c r="F46" s="3">
        <v>58070.69</v>
      </c>
      <c r="G46" s="3">
        <v>55002.36</v>
      </c>
      <c r="H46" s="3">
        <f t="shared" si="27"/>
        <v>180.0967569240139</v>
      </c>
      <c r="I46" s="3">
        <f t="shared" si="28"/>
        <v>-3068.3300000000017</v>
      </c>
      <c r="J46" s="5">
        <f t="shared" si="29"/>
        <v>-5.2837842980684432E-2</v>
      </c>
      <c r="K46" s="1">
        <v>45460</v>
      </c>
      <c r="L46" s="1">
        <v>45478</v>
      </c>
      <c r="M46" s="54">
        <f t="shared" si="30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6"/>
        <v>151.88325953610754</v>
      </c>
      <c r="F47" s="3">
        <v>59201.71</v>
      </c>
      <c r="G47" s="3">
        <v>55840.480000000003</v>
      </c>
      <c r="H47" s="3">
        <f t="shared" si="27"/>
        <v>143.25995172201652</v>
      </c>
      <c r="I47" s="3">
        <f t="shared" si="28"/>
        <v>-3361.2299999999959</v>
      </c>
      <c r="J47" s="5">
        <f t="shared" si="29"/>
        <v>-5.6775893804418755E-2</v>
      </c>
      <c r="K47" s="1">
        <v>45440</v>
      </c>
      <c r="L47" s="1">
        <v>45482</v>
      </c>
      <c r="M47" s="54">
        <f t="shared" si="30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26"/>
        <v>210.8544352001625</v>
      </c>
      <c r="F48" s="3">
        <v>58138.05</v>
      </c>
      <c r="G48" s="3">
        <v>51919.61</v>
      </c>
      <c r="H48" s="3">
        <f t="shared" si="27"/>
        <v>188.30146594807889</v>
      </c>
      <c r="I48" s="3">
        <f t="shared" si="28"/>
        <v>-6218.4400000000023</v>
      </c>
      <c r="J48" s="5">
        <f t="shared" si="29"/>
        <v>-0.1069598997558398</v>
      </c>
      <c r="K48" s="1">
        <v>45461</v>
      </c>
      <c r="L48" s="1">
        <v>45489</v>
      </c>
      <c r="M48" s="54">
        <f t="shared" si="30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26"/>
        <v>94.220008243735961</v>
      </c>
      <c r="F49" s="3">
        <v>24618.68</v>
      </c>
      <c r="G49" s="3">
        <v>30783.54</v>
      </c>
      <c r="H49" s="3">
        <f t="shared" si="27"/>
        <v>117.81400922272745</v>
      </c>
      <c r="I49" s="3">
        <f t="shared" si="28"/>
        <v>6164.8600000000006</v>
      </c>
      <c r="J49" s="5">
        <f t="shared" si="29"/>
        <v>0.25041391333735197</v>
      </c>
      <c r="K49" s="1">
        <v>45427</v>
      </c>
      <c r="L49" s="1">
        <v>45491</v>
      </c>
      <c r="M49" s="54">
        <f t="shared" si="30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26"/>
        <v>99.676254752352776</v>
      </c>
      <c r="F50" s="3">
        <v>71786.429999999993</v>
      </c>
      <c r="G50" s="3">
        <v>64047.02</v>
      </c>
      <c r="H50" s="3">
        <f t="shared" si="27"/>
        <v>88.929998074135099</v>
      </c>
      <c r="I50" s="3">
        <f t="shared" si="28"/>
        <v>-7739.4099999999962</v>
      </c>
      <c r="J50" s="5">
        <f t="shared" si="29"/>
        <v>-0.10781160171915495</v>
      </c>
      <c r="K50" s="1">
        <v>45495</v>
      </c>
      <c r="L50" s="1">
        <v>45506</v>
      </c>
      <c r="M50" s="54">
        <f t="shared" si="30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26"/>
        <v>94.217245845358406</v>
      </c>
      <c r="F51" s="3">
        <f>88627.87-24618.68</f>
        <v>64009.189999999995</v>
      </c>
      <c r="G51" s="3">
        <v>69221.69</v>
      </c>
      <c r="H51" s="3">
        <f t="shared" si="27"/>
        <v>101.88969716006699</v>
      </c>
      <c r="I51" s="3">
        <f t="shared" si="28"/>
        <v>5212.5000000000073</v>
      </c>
      <c r="J51" s="5">
        <f t="shared" si="29"/>
        <v>8.1433619141251551E-2</v>
      </c>
      <c r="K51" s="1">
        <v>45427</v>
      </c>
      <c r="L51" s="1">
        <v>45506</v>
      </c>
      <c r="M51" s="54">
        <f t="shared" si="30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27"/>
        <v>24.260268707864267</v>
      </c>
      <c r="I52" s="3">
        <f t="shared" si="28"/>
        <v>-5424.5400000000009</v>
      </c>
      <c r="J52" s="5">
        <f t="shared" si="29"/>
        <v>-0.10662702360362285</v>
      </c>
      <c r="K52" s="1">
        <v>45478</v>
      </c>
      <c r="L52" s="1">
        <v>45506</v>
      </c>
      <c r="M52" s="54">
        <f t="shared" si="30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26"/>
        <v>150.35572938289613</v>
      </c>
      <c r="F53" s="3">
        <v>58706.59</v>
      </c>
      <c r="G53" s="3">
        <v>58315.35</v>
      </c>
      <c r="H53" s="3">
        <f t="shared" si="27"/>
        <v>149.35370941267195</v>
      </c>
      <c r="I53" s="3">
        <f t="shared" si="28"/>
        <v>-391.23999999999796</v>
      </c>
      <c r="J53" s="5">
        <f t="shared" si="29"/>
        <v>-6.6643284850984872E-3</v>
      </c>
      <c r="K53" s="1">
        <v>45426</v>
      </c>
      <c r="L53" s="1">
        <v>45506</v>
      </c>
      <c r="M53" s="54">
        <f t="shared" si="30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26"/>
        <v>210.88800094512985</v>
      </c>
      <c r="F54" s="3">
        <v>72116.02</v>
      </c>
      <c r="G54" s="3">
        <v>72157.78</v>
      </c>
      <c r="H54" s="3">
        <f t="shared" si="27"/>
        <v>211.01011920566984</v>
      </c>
      <c r="I54" s="3">
        <f t="shared" si="28"/>
        <v>41.759999999994761</v>
      </c>
      <c r="J54" s="5">
        <f t="shared" si="29"/>
        <v>5.7906689803451105E-4</v>
      </c>
      <c r="K54" s="1">
        <v>45464</v>
      </c>
      <c r="L54" s="1">
        <v>45512</v>
      </c>
      <c r="M54" s="54">
        <f t="shared" si="30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26"/>
        <v>343.08895655362653</v>
      </c>
      <c r="F55" s="3">
        <v>70918.34</v>
      </c>
      <c r="G55" s="3">
        <v>64755.66</v>
      </c>
      <c r="H55" s="3">
        <f t="shared" si="27"/>
        <v>313.27512488788392</v>
      </c>
      <c r="I55" s="3">
        <f t="shared" si="28"/>
        <v>-6162.679999999993</v>
      </c>
      <c r="J55" s="5">
        <f t="shared" si="29"/>
        <v>-8.6898255091701154E-2</v>
      </c>
      <c r="K55" s="1">
        <v>45531</v>
      </c>
      <c r="L55" s="1">
        <v>45546</v>
      </c>
      <c r="M55" s="54">
        <f t="shared" si="30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26"/>
        <v>81.834167696575051</v>
      </c>
      <c r="F56" s="3">
        <v>56064.04</v>
      </c>
      <c r="G56" s="3">
        <v>46739.21</v>
      </c>
      <c r="H56" s="3">
        <f t="shared" si="27"/>
        <v>68.223131068425275</v>
      </c>
      <c r="I56" s="3">
        <f t="shared" si="28"/>
        <v>-9324.8300000000017</v>
      </c>
      <c r="J56" s="5">
        <f t="shared" si="29"/>
        <v>-0.16632461734830387</v>
      </c>
      <c r="K56" s="1">
        <v>45553</v>
      </c>
      <c r="L56" s="1">
        <v>45587</v>
      </c>
      <c r="M56" s="54">
        <f t="shared" si="30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26"/>
        <v>8.6074458279458721</v>
      </c>
      <c r="F57" s="3">
        <f>23794.37+31996.67</f>
        <v>55791.039999999994</v>
      </c>
      <c r="G57" s="3">
        <v>64158.11</v>
      </c>
      <c r="H57" s="3">
        <f t="shared" si="27"/>
        <v>9.8983180139390203</v>
      </c>
      <c r="I57" s="3">
        <f t="shared" si="28"/>
        <v>8367.070000000007</v>
      </c>
      <c r="J57" s="5">
        <f t="shared" si="29"/>
        <v>0.14997157249622892</v>
      </c>
      <c r="K57" s="1">
        <v>45378</v>
      </c>
      <c r="L57" s="1">
        <v>45607</v>
      </c>
      <c r="M57" s="54">
        <f t="shared" si="30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26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30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26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30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26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30"/>
        <v>33</v>
      </c>
    </row>
    <row r="61" spans="1:15" x14ac:dyDescent="0.25">
      <c r="A61" t="s">
        <v>163</v>
      </c>
      <c r="B61" t="s">
        <v>33</v>
      </c>
      <c r="C61" s="26" t="s">
        <v>164</v>
      </c>
      <c r="D61" s="2">
        <v>427.7285</v>
      </c>
      <c r="E61" s="3">
        <f t="shared" si="26"/>
        <v>132.0782458966377</v>
      </c>
      <c r="F61" s="3">
        <v>56493.63</v>
      </c>
      <c r="G61" s="3">
        <v>80207.45</v>
      </c>
      <c r="H61" s="3">
        <f>G61/D61</f>
        <v>187.51953634139412</v>
      </c>
      <c r="I61" s="3">
        <f>G61-F61</f>
        <v>23713.82</v>
      </c>
      <c r="J61" s="5">
        <f>I61/F61</f>
        <v>0.4197609535800762</v>
      </c>
      <c r="K61" s="1">
        <v>45554</v>
      </c>
      <c r="L61" s="1">
        <v>45629</v>
      </c>
      <c r="M61" s="54">
        <f t="shared" si="30"/>
        <v>74</v>
      </c>
    </row>
    <row r="62" spans="1:15" x14ac:dyDescent="0.25">
      <c r="C62" s="26"/>
      <c r="E62" s="3"/>
      <c r="J62" s="5"/>
      <c r="K62" s="1"/>
      <c r="L62" s="1"/>
      <c r="M62" s="54"/>
    </row>
    <row r="63" spans="1:15" x14ac:dyDescent="0.25">
      <c r="C63" s="26"/>
      <c r="E63" s="3"/>
      <c r="J63" s="5"/>
      <c r="K63" s="1"/>
      <c r="L63" s="1"/>
      <c r="M63" s="54"/>
    </row>
    <row r="64" spans="1:15" x14ac:dyDescent="0.25">
      <c r="C64" s="26"/>
      <c r="E64" s="3"/>
      <c r="J64" s="5"/>
      <c r="K64" s="1"/>
      <c r="L64" s="1"/>
      <c r="M64" s="54"/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77105.290000000037</v>
      </c>
      <c r="J69" s="13" t="s">
        <v>68</v>
      </c>
    </row>
    <row r="70" spans="3:13" x14ac:dyDescent="0.25">
      <c r="H70" s="3" t="s">
        <v>69</v>
      </c>
      <c r="I70" s="55">
        <v>21</v>
      </c>
      <c r="J70" s="5">
        <v>-8.7300000000000003E-2</v>
      </c>
    </row>
    <row r="71" spans="3:13" x14ac:dyDescent="0.25">
      <c r="H71" s="3" t="s">
        <v>70</v>
      </c>
      <c r="I71" s="55">
        <v>16</v>
      </c>
      <c r="J71" s="5">
        <v>0.33860000000000001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CD1A-7540-4C5A-9DD9-931CB7928919}">
  <dimension ref="A1:AE22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45639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131</v>
      </c>
      <c r="B7" t="s">
        <v>33</v>
      </c>
      <c r="C7" s="26" t="s">
        <v>132</v>
      </c>
      <c r="D7" s="2">
        <f>1542.0192+932.4994</f>
        <v>2474.5185999999999</v>
      </c>
      <c r="E7" s="27">
        <v>36.51</v>
      </c>
      <c r="F7" s="3">
        <f t="shared" ref="F7:F16" si="0">E7*D7</f>
        <v>90344.674085999985</v>
      </c>
      <c r="G7" s="3">
        <f>44039.07+27471.43</f>
        <v>71510.5</v>
      </c>
      <c r="H7" s="4">
        <f t="shared" ref="H7:H16" si="1">G7/D7</f>
        <v>28.898752266400425</v>
      </c>
      <c r="I7" s="3">
        <f t="shared" ref="I7:I16" si="2">F7-G7</f>
        <v>18834.174085999985</v>
      </c>
      <c r="J7" s="27">
        <f t="shared" ref="J7:J16" si="3">E7-H7</f>
        <v>7.6112477335995727</v>
      </c>
      <c r="K7" s="28">
        <v>45426</v>
      </c>
      <c r="L7">
        <f t="shared" ref="L7:L16" si="4">DAYS360(K7,$C$1)</f>
        <v>209</v>
      </c>
      <c r="M7" s="5">
        <f t="shared" ref="M7:M16" si="5">(I7/G7)</f>
        <v>0.26337634453681608</v>
      </c>
      <c r="N7">
        <v>51</v>
      </c>
      <c r="O7">
        <v>89</v>
      </c>
      <c r="P7" s="34">
        <v>80</v>
      </c>
      <c r="Q7" s="29">
        <v>31.4</v>
      </c>
      <c r="R7" s="30">
        <f t="shared" ref="R7:R16" si="6">Q7*0.93</f>
        <v>29.202000000000002</v>
      </c>
      <c r="S7" s="30">
        <v>36.33</v>
      </c>
      <c r="T7" s="32">
        <f t="shared" ref="T7:T16" si="7">Q7*1.25</f>
        <v>39.25</v>
      </c>
      <c r="U7" s="29">
        <f t="shared" ref="U7:U16" si="8">Q7*1.5</f>
        <v>47.099999999999994</v>
      </c>
      <c r="V7" s="29">
        <f t="shared" ref="V7:V16" si="9">Q7*2</f>
        <v>62.8</v>
      </c>
      <c r="W7" s="29">
        <f t="shared" ref="W7:W16" si="10">H7-(H7*0.07)</f>
        <v>26.875839607752397</v>
      </c>
      <c r="X7" s="30">
        <v>35</v>
      </c>
      <c r="Y7" s="5">
        <f t="shared" ref="Y7:Y16" si="11">(X7-H7)/H7</f>
        <v>0.21112495367813106</v>
      </c>
      <c r="Z7" s="6">
        <f t="shared" ref="Z7:Z16" si="12">F7/F$19</f>
        <v>0.11395060528689595</v>
      </c>
      <c r="AB7" s="31">
        <v>45730</v>
      </c>
      <c r="AC7" s="9">
        <v>94</v>
      </c>
    </row>
    <row r="8" spans="1:31" x14ac:dyDescent="0.25">
      <c r="A8" t="s">
        <v>157</v>
      </c>
      <c r="B8" t="s">
        <v>33</v>
      </c>
      <c r="C8" s="26" t="s">
        <v>159</v>
      </c>
      <c r="D8" s="2">
        <v>1263.7796000000001</v>
      </c>
      <c r="E8" s="27">
        <v>57.3</v>
      </c>
      <c r="F8" s="3">
        <f t="shared" si="0"/>
        <v>72414.571079999994</v>
      </c>
      <c r="G8" s="3">
        <v>56489.42</v>
      </c>
      <c r="H8" s="4">
        <f t="shared" si="1"/>
        <v>44.698790833464948</v>
      </c>
      <c r="I8" s="3">
        <f t="shared" si="2"/>
        <v>15925.151079999996</v>
      </c>
      <c r="J8" s="27">
        <f t="shared" si="3"/>
        <v>12.60120916653505</v>
      </c>
      <c r="K8" s="28">
        <v>45527</v>
      </c>
      <c r="L8">
        <f t="shared" si="4"/>
        <v>110</v>
      </c>
      <c r="M8" s="5">
        <f t="shared" si="5"/>
        <v>0.28191387130545853</v>
      </c>
      <c r="N8">
        <v>178</v>
      </c>
      <c r="O8">
        <v>92</v>
      </c>
      <c r="P8" s="34">
        <v>89</v>
      </c>
      <c r="Q8" s="29">
        <v>43.2</v>
      </c>
      <c r="R8" s="30">
        <f t="shared" si="6"/>
        <v>40.176000000000002</v>
      </c>
      <c r="S8" s="30">
        <v>49.51</v>
      </c>
      <c r="T8" s="29">
        <f t="shared" si="7"/>
        <v>54</v>
      </c>
      <c r="U8" s="29">
        <f t="shared" si="8"/>
        <v>64.800000000000011</v>
      </c>
      <c r="V8" s="29">
        <f t="shared" si="9"/>
        <v>86.4</v>
      </c>
      <c r="W8" s="29">
        <f t="shared" si="10"/>
        <v>41.569875475122402</v>
      </c>
      <c r="X8" s="30">
        <v>51</v>
      </c>
      <c r="Y8" s="5">
        <f t="shared" si="11"/>
        <v>0.14097046137135064</v>
      </c>
      <c r="Z8" s="6">
        <f t="shared" si="12"/>
        <v>9.1335591053237852E-2</v>
      </c>
      <c r="AB8" s="31">
        <v>45729</v>
      </c>
      <c r="AC8" s="9">
        <v>94</v>
      </c>
    </row>
    <row r="9" spans="1:31" x14ac:dyDescent="0.25">
      <c r="A9" t="s">
        <v>158</v>
      </c>
      <c r="B9" t="s">
        <v>33</v>
      </c>
      <c r="C9" s="26" t="s">
        <v>160</v>
      </c>
      <c r="D9" s="2">
        <v>3020.3485999999998</v>
      </c>
      <c r="E9" s="27">
        <v>26.13</v>
      </c>
      <c r="F9" s="3">
        <f t="shared" si="0"/>
        <v>78921.708917999989</v>
      </c>
      <c r="G9" s="3">
        <v>56486.59</v>
      </c>
      <c r="H9" s="4">
        <f t="shared" si="1"/>
        <v>18.702010092477405</v>
      </c>
      <c r="I9" s="3">
        <f t="shared" si="2"/>
        <v>22435.118917999993</v>
      </c>
      <c r="J9" s="27">
        <f t="shared" si="3"/>
        <v>7.4279899075225941</v>
      </c>
      <c r="K9" s="28">
        <v>45527</v>
      </c>
      <c r="L9">
        <f t="shared" si="4"/>
        <v>110</v>
      </c>
      <c r="M9" s="5">
        <f t="shared" si="5"/>
        <v>0.39717601855590845</v>
      </c>
      <c r="N9">
        <v>102</v>
      </c>
      <c r="O9">
        <v>95</v>
      </c>
      <c r="P9" s="34">
        <v>86</v>
      </c>
      <c r="Q9" s="29">
        <v>17.86</v>
      </c>
      <c r="R9" s="30">
        <f t="shared" si="6"/>
        <v>16.6098</v>
      </c>
      <c r="S9" s="30">
        <v>24.64</v>
      </c>
      <c r="T9" s="32">
        <f t="shared" si="7"/>
        <v>22.324999999999999</v>
      </c>
      <c r="U9" s="29">
        <f t="shared" si="8"/>
        <v>26.79</v>
      </c>
      <c r="V9" s="29">
        <f t="shared" si="9"/>
        <v>35.72</v>
      </c>
      <c r="W9" s="29">
        <f t="shared" si="10"/>
        <v>17.392869386003987</v>
      </c>
      <c r="X9" s="30">
        <v>22</v>
      </c>
      <c r="Y9" s="5">
        <f t="shared" si="11"/>
        <v>0.17634414114925329</v>
      </c>
      <c r="Z9" s="6">
        <f t="shared" si="12"/>
        <v>9.9542962465298382E-2</v>
      </c>
      <c r="AB9" s="31">
        <v>45720</v>
      </c>
      <c r="AC9" s="9">
        <v>91</v>
      </c>
    </row>
    <row r="10" spans="1:31" x14ac:dyDescent="0.25">
      <c r="A10" t="s">
        <v>133</v>
      </c>
      <c r="B10" t="s">
        <v>33</v>
      </c>
      <c r="C10" s="26" t="s">
        <v>134</v>
      </c>
      <c r="D10" s="2">
        <v>552.66859999999997</v>
      </c>
      <c r="E10" s="27">
        <v>134.25</v>
      </c>
      <c r="F10" s="3">
        <f t="shared" si="0"/>
        <v>74195.759550000002</v>
      </c>
      <c r="G10" s="3">
        <v>70647.62</v>
      </c>
      <c r="H10" s="4">
        <f t="shared" si="1"/>
        <v>127.82998708448426</v>
      </c>
      <c r="I10" s="3">
        <f t="shared" si="2"/>
        <v>3548.1395500000071</v>
      </c>
      <c r="J10" s="27">
        <f t="shared" si="3"/>
        <v>6.4200129155157413</v>
      </c>
      <c r="K10" s="28">
        <v>45531</v>
      </c>
      <c r="L10">
        <f t="shared" si="4"/>
        <v>106</v>
      </c>
      <c r="M10" s="5">
        <f t="shared" si="5"/>
        <v>5.0223058469627248E-2</v>
      </c>
      <c r="N10">
        <v>86</v>
      </c>
      <c r="O10">
        <v>93</v>
      </c>
      <c r="P10" s="34">
        <v>99</v>
      </c>
      <c r="Q10" s="29">
        <v>131.26</v>
      </c>
      <c r="R10" s="30">
        <f t="shared" si="6"/>
        <v>122.0718</v>
      </c>
      <c r="S10" s="30">
        <v>132.11000000000001</v>
      </c>
      <c r="T10" s="29">
        <f t="shared" si="7"/>
        <v>164.07499999999999</v>
      </c>
      <c r="U10" s="29">
        <f t="shared" si="8"/>
        <v>196.89</v>
      </c>
      <c r="V10" s="29">
        <f t="shared" si="9"/>
        <v>262.52</v>
      </c>
      <c r="W10" s="29">
        <f t="shared" si="10"/>
        <v>118.88188798857036</v>
      </c>
      <c r="X10" s="30">
        <v>130</v>
      </c>
      <c r="Y10" s="5">
        <f t="shared" si="11"/>
        <v>1.6975773564629679E-2</v>
      </c>
      <c r="Z10" s="6">
        <f t="shared" si="12"/>
        <v>9.3582181749811005E-2</v>
      </c>
      <c r="AB10" s="31">
        <v>45714</v>
      </c>
      <c r="AC10" s="9">
        <v>96</v>
      </c>
    </row>
    <row r="11" spans="1:31" x14ac:dyDescent="0.25">
      <c r="A11" t="s">
        <v>165</v>
      </c>
      <c r="B11" t="s">
        <v>33</v>
      </c>
      <c r="C11" s="26" t="s">
        <v>166</v>
      </c>
      <c r="D11" s="2">
        <f>341.2204-83.2121</f>
        <v>258.00829999999996</v>
      </c>
      <c r="E11" s="27">
        <v>408.67</v>
      </c>
      <c r="F11" s="3">
        <f t="shared" si="0"/>
        <v>105440.25196099999</v>
      </c>
      <c r="G11" s="3">
        <f>71012.62-17317.27</f>
        <v>53695.349999999991</v>
      </c>
      <c r="H11" s="4">
        <f t="shared" si="1"/>
        <v>208.11481646133089</v>
      </c>
      <c r="I11" s="3">
        <f t="shared" si="2"/>
        <v>51744.901960999996</v>
      </c>
      <c r="J11" s="27">
        <f t="shared" si="3"/>
        <v>200.55518353866913</v>
      </c>
      <c r="K11" s="28">
        <v>45580</v>
      </c>
      <c r="L11">
        <f t="shared" si="4"/>
        <v>58</v>
      </c>
      <c r="M11" s="5">
        <f t="shared" si="5"/>
        <v>0.96367566206384736</v>
      </c>
      <c r="N11">
        <v>9</v>
      </c>
      <c r="O11">
        <v>99</v>
      </c>
      <c r="P11" s="34">
        <v>5</v>
      </c>
      <c r="Q11" s="29">
        <v>183.7</v>
      </c>
      <c r="R11" s="30">
        <f t="shared" si="6"/>
        <v>170.84100000000001</v>
      </c>
      <c r="S11" s="30">
        <v>318.62</v>
      </c>
      <c r="T11" s="29">
        <f t="shared" si="7"/>
        <v>229.625</v>
      </c>
      <c r="U11" s="29">
        <f t="shared" si="8"/>
        <v>275.54999999999995</v>
      </c>
      <c r="V11" s="29">
        <f t="shared" si="9"/>
        <v>367.4</v>
      </c>
      <c r="W11" s="29">
        <f t="shared" si="10"/>
        <v>193.54677930903773</v>
      </c>
      <c r="X11" s="30">
        <v>335</v>
      </c>
      <c r="Y11" s="5">
        <f t="shared" si="11"/>
        <v>0.60968837152565358</v>
      </c>
      <c r="Z11" s="33">
        <f t="shared" si="12"/>
        <v>0.13299046849315752</v>
      </c>
      <c r="AB11" s="31">
        <v>45692</v>
      </c>
      <c r="AC11" s="9">
        <v>67</v>
      </c>
    </row>
    <row r="12" spans="1:31" x14ac:dyDescent="0.25">
      <c r="A12" t="s">
        <v>138</v>
      </c>
      <c r="B12" t="s">
        <v>33</v>
      </c>
      <c r="C12" t="s">
        <v>169</v>
      </c>
      <c r="D12" s="2">
        <v>939.24239999999998</v>
      </c>
      <c r="E12" s="27">
        <v>57.91</v>
      </c>
      <c r="F12" s="3">
        <f t="shared" si="0"/>
        <v>54391.527383999994</v>
      </c>
      <c r="G12" s="3">
        <v>36992.18</v>
      </c>
      <c r="H12" s="4">
        <f t="shared" si="1"/>
        <v>39.385125714086165</v>
      </c>
      <c r="I12" s="3">
        <f t="shared" si="2"/>
        <v>17399.347383999993</v>
      </c>
      <c r="J12" s="27">
        <f t="shared" si="3"/>
        <v>18.524874285913832</v>
      </c>
      <c r="K12" s="28">
        <v>45593</v>
      </c>
      <c r="L12">
        <f t="shared" si="4"/>
        <v>45</v>
      </c>
      <c r="M12" s="5">
        <f t="shared" si="5"/>
        <v>0.47035204153959009</v>
      </c>
      <c r="O12">
        <v>96</v>
      </c>
      <c r="P12" s="61" t="s">
        <v>170</v>
      </c>
      <c r="Q12" s="29">
        <v>39.369999999999997</v>
      </c>
      <c r="R12" s="30">
        <f t="shared" si="6"/>
        <v>36.614100000000001</v>
      </c>
      <c r="S12" s="30">
        <v>51.54</v>
      </c>
      <c r="T12" s="29">
        <f t="shared" si="7"/>
        <v>49.212499999999999</v>
      </c>
      <c r="U12" s="29">
        <f t="shared" si="8"/>
        <v>59.054999999999993</v>
      </c>
      <c r="V12" s="29">
        <f t="shared" si="9"/>
        <v>78.739999999999995</v>
      </c>
      <c r="W12" s="29">
        <f t="shared" si="10"/>
        <v>36.628166914100134</v>
      </c>
      <c r="X12" s="30">
        <v>50</v>
      </c>
      <c r="Y12" s="5">
        <f t="shared" si="11"/>
        <v>0.26951480015505969</v>
      </c>
      <c r="Z12" s="33">
        <f t="shared" si="12"/>
        <v>6.8603351891952019E-2</v>
      </c>
      <c r="AB12" s="31"/>
      <c r="AC12" s="9"/>
    </row>
    <row r="13" spans="1:31" x14ac:dyDescent="0.25">
      <c r="A13" t="s">
        <v>171</v>
      </c>
      <c r="B13" t="s">
        <v>33</v>
      </c>
      <c r="C13" s="26" t="s">
        <v>172</v>
      </c>
      <c r="D13" s="2">
        <v>935.03689999999995</v>
      </c>
      <c r="E13" s="27">
        <v>73.63</v>
      </c>
      <c r="F13" s="3">
        <f t="shared" si="0"/>
        <v>68846.766946999996</v>
      </c>
      <c r="G13" s="3">
        <v>67635.899999999994</v>
      </c>
      <c r="H13" s="4">
        <f t="shared" si="1"/>
        <v>72.335006244138597</v>
      </c>
      <c r="I13" s="3">
        <f t="shared" si="2"/>
        <v>1210.8669470000023</v>
      </c>
      <c r="J13" s="27">
        <f t="shared" si="3"/>
        <v>1.2949937558613982</v>
      </c>
      <c r="K13" s="28">
        <v>45609</v>
      </c>
      <c r="L13">
        <f t="shared" si="4"/>
        <v>30</v>
      </c>
      <c r="M13" s="5">
        <f t="shared" si="5"/>
        <v>1.7902725431316834E-2</v>
      </c>
      <c r="N13">
        <v>104</v>
      </c>
      <c r="O13">
        <v>83</v>
      </c>
      <c r="P13" s="34">
        <v>95</v>
      </c>
      <c r="Q13" s="29">
        <v>71.2</v>
      </c>
      <c r="R13" s="30">
        <f t="shared" si="6"/>
        <v>66.216000000000008</v>
      </c>
      <c r="S13" s="30">
        <v>69.11</v>
      </c>
      <c r="T13" s="32">
        <f t="shared" si="7"/>
        <v>89</v>
      </c>
      <c r="U13" s="29">
        <f t="shared" si="8"/>
        <v>106.80000000000001</v>
      </c>
      <c r="V13" s="29">
        <f t="shared" si="9"/>
        <v>142.4</v>
      </c>
      <c r="W13" s="29">
        <f t="shared" si="10"/>
        <v>67.271555807048898</v>
      </c>
      <c r="X13" s="30">
        <v>69</v>
      </c>
      <c r="Y13" s="5">
        <f t="shared" si="11"/>
        <v>-4.6105010800477221E-2</v>
      </c>
      <c r="Z13" s="33">
        <f t="shared" si="12"/>
        <v>8.6835564409570548E-2</v>
      </c>
      <c r="AB13" s="31">
        <v>45679</v>
      </c>
      <c r="AC13" s="9">
        <v>94</v>
      </c>
    </row>
    <row r="14" spans="1:31" x14ac:dyDescent="0.25">
      <c r="A14" t="s">
        <v>174</v>
      </c>
      <c r="B14" t="s">
        <v>33</v>
      </c>
      <c r="C14" s="26" t="s">
        <v>173</v>
      </c>
      <c r="D14" s="2">
        <v>1376.2525000000001</v>
      </c>
      <c r="E14" s="27">
        <v>23.48</v>
      </c>
      <c r="F14" s="3">
        <f t="shared" si="0"/>
        <v>32314.408700000004</v>
      </c>
      <c r="G14" s="3">
        <v>42193.66</v>
      </c>
      <c r="H14" s="4">
        <f t="shared" si="1"/>
        <v>30.658371192786209</v>
      </c>
      <c r="I14" s="3">
        <f t="shared" si="2"/>
        <v>-9879.2512999999999</v>
      </c>
      <c r="J14" s="27">
        <f t="shared" si="3"/>
        <v>-7.1783711927862086</v>
      </c>
      <c r="K14" s="28">
        <v>45609</v>
      </c>
      <c r="L14">
        <f t="shared" si="4"/>
        <v>30</v>
      </c>
      <c r="M14" s="5">
        <f t="shared" si="5"/>
        <v>-0.23414065762486588</v>
      </c>
      <c r="N14">
        <v>125</v>
      </c>
      <c r="O14">
        <v>99</v>
      </c>
      <c r="P14" s="34">
        <v>1</v>
      </c>
      <c r="Q14" s="29">
        <v>30.55</v>
      </c>
      <c r="R14" s="30">
        <f t="shared" si="6"/>
        <v>28.411500000000004</v>
      </c>
      <c r="S14" s="30">
        <v>20.2</v>
      </c>
      <c r="T14" s="29">
        <f t="shared" si="7"/>
        <v>38.1875</v>
      </c>
      <c r="U14" s="29">
        <f t="shared" si="8"/>
        <v>45.825000000000003</v>
      </c>
      <c r="V14" s="29">
        <f t="shared" si="9"/>
        <v>61.1</v>
      </c>
      <c r="W14" s="29">
        <f t="shared" si="10"/>
        <v>28.512285209291175</v>
      </c>
      <c r="X14" s="30">
        <v>28.5</v>
      </c>
      <c r="Y14" s="5">
        <f t="shared" si="11"/>
        <v>-7.0400713045514471E-2</v>
      </c>
      <c r="Z14" s="33">
        <f t="shared" si="12"/>
        <v>4.0757758751201759E-2</v>
      </c>
      <c r="AB14" s="31">
        <v>45744</v>
      </c>
      <c r="AC14" s="9">
        <v>44</v>
      </c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44983</v>
      </c>
      <c r="M15" s="5" t="e">
        <f t="shared" si="5"/>
        <v>#DIV/0!</v>
      </c>
      <c r="P15" s="58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/>
      <c r="B16" s="35"/>
      <c r="C16" s="60"/>
      <c r="D16" s="36"/>
      <c r="E16" s="37"/>
      <c r="F16" s="57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si="4"/>
        <v>44983</v>
      </c>
      <c r="M16" s="41" t="e">
        <f t="shared" si="5"/>
        <v>#DIV/0!</v>
      </c>
      <c r="N16" s="35"/>
      <c r="O16" s="35"/>
      <c r="P16" s="62"/>
      <c r="Q16" s="42"/>
      <c r="R16" s="43">
        <f t="shared" si="6"/>
        <v>0</v>
      </c>
      <c r="S16" s="43"/>
      <c r="T16" s="63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576869.66862599994</v>
      </c>
      <c r="G17" s="3">
        <f>SUM(G6:G16)</f>
        <v>455651.22</v>
      </c>
      <c r="H17" s="4"/>
      <c r="I17" s="3">
        <f>SUM(I6:I16)</f>
        <v>121218.44862599997</v>
      </c>
      <c r="M17" s="5"/>
      <c r="Z17" s="6"/>
    </row>
    <row r="18" spans="1:26" x14ac:dyDescent="0.25">
      <c r="D18" s="2" t="s">
        <v>54</v>
      </c>
      <c r="F18" s="3">
        <v>215971</v>
      </c>
      <c r="G18" s="6">
        <f>F18/F19</f>
        <v>0.27240151589887501</v>
      </c>
      <c r="H18" s="4"/>
      <c r="M18" s="5"/>
      <c r="Z18" s="6"/>
    </row>
    <row r="19" spans="1:26" x14ac:dyDescent="0.25">
      <c r="D19" s="2" t="s">
        <v>55</v>
      </c>
      <c r="F19" s="3">
        <f>SUM(F17:F18)</f>
        <v>792840.66862599994</v>
      </c>
      <c r="H19" s="46"/>
      <c r="I19" s="48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'11-29-24'!F19</f>
        <v>815046.49020599993</v>
      </c>
      <c r="K20" s="1">
        <v>45291</v>
      </c>
      <c r="L20" s="47">
        <v>139707.06</v>
      </c>
      <c r="M20" s="47">
        <v>184312</v>
      </c>
      <c r="Z20" s="6"/>
    </row>
    <row r="21" spans="1:26" x14ac:dyDescent="0.25">
      <c r="G21" s="49"/>
      <c r="H21" s="4" t="s">
        <v>57</v>
      </c>
      <c r="I21" s="6">
        <f>(F19-I20)/I20</f>
        <v>-2.7244852713110331E-2</v>
      </c>
      <c r="K21" s="9" t="s">
        <v>58</v>
      </c>
      <c r="L21" s="6">
        <f>(M20-L20)/L20</f>
        <v>0.31927477394485293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2" si="13">F25/D25</f>
        <v>47.428061535569462</v>
      </c>
      <c r="F25" s="3">
        <v>38349.050000000003</v>
      </c>
      <c r="G25" s="3">
        <v>35186.18</v>
      </c>
      <c r="H25" s="3">
        <f t="shared" ref="H25:H57" si="14">G25/D25</f>
        <v>43.516392459307944</v>
      </c>
      <c r="I25" s="3">
        <f t="shared" ref="I25:I57" si="15">G25-F25</f>
        <v>-3162.8700000000026</v>
      </c>
      <c r="J25" s="5">
        <f t="shared" ref="J25:J57" si="16">I25/F25</f>
        <v>-8.2475837080710018E-2</v>
      </c>
      <c r="K25" s="1">
        <v>45286</v>
      </c>
      <c r="L25" s="1">
        <v>45302</v>
      </c>
      <c r="M25">
        <f t="shared" ref="M25:M62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13"/>
        <v>8.6074458279458721</v>
      </c>
      <c r="F57" s="3">
        <f>23794.37+31996.67</f>
        <v>55791.039999999994</v>
      </c>
      <c r="G57" s="3">
        <v>64158.11</v>
      </c>
      <c r="H57" s="3">
        <f t="shared" si="14"/>
        <v>9.8983180139390203</v>
      </c>
      <c r="I57" s="3">
        <f t="shared" si="15"/>
        <v>8367.070000000007</v>
      </c>
      <c r="J57" s="5">
        <f t="shared" si="16"/>
        <v>0.14997157249622892</v>
      </c>
      <c r="K57" s="1">
        <v>45378</v>
      </c>
      <c r="L57" s="1">
        <v>45607</v>
      </c>
      <c r="M57" s="54">
        <f t="shared" si="17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13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17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13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17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13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17"/>
        <v>33</v>
      </c>
    </row>
    <row r="61" spans="1:15" x14ac:dyDescent="0.25">
      <c r="A61" t="s">
        <v>163</v>
      </c>
      <c r="B61" t="s">
        <v>33</v>
      </c>
      <c r="C61" s="26" t="s">
        <v>164</v>
      </c>
      <c r="D61" s="2">
        <v>427.7285</v>
      </c>
      <c r="E61" s="3">
        <f t="shared" si="13"/>
        <v>132.0782458966377</v>
      </c>
      <c r="F61" s="3">
        <v>56493.63</v>
      </c>
      <c r="G61" s="3">
        <v>80207.45</v>
      </c>
      <c r="H61" s="3">
        <f>G61/D61</f>
        <v>187.51953634139412</v>
      </c>
      <c r="I61" s="3">
        <f>G61-F61</f>
        <v>23713.82</v>
      </c>
      <c r="J61" s="5">
        <f>I61/F61</f>
        <v>0.4197609535800762</v>
      </c>
      <c r="K61" s="1">
        <v>45554</v>
      </c>
      <c r="L61" s="1">
        <v>45629</v>
      </c>
      <c r="M61" s="54">
        <f t="shared" si="17"/>
        <v>74</v>
      </c>
    </row>
    <row r="62" spans="1:15" x14ac:dyDescent="0.25">
      <c r="A62" t="s">
        <v>176</v>
      </c>
      <c r="B62" t="s">
        <v>33</v>
      </c>
      <c r="C62" s="26" t="s">
        <v>177</v>
      </c>
      <c r="D62" s="2">
        <f>1398.5013+654.0854</f>
        <v>2052.5866999999998</v>
      </c>
      <c r="E62" s="3">
        <f t="shared" si="13"/>
        <v>35.711090790951729</v>
      </c>
      <c r="F62" s="3">
        <v>73300.11</v>
      </c>
      <c r="G62" s="3">
        <v>52589.03</v>
      </c>
      <c r="H62" s="3">
        <f>G62/D62</f>
        <v>25.620856843708481</v>
      </c>
      <c r="I62" s="3">
        <f>G62-F62</f>
        <v>-20711.080000000002</v>
      </c>
      <c r="J62" s="5">
        <f>I62/F62</f>
        <v>-0.28255182700271531</v>
      </c>
      <c r="K62" s="1">
        <v>45630</v>
      </c>
      <c r="L62" s="1">
        <v>45639</v>
      </c>
      <c r="M62" s="54">
        <f t="shared" si="17"/>
        <v>9</v>
      </c>
    </row>
    <row r="63" spans="1:15" x14ac:dyDescent="0.25">
      <c r="C63" s="26"/>
      <c r="E63" s="3"/>
      <c r="J63" s="5"/>
      <c r="K63" s="1"/>
      <c r="L63" s="1"/>
      <c r="M63" s="54"/>
    </row>
    <row r="64" spans="1:15" x14ac:dyDescent="0.25">
      <c r="C64" s="26"/>
      <c r="E64" s="3"/>
      <c r="J64" s="5"/>
      <c r="K64" s="1"/>
      <c r="L64" s="1"/>
      <c r="M64" s="54"/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56394.210000000036</v>
      </c>
      <c r="J69" s="13" t="s">
        <v>68</v>
      </c>
    </row>
    <row r="70" spans="3:13" x14ac:dyDescent="0.25">
      <c r="H70" s="3" t="s">
        <v>69</v>
      </c>
      <c r="I70" s="55">
        <v>22</v>
      </c>
      <c r="J70" s="5">
        <v>9.6199999999999994E-2</v>
      </c>
    </row>
    <row r="71" spans="3:13" x14ac:dyDescent="0.25">
      <c r="H71" s="3" t="s">
        <v>70</v>
      </c>
      <c r="I71" s="55">
        <v>16</v>
      </c>
      <c r="J71" s="5">
        <v>0.33860000000000001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F776-B75D-4F3C-9DF0-BCEC837ACC6F}">
  <dimension ref="A1:AE22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45646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157</v>
      </c>
      <c r="B7" t="s">
        <v>33</v>
      </c>
      <c r="C7" s="26" t="s">
        <v>159</v>
      </c>
      <c r="D7" s="2">
        <v>1263.7796000000001</v>
      </c>
      <c r="E7" s="27">
        <v>57.14</v>
      </c>
      <c r="F7" s="3">
        <f t="shared" ref="F7:F14" si="0">E7*D7</f>
        <v>72212.366344000009</v>
      </c>
      <c r="G7" s="3">
        <v>56489.42</v>
      </c>
      <c r="H7" s="4">
        <f t="shared" ref="H7:H14" si="1">G7/D7</f>
        <v>44.698790833464948</v>
      </c>
      <c r="I7" s="3">
        <f t="shared" ref="I7:I14" si="2">F7-G7</f>
        <v>15722.946344000011</v>
      </c>
      <c r="J7" s="27">
        <f t="shared" ref="J7:J14" si="3">E7-H7</f>
        <v>12.441209166535053</v>
      </c>
      <c r="K7" s="28">
        <v>45527</v>
      </c>
      <c r="L7">
        <f t="shared" ref="L7:L14" si="4">DAYS360(K7,$C$1)</f>
        <v>117</v>
      </c>
      <c r="M7" s="5">
        <f t="shared" ref="M7:M14" si="5">(I7/G7)</f>
        <v>0.2783343561325291</v>
      </c>
      <c r="N7">
        <v>150</v>
      </c>
      <c r="O7">
        <v>94</v>
      </c>
      <c r="P7" s="34">
        <v>89</v>
      </c>
      <c r="Q7" s="29">
        <v>43.2</v>
      </c>
      <c r="R7" s="30">
        <f t="shared" ref="R7:R14" si="6">Q7*0.93</f>
        <v>40.176000000000002</v>
      </c>
      <c r="S7" s="30">
        <v>49.51</v>
      </c>
      <c r="T7" s="29">
        <f t="shared" ref="T7:T14" si="7">Q7*1.25</f>
        <v>54</v>
      </c>
      <c r="U7" s="29">
        <f t="shared" ref="U7:U14" si="8">Q7*1.5</f>
        <v>64.800000000000011</v>
      </c>
      <c r="V7" s="29">
        <f t="shared" ref="V7:V14" si="9">Q7*2</f>
        <v>86.4</v>
      </c>
      <c r="W7" s="29">
        <f t="shared" ref="W7:W14" si="10">H7-(H7*0.07)</f>
        <v>41.569875475122402</v>
      </c>
      <c r="X7" s="30">
        <v>51</v>
      </c>
      <c r="Y7" s="5">
        <f t="shared" ref="Y7:Y14" si="11">(X7-H7)/H7</f>
        <v>0.14097046137135064</v>
      </c>
      <c r="Z7" s="6">
        <f t="shared" ref="Z7:Z14" si="12">F7/F$19</f>
        <v>9.4749653720739721E-2</v>
      </c>
      <c r="AB7" s="31">
        <v>45729</v>
      </c>
      <c r="AC7" s="9">
        <v>96</v>
      </c>
    </row>
    <row r="8" spans="1:31" x14ac:dyDescent="0.25">
      <c r="A8" t="s">
        <v>158</v>
      </c>
      <c r="B8" t="s">
        <v>33</v>
      </c>
      <c r="C8" s="26" t="s">
        <v>160</v>
      </c>
      <c r="D8" s="2">
        <v>3020.3485999999998</v>
      </c>
      <c r="E8" s="27">
        <v>24.53</v>
      </c>
      <c r="F8" s="3">
        <f t="shared" si="0"/>
        <v>74089.151157999993</v>
      </c>
      <c r="G8" s="3">
        <v>56486.59</v>
      </c>
      <c r="H8" s="4">
        <f t="shared" si="1"/>
        <v>18.702010092477405</v>
      </c>
      <c r="I8" s="3">
        <f t="shared" si="2"/>
        <v>17602.561157999997</v>
      </c>
      <c r="J8" s="27">
        <f t="shared" si="3"/>
        <v>5.8279899075225963</v>
      </c>
      <c r="K8" s="28">
        <v>45527</v>
      </c>
      <c r="L8">
        <f t="shared" si="4"/>
        <v>117</v>
      </c>
      <c r="M8" s="5">
        <f t="shared" si="5"/>
        <v>0.31162371738141742</v>
      </c>
      <c r="N8">
        <v>113</v>
      </c>
      <c r="O8">
        <v>94</v>
      </c>
      <c r="P8" s="34">
        <v>86</v>
      </c>
      <c r="Q8" s="29">
        <v>17.86</v>
      </c>
      <c r="R8" s="30">
        <f t="shared" si="6"/>
        <v>16.6098</v>
      </c>
      <c r="S8" s="30">
        <v>24.64</v>
      </c>
      <c r="T8" s="32">
        <f t="shared" si="7"/>
        <v>22.324999999999999</v>
      </c>
      <c r="U8" s="29">
        <f t="shared" si="8"/>
        <v>26.79</v>
      </c>
      <c r="V8" s="29">
        <f t="shared" si="9"/>
        <v>35.72</v>
      </c>
      <c r="W8" s="29">
        <f t="shared" si="10"/>
        <v>17.392869386003987</v>
      </c>
      <c r="X8" s="30">
        <v>22</v>
      </c>
      <c r="Y8" s="5">
        <f t="shared" si="11"/>
        <v>0.17634414114925329</v>
      </c>
      <c r="Z8" s="6">
        <f t="shared" si="12"/>
        <v>9.7212178081009723E-2</v>
      </c>
      <c r="AB8" s="31">
        <v>45720</v>
      </c>
      <c r="AC8" s="9">
        <v>91</v>
      </c>
    </row>
    <row r="9" spans="1:31" x14ac:dyDescent="0.25">
      <c r="A9" t="s">
        <v>165</v>
      </c>
      <c r="B9" t="s">
        <v>33</v>
      </c>
      <c r="C9" s="26" t="s">
        <v>166</v>
      </c>
      <c r="D9" s="2">
        <f>341.2204-83.2121</f>
        <v>258.00829999999996</v>
      </c>
      <c r="E9" s="27">
        <v>364.2</v>
      </c>
      <c r="F9" s="3">
        <f t="shared" si="0"/>
        <v>93966.622859999989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40271.272859999997</v>
      </c>
      <c r="J9" s="27">
        <f t="shared" si="3"/>
        <v>156.0851835386691</v>
      </c>
      <c r="K9" s="28">
        <v>45580</v>
      </c>
      <c r="L9">
        <f t="shared" si="4"/>
        <v>65</v>
      </c>
      <c r="M9" s="5">
        <f t="shared" si="5"/>
        <v>0.74999553704371058</v>
      </c>
      <c r="N9">
        <v>9</v>
      </c>
      <c r="O9">
        <v>99</v>
      </c>
      <c r="P9" s="34">
        <v>5</v>
      </c>
      <c r="Q9" s="29">
        <v>183.7</v>
      </c>
      <c r="R9" s="30">
        <f t="shared" si="6"/>
        <v>170.84100000000001</v>
      </c>
      <c r="S9" s="30">
        <v>318.62</v>
      </c>
      <c r="T9" s="29">
        <f t="shared" si="7"/>
        <v>229.625</v>
      </c>
      <c r="U9" s="29">
        <f t="shared" si="8"/>
        <v>275.54999999999995</v>
      </c>
      <c r="V9" s="29">
        <f t="shared" si="9"/>
        <v>367.4</v>
      </c>
      <c r="W9" s="29">
        <f t="shared" si="10"/>
        <v>193.54677930903773</v>
      </c>
      <c r="X9" s="30">
        <v>335</v>
      </c>
      <c r="Y9" s="5">
        <f t="shared" si="11"/>
        <v>0.60968837152565358</v>
      </c>
      <c r="Z9" s="33">
        <f t="shared" si="12"/>
        <v>0.12329335580666929</v>
      </c>
      <c r="AB9" s="31">
        <v>45692</v>
      </c>
      <c r="AC9" s="9">
        <v>62</v>
      </c>
    </row>
    <row r="10" spans="1:31" x14ac:dyDescent="0.25">
      <c r="A10" t="s">
        <v>138</v>
      </c>
      <c r="B10" t="s">
        <v>33</v>
      </c>
      <c r="C10" t="s">
        <v>169</v>
      </c>
      <c r="D10" s="2">
        <v>939.24239999999998</v>
      </c>
      <c r="E10" s="27">
        <v>54.81</v>
      </c>
      <c r="F10" s="3">
        <f t="shared" si="0"/>
        <v>51479.875943999999</v>
      </c>
      <c r="G10" s="3">
        <v>36992.18</v>
      </c>
      <c r="H10" s="4">
        <f t="shared" si="1"/>
        <v>39.385125714086165</v>
      </c>
      <c r="I10" s="3">
        <f t="shared" si="2"/>
        <v>14487.695943999999</v>
      </c>
      <c r="J10" s="27">
        <f t="shared" si="3"/>
        <v>15.424874285913837</v>
      </c>
      <c r="K10" s="28">
        <v>45593</v>
      </c>
      <c r="L10">
        <f t="shared" si="4"/>
        <v>52</v>
      </c>
      <c r="M10" s="5">
        <f t="shared" si="5"/>
        <v>0.39164212392997655</v>
      </c>
      <c r="O10">
        <v>96</v>
      </c>
      <c r="P10" s="61" t="s">
        <v>170</v>
      </c>
      <c r="Q10" s="29">
        <v>39.369999999999997</v>
      </c>
      <c r="R10" s="30">
        <f t="shared" si="6"/>
        <v>36.614100000000001</v>
      </c>
      <c r="S10" s="30">
        <v>51.54</v>
      </c>
      <c r="T10" s="29">
        <f t="shared" si="7"/>
        <v>49.212499999999999</v>
      </c>
      <c r="U10" s="29">
        <f t="shared" si="8"/>
        <v>59.054999999999993</v>
      </c>
      <c r="V10" s="29">
        <f t="shared" si="9"/>
        <v>78.739999999999995</v>
      </c>
      <c r="W10" s="29">
        <f t="shared" si="10"/>
        <v>36.628166914100134</v>
      </c>
      <c r="X10" s="30">
        <v>50</v>
      </c>
      <c r="Y10" s="5">
        <f t="shared" si="11"/>
        <v>0.26951480015505969</v>
      </c>
      <c r="Z10" s="33">
        <f t="shared" si="12"/>
        <v>6.7546608236664127E-2</v>
      </c>
      <c r="AB10" s="31"/>
      <c r="AC10" s="9"/>
    </row>
    <row r="11" spans="1:31" x14ac:dyDescent="0.25">
      <c r="A11" t="s">
        <v>171</v>
      </c>
      <c r="B11" t="s">
        <v>33</v>
      </c>
      <c r="C11" s="26" t="s">
        <v>172</v>
      </c>
      <c r="D11" s="2">
        <v>935.03689999999995</v>
      </c>
      <c r="E11" s="27">
        <v>70.58</v>
      </c>
      <c r="F11" s="3">
        <f t="shared" si="0"/>
        <v>65994.904402</v>
      </c>
      <c r="G11" s="3">
        <v>67635.899999999994</v>
      </c>
      <c r="H11" s="4">
        <f t="shared" si="1"/>
        <v>72.335006244138597</v>
      </c>
      <c r="I11" s="3">
        <f t="shared" si="2"/>
        <v>-1640.9955979999941</v>
      </c>
      <c r="J11" s="27">
        <f t="shared" si="3"/>
        <v>-1.755006244138599</v>
      </c>
      <c r="K11" s="28">
        <v>45609</v>
      </c>
      <c r="L11">
        <f t="shared" si="4"/>
        <v>37</v>
      </c>
      <c r="M11" s="5">
        <f t="shared" si="5"/>
        <v>-2.426219800431419E-2</v>
      </c>
      <c r="N11">
        <v>111</v>
      </c>
      <c r="O11">
        <v>83</v>
      </c>
      <c r="P11" s="34">
        <v>95</v>
      </c>
      <c r="Q11" s="29">
        <v>71.2</v>
      </c>
      <c r="R11" s="30">
        <f t="shared" si="6"/>
        <v>66.216000000000008</v>
      </c>
      <c r="S11" s="30">
        <v>69.11</v>
      </c>
      <c r="T11" s="32">
        <f t="shared" si="7"/>
        <v>89</v>
      </c>
      <c r="U11" s="29">
        <f t="shared" si="8"/>
        <v>106.80000000000001</v>
      </c>
      <c r="V11" s="29">
        <f t="shared" si="9"/>
        <v>142.4</v>
      </c>
      <c r="W11" s="29">
        <f t="shared" si="10"/>
        <v>67.271555807048898</v>
      </c>
      <c r="X11" s="30">
        <v>69</v>
      </c>
      <c r="Y11" s="5">
        <f t="shared" si="11"/>
        <v>-4.6105010800477221E-2</v>
      </c>
      <c r="Z11" s="33">
        <f t="shared" si="12"/>
        <v>8.6591738451489916E-2</v>
      </c>
      <c r="AB11" s="31">
        <v>45679</v>
      </c>
      <c r="AC11" s="9">
        <v>94</v>
      </c>
    </row>
    <row r="12" spans="1:31" x14ac:dyDescent="0.25">
      <c r="A12" t="s">
        <v>174</v>
      </c>
      <c r="B12" t="s">
        <v>33</v>
      </c>
      <c r="C12" s="26" t="s">
        <v>173</v>
      </c>
      <c r="D12" s="2">
        <v>1376.2525000000001</v>
      </c>
      <c r="E12" s="27">
        <v>22.88</v>
      </c>
      <c r="F12" s="3">
        <f t="shared" si="0"/>
        <v>31488.657200000001</v>
      </c>
      <c r="G12" s="3">
        <v>42193.66</v>
      </c>
      <c r="H12" s="4">
        <f t="shared" si="1"/>
        <v>30.658371192786209</v>
      </c>
      <c r="I12" s="3">
        <f t="shared" si="2"/>
        <v>-10705.002800000002</v>
      </c>
      <c r="J12" s="27">
        <f t="shared" si="3"/>
        <v>-7.77837119278621</v>
      </c>
      <c r="K12" s="28">
        <v>45609</v>
      </c>
      <c r="L12">
        <f t="shared" si="4"/>
        <v>37</v>
      </c>
      <c r="M12" s="5">
        <f t="shared" si="5"/>
        <v>-0.25371116892917089</v>
      </c>
      <c r="N12">
        <v>120</v>
      </c>
      <c r="O12">
        <v>99</v>
      </c>
      <c r="P12" s="34">
        <v>1</v>
      </c>
      <c r="Q12" s="29">
        <v>30.55</v>
      </c>
      <c r="R12" s="30">
        <f t="shared" si="6"/>
        <v>28.411500000000004</v>
      </c>
      <c r="S12" s="30">
        <v>20.2</v>
      </c>
      <c r="T12" s="29">
        <f t="shared" si="7"/>
        <v>38.1875</v>
      </c>
      <c r="U12" s="29">
        <f t="shared" si="8"/>
        <v>45.825000000000003</v>
      </c>
      <c r="V12" s="29">
        <f t="shared" si="9"/>
        <v>61.1</v>
      </c>
      <c r="W12" s="29">
        <f t="shared" si="10"/>
        <v>28.512285209291175</v>
      </c>
      <c r="X12" s="30">
        <v>28.5</v>
      </c>
      <c r="Y12" s="5">
        <f t="shared" si="11"/>
        <v>-7.0400713045514471E-2</v>
      </c>
      <c r="Z12" s="33">
        <f t="shared" si="12"/>
        <v>4.1316183319880566E-2</v>
      </c>
      <c r="AB12" s="31">
        <v>45744</v>
      </c>
      <c r="AC12" s="9">
        <v>44</v>
      </c>
    </row>
    <row r="13" spans="1:31" x14ac:dyDescent="0.25">
      <c r="C13" s="26"/>
      <c r="E13" s="27"/>
      <c r="F13" s="3">
        <f t="shared" si="0"/>
        <v>0</v>
      </c>
      <c r="H13" s="4" t="e">
        <f t="shared" si="1"/>
        <v>#DIV/0!</v>
      </c>
      <c r="I13" s="3">
        <f t="shared" si="2"/>
        <v>0</v>
      </c>
      <c r="J13" s="27" t="e">
        <f t="shared" si="3"/>
        <v>#DIV/0!</v>
      </c>
      <c r="K13" s="28"/>
      <c r="L13">
        <f t="shared" si="4"/>
        <v>44990</v>
      </c>
      <c r="M13" s="5" t="e">
        <f t="shared" si="5"/>
        <v>#DIV/0!</v>
      </c>
      <c r="P13" s="34"/>
      <c r="Q13" s="29"/>
      <c r="R13" s="30">
        <f t="shared" si="6"/>
        <v>0</v>
      </c>
      <c r="S13" s="30"/>
      <c r="T13" s="32">
        <f t="shared" si="7"/>
        <v>0</v>
      </c>
      <c r="U13" s="29">
        <f t="shared" si="8"/>
        <v>0</v>
      </c>
      <c r="V13" s="29">
        <f t="shared" si="9"/>
        <v>0</v>
      </c>
      <c r="W13" s="29" t="e">
        <f t="shared" si="10"/>
        <v>#DIV/0!</v>
      </c>
      <c r="X13" s="30"/>
      <c r="Y13" s="5" t="e">
        <f t="shared" si="11"/>
        <v>#DIV/0!</v>
      </c>
      <c r="Z13" s="6">
        <f t="shared" si="12"/>
        <v>0</v>
      </c>
      <c r="AB13" s="31"/>
      <c r="AC13" s="9"/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44990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29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ref="F15:F16" si="13">E15*D15</f>
        <v>0</v>
      </c>
      <c r="H15" s="4" t="e">
        <f t="shared" ref="H15:H16" si="14">G15/D15</f>
        <v>#DIV/0!</v>
      </c>
      <c r="I15" s="3">
        <f t="shared" ref="I15:I16" si="15">F15-G15</f>
        <v>0</v>
      </c>
      <c r="J15" s="27" t="e">
        <f t="shared" ref="J15:J16" si="16">E15-H15</f>
        <v>#DIV/0!</v>
      </c>
      <c r="K15" s="28"/>
      <c r="L15">
        <f t="shared" ref="L15:L16" si="17">DAYS360(K15,$C$1)</f>
        <v>44990</v>
      </c>
      <c r="M15" s="5" t="e">
        <f t="shared" ref="M15:M16" si="18">(I15/G15)</f>
        <v>#DIV/0!</v>
      </c>
      <c r="P15" s="58"/>
      <c r="Q15" s="29"/>
      <c r="R15" s="30">
        <f t="shared" ref="R15:R16" si="19">Q15*0.93</f>
        <v>0</v>
      </c>
      <c r="S15" s="30"/>
      <c r="T15" s="32">
        <f t="shared" ref="T15:T16" si="20">Q15*1.25</f>
        <v>0</v>
      </c>
      <c r="U15" s="29">
        <f t="shared" ref="U15:U16" si="21">Q15*1.5</f>
        <v>0</v>
      </c>
      <c r="V15" s="29">
        <f t="shared" ref="V15:V16" si="22">Q15*2</f>
        <v>0</v>
      </c>
      <c r="W15" s="29" t="e">
        <f t="shared" ref="W15:W16" si="23">H15-(H15*0.07)</f>
        <v>#DIV/0!</v>
      </c>
      <c r="X15" s="30"/>
      <c r="Y15" s="5" t="e">
        <f t="shared" ref="Y15:Y16" si="24">(X15-H15)/H15</f>
        <v>#DIV/0!</v>
      </c>
      <c r="Z15" s="6">
        <f t="shared" ref="Z15:Z16" si="25">F15/F$19</f>
        <v>0</v>
      </c>
      <c r="AB15" s="31"/>
      <c r="AC15" s="9"/>
    </row>
    <row r="16" spans="1:31" x14ac:dyDescent="0.25">
      <c r="A16" s="35"/>
      <c r="B16" s="35"/>
      <c r="C16" s="60"/>
      <c r="D16" s="36"/>
      <c r="E16" s="37"/>
      <c r="F16" s="57">
        <f t="shared" si="13"/>
        <v>0</v>
      </c>
      <c r="G16" s="38"/>
      <c r="H16" s="39" t="e">
        <f t="shared" si="14"/>
        <v>#DIV/0!</v>
      </c>
      <c r="I16" s="38">
        <f t="shared" si="15"/>
        <v>0</v>
      </c>
      <c r="J16" s="37" t="e">
        <f t="shared" si="16"/>
        <v>#DIV/0!</v>
      </c>
      <c r="K16" s="40"/>
      <c r="L16" s="35">
        <f t="shared" si="17"/>
        <v>44990</v>
      </c>
      <c r="M16" s="41" t="e">
        <f t="shared" si="18"/>
        <v>#DIV/0!</v>
      </c>
      <c r="N16" s="35"/>
      <c r="O16" s="35"/>
      <c r="P16" s="62"/>
      <c r="Q16" s="42"/>
      <c r="R16" s="43">
        <f t="shared" si="19"/>
        <v>0</v>
      </c>
      <c r="S16" s="43"/>
      <c r="T16" s="63">
        <f t="shared" si="20"/>
        <v>0</v>
      </c>
      <c r="U16" s="42">
        <f t="shared" si="21"/>
        <v>0</v>
      </c>
      <c r="V16" s="42">
        <f t="shared" si="22"/>
        <v>0</v>
      </c>
      <c r="W16" s="42" t="e">
        <f t="shared" si="23"/>
        <v>#DIV/0!</v>
      </c>
      <c r="X16" s="43"/>
      <c r="Y16" s="41" t="e">
        <f t="shared" si="24"/>
        <v>#DIV/0!</v>
      </c>
      <c r="Z16" s="44">
        <f t="shared" si="25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389231.57790799998</v>
      </c>
      <c r="G17" s="3">
        <f>SUM(G6:G16)</f>
        <v>313493.09999999998</v>
      </c>
      <c r="H17" s="4"/>
      <c r="I17" s="3">
        <f>SUM(I6:I16)</f>
        <v>75738.477908000001</v>
      </c>
      <c r="M17" s="5"/>
      <c r="Z17" s="6"/>
    </row>
    <row r="18" spans="1:26" x14ac:dyDescent="0.25">
      <c r="D18" s="2" t="s">
        <v>54</v>
      </c>
      <c r="F18" s="3">
        <v>372907</v>
      </c>
      <c r="G18" s="6">
        <f>F18/F19</f>
        <v>0.48929028238354666</v>
      </c>
      <c r="H18" s="4"/>
      <c r="M18" s="5"/>
      <c r="Z18" s="6"/>
    </row>
    <row r="19" spans="1:26" x14ac:dyDescent="0.25">
      <c r="D19" s="2" t="s">
        <v>55</v>
      </c>
      <c r="F19" s="3">
        <f>SUM(F17:F18)</f>
        <v>762138.57790799998</v>
      </c>
      <c r="H19" s="46"/>
      <c r="I19" s="48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'12-13-24'!F19</f>
        <v>792840.66862599994</v>
      </c>
      <c r="K20" s="1">
        <v>45291</v>
      </c>
      <c r="L20" s="47">
        <v>139707.06</v>
      </c>
      <c r="M20" s="47">
        <v>177923</v>
      </c>
      <c r="Z20" s="6"/>
    </row>
    <row r="21" spans="1:26" x14ac:dyDescent="0.25">
      <c r="G21" s="49"/>
      <c r="H21" s="4" t="s">
        <v>57</v>
      </c>
      <c r="I21" s="6">
        <f>(F19-I20)/I20</f>
        <v>-3.8724162284973301E-2</v>
      </c>
      <c r="K21" s="9" t="s">
        <v>58</v>
      </c>
      <c r="L21" s="6">
        <f>(M20-L20)/L20</f>
        <v>0.27354336996283513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4" si="26">F25/D25</f>
        <v>47.428061535569462</v>
      </c>
      <c r="F25" s="3">
        <v>38349.050000000003</v>
      </c>
      <c r="G25" s="3">
        <v>35186.18</v>
      </c>
      <c r="H25" s="3">
        <f t="shared" ref="H25:H57" si="27">G25/D25</f>
        <v>43.516392459307944</v>
      </c>
      <c r="I25" s="3">
        <f t="shared" ref="I25:I57" si="28">G25-F25</f>
        <v>-3162.8700000000026</v>
      </c>
      <c r="J25" s="5">
        <f t="shared" ref="J25:J57" si="29">I25/F25</f>
        <v>-8.2475837080710018E-2</v>
      </c>
      <c r="K25" s="1">
        <v>45286</v>
      </c>
      <c r="L25" s="1">
        <v>45302</v>
      </c>
      <c r="M25">
        <f t="shared" ref="M25:M64" si="30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26"/>
        <v>35.085004734625322</v>
      </c>
      <c r="F26" s="3">
        <v>40941.919999999998</v>
      </c>
      <c r="G26" s="3">
        <v>36634.589999999997</v>
      </c>
      <c r="H26" s="3">
        <f t="shared" si="27"/>
        <v>31.393856555849297</v>
      </c>
      <c r="I26" s="3">
        <f t="shared" si="28"/>
        <v>-4307.3300000000017</v>
      </c>
      <c r="J26" s="5">
        <f t="shared" si="29"/>
        <v>-0.10520586235330444</v>
      </c>
      <c r="K26" s="1">
        <v>45233</v>
      </c>
      <c r="L26" s="1">
        <v>45307</v>
      </c>
      <c r="M26">
        <f t="shared" si="30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26"/>
        <v>20.491040268725982</v>
      </c>
      <c r="F27" s="3">
        <v>41317.9</v>
      </c>
      <c r="G27" s="3">
        <v>42071.53</v>
      </c>
      <c r="H27" s="3">
        <f t="shared" si="27"/>
        <v>20.86479262975401</v>
      </c>
      <c r="I27" s="3">
        <f t="shared" si="28"/>
        <v>753.62999999999738</v>
      </c>
      <c r="J27" s="5">
        <f t="shared" si="29"/>
        <v>1.8239794374835056E-2</v>
      </c>
      <c r="K27" s="1">
        <v>45135</v>
      </c>
      <c r="L27" s="1">
        <v>45308</v>
      </c>
      <c r="M27">
        <f t="shared" si="30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26"/>
        <v>21.193736358158553</v>
      </c>
      <c r="F28" s="3">
        <f>28457.8+19398.39</f>
        <v>47856.19</v>
      </c>
      <c r="G28" s="3">
        <v>39178.269999999997</v>
      </c>
      <c r="H28" s="3">
        <f t="shared" si="27"/>
        <v>17.350606585036385</v>
      </c>
      <c r="I28" s="3">
        <f t="shared" si="28"/>
        <v>-8677.9200000000055</v>
      </c>
      <c r="J28" s="5">
        <f t="shared" si="29"/>
        <v>-0.18133328206863114</v>
      </c>
      <c r="K28" s="1">
        <v>45302</v>
      </c>
      <c r="L28" s="1">
        <v>45322</v>
      </c>
      <c r="M28">
        <f t="shared" si="30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26"/>
        <v>450.27964205816556</v>
      </c>
      <c r="F29" s="3">
        <v>56759.55</v>
      </c>
      <c r="G29" s="3">
        <v>54939.360000000001</v>
      </c>
      <c r="H29" s="3">
        <f t="shared" si="27"/>
        <v>435.83987814746064</v>
      </c>
      <c r="I29" s="3">
        <f t="shared" si="28"/>
        <v>-1820.1900000000023</v>
      </c>
      <c r="J29" s="5">
        <f t="shared" si="29"/>
        <v>-3.2068436060539635E-2</v>
      </c>
      <c r="K29" s="1">
        <v>45327</v>
      </c>
      <c r="L29" s="1">
        <v>45342</v>
      </c>
      <c r="M29">
        <f t="shared" si="30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26"/>
        <v>21.530005475912173</v>
      </c>
      <c r="F30" s="3">
        <v>17409.86</v>
      </c>
      <c r="G30" s="3">
        <v>28227.27</v>
      </c>
      <c r="H30" s="3">
        <f t="shared" si="27"/>
        <v>34.907418995330886</v>
      </c>
      <c r="I30" s="3">
        <f t="shared" si="28"/>
        <v>10817.41</v>
      </c>
      <c r="J30" s="5">
        <f t="shared" si="29"/>
        <v>0.62133813827336914</v>
      </c>
      <c r="K30" s="1">
        <v>45309</v>
      </c>
      <c r="L30" s="1">
        <v>45343</v>
      </c>
      <c r="M30" s="54">
        <f t="shared" si="30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26"/>
        <v>52.971341590739279</v>
      </c>
      <c r="F31" s="3">
        <v>52029.58</v>
      </c>
      <c r="G31" s="3">
        <v>47202.25</v>
      </c>
      <c r="H31" s="3">
        <f t="shared" si="27"/>
        <v>48.056634487564061</v>
      </c>
      <c r="I31" s="3">
        <f t="shared" si="28"/>
        <v>-4827.3300000000017</v>
      </c>
      <c r="J31" s="5">
        <f t="shared" si="29"/>
        <v>-9.278049140508153E-2</v>
      </c>
      <c r="K31" s="1">
        <v>45344</v>
      </c>
      <c r="L31" s="1">
        <v>45351</v>
      </c>
      <c r="M31" s="54">
        <f t="shared" si="30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26"/>
        <v>130.66998915547813</v>
      </c>
      <c r="F32" s="3">
        <v>58909.52</v>
      </c>
      <c r="G32" s="3">
        <v>55702.82</v>
      </c>
      <c r="H32" s="3">
        <f t="shared" si="27"/>
        <v>123.55705640326981</v>
      </c>
      <c r="I32" s="3">
        <f t="shared" si="28"/>
        <v>-3206.6999999999971</v>
      </c>
      <c r="J32" s="5">
        <f t="shared" si="29"/>
        <v>-5.4434325725281708E-2</v>
      </c>
      <c r="K32" s="1">
        <v>45286</v>
      </c>
      <c r="L32" s="1">
        <v>45356</v>
      </c>
      <c r="M32" s="54">
        <f t="shared" si="30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26"/>
        <v>34.902742463000052</v>
      </c>
      <c r="F33" s="3">
        <f>30020.93+21858.29</f>
        <v>51879.22</v>
      </c>
      <c r="G33" s="3">
        <v>51882.03</v>
      </c>
      <c r="H33" s="3">
        <f t="shared" si="27"/>
        <v>34.904632944513089</v>
      </c>
      <c r="I33" s="3">
        <f t="shared" si="28"/>
        <v>2.8099999999976717</v>
      </c>
      <c r="J33" s="5">
        <f t="shared" si="29"/>
        <v>5.4164268468139489E-5</v>
      </c>
      <c r="K33" s="1">
        <v>45331</v>
      </c>
      <c r="L33" s="1">
        <v>45366</v>
      </c>
      <c r="M33" s="54">
        <f t="shared" si="30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26"/>
        <v>17.884521773182534</v>
      </c>
      <c r="F34" s="3">
        <f>20288.83+19170.47</f>
        <v>39459.300000000003</v>
      </c>
      <c r="G34" s="3">
        <v>47805.42</v>
      </c>
      <c r="H34" s="3">
        <f t="shared" si="27"/>
        <v>21.667314799455028</v>
      </c>
      <c r="I34" s="3">
        <f t="shared" si="28"/>
        <v>8346.1199999999953</v>
      </c>
      <c r="J34" s="5">
        <f t="shared" si="29"/>
        <v>0.21151211501471123</v>
      </c>
      <c r="K34" s="1">
        <v>45243</v>
      </c>
      <c r="L34" s="1">
        <v>45373</v>
      </c>
      <c r="M34" s="54">
        <f t="shared" si="30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26"/>
        <v>97.201614911338325</v>
      </c>
      <c r="F35" s="3">
        <v>71279.48</v>
      </c>
      <c r="G35" s="3">
        <v>66395.73</v>
      </c>
      <c r="H35" s="3">
        <f t="shared" si="27"/>
        <v>90.541796590227548</v>
      </c>
      <c r="I35" s="3">
        <f t="shared" si="28"/>
        <v>-4883.75</v>
      </c>
      <c r="J35" s="5">
        <f t="shared" si="29"/>
        <v>-6.85155110559168E-2</v>
      </c>
      <c r="K35" s="1">
        <v>45349</v>
      </c>
      <c r="L35" s="1">
        <v>45394</v>
      </c>
      <c r="M35" s="54">
        <f t="shared" si="30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26"/>
        <v>51.760011005615979</v>
      </c>
      <c r="F36" s="3">
        <v>46654.3</v>
      </c>
      <c r="G36" s="3">
        <v>44379.95</v>
      </c>
      <c r="H36" s="3">
        <f t="shared" si="27"/>
        <v>49.23676275131524</v>
      </c>
      <c r="I36" s="3">
        <f t="shared" si="28"/>
        <v>-2274.3500000000058</v>
      </c>
      <c r="J36" s="5">
        <f t="shared" si="29"/>
        <v>-4.874898991089794E-2</v>
      </c>
      <c r="K36" s="1">
        <v>45394</v>
      </c>
      <c r="L36" s="1">
        <v>45394</v>
      </c>
      <c r="M36" s="54">
        <f t="shared" si="30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26"/>
        <v>228.36593513142583</v>
      </c>
      <c r="F37" s="3">
        <v>61166.239999999998</v>
      </c>
      <c r="G37" s="3">
        <v>81558.94</v>
      </c>
      <c r="H37" s="3">
        <f t="shared" si="27"/>
        <v>304.50267339349045</v>
      </c>
      <c r="I37" s="3">
        <f t="shared" si="28"/>
        <v>20392.700000000004</v>
      </c>
      <c r="J37" s="5">
        <f t="shared" si="29"/>
        <v>0.33339796593676518</v>
      </c>
      <c r="K37" s="1">
        <v>45238</v>
      </c>
      <c r="L37" s="1">
        <v>45397</v>
      </c>
      <c r="M37" s="54">
        <f t="shared" si="30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26"/>
        <v>131.07547316942754</v>
      </c>
      <c r="F38" s="3">
        <v>29415.63</v>
      </c>
      <c r="G38" s="3">
        <v>27481.43</v>
      </c>
      <c r="H38" s="3">
        <f t="shared" si="27"/>
        <v>122.45671571958516</v>
      </c>
      <c r="I38" s="3">
        <f t="shared" si="28"/>
        <v>-1934.2000000000007</v>
      </c>
      <c r="J38" s="5">
        <f t="shared" si="29"/>
        <v>-6.5754158588478329E-2</v>
      </c>
      <c r="K38" s="1">
        <v>45393</v>
      </c>
      <c r="L38" s="1">
        <v>45397</v>
      </c>
      <c r="M38" s="54">
        <f t="shared" si="30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26"/>
        <v>30.008099047901005</v>
      </c>
      <c r="F39" s="3">
        <v>43950.36</v>
      </c>
      <c r="G39" s="3">
        <v>49174.83</v>
      </c>
      <c r="H39" s="3">
        <f t="shared" si="27"/>
        <v>33.575223713837467</v>
      </c>
      <c r="I39" s="3">
        <f t="shared" si="28"/>
        <v>5224.4700000000012</v>
      </c>
      <c r="J39" s="5">
        <f t="shared" si="29"/>
        <v>0.11887206384657603</v>
      </c>
      <c r="K39" s="1">
        <v>45321</v>
      </c>
      <c r="L39" s="1">
        <v>45400</v>
      </c>
      <c r="M39" s="54">
        <f t="shared" si="30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26"/>
        <v>202.80010053151383</v>
      </c>
      <c r="F40" s="3">
        <v>54466.53</v>
      </c>
      <c r="G40" s="3">
        <v>57142.12</v>
      </c>
      <c r="H40" s="3">
        <f t="shared" si="27"/>
        <v>212.76236397993094</v>
      </c>
      <c r="I40" s="3">
        <f t="shared" si="28"/>
        <v>2675.5900000000038</v>
      </c>
      <c r="J40" s="5">
        <f t="shared" si="29"/>
        <v>4.912356267234215E-2</v>
      </c>
      <c r="K40" s="1">
        <v>45370</v>
      </c>
      <c r="L40" s="1">
        <v>45401</v>
      </c>
      <c r="M40" s="54">
        <f t="shared" si="30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26"/>
        <v>72.032301948546731</v>
      </c>
      <c r="F41" s="3">
        <f>38270.34+5640.4</f>
        <v>43910.74</v>
      </c>
      <c r="G41" s="3">
        <v>46906.35</v>
      </c>
      <c r="H41" s="3">
        <f t="shared" si="27"/>
        <v>76.946377275905974</v>
      </c>
      <c r="I41" s="3">
        <f t="shared" si="28"/>
        <v>2995.6100000000006</v>
      </c>
      <c r="J41" s="5">
        <f t="shared" si="29"/>
        <v>6.8220439919709858E-2</v>
      </c>
      <c r="K41" s="1">
        <v>45313</v>
      </c>
      <c r="L41" s="1">
        <v>45420</v>
      </c>
      <c r="M41" s="54">
        <f t="shared" si="30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26"/>
        <v>26.796152173251542</v>
      </c>
      <c r="F42" s="3">
        <f>36957.24+22924.55</f>
        <v>59881.789999999994</v>
      </c>
      <c r="G42" s="3">
        <v>53143.62</v>
      </c>
      <c r="H42" s="3">
        <f t="shared" si="27"/>
        <v>23.780927867344218</v>
      </c>
      <c r="I42" s="3">
        <f t="shared" si="28"/>
        <v>-6738.169999999991</v>
      </c>
      <c r="J42" s="5">
        <f t="shared" si="29"/>
        <v>-0.11252452540246362</v>
      </c>
      <c r="K42" s="1">
        <v>45421</v>
      </c>
      <c r="L42" s="1">
        <v>45441</v>
      </c>
      <c r="M42" s="54">
        <f t="shared" si="30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26"/>
        <v>21.526049990446886</v>
      </c>
      <c r="F43" s="3">
        <f>28174.78+19947.6-17409.86</f>
        <v>30712.519999999997</v>
      </c>
      <c r="G43" s="3">
        <v>80427.22</v>
      </c>
      <c r="H43" s="3">
        <f t="shared" si="27"/>
        <v>56.370508128693771</v>
      </c>
      <c r="I43" s="3">
        <f t="shared" si="28"/>
        <v>49714.700000000004</v>
      </c>
      <c r="J43" s="5">
        <f t="shared" si="29"/>
        <v>1.6187111966064658</v>
      </c>
      <c r="K43" s="1">
        <v>45309</v>
      </c>
      <c r="L43" s="1">
        <v>45447</v>
      </c>
      <c r="M43" s="54">
        <f t="shared" si="30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26"/>
        <v>119.9800324750113</v>
      </c>
      <c r="F44" s="3">
        <v>59378.55</v>
      </c>
      <c r="G44" s="3">
        <v>52305.62</v>
      </c>
      <c r="H44" s="3">
        <f t="shared" si="27"/>
        <v>105.68850176074695</v>
      </c>
      <c r="I44" s="3">
        <f t="shared" si="28"/>
        <v>-7072.93</v>
      </c>
      <c r="J44" s="5">
        <f t="shared" si="29"/>
        <v>-0.1191159097013989</v>
      </c>
      <c r="K44" s="1">
        <v>45422</v>
      </c>
      <c r="L44" s="1">
        <v>45456</v>
      </c>
      <c r="M44" s="54">
        <f t="shared" si="30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26"/>
        <v>40.121826742024723</v>
      </c>
      <c r="F45" s="3">
        <v>84857.15</v>
      </c>
      <c r="G45" s="3">
        <v>77799.8</v>
      </c>
      <c r="H45" s="3">
        <f t="shared" si="27"/>
        <v>36.784998036867556</v>
      </c>
      <c r="I45" s="3">
        <f t="shared" si="28"/>
        <v>-7057.3499999999913</v>
      </c>
      <c r="J45" s="5">
        <f t="shared" si="29"/>
        <v>-8.3167417241799796E-2</v>
      </c>
      <c r="K45" s="1">
        <v>45446</v>
      </c>
      <c r="L45" s="1">
        <v>45461</v>
      </c>
      <c r="M45" s="54">
        <f t="shared" si="30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26"/>
        <v>190.14353095648559</v>
      </c>
      <c r="F46" s="3">
        <v>58070.69</v>
      </c>
      <c r="G46" s="3">
        <v>55002.36</v>
      </c>
      <c r="H46" s="3">
        <f t="shared" si="27"/>
        <v>180.0967569240139</v>
      </c>
      <c r="I46" s="3">
        <f t="shared" si="28"/>
        <v>-3068.3300000000017</v>
      </c>
      <c r="J46" s="5">
        <f t="shared" si="29"/>
        <v>-5.2837842980684432E-2</v>
      </c>
      <c r="K46" s="1">
        <v>45460</v>
      </c>
      <c r="L46" s="1">
        <v>45478</v>
      </c>
      <c r="M46" s="54">
        <f t="shared" si="30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26"/>
        <v>151.88325953610754</v>
      </c>
      <c r="F47" s="3">
        <v>59201.71</v>
      </c>
      <c r="G47" s="3">
        <v>55840.480000000003</v>
      </c>
      <c r="H47" s="3">
        <f t="shared" si="27"/>
        <v>143.25995172201652</v>
      </c>
      <c r="I47" s="3">
        <f t="shared" si="28"/>
        <v>-3361.2299999999959</v>
      </c>
      <c r="J47" s="5">
        <f t="shared" si="29"/>
        <v>-5.6775893804418755E-2</v>
      </c>
      <c r="K47" s="1">
        <v>45440</v>
      </c>
      <c r="L47" s="1">
        <v>45482</v>
      </c>
      <c r="M47" s="54">
        <f t="shared" si="30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26"/>
        <v>210.8544352001625</v>
      </c>
      <c r="F48" s="3">
        <v>58138.05</v>
      </c>
      <c r="G48" s="3">
        <v>51919.61</v>
      </c>
      <c r="H48" s="3">
        <f t="shared" si="27"/>
        <v>188.30146594807889</v>
      </c>
      <c r="I48" s="3">
        <f t="shared" si="28"/>
        <v>-6218.4400000000023</v>
      </c>
      <c r="J48" s="5">
        <f t="shared" si="29"/>
        <v>-0.1069598997558398</v>
      </c>
      <c r="K48" s="1">
        <v>45461</v>
      </c>
      <c r="L48" s="1">
        <v>45489</v>
      </c>
      <c r="M48" s="54">
        <f t="shared" si="30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26"/>
        <v>94.220008243735961</v>
      </c>
      <c r="F49" s="3">
        <v>24618.68</v>
      </c>
      <c r="G49" s="3">
        <v>30783.54</v>
      </c>
      <c r="H49" s="3">
        <f t="shared" si="27"/>
        <v>117.81400922272745</v>
      </c>
      <c r="I49" s="3">
        <f t="shared" si="28"/>
        <v>6164.8600000000006</v>
      </c>
      <c r="J49" s="5">
        <f t="shared" si="29"/>
        <v>0.25041391333735197</v>
      </c>
      <c r="K49" s="1">
        <v>45427</v>
      </c>
      <c r="L49" s="1">
        <v>45491</v>
      </c>
      <c r="M49" s="54">
        <f t="shared" si="30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26"/>
        <v>99.676254752352776</v>
      </c>
      <c r="F50" s="3">
        <v>71786.429999999993</v>
      </c>
      <c r="G50" s="3">
        <v>64047.02</v>
      </c>
      <c r="H50" s="3">
        <f t="shared" si="27"/>
        <v>88.929998074135099</v>
      </c>
      <c r="I50" s="3">
        <f t="shared" si="28"/>
        <v>-7739.4099999999962</v>
      </c>
      <c r="J50" s="5">
        <f t="shared" si="29"/>
        <v>-0.10781160171915495</v>
      </c>
      <c r="K50" s="1">
        <v>45495</v>
      </c>
      <c r="L50" s="1">
        <v>45506</v>
      </c>
      <c r="M50" s="54">
        <f t="shared" si="30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26"/>
        <v>94.217245845358406</v>
      </c>
      <c r="F51" s="3">
        <f>88627.87-24618.68</f>
        <v>64009.189999999995</v>
      </c>
      <c r="G51" s="3">
        <v>69221.69</v>
      </c>
      <c r="H51" s="3">
        <f t="shared" si="27"/>
        <v>101.88969716006699</v>
      </c>
      <c r="I51" s="3">
        <f t="shared" si="28"/>
        <v>5212.5000000000073</v>
      </c>
      <c r="J51" s="5">
        <f t="shared" si="29"/>
        <v>8.1433619141251551E-2</v>
      </c>
      <c r="K51" s="1">
        <v>45427</v>
      </c>
      <c r="L51" s="1">
        <v>45506</v>
      </c>
      <c r="M51" s="54">
        <f t="shared" si="30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27"/>
        <v>24.260268707864267</v>
      </c>
      <c r="I52" s="3">
        <f t="shared" si="28"/>
        <v>-5424.5400000000009</v>
      </c>
      <c r="J52" s="5">
        <f t="shared" si="29"/>
        <v>-0.10662702360362285</v>
      </c>
      <c r="K52" s="1">
        <v>45478</v>
      </c>
      <c r="L52" s="1">
        <v>45506</v>
      </c>
      <c r="M52" s="54">
        <f t="shared" si="30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26"/>
        <v>150.35572938289613</v>
      </c>
      <c r="F53" s="3">
        <v>58706.59</v>
      </c>
      <c r="G53" s="3">
        <v>58315.35</v>
      </c>
      <c r="H53" s="3">
        <f t="shared" si="27"/>
        <v>149.35370941267195</v>
      </c>
      <c r="I53" s="3">
        <f t="shared" si="28"/>
        <v>-391.23999999999796</v>
      </c>
      <c r="J53" s="5">
        <f t="shared" si="29"/>
        <v>-6.6643284850984872E-3</v>
      </c>
      <c r="K53" s="1">
        <v>45426</v>
      </c>
      <c r="L53" s="1">
        <v>45506</v>
      </c>
      <c r="M53" s="54">
        <f t="shared" si="30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26"/>
        <v>210.88800094512985</v>
      </c>
      <c r="F54" s="3">
        <v>72116.02</v>
      </c>
      <c r="G54" s="3">
        <v>72157.78</v>
      </c>
      <c r="H54" s="3">
        <f t="shared" si="27"/>
        <v>211.01011920566984</v>
      </c>
      <c r="I54" s="3">
        <f t="shared" si="28"/>
        <v>41.759999999994761</v>
      </c>
      <c r="J54" s="5">
        <f t="shared" si="29"/>
        <v>5.7906689803451105E-4</v>
      </c>
      <c r="K54" s="1">
        <v>45464</v>
      </c>
      <c r="L54" s="1">
        <v>45512</v>
      </c>
      <c r="M54" s="54">
        <f t="shared" si="30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26"/>
        <v>343.08895655362653</v>
      </c>
      <c r="F55" s="3">
        <v>70918.34</v>
      </c>
      <c r="G55" s="3">
        <v>64755.66</v>
      </c>
      <c r="H55" s="3">
        <f t="shared" si="27"/>
        <v>313.27512488788392</v>
      </c>
      <c r="I55" s="3">
        <f t="shared" si="28"/>
        <v>-6162.679999999993</v>
      </c>
      <c r="J55" s="5">
        <f t="shared" si="29"/>
        <v>-8.6898255091701154E-2</v>
      </c>
      <c r="K55" s="1">
        <v>45531</v>
      </c>
      <c r="L55" s="1">
        <v>45546</v>
      </c>
      <c r="M55" s="54">
        <f t="shared" si="30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26"/>
        <v>81.834167696575051</v>
      </c>
      <c r="F56" s="3">
        <v>56064.04</v>
      </c>
      <c r="G56" s="3">
        <v>46739.21</v>
      </c>
      <c r="H56" s="3">
        <f t="shared" si="27"/>
        <v>68.223131068425275</v>
      </c>
      <c r="I56" s="3">
        <f t="shared" si="28"/>
        <v>-9324.8300000000017</v>
      </c>
      <c r="J56" s="5">
        <f t="shared" si="29"/>
        <v>-0.16632461734830387</v>
      </c>
      <c r="K56" s="1">
        <v>45553</v>
      </c>
      <c r="L56" s="1">
        <v>45587</v>
      </c>
      <c r="M56" s="54">
        <f t="shared" si="30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26"/>
        <v>8.6074458279458721</v>
      </c>
      <c r="F57" s="3">
        <f>23794.37+31996.67</f>
        <v>55791.039999999994</v>
      </c>
      <c r="G57" s="3">
        <v>64158.11</v>
      </c>
      <c r="H57" s="3">
        <f t="shared" si="27"/>
        <v>9.8983180139390203</v>
      </c>
      <c r="I57" s="3">
        <f t="shared" si="28"/>
        <v>8367.070000000007</v>
      </c>
      <c r="J57" s="5">
        <f t="shared" si="29"/>
        <v>0.14997157249622892</v>
      </c>
      <c r="K57" s="1">
        <v>45378</v>
      </c>
      <c r="L57" s="1">
        <v>45607</v>
      </c>
      <c r="M57" s="54">
        <f t="shared" si="30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26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30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26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30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26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30"/>
        <v>33</v>
      </c>
    </row>
    <row r="61" spans="1:15" x14ac:dyDescent="0.25">
      <c r="A61" t="s">
        <v>163</v>
      </c>
      <c r="B61" t="s">
        <v>33</v>
      </c>
      <c r="C61" s="26" t="s">
        <v>164</v>
      </c>
      <c r="D61" s="2">
        <v>427.7285</v>
      </c>
      <c r="E61" s="3">
        <f t="shared" si="26"/>
        <v>132.0782458966377</v>
      </c>
      <c r="F61" s="3">
        <v>56493.63</v>
      </c>
      <c r="G61" s="3">
        <v>80207.45</v>
      </c>
      <c r="H61" s="3">
        <f>G61/D61</f>
        <v>187.51953634139412</v>
      </c>
      <c r="I61" s="3">
        <f>G61-F61</f>
        <v>23713.82</v>
      </c>
      <c r="J61" s="5">
        <f>I61/F61</f>
        <v>0.4197609535800762</v>
      </c>
      <c r="K61" s="1">
        <v>45554</v>
      </c>
      <c r="L61" s="1">
        <v>45629</v>
      </c>
      <c r="M61" s="54">
        <f t="shared" si="30"/>
        <v>74</v>
      </c>
    </row>
    <row r="62" spans="1:15" x14ac:dyDescent="0.25">
      <c r="A62" t="s">
        <v>176</v>
      </c>
      <c r="B62" t="s">
        <v>33</v>
      </c>
      <c r="C62" s="26" t="s">
        <v>177</v>
      </c>
      <c r="D62" s="2">
        <f>1398.5013+654.0854</f>
        <v>2052.5866999999998</v>
      </c>
      <c r="E62" s="3">
        <f t="shared" si="26"/>
        <v>35.711090790951729</v>
      </c>
      <c r="F62" s="3">
        <v>73300.11</v>
      </c>
      <c r="G62" s="3">
        <v>52589.03</v>
      </c>
      <c r="H62" s="3">
        <f>G62/D62</f>
        <v>25.620856843708481</v>
      </c>
      <c r="I62" s="3">
        <f>G62-F62</f>
        <v>-20711.080000000002</v>
      </c>
      <c r="J62" s="5">
        <f>I62/F62</f>
        <v>-0.28255182700271531</v>
      </c>
      <c r="K62" s="1">
        <v>45630</v>
      </c>
      <c r="L62" s="1">
        <v>45639</v>
      </c>
      <c r="M62" s="54">
        <f t="shared" si="30"/>
        <v>9</v>
      </c>
    </row>
    <row r="63" spans="1:15" x14ac:dyDescent="0.25">
      <c r="A63" t="s">
        <v>131</v>
      </c>
      <c r="B63" t="s">
        <v>33</v>
      </c>
      <c r="C63" s="26" t="s">
        <v>132</v>
      </c>
      <c r="D63" s="2">
        <f>1542.0192+932.4994</f>
        <v>2474.5185999999999</v>
      </c>
      <c r="E63" s="3">
        <f t="shared" si="26"/>
        <v>28.898752266400425</v>
      </c>
      <c r="F63" s="3">
        <v>71510.5</v>
      </c>
      <c r="G63" s="3">
        <v>86504.7</v>
      </c>
      <c r="H63" s="3">
        <f t="shared" ref="H63:H64" si="31">G63/D63</f>
        <v>34.958193484583227</v>
      </c>
      <c r="I63" s="3">
        <f t="shared" ref="I63:I64" si="32">G63-F63</f>
        <v>14994.199999999997</v>
      </c>
      <c r="J63" s="5">
        <f t="shared" ref="J63:J64" si="33">I63/F63</f>
        <v>0.20967829899105722</v>
      </c>
      <c r="K63" s="1">
        <v>45426</v>
      </c>
      <c r="L63" s="1">
        <v>45644</v>
      </c>
      <c r="M63" s="54">
        <f t="shared" si="30"/>
        <v>214</v>
      </c>
    </row>
    <row r="64" spans="1:15" x14ac:dyDescent="0.25">
      <c r="A64" t="s">
        <v>133</v>
      </c>
      <c r="B64" t="s">
        <v>33</v>
      </c>
      <c r="C64" s="26" t="s">
        <v>134</v>
      </c>
      <c r="D64" s="2">
        <v>552.66859999999997</v>
      </c>
      <c r="E64" s="3">
        <f t="shared" si="26"/>
        <v>127.82998708448426</v>
      </c>
      <c r="F64" s="3">
        <v>70647.62</v>
      </c>
      <c r="G64" s="3">
        <v>70456.95</v>
      </c>
      <c r="H64" s="3">
        <f t="shared" si="31"/>
        <v>127.4849882913558</v>
      </c>
      <c r="I64" s="3">
        <f t="shared" si="32"/>
        <v>-190.66999999999825</v>
      </c>
      <c r="J64" s="5">
        <f t="shared" si="33"/>
        <v>-2.6988878040052626E-3</v>
      </c>
      <c r="K64" s="1">
        <v>45531</v>
      </c>
      <c r="L64" s="1">
        <v>45643</v>
      </c>
      <c r="M64" s="54">
        <f t="shared" si="30"/>
        <v>110</v>
      </c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71197.740000000034</v>
      </c>
      <c r="J69" s="13" t="s">
        <v>68</v>
      </c>
    </row>
    <row r="70" spans="3:13" x14ac:dyDescent="0.25">
      <c r="H70" s="3" t="s">
        <v>69</v>
      </c>
      <c r="I70" s="55">
        <v>23</v>
      </c>
      <c r="J70" s="5">
        <v>9.2100000000000001E-2</v>
      </c>
    </row>
    <row r="71" spans="3:13" x14ac:dyDescent="0.25">
      <c r="H71" s="3" t="s">
        <v>70</v>
      </c>
      <c r="I71" s="55">
        <v>17</v>
      </c>
      <c r="J71" s="5">
        <v>0.33100000000000002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sortState xmlns:xlrd2="http://schemas.microsoft.com/office/spreadsheetml/2017/richdata2" ref="A7:AC12">
    <sortCondition descending="1" ref="L7:L12"/>
  </sortState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2D3F-9297-428C-A4DE-DAB74FB28238}">
  <dimension ref="A1:AE221"/>
  <sheetViews>
    <sheetView tabSelected="1"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7.85546875" customWidth="1"/>
    <col min="4" max="4" width="11" style="2" bestFit="1" customWidth="1"/>
    <col min="5" max="5" width="9.85546875" bestFit="1" customWidth="1"/>
    <col min="6" max="6" width="20.7109375" style="3" bestFit="1" customWidth="1"/>
    <col min="7" max="7" width="12.7109375" style="3" bestFit="1" customWidth="1"/>
    <col min="8" max="8" width="16.5703125" style="3" bestFit="1" customWidth="1"/>
    <col min="9" max="9" width="15.5703125" style="3" bestFit="1" customWidth="1"/>
    <col min="11" max="11" width="11.85546875" customWidth="1"/>
    <col min="12" max="12" width="11.140625" customWidth="1"/>
    <col min="13" max="13" width="10.28515625" customWidth="1"/>
    <col min="14" max="14" width="6.42578125" bestFit="1" customWidth="1"/>
    <col min="15" max="15" width="3.28515625" bestFit="1" customWidth="1"/>
    <col min="16" max="16" width="4.140625" bestFit="1" customWidth="1"/>
    <col min="17" max="19" width="7.140625" bestFit="1" customWidth="1"/>
    <col min="20" max="20" width="8.42578125" customWidth="1"/>
    <col min="21" max="21" width="8.140625" customWidth="1"/>
    <col min="22" max="22" width="8" customWidth="1"/>
    <col min="23" max="24" width="7.7109375" bestFit="1" customWidth="1"/>
    <col min="25" max="25" width="9" customWidth="1"/>
    <col min="26" max="26" width="8.28515625" customWidth="1"/>
    <col min="28" max="28" width="7.28515625" bestFit="1" customWidth="1"/>
    <col min="29" max="29" width="7.140625" bestFit="1" customWidth="1"/>
  </cols>
  <sheetData>
    <row r="1" spans="1:31" x14ac:dyDescent="0.25">
      <c r="C1" s="1">
        <v>45653</v>
      </c>
      <c r="H1" s="4"/>
      <c r="M1" s="5"/>
      <c r="Z1" s="6"/>
    </row>
    <row r="2" spans="1:31" x14ac:dyDescent="0.25">
      <c r="C2" s="1"/>
      <c r="E2" s="7"/>
      <c r="H2" s="4"/>
      <c r="M2" s="5"/>
      <c r="Z2" s="6"/>
    </row>
    <row r="3" spans="1:31" x14ac:dyDescent="0.25">
      <c r="C3" s="8" t="s">
        <v>0</v>
      </c>
      <c r="H3" s="4"/>
      <c r="M3" s="5"/>
      <c r="X3" s="9" t="s">
        <v>1</v>
      </c>
      <c r="Z3" s="6"/>
      <c r="AC3" s="9" t="s">
        <v>2</v>
      </c>
    </row>
    <row r="4" spans="1:31" x14ac:dyDescent="0.25">
      <c r="A4" s="9"/>
      <c r="B4" s="9"/>
      <c r="C4" s="9"/>
      <c r="D4" s="10"/>
      <c r="E4" s="11"/>
      <c r="F4" s="12"/>
      <c r="G4" s="12"/>
      <c r="H4" s="12" t="s">
        <v>3</v>
      </c>
      <c r="I4" s="12"/>
      <c r="J4" s="9" t="s">
        <v>4</v>
      </c>
      <c r="K4" s="9"/>
      <c r="L4" s="9"/>
      <c r="M4" s="13"/>
      <c r="N4" s="9" t="s">
        <v>5</v>
      </c>
      <c r="O4" s="9"/>
      <c r="P4" s="9" t="s">
        <v>6</v>
      </c>
      <c r="Q4" s="9"/>
      <c r="R4" s="14" t="s">
        <v>7</v>
      </c>
      <c r="S4" s="14" t="s">
        <v>8</v>
      </c>
      <c r="T4" s="9"/>
      <c r="U4" s="9"/>
      <c r="V4" s="9"/>
      <c r="W4" s="9" t="s">
        <v>9</v>
      </c>
      <c r="X4" s="9" t="s">
        <v>10</v>
      </c>
      <c r="Y4" s="9" t="s">
        <v>11</v>
      </c>
      <c r="Z4" s="15" t="s">
        <v>12</v>
      </c>
      <c r="AA4" s="9"/>
      <c r="AB4" s="9" t="s">
        <v>6</v>
      </c>
      <c r="AC4" s="9" t="s">
        <v>13</v>
      </c>
      <c r="AD4" s="9"/>
      <c r="AE4" s="9"/>
    </row>
    <row r="5" spans="1:31" x14ac:dyDescent="0.25">
      <c r="A5" s="16" t="s">
        <v>14</v>
      </c>
      <c r="B5" s="16" t="s">
        <v>15</v>
      </c>
      <c r="C5" s="16" t="s">
        <v>16</v>
      </c>
      <c r="D5" s="17" t="s">
        <v>17</v>
      </c>
      <c r="E5" s="16" t="s">
        <v>1</v>
      </c>
      <c r="F5" s="18" t="s">
        <v>18</v>
      </c>
      <c r="G5" s="18" t="s">
        <v>3</v>
      </c>
      <c r="H5" s="18" t="s">
        <v>19</v>
      </c>
      <c r="I5" s="18" t="s">
        <v>20</v>
      </c>
      <c r="J5" s="16" t="s">
        <v>21</v>
      </c>
      <c r="K5" s="16" t="s">
        <v>22</v>
      </c>
      <c r="L5" s="16" t="s">
        <v>23</v>
      </c>
      <c r="M5" s="19" t="s">
        <v>24</v>
      </c>
      <c r="N5" s="16" t="s">
        <v>25</v>
      </c>
      <c r="O5" s="16" t="s">
        <v>26</v>
      </c>
      <c r="P5" s="16" t="s">
        <v>26</v>
      </c>
      <c r="Q5" s="16" t="s">
        <v>7</v>
      </c>
      <c r="R5" s="20">
        <v>-7.0000000000000007E-2</v>
      </c>
      <c r="S5" s="21" t="s">
        <v>27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28</v>
      </c>
      <c r="Y5" s="23" t="s">
        <v>29</v>
      </c>
      <c r="Z5" s="24" t="s">
        <v>30</v>
      </c>
      <c r="AA5" s="9"/>
      <c r="AB5" s="25" t="s">
        <v>31</v>
      </c>
      <c r="AC5" s="9" t="s">
        <v>25</v>
      </c>
      <c r="AD5" s="9"/>
      <c r="AE5" s="9"/>
    </row>
    <row r="6" spans="1:31" x14ac:dyDescent="0.25">
      <c r="C6" s="26"/>
      <c r="E6" s="27"/>
      <c r="H6" s="4"/>
      <c r="J6" s="27"/>
      <c r="K6" s="28"/>
      <c r="M6" s="5"/>
      <c r="Q6" s="29"/>
      <c r="R6" s="30"/>
      <c r="S6" s="30"/>
      <c r="T6" s="29"/>
      <c r="U6" s="29"/>
      <c r="V6" s="29"/>
      <c r="W6" s="29"/>
      <c r="X6" s="30"/>
      <c r="Y6" s="5"/>
      <c r="Z6" s="6"/>
      <c r="AB6" s="31"/>
      <c r="AC6" s="9"/>
      <c r="AD6" s="26"/>
      <c r="AE6" s="9"/>
    </row>
    <row r="7" spans="1:31" x14ac:dyDescent="0.25">
      <c r="A7" t="s">
        <v>157</v>
      </c>
      <c r="B7" t="s">
        <v>33</v>
      </c>
      <c r="C7" s="26" t="s">
        <v>159</v>
      </c>
      <c r="D7" s="2">
        <v>1263.7796000000001</v>
      </c>
      <c r="E7" s="27">
        <v>55.63</v>
      </c>
      <c r="F7" s="3">
        <f t="shared" ref="F7:F16" si="0">E7*D7</f>
        <v>70304.059148</v>
      </c>
      <c r="G7" s="3">
        <v>56489.42</v>
      </c>
      <c r="H7" s="4">
        <f t="shared" ref="H7:H16" si="1">G7/D7</f>
        <v>44.698790833464948</v>
      </c>
      <c r="I7" s="3">
        <f t="shared" ref="I7:I16" si="2">F7-G7</f>
        <v>13814.639148000002</v>
      </c>
      <c r="J7" s="27">
        <f t="shared" ref="J7:J16" si="3">E7-H7</f>
        <v>10.931209166535055</v>
      </c>
      <c r="K7" s="28">
        <v>45527</v>
      </c>
      <c r="L7">
        <f t="shared" ref="L7:L16" si="4">DAYS360(K7,$C$1)</f>
        <v>124</v>
      </c>
      <c r="M7" s="5">
        <f t="shared" ref="M7:M16" si="5">(I7/G7)</f>
        <v>0.24455268168800462</v>
      </c>
      <c r="N7">
        <v>133</v>
      </c>
      <c r="O7">
        <v>93</v>
      </c>
      <c r="P7" s="34">
        <v>89</v>
      </c>
      <c r="Q7" s="29">
        <v>43.2</v>
      </c>
      <c r="R7" s="30">
        <f t="shared" ref="R7:R16" si="6">Q7*0.93</f>
        <v>40.176000000000002</v>
      </c>
      <c r="S7" s="30">
        <v>49.51</v>
      </c>
      <c r="T7" s="29">
        <f t="shared" ref="T7:T16" si="7">Q7*1.25</f>
        <v>54</v>
      </c>
      <c r="U7" s="29">
        <f t="shared" ref="U7:U16" si="8">Q7*1.5</f>
        <v>64.800000000000011</v>
      </c>
      <c r="V7" s="29">
        <f t="shared" ref="V7:V16" si="9">Q7*2</f>
        <v>86.4</v>
      </c>
      <c r="W7" s="29">
        <f t="shared" ref="W7:W16" si="10">H7-(H7*0.07)</f>
        <v>41.569875475122402</v>
      </c>
      <c r="X7" s="30">
        <v>51</v>
      </c>
      <c r="Y7" s="5">
        <f t="shared" ref="Y7:Y16" si="11">(X7-H7)/H7</f>
        <v>0.14097046137135064</v>
      </c>
      <c r="Z7" s="6">
        <f t="shared" ref="Z7:Z16" si="12">F7/F$19</f>
        <v>9.3597825067309112E-2</v>
      </c>
      <c r="AB7" s="31">
        <v>45729</v>
      </c>
      <c r="AC7" s="9">
        <v>96</v>
      </c>
    </row>
    <row r="8" spans="1:31" x14ac:dyDescent="0.25">
      <c r="A8" t="s">
        <v>158</v>
      </c>
      <c r="B8" t="s">
        <v>33</v>
      </c>
      <c r="C8" s="26" t="s">
        <v>160</v>
      </c>
      <c r="D8" s="2">
        <v>3020.3485999999998</v>
      </c>
      <c r="E8" s="27">
        <v>24.97</v>
      </c>
      <c r="F8" s="3">
        <f t="shared" si="0"/>
        <v>75418.104541999986</v>
      </c>
      <c r="G8" s="3">
        <v>56486.59</v>
      </c>
      <c r="H8" s="4">
        <f t="shared" si="1"/>
        <v>18.702010092477405</v>
      </c>
      <c r="I8" s="3">
        <f t="shared" si="2"/>
        <v>18931.51454199999</v>
      </c>
      <c r="J8" s="27">
        <f t="shared" si="3"/>
        <v>6.267989907522594</v>
      </c>
      <c r="K8" s="28">
        <v>45527</v>
      </c>
      <c r="L8">
        <f t="shared" si="4"/>
        <v>124</v>
      </c>
      <c r="M8" s="5">
        <f t="shared" si="5"/>
        <v>0.33515060020440235</v>
      </c>
      <c r="N8">
        <v>108</v>
      </c>
      <c r="O8">
        <v>95</v>
      </c>
      <c r="P8" s="34">
        <v>86</v>
      </c>
      <c r="Q8" s="29">
        <v>17.86</v>
      </c>
      <c r="R8" s="30">
        <f t="shared" si="6"/>
        <v>16.6098</v>
      </c>
      <c r="S8" s="30">
        <v>24.64</v>
      </c>
      <c r="T8" s="32">
        <f t="shared" si="7"/>
        <v>22.324999999999999</v>
      </c>
      <c r="U8" s="29">
        <f t="shared" si="8"/>
        <v>26.79</v>
      </c>
      <c r="V8" s="29">
        <f t="shared" si="9"/>
        <v>35.72</v>
      </c>
      <c r="W8" s="29">
        <f t="shared" si="10"/>
        <v>17.392869386003987</v>
      </c>
      <c r="X8" s="30">
        <v>22</v>
      </c>
      <c r="Y8" s="5">
        <f t="shared" si="11"/>
        <v>0.17634414114925329</v>
      </c>
      <c r="Z8" s="6">
        <f t="shared" si="12"/>
        <v>0.10040630144797205</v>
      </c>
      <c r="AB8" s="31">
        <v>45720</v>
      </c>
      <c r="AC8" s="9">
        <v>91</v>
      </c>
    </row>
    <row r="9" spans="1:31" x14ac:dyDescent="0.25">
      <c r="A9" t="s">
        <v>165</v>
      </c>
      <c r="B9" t="s">
        <v>33</v>
      </c>
      <c r="C9" s="26" t="s">
        <v>166</v>
      </c>
      <c r="D9" s="2">
        <f>341.2204-83.2121</f>
        <v>258.00829999999996</v>
      </c>
      <c r="E9" s="27">
        <v>330</v>
      </c>
      <c r="F9" s="3">
        <f t="shared" si="0"/>
        <v>85142.738999999987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31447.388999999996</v>
      </c>
      <c r="J9" s="27">
        <f t="shared" si="3"/>
        <v>121.88518353866911</v>
      </c>
      <c r="K9" s="28">
        <v>45580</v>
      </c>
      <c r="L9">
        <f t="shared" si="4"/>
        <v>72</v>
      </c>
      <c r="M9" s="5">
        <f t="shared" si="5"/>
        <v>0.58566317195064377</v>
      </c>
      <c r="N9">
        <v>11</v>
      </c>
      <c r="O9">
        <v>98</v>
      </c>
      <c r="P9" s="34">
        <v>5</v>
      </c>
      <c r="Q9" s="29">
        <v>183.7</v>
      </c>
      <c r="R9" s="30">
        <f t="shared" si="6"/>
        <v>170.84100000000001</v>
      </c>
      <c r="S9" s="30">
        <v>318.62</v>
      </c>
      <c r="T9" s="29">
        <f t="shared" si="7"/>
        <v>229.625</v>
      </c>
      <c r="U9" s="29">
        <f t="shared" si="8"/>
        <v>275.54999999999995</v>
      </c>
      <c r="V9" s="29">
        <f t="shared" si="9"/>
        <v>367.4</v>
      </c>
      <c r="W9" s="29">
        <f t="shared" si="10"/>
        <v>193.54677930903773</v>
      </c>
      <c r="X9" s="30">
        <v>335</v>
      </c>
      <c r="Y9" s="5">
        <f t="shared" si="11"/>
        <v>0.60968837152565358</v>
      </c>
      <c r="Z9" s="33">
        <f t="shared" si="12"/>
        <v>0.11335298825203412</v>
      </c>
      <c r="AB9" s="31">
        <v>45692</v>
      </c>
      <c r="AC9" s="9">
        <v>62</v>
      </c>
    </row>
    <row r="10" spans="1:31" x14ac:dyDescent="0.25">
      <c r="A10" t="s">
        <v>138</v>
      </c>
      <c r="B10" t="s">
        <v>33</v>
      </c>
      <c r="C10" t="s">
        <v>169</v>
      </c>
      <c r="D10" s="2">
        <v>939.24239999999998</v>
      </c>
      <c r="E10" s="27">
        <v>53.68</v>
      </c>
      <c r="F10" s="3">
        <f t="shared" si="0"/>
        <v>50418.532031999996</v>
      </c>
      <c r="G10" s="3">
        <v>36992.18</v>
      </c>
      <c r="H10" s="4">
        <f t="shared" si="1"/>
        <v>39.385125714086165</v>
      </c>
      <c r="I10" s="3">
        <f t="shared" si="2"/>
        <v>13426.352031999995</v>
      </c>
      <c r="J10" s="27">
        <f t="shared" si="3"/>
        <v>14.294874285913835</v>
      </c>
      <c r="K10" s="28">
        <v>45593</v>
      </c>
      <c r="L10">
        <f t="shared" si="4"/>
        <v>59</v>
      </c>
      <c r="M10" s="5">
        <f t="shared" si="5"/>
        <v>0.36295108944647209</v>
      </c>
      <c r="O10">
        <v>95</v>
      </c>
      <c r="P10" s="61" t="s">
        <v>170</v>
      </c>
      <c r="Q10" s="29">
        <v>39.369999999999997</v>
      </c>
      <c r="R10" s="30">
        <f t="shared" si="6"/>
        <v>36.614100000000001</v>
      </c>
      <c r="S10" s="30">
        <v>51.54</v>
      </c>
      <c r="T10" s="29">
        <f t="shared" si="7"/>
        <v>49.212499999999999</v>
      </c>
      <c r="U10" s="29">
        <f t="shared" si="8"/>
        <v>59.054999999999993</v>
      </c>
      <c r="V10" s="29">
        <f t="shared" si="9"/>
        <v>78.739999999999995</v>
      </c>
      <c r="W10" s="29">
        <f t="shared" si="10"/>
        <v>36.628166914100134</v>
      </c>
      <c r="X10" s="30">
        <v>50</v>
      </c>
      <c r="Y10" s="5">
        <f t="shared" si="11"/>
        <v>0.26951480015505969</v>
      </c>
      <c r="Z10" s="33">
        <f t="shared" si="12"/>
        <v>6.7123648313781661E-2</v>
      </c>
      <c r="AB10" s="31"/>
      <c r="AC10" s="9"/>
    </row>
    <row r="11" spans="1:31" x14ac:dyDescent="0.25">
      <c r="A11" t="s">
        <v>171</v>
      </c>
      <c r="B11" t="s">
        <v>33</v>
      </c>
      <c r="C11" s="26" t="s">
        <v>172</v>
      </c>
      <c r="D11" s="2">
        <v>935.03689999999995</v>
      </c>
      <c r="E11" s="27">
        <v>70.739999999999995</v>
      </c>
      <c r="F11" s="3">
        <f t="shared" si="0"/>
        <v>66144.510305999996</v>
      </c>
      <c r="G11" s="3">
        <v>67635.899999999994</v>
      </c>
      <c r="H11" s="4">
        <f t="shared" si="1"/>
        <v>72.335006244138597</v>
      </c>
      <c r="I11" s="3">
        <f t="shared" si="2"/>
        <v>-1491.3896939999977</v>
      </c>
      <c r="J11" s="27">
        <f t="shared" si="3"/>
        <v>-1.5950062441386024</v>
      </c>
      <c r="K11" s="28">
        <v>45609</v>
      </c>
      <c r="L11">
        <f t="shared" si="4"/>
        <v>44</v>
      </c>
      <c r="M11" s="5">
        <f t="shared" si="5"/>
        <v>-2.205026759457622E-2</v>
      </c>
      <c r="N11">
        <v>106</v>
      </c>
      <c r="O11">
        <v>84</v>
      </c>
      <c r="P11" s="34">
        <v>95</v>
      </c>
      <c r="Q11" s="29">
        <v>71.2</v>
      </c>
      <c r="R11" s="30">
        <f t="shared" si="6"/>
        <v>66.216000000000008</v>
      </c>
      <c r="S11" s="30">
        <v>69.11</v>
      </c>
      <c r="T11" s="32">
        <f t="shared" si="7"/>
        <v>89</v>
      </c>
      <c r="U11" s="29">
        <f t="shared" si="8"/>
        <v>106.80000000000001</v>
      </c>
      <c r="V11" s="29">
        <f t="shared" si="9"/>
        <v>142.4</v>
      </c>
      <c r="W11" s="29">
        <f t="shared" si="10"/>
        <v>67.271555807048898</v>
      </c>
      <c r="X11" s="30">
        <v>69</v>
      </c>
      <c r="Y11" s="5">
        <f t="shared" si="11"/>
        <v>-4.6105010800477221E-2</v>
      </c>
      <c r="Z11" s="33">
        <f t="shared" si="12"/>
        <v>8.8060097522262806E-2</v>
      </c>
      <c r="AB11" s="31">
        <v>45679</v>
      </c>
      <c r="AC11" s="9">
        <v>94</v>
      </c>
    </row>
    <row r="12" spans="1:31" x14ac:dyDescent="0.25">
      <c r="A12" t="s">
        <v>174</v>
      </c>
      <c r="B12" t="s">
        <v>33</v>
      </c>
      <c r="C12" s="26" t="s">
        <v>173</v>
      </c>
      <c r="D12" s="2">
        <v>1376.2525000000001</v>
      </c>
      <c r="E12" s="27">
        <v>22.92</v>
      </c>
      <c r="F12" s="3">
        <f t="shared" si="0"/>
        <v>31543.707300000002</v>
      </c>
      <c r="G12" s="3">
        <v>42193.66</v>
      </c>
      <c r="H12" s="4">
        <f t="shared" si="1"/>
        <v>30.658371192786209</v>
      </c>
      <c r="I12" s="3">
        <f t="shared" si="2"/>
        <v>-10649.952700000002</v>
      </c>
      <c r="J12" s="27">
        <f t="shared" si="3"/>
        <v>-7.7383711927862073</v>
      </c>
      <c r="K12" s="28">
        <v>45609</v>
      </c>
      <c r="L12">
        <f t="shared" si="4"/>
        <v>44</v>
      </c>
      <c r="M12" s="5">
        <f t="shared" si="5"/>
        <v>-0.25240646817555057</v>
      </c>
      <c r="N12">
        <v>121</v>
      </c>
      <c r="O12">
        <v>99</v>
      </c>
      <c r="P12" s="34">
        <v>1</v>
      </c>
      <c r="Q12" s="29">
        <v>30.55</v>
      </c>
      <c r="R12" s="30">
        <f t="shared" si="6"/>
        <v>28.411500000000004</v>
      </c>
      <c r="S12" s="30">
        <v>20.2</v>
      </c>
      <c r="T12" s="29">
        <f t="shared" si="7"/>
        <v>38.1875</v>
      </c>
      <c r="U12" s="29">
        <f t="shared" si="8"/>
        <v>45.825000000000003</v>
      </c>
      <c r="V12" s="29">
        <f t="shared" si="9"/>
        <v>61.1</v>
      </c>
      <c r="W12" s="29">
        <f t="shared" si="10"/>
        <v>28.512285209291175</v>
      </c>
      <c r="X12" s="30">
        <v>28.5</v>
      </c>
      <c r="Y12" s="5">
        <f t="shared" si="11"/>
        <v>-7.0400713045514471E-2</v>
      </c>
      <c r="Z12" s="33">
        <f t="shared" si="12"/>
        <v>4.1995048843830401E-2</v>
      </c>
      <c r="AB12" s="31">
        <v>45744</v>
      </c>
      <c r="AC12" s="9">
        <v>44</v>
      </c>
    </row>
    <row r="13" spans="1:31" x14ac:dyDescent="0.25">
      <c r="A13" t="s">
        <v>178</v>
      </c>
      <c r="B13" t="s">
        <v>33</v>
      </c>
      <c r="C13" s="26" t="s">
        <v>179</v>
      </c>
      <c r="D13" s="2">
        <v>2234.6064999999999</v>
      </c>
      <c r="E13" s="27">
        <v>16.66</v>
      </c>
      <c r="F13" s="3">
        <f t="shared" si="0"/>
        <v>37228.544289999998</v>
      </c>
      <c r="G13" s="3">
        <v>37971.83</v>
      </c>
      <c r="H13" s="4">
        <f t="shared" si="1"/>
        <v>16.992624876012847</v>
      </c>
      <c r="I13" s="3">
        <f t="shared" si="2"/>
        <v>-743.28571000000375</v>
      </c>
      <c r="J13" s="27">
        <f t="shared" si="3"/>
        <v>-0.33262487601284718</v>
      </c>
      <c r="K13" s="28">
        <v>45652</v>
      </c>
      <c r="L13">
        <f t="shared" si="4"/>
        <v>1</v>
      </c>
      <c r="M13" s="5">
        <f t="shared" si="5"/>
        <v>-1.9574661268630028E-2</v>
      </c>
      <c r="N13">
        <v>80</v>
      </c>
      <c r="O13">
        <v>97</v>
      </c>
      <c r="P13" s="34">
        <v>81</v>
      </c>
      <c r="Q13" s="29">
        <v>15.9</v>
      </c>
      <c r="R13" s="30">
        <f t="shared" si="6"/>
        <v>14.787000000000001</v>
      </c>
      <c r="S13" s="30">
        <v>13.85</v>
      </c>
      <c r="T13" s="32">
        <f t="shared" si="7"/>
        <v>19.875</v>
      </c>
      <c r="U13" s="29">
        <f t="shared" si="8"/>
        <v>23.85</v>
      </c>
      <c r="V13" s="29">
        <f t="shared" si="9"/>
        <v>31.8</v>
      </c>
      <c r="W13" s="29">
        <f t="shared" si="10"/>
        <v>15.803141134691948</v>
      </c>
      <c r="X13" s="30">
        <v>15.65</v>
      </c>
      <c r="Y13" s="5">
        <f t="shared" si="11"/>
        <v>-7.9012211815969929E-2</v>
      </c>
      <c r="Z13" s="6">
        <f t="shared" si="12"/>
        <v>4.9563436566736507E-2</v>
      </c>
      <c r="AB13" s="31">
        <v>45720</v>
      </c>
      <c r="AC13" s="9">
        <v>92</v>
      </c>
    </row>
    <row r="14" spans="1:31" x14ac:dyDescent="0.25">
      <c r="C14" s="26"/>
      <c r="E14" s="27"/>
      <c r="F14" s="3">
        <f t="shared" si="0"/>
        <v>0</v>
      </c>
      <c r="H14" s="4" t="e">
        <f t="shared" si="1"/>
        <v>#DIV/0!</v>
      </c>
      <c r="I14" s="3">
        <f t="shared" si="2"/>
        <v>0</v>
      </c>
      <c r="J14" s="27" t="e">
        <f t="shared" si="3"/>
        <v>#DIV/0!</v>
      </c>
      <c r="K14" s="28"/>
      <c r="L14">
        <f t="shared" si="4"/>
        <v>44997</v>
      </c>
      <c r="M14" s="5" t="e">
        <f t="shared" si="5"/>
        <v>#DIV/0!</v>
      </c>
      <c r="P14" s="34"/>
      <c r="Q14" s="29"/>
      <c r="R14" s="30">
        <f t="shared" si="6"/>
        <v>0</v>
      </c>
      <c r="S14" s="30"/>
      <c r="T14" s="29">
        <f t="shared" si="7"/>
        <v>0</v>
      </c>
      <c r="U14" s="29">
        <f t="shared" si="8"/>
        <v>0</v>
      </c>
      <c r="V14" s="29">
        <f t="shared" si="9"/>
        <v>0</v>
      </c>
      <c r="W14" s="29" t="e">
        <f t="shared" si="10"/>
        <v>#DIV/0!</v>
      </c>
      <c r="X14" s="30"/>
      <c r="Y14" s="5" t="e">
        <f t="shared" si="11"/>
        <v>#DIV/0!</v>
      </c>
      <c r="Z14" s="6">
        <f t="shared" si="12"/>
        <v>0</v>
      </c>
      <c r="AB14" s="31"/>
      <c r="AC14" s="9"/>
    </row>
    <row r="15" spans="1:31" x14ac:dyDescent="0.25">
      <c r="C15" s="26"/>
      <c r="E15" s="27"/>
      <c r="F15" s="3">
        <f t="shared" si="0"/>
        <v>0</v>
      </c>
      <c r="H15" s="4" t="e">
        <f t="shared" si="1"/>
        <v>#DIV/0!</v>
      </c>
      <c r="I15" s="3">
        <f t="shared" si="2"/>
        <v>0</v>
      </c>
      <c r="J15" s="27" t="e">
        <f t="shared" si="3"/>
        <v>#DIV/0!</v>
      </c>
      <c r="K15" s="28"/>
      <c r="L15">
        <f t="shared" si="4"/>
        <v>44997</v>
      </c>
      <c r="M15" s="5" t="e">
        <f t="shared" si="5"/>
        <v>#DIV/0!</v>
      </c>
      <c r="P15" s="58"/>
      <c r="Q15" s="29"/>
      <c r="R15" s="30">
        <f t="shared" si="6"/>
        <v>0</v>
      </c>
      <c r="S15" s="30"/>
      <c r="T15" s="32">
        <f t="shared" si="7"/>
        <v>0</v>
      </c>
      <c r="U15" s="29">
        <f t="shared" si="8"/>
        <v>0</v>
      </c>
      <c r="V15" s="29">
        <f t="shared" si="9"/>
        <v>0</v>
      </c>
      <c r="W15" s="29" t="e">
        <f t="shared" si="10"/>
        <v>#DIV/0!</v>
      </c>
      <c r="X15" s="30"/>
      <c r="Y15" s="5" t="e">
        <f t="shared" si="11"/>
        <v>#DIV/0!</v>
      </c>
      <c r="Z15" s="6">
        <f t="shared" si="12"/>
        <v>0</v>
      </c>
      <c r="AB15" s="31"/>
      <c r="AC15" s="9"/>
    </row>
    <row r="16" spans="1:31" x14ac:dyDescent="0.25">
      <c r="A16" s="35"/>
      <c r="B16" s="35"/>
      <c r="C16" s="60"/>
      <c r="D16" s="36"/>
      <c r="E16" s="37"/>
      <c r="F16" s="57">
        <f t="shared" si="0"/>
        <v>0</v>
      </c>
      <c r="G16" s="38"/>
      <c r="H16" s="39" t="e">
        <f t="shared" si="1"/>
        <v>#DIV/0!</v>
      </c>
      <c r="I16" s="38">
        <f t="shared" si="2"/>
        <v>0</v>
      </c>
      <c r="J16" s="37" t="e">
        <f t="shared" si="3"/>
        <v>#DIV/0!</v>
      </c>
      <c r="K16" s="40"/>
      <c r="L16" s="35">
        <f t="shared" si="4"/>
        <v>44997</v>
      </c>
      <c r="M16" s="41" t="e">
        <f t="shared" si="5"/>
        <v>#DIV/0!</v>
      </c>
      <c r="N16" s="35"/>
      <c r="O16" s="35"/>
      <c r="P16" s="62"/>
      <c r="Q16" s="42"/>
      <c r="R16" s="43">
        <f t="shared" si="6"/>
        <v>0</v>
      </c>
      <c r="S16" s="43"/>
      <c r="T16" s="63">
        <f t="shared" si="7"/>
        <v>0</v>
      </c>
      <c r="U16" s="42">
        <f t="shared" si="8"/>
        <v>0</v>
      </c>
      <c r="V16" s="42">
        <f t="shared" si="9"/>
        <v>0</v>
      </c>
      <c r="W16" s="42" t="e">
        <f t="shared" si="10"/>
        <v>#DIV/0!</v>
      </c>
      <c r="X16" s="43"/>
      <c r="Y16" s="41" t="e">
        <f t="shared" si="11"/>
        <v>#DIV/0!</v>
      </c>
      <c r="Z16" s="44">
        <f t="shared" si="12"/>
        <v>0</v>
      </c>
      <c r="AA16" s="9"/>
      <c r="AB16" s="31"/>
      <c r="AC16" s="9"/>
    </row>
    <row r="17" spans="1:26" x14ac:dyDescent="0.25">
      <c r="A17" t="s">
        <v>53</v>
      </c>
      <c r="F17" s="3">
        <f>SUM(F6:F16)</f>
        <v>416200.19661799999</v>
      </c>
      <c r="G17" s="3">
        <f>SUM(G6:G16)</f>
        <v>351464.93</v>
      </c>
      <c r="H17" s="4"/>
      <c r="I17" s="3">
        <f>SUM(I6:I16)</f>
        <v>64735.26661799998</v>
      </c>
      <c r="M17" s="5"/>
      <c r="Z17" s="6"/>
    </row>
    <row r="18" spans="1:26" x14ac:dyDescent="0.25">
      <c r="D18" s="2" t="s">
        <v>54</v>
      </c>
      <c r="F18" s="3">
        <v>334929</v>
      </c>
      <c r="G18" s="6">
        <f>F18/F19</f>
        <v>0.4459006539860732</v>
      </c>
      <c r="H18" s="4"/>
      <c r="M18" s="5"/>
      <c r="Z18" s="6"/>
    </row>
    <row r="19" spans="1:26" x14ac:dyDescent="0.25">
      <c r="D19" s="2" t="s">
        <v>55</v>
      </c>
      <c r="F19" s="3">
        <f>SUM(F17:F18)</f>
        <v>751129.19661800005</v>
      </c>
      <c r="H19" s="46"/>
      <c r="I19" s="48"/>
      <c r="K19" t="s">
        <v>123</v>
      </c>
      <c r="M19" s="13" t="s">
        <v>124</v>
      </c>
      <c r="Z19" s="6"/>
    </row>
    <row r="20" spans="1:26" x14ac:dyDescent="0.25">
      <c r="F20" s="4"/>
      <c r="H20" s="46" t="s">
        <v>130</v>
      </c>
      <c r="I20" s="47">
        <f>'12-20-24'!F19</f>
        <v>762138.57790799998</v>
      </c>
      <c r="K20" s="1">
        <v>45291</v>
      </c>
      <c r="L20" s="47">
        <v>139707.06</v>
      </c>
      <c r="M20" s="47">
        <v>174740</v>
      </c>
      <c r="Z20" s="6"/>
    </row>
    <row r="21" spans="1:26" x14ac:dyDescent="0.25">
      <c r="G21" s="49"/>
      <c r="H21" s="4" t="s">
        <v>57</v>
      </c>
      <c r="I21" s="6">
        <f>(F19-I20)/I20</f>
        <v>-1.444537989432272E-2</v>
      </c>
      <c r="K21" s="9" t="s">
        <v>58</v>
      </c>
      <c r="L21" s="6">
        <f>(M20-L20)/L20</f>
        <v>0.25075998306742697</v>
      </c>
      <c r="Z21" s="6"/>
    </row>
    <row r="23" spans="1:26" x14ac:dyDescent="0.25">
      <c r="D23" s="9"/>
      <c r="E23" s="9"/>
      <c r="F23" s="50"/>
      <c r="I23" s="12"/>
      <c r="J23" s="9"/>
      <c r="K23" s="9"/>
      <c r="L23" s="9"/>
      <c r="M23" s="13" t="s">
        <v>59</v>
      </c>
    </row>
    <row r="24" spans="1:26" x14ac:dyDescent="0.25">
      <c r="A24" s="51" t="s">
        <v>71</v>
      </c>
      <c r="D24" s="25" t="s">
        <v>17</v>
      </c>
      <c r="E24" s="25" t="s">
        <v>60</v>
      </c>
      <c r="F24" s="52" t="s">
        <v>61</v>
      </c>
      <c r="G24" s="52" t="s">
        <v>62</v>
      </c>
      <c r="H24" s="52" t="s">
        <v>63</v>
      </c>
      <c r="I24" s="52" t="s">
        <v>64</v>
      </c>
      <c r="J24" s="25" t="s">
        <v>12</v>
      </c>
      <c r="K24" s="25" t="s">
        <v>22</v>
      </c>
      <c r="L24" s="25" t="s">
        <v>65</v>
      </c>
      <c r="M24" s="25" t="s">
        <v>66</v>
      </c>
      <c r="N24" s="1"/>
      <c r="P24" s="9" t="s">
        <v>67</v>
      </c>
    </row>
    <row r="25" spans="1:26" x14ac:dyDescent="0.25">
      <c r="A25" t="s">
        <v>48</v>
      </c>
      <c r="B25" t="s">
        <v>33</v>
      </c>
      <c r="C25" s="26" t="s">
        <v>49</v>
      </c>
      <c r="D25" s="2">
        <v>808.57299999999998</v>
      </c>
      <c r="E25" s="3">
        <f t="shared" ref="E25:E64" si="13">F25/D25</f>
        <v>47.428061535569462</v>
      </c>
      <c r="F25" s="3">
        <v>38349.050000000003</v>
      </c>
      <c r="G25" s="3">
        <v>35186.18</v>
      </c>
      <c r="H25" s="3">
        <f t="shared" ref="H25:H57" si="14">G25/D25</f>
        <v>43.516392459307944</v>
      </c>
      <c r="I25" s="3">
        <f t="shared" ref="I25:I57" si="15">G25-F25</f>
        <v>-3162.8700000000026</v>
      </c>
      <c r="J25" s="5">
        <f t="shared" ref="J25:J57" si="16">I25/F25</f>
        <v>-8.2475837080710018E-2</v>
      </c>
      <c r="K25" s="1">
        <v>45286</v>
      </c>
      <c r="L25" s="1">
        <v>45302</v>
      </c>
      <c r="M25">
        <f t="shared" ref="M25:M64" si="17">DAYS360(K25,L25)</f>
        <v>15</v>
      </c>
      <c r="O25" t="s">
        <v>76</v>
      </c>
    </row>
    <row r="26" spans="1:26" x14ac:dyDescent="0.25">
      <c r="A26" t="s">
        <v>36</v>
      </c>
      <c r="B26" t="s">
        <v>33</v>
      </c>
      <c r="C26" s="26" t="s">
        <v>37</v>
      </c>
      <c r="D26" s="2">
        <v>1166.9349999999999</v>
      </c>
      <c r="E26" s="3">
        <f t="shared" si="13"/>
        <v>35.085004734625322</v>
      </c>
      <c r="F26" s="3">
        <v>40941.919999999998</v>
      </c>
      <c r="G26" s="3">
        <v>36634.589999999997</v>
      </c>
      <c r="H26" s="3">
        <f t="shared" si="14"/>
        <v>31.393856555849297</v>
      </c>
      <c r="I26" s="3">
        <f t="shared" si="15"/>
        <v>-4307.3300000000017</v>
      </c>
      <c r="J26" s="5">
        <f t="shared" si="16"/>
        <v>-0.10520586235330444</v>
      </c>
      <c r="K26" s="1">
        <v>45233</v>
      </c>
      <c r="L26" s="1">
        <v>45307</v>
      </c>
      <c r="M26">
        <f t="shared" si="17"/>
        <v>73</v>
      </c>
    </row>
    <row r="27" spans="1:26" x14ac:dyDescent="0.25">
      <c r="A27" t="s">
        <v>32</v>
      </c>
      <c r="B27" t="s">
        <v>33</v>
      </c>
      <c r="C27" s="26" t="s">
        <v>34</v>
      </c>
      <c r="D27" s="2">
        <f>1211.7123+804.6763</f>
        <v>2016.3885999999998</v>
      </c>
      <c r="E27" s="3">
        <f t="shared" si="13"/>
        <v>20.491040268725982</v>
      </c>
      <c r="F27" s="3">
        <v>41317.9</v>
      </c>
      <c r="G27" s="3">
        <v>42071.53</v>
      </c>
      <c r="H27" s="3">
        <f t="shared" si="14"/>
        <v>20.86479262975401</v>
      </c>
      <c r="I27" s="3">
        <f t="shared" si="15"/>
        <v>753.62999999999738</v>
      </c>
      <c r="J27" s="5">
        <f t="shared" si="16"/>
        <v>1.8239794374835056E-2</v>
      </c>
      <c r="K27" s="1">
        <v>45135</v>
      </c>
      <c r="L27" s="1">
        <v>45308</v>
      </c>
      <c r="M27">
        <f t="shared" si="17"/>
        <v>169</v>
      </c>
      <c r="O27" t="s">
        <v>77</v>
      </c>
    </row>
    <row r="28" spans="1:26" x14ac:dyDescent="0.25">
      <c r="A28" t="s">
        <v>73</v>
      </c>
      <c r="B28" t="s">
        <v>33</v>
      </c>
      <c r="C28" s="26" t="s">
        <v>74</v>
      </c>
      <c r="D28" s="2">
        <f>1339.9646+918.07</f>
        <v>2258.0346</v>
      </c>
      <c r="E28" s="3">
        <f t="shared" si="13"/>
        <v>21.193736358158553</v>
      </c>
      <c r="F28" s="3">
        <f>28457.8+19398.39</f>
        <v>47856.19</v>
      </c>
      <c r="G28" s="3">
        <v>39178.269999999997</v>
      </c>
      <c r="H28" s="3">
        <f t="shared" si="14"/>
        <v>17.350606585036385</v>
      </c>
      <c r="I28" s="3">
        <f t="shared" si="15"/>
        <v>-8677.9200000000055</v>
      </c>
      <c r="J28" s="5">
        <f t="shared" si="16"/>
        <v>-0.18133328206863114</v>
      </c>
      <c r="K28" s="1">
        <v>45302</v>
      </c>
      <c r="L28" s="1">
        <v>45322</v>
      </c>
      <c r="M28">
        <f t="shared" si="17"/>
        <v>20</v>
      </c>
    </row>
    <row r="29" spans="1:26" x14ac:dyDescent="0.25">
      <c r="A29" t="s">
        <v>85</v>
      </c>
      <c r="B29" t="s">
        <v>33</v>
      </c>
      <c r="C29" s="26" t="s">
        <v>86</v>
      </c>
      <c r="D29" s="2">
        <v>126.054</v>
      </c>
      <c r="E29" s="3">
        <f t="shared" si="13"/>
        <v>450.27964205816556</v>
      </c>
      <c r="F29" s="3">
        <v>56759.55</v>
      </c>
      <c r="G29" s="3">
        <v>54939.360000000001</v>
      </c>
      <c r="H29" s="3">
        <f t="shared" si="14"/>
        <v>435.83987814746064</v>
      </c>
      <c r="I29" s="3">
        <f t="shared" si="15"/>
        <v>-1820.1900000000023</v>
      </c>
      <c r="J29" s="5">
        <f t="shared" si="16"/>
        <v>-3.2068436060539635E-2</v>
      </c>
      <c r="K29" s="1">
        <v>45327</v>
      </c>
      <c r="L29" s="1">
        <v>45342</v>
      </c>
      <c r="M29">
        <f t="shared" si="17"/>
        <v>15</v>
      </c>
      <c r="O29" t="s">
        <v>91</v>
      </c>
    </row>
    <row r="30" spans="1:26" x14ac:dyDescent="0.25">
      <c r="A30" t="s">
        <v>78</v>
      </c>
      <c r="B30" t="s">
        <v>33</v>
      </c>
      <c r="C30" s="26" t="s">
        <v>79</v>
      </c>
      <c r="D30" s="2">
        <v>808.63239999999996</v>
      </c>
      <c r="E30" s="3">
        <f t="shared" si="13"/>
        <v>21.530005475912173</v>
      </c>
      <c r="F30" s="3">
        <v>17409.86</v>
      </c>
      <c r="G30" s="3">
        <v>28227.27</v>
      </c>
      <c r="H30" s="3">
        <f t="shared" si="14"/>
        <v>34.907418995330886</v>
      </c>
      <c r="I30" s="3">
        <f t="shared" si="15"/>
        <v>10817.41</v>
      </c>
      <c r="J30" s="5">
        <f t="shared" si="16"/>
        <v>0.62133813827336914</v>
      </c>
      <c r="K30" s="1">
        <v>45309</v>
      </c>
      <c r="L30" s="1">
        <v>45343</v>
      </c>
      <c r="M30" s="54">
        <f t="shared" si="17"/>
        <v>33</v>
      </c>
      <c r="O30" t="s">
        <v>92</v>
      </c>
    </row>
    <row r="31" spans="1:26" x14ac:dyDescent="0.25">
      <c r="A31" t="s">
        <v>93</v>
      </c>
      <c r="B31" t="s">
        <v>33</v>
      </c>
      <c r="C31" s="26" t="s">
        <v>94</v>
      </c>
      <c r="D31" s="2">
        <f>567.3728+414.8485</f>
        <v>982.22129999999993</v>
      </c>
      <c r="E31" s="3">
        <f t="shared" si="13"/>
        <v>52.971341590739279</v>
      </c>
      <c r="F31" s="3">
        <v>52029.58</v>
      </c>
      <c r="G31" s="3">
        <v>47202.25</v>
      </c>
      <c r="H31" s="3">
        <f t="shared" si="14"/>
        <v>48.056634487564061</v>
      </c>
      <c r="I31" s="3">
        <f t="shared" si="15"/>
        <v>-4827.3300000000017</v>
      </c>
      <c r="J31" s="5">
        <f t="shared" si="16"/>
        <v>-9.278049140508153E-2</v>
      </c>
      <c r="K31" s="1">
        <v>45344</v>
      </c>
      <c r="L31" s="1">
        <v>45351</v>
      </c>
      <c r="M31" s="54">
        <f t="shared" si="17"/>
        <v>7</v>
      </c>
      <c r="O31" t="s">
        <v>98</v>
      </c>
    </row>
    <row r="32" spans="1:26" x14ac:dyDescent="0.25">
      <c r="A32" t="s">
        <v>45</v>
      </c>
      <c r="B32" t="s">
        <v>33</v>
      </c>
      <c r="C32" s="26" t="s">
        <v>46</v>
      </c>
      <c r="D32" s="2">
        <f>308.2955+142.5312</f>
        <v>450.82670000000002</v>
      </c>
      <c r="E32" s="3">
        <f t="shared" si="13"/>
        <v>130.66998915547813</v>
      </c>
      <c r="F32" s="3">
        <v>58909.52</v>
      </c>
      <c r="G32" s="3">
        <v>55702.82</v>
      </c>
      <c r="H32" s="3">
        <f t="shared" si="14"/>
        <v>123.55705640326981</v>
      </c>
      <c r="I32" s="3">
        <f t="shared" si="15"/>
        <v>-3206.6999999999971</v>
      </c>
      <c r="J32" s="5">
        <f t="shared" si="16"/>
        <v>-5.4434325725281708E-2</v>
      </c>
      <c r="K32" s="1">
        <v>45286</v>
      </c>
      <c r="L32" s="1">
        <v>45356</v>
      </c>
      <c r="M32" s="54">
        <f t="shared" si="17"/>
        <v>69</v>
      </c>
      <c r="O32" t="s">
        <v>99</v>
      </c>
    </row>
    <row r="33" spans="1:15" x14ac:dyDescent="0.25">
      <c r="A33" t="s">
        <v>88</v>
      </c>
      <c r="B33" t="s">
        <v>33</v>
      </c>
      <c r="C33" s="26" t="s">
        <v>89</v>
      </c>
      <c r="D33" s="2">
        <f>846.327+640.0668</f>
        <v>1486.3937999999998</v>
      </c>
      <c r="E33" s="3">
        <f t="shared" si="13"/>
        <v>34.902742463000052</v>
      </c>
      <c r="F33" s="3">
        <f>30020.93+21858.29</f>
        <v>51879.22</v>
      </c>
      <c r="G33" s="3">
        <v>51882.03</v>
      </c>
      <c r="H33" s="3">
        <f t="shared" si="14"/>
        <v>34.904632944513089</v>
      </c>
      <c r="I33" s="3">
        <f t="shared" si="15"/>
        <v>2.8099999999976717</v>
      </c>
      <c r="J33" s="5">
        <f t="shared" si="16"/>
        <v>5.4164268468139489E-5</v>
      </c>
      <c r="K33" s="1">
        <v>45331</v>
      </c>
      <c r="L33" s="1">
        <v>45366</v>
      </c>
      <c r="M33" s="54">
        <f t="shared" si="17"/>
        <v>36</v>
      </c>
      <c r="O33" t="s">
        <v>100</v>
      </c>
    </row>
    <row r="34" spans="1:15" x14ac:dyDescent="0.25">
      <c r="A34" t="s">
        <v>42</v>
      </c>
      <c r="B34" t="s">
        <v>33</v>
      </c>
      <c r="C34" s="26" t="s">
        <v>43</v>
      </c>
      <c r="D34" s="2">
        <f>1160.2602+1046.0778</f>
        <v>2206.3379999999997</v>
      </c>
      <c r="E34" s="3">
        <f t="shared" si="13"/>
        <v>17.884521773182534</v>
      </c>
      <c r="F34" s="3">
        <f>20288.83+19170.47</f>
        <v>39459.300000000003</v>
      </c>
      <c r="G34" s="3">
        <v>47805.42</v>
      </c>
      <c r="H34" s="3">
        <f t="shared" si="14"/>
        <v>21.667314799455028</v>
      </c>
      <c r="I34" s="3">
        <f t="shared" si="15"/>
        <v>8346.1199999999953</v>
      </c>
      <c r="J34" s="5">
        <f t="shared" si="16"/>
        <v>0.21151211501471123</v>
      </c>
      <c r="K34" s="1">
        <v>45243</v>
      </c>
      <c r="L34" s="1">
        <v>45373</v>
      </c>
      <c r="M34" s="54">
        <f t="shared" si="17"/>
        <v>129</v>
      </c>
      <c r="O34" t="s">
        <v>104</v>
      </c>
    </row>
    <row r="35" spans="1:15" x14ac:dyDescent="0.25">
      <c r="A35" t="s">
        <v>95</v>
      </c>
      <c r="B35" t="s">
        <v>33</v>
      </c>
      <c r="C35" s="26" t="s">
        <v>96</v>
      </c>
      <c r="D35" s="2">
        <f>464.2554+269.0604</f>
        <v>733.31580000000008</v>
      </c>
      <c r="E35" s="3">
        <f t="shared" si="13"/>
        <v>97.201614911338325</v>
      </c>
      <c r="F35" s="3">
        <v>71279.48</v>
      </c>
      <c r="G35" s="3">
        <v>66395.73</v>
      </c>
      <c r="H35" s="3">
        <f t="shared" si="14"/>
        <v>90.541796590227548</v>
      </c>
      <c r="I35" s="3">
        <f t="shared" si="15"/>
        <v>-4883.75</v>
      </c>
      <c r="J35" s="5">
        <f t="shared" si="16"/>
        <v>-6.85155110559168E-2</v>
      </c>
      <c r="K35" s="1">
        <v>45349</v>
      </c>
      <c r="L35" s="1">
        <v>45394</v>
      </c>
      <c r="M35" s="54">
        <f t="shared" si="17"/>
        <v>45</v>
      </c>
      <c r="O35" t="s">
        <v>113</v>
      </c>
    </row>
    <row r="36" spans="1:15" x14ac:dyDescent="0.25">
      <c r="A36" t="s">
        <v>114</v>
      </c>
      <c r="B36" t="s">
        <v>33</v>
      </c>
      <c r="C36" s="26" t="s">
        <v>115</v>
      </c>
      <c r="D36" s="2">
        <v>901.35799999999995</v>
      </c>
      <c r="E36" s="3">
        <f t="shared" si="13"/>
        <v>51.760011005615979</v>
      </c>
      <c r="F36" s="3">
        <v>46654.3</v>
      </c>
      <c r="G36" s="3">
        <v>44379.95</v>
      </c>
      <c r="H36" s="3">
        <f t="shared" si="14"/>
        <v>49.23676275131524</v>
      </c>
      <c r="I36" s="3">
        <f t="shared" si="15"/>
        <v>-2274.3500000000058</v>
      </c>
      <c r="J36" s="5">
        <f t="shared" si="16"/>
        <v>-4.874898991089794E-2</v>
      </c>
      <c r="K36" s="1">
        <v>45394</v>
      </c>
      <c r="L36" s="1">
        <v>45394</v>
      </c>
      <c r="M36" s="54">
        <f t="shared" si="17"/>
        <v>0</v>
      </c>
      <c r="O36" t="s">
        <v>116</v>
      </c>
    </row>
    <row r="37" spans="1:15" x14ac:dyDescent="0.25">
      <c r="A37" t="s">
        <v>39</v>
      </c>
      <c r="B37" t="s">
        <v>33</v>
      </c>
      <c r="C37" s="26" t="s">
        <v>40</v>
      </c>
      <c r="D37" s="2">
        <v>267.84309999999999</v>
      </c>
      <c r="E37" s="3">
        <f t="shared" si="13"/>
        <v>228.36593513142583</v>
      </c>
      <c r="F37" s="3">
        <v>61166.239999999998</v>
      </c>
      <c r="G37" s="3">
        <v>81558.94</v>
      </c>
      <c r="H37" s="3">
        <f t="shared" si="14"/>
        <v>304.50267339349045</v>
      </c>
      <c r="I37" s="3">
        <f t="shared" si="15"/>
        <v>20392.700000000004</v>
      </c>
      <c r="J37" s="5">
        <f t="shared" si="16"/>
        <v>0.33339796593676518</v>
      </c>
      <c r="K37" s="1">
        <v>45238</v>
      </c>
      <c r="L37" s="1">
        <v>45397</v>
      </c>
      <c r="M37" s="54">
        <f t="shared" si="17"/>
        <v>157</v>
      </c>
      <c r="O37" t="s">
        <v>117</v>
      </c>
    </row>
    <row r="38" spans="1:15" x14ac:dyDescent="0.25">
      <c r="A38" t="s">
        <v>110</v>
      </c>
      <c r="B38" t="s">
        <v>33</v>
      </c>
      <c r="C38" s="26" t="s">
        <v>111</v>
      </c>
      <c r="D38" s="2">
        <v>224.41749999999999</v>
      </c>
      <c r="E38" s="3">
        <f t="shared" si="13"/>
        <v>131.07547316942754</v>
      </c>
      <c r="F38" s="3">
        <v>29415.63</v>
      </c>
      <c r="G38" s="3">
        <v>27481.43</v>
      </c>
      <c r="H38" s="3">
        <f t="shared" si="14"/>
        <v>122.45671571958516</v>
      </c>
      <c r="I38" s="3">
        <f t="shared" si="15"/>
        <v>-1934.2000000000007</v>
      </c>
      <c r="J38" s="5">
        <f t="shared" si="16"/>
        <v>-6.5754158588478329E-2</v>
      </c>
      <c r="K38" s="1">
        <v>45393</v>
      </c>
      <c r="L38" s="1">
        <v>45397</v>
      </c>
      <c r="M38" s="54">
        <f t="shared" si="17"/>
        <v>4</v>
      </c>
      <c r="O38" t="s">
        <v>118</v>
      </c>
    </row>
    <row r="39" spans="1:15" x14ac:dyDescent="0.25">
      <c r="A39" t="s">
        <v>82</v>
      </c>
      <c r="B39" t="s">
        <v>33</v>
      </c>
      <c r="C39" s="26" t="s">
        <v>83</v>
      </c>
      <c r="D39" s="2">
        <f>952.002+512.6146</f>
        <v>1464.6165999999998</v>
      </c>
      <c r="E39" s="3">
        <f t="shared" si="13"/>
        <v>30.008099047901005</v>
      </c>
      <c r="F39" s="3">
        <v>43950.36</v>
      </c>
      <c r="G39" s="3">
        <v>49174.83</v>
      </c>
      <c r="H39" s="3">
        <f t="shared" si="14"/>
        <v>33.575223713837467</v>
      </c>
      <c r="I39" s="3">
        <f t="shared" si="15"/>
        <v>5224.4700000000012</v>
      </c>
      <c r="J39" s="5">
        <f t="shared" si="16"/>
        <v>0.11887206384657603</v>
      </c>
      <c r="K39" s="1">
        <v>45321</v>
      </c>
      <c r="L39" s="1">
        <v>45400</v>
      </c>
      <c r="M39" s="54">
        <f t="shared" si="17"/>
        <v>78</v>
      </c>
      <c r="O39" t="s">
        <v>118</v>
      </c>
    </row>
    <row r="40" spans="1:15" x14ac:dyDescent="0.25">
      <c r="A40" t="s">
        <v>101</v>
      </c>
      <c r="B40" t="s">
        <v>33</v>
      </c>
      <c r="C40" s="26" t="s">
        <v>102</v>
      </c>
      <c r="D40" s="2">
        <v>268.57249999999999</v>
      </c>
      <c r="E40" s="3">
        <f t="shared" si="13"/>
        <v>202.80010053151383</v>
      </c>
      <c r="F40" s="3">
        <v>54466.53</v>
      </c>
      <c r="G40" s="3">
        <v>57142.12</v>
      </c>
      <c r="H40" s="3">
        <f t="shared" si="14"/>
        <v>212.76236397993094</v>
      </c>
      <c r="I40" s="3">
        <f t="shared" si="15"/>
        <v>2675.5900000000038</v>
      </c>
      <c r="J40" s="5">
        <f t="shared" si="16"/>
        <v>4.912356267234215E-2</v>
      </c>
      <c r="K40" s="1">
        <v>45370</v>
      </c>
      <c r="L40" s="1">
        <v>45401</v>
      </c>
      <c r="M40" s="54">
        <f t="shared" si="17"/>
        <v>30</v>
      </c>
      <c r="O40" t="s">
        <v>91</v>
      </c>
    </row>
    <row r="41" spans="1:15" x14ac:dyDescent="0.25">
      <c r="A41" t="s">
        <v>81</v>
      </c>
      <c r="B41" t="s">
        <v>33</v>
      </c>
      <c r="C41" s="26" t="s">
        <v>81</v>
      </c>
      <c r="D41" s="2">
        <f>532.4164+77.1815</f>
        <v>609.59789999999998</v>
      </c>
      <c r="E41" s="3">
        <f t="shared" si="13"/>
        <v>72.032301948546731</v>
      </c>
      <c r="F41" s="3">
        <f>38270.34+5640.4</f>
        <v>43910.74</v>
      </c>
      <c r="G41" s="3">
        <v>46906.35</v>
      </c>
      <c r="H41" s="3">
        <f t="shared" si="14"/>
        <v>76.946377275905974</v>
      </c>
      <c r="I41" s="3">
        <f t="shared" si="15"/>
        <v>2995.6100000000006</v>
      </c>
      <c r="J41" s="5">
        <f t="shared" si="16"/>
        <v>6.8220439919709858E-2</v>
      </c>
      <c r="K41" s="1">
        <v>45313</v>
      </c>
      <c r="L41" s="1">
        <v>45420</v>
      </c>
      <c r="M41" s="54">
        <f t="shared" si="17"/>
        <v>106</v>
      </c>
      <c r="O41" t="s">
        <v>120</v>
      </c>
    </row>
    <row r="42" spans="1:15" x14ac:dyDescent="0.25">
      <c r="A42" t="s">
        <v>121</v>
      </c>
      <c r="B42" t="s">
        <v>33</v>
      </c>
      <c r="C42" s="26" t="s">
        <v>122</v>
      </c>
      <c r="D42" s="2">
        <f>1366.874+867.842</f>
        <v>2234.7159999999999</v>
      </c>
      <c r="E42" s="3">
        <f t="shared" si="13"/>
        <v>26.796152173251542</v>
      </c>
      <c r="F42" s="3">
        <f>36957.24+22924.55</f>
        <v>59881.789999999994</v>
      </c>
      <c r="G42" s="3">
        <v>53143.62</v>
      </c>
      <c r="H42" s="3">
        <f t="shared" si="14"/>
        <v>23.780927867344218</v>
      </c>
      <c r="I42" s="3">
        <f t="shared" si="15"/>
        <v>-6738.169999999991</v>
      </c>
      <c r="J42" s="5">
        <f t="shared" si="16"/>
        <v>-0.11252452540246362</v>
      </c>
      <c r="K42" s="1">
        <v>45421</v>
      </c>
      <c r="L42" s="1">
        <v>45441</v>
      </c>
      <c r="M42" s="54">
        <f t="shared" si="17"/>
        <v>20</v>
      </c>
      <c r="O42" t="s">
        <v>137</v>
      </c>
    </row>
    <row r="43" spans="1:15" x14ac:dyDescent="0.25">
      <c r="A43" t="s">
        <v>78</v>
      </c>
      <c r="B43" t="s">
        <v>33</v>
      </c>
      <c r="C43" s="26" t="s">
        <v>79</v>
      </c>
      <c r="D43" s="2">
        <f>1286.8297+948.5633-808.6324</f>
        <v>1426.7606000000001</v>
      </c>
      <c r="E43" s="3">
        <f t="shared" si="13"/>
        <v>21.526049990446886</v>
      </c>
      <c r="F43" s="3">
        <f>28174.78+19947.6-17409.86</f>
        <v>30712.519999999997</v>
      </c>
      <c r="G43" s="3">
        <v>80427.22</v>
      </c>
      <c r="H43" s="3">
        <f t="shared" si="14"/>
        <v>56.370508128693771</v>
      </c>
      <c r="I43" s="3">
        <f t="shared" si="15"/>
        <v>49714.700000000004</v>
      </c>
      <c r="J43" s="5">
        <f t="shared" si="16"/>
        <v>1.6187111966064658</v>
      </c>
      <c r="K43" s="1">
        <v>45309</v>
      </c>
      <c r="L43" s="1">
        <v>45447</v>
      </c>
      <c r="M43" s="54">
        <f t="shared" si="17"/>
        <v>136</v>
      </c>
      <c r="O43" t="s">
        <v>140</v>
      </c>
    </row>
    <row r="44" spans="1:15" x14ac:dyDescent="0.25">
      <c r="A44" t="s">
        <v>126</v>
      </c>
      <c r="B44" t="s">
        <v>33</v>
      </c>
      <c r="C44" s="26" t="s">
        <v>127</v>
      </c>
      <c r="D44" s="2">
        <v>494.90359999999998</v>
      </c>
      <c r="E44" s="3">
        <f t="shared" si="13"/>
        <v>119.9800324750113</v>
      </c>
      <c r="F44" s="3">
        <v>59378.55</v>
      </c>
      <c r="G44" s="3">
        <v>52305.62</v>
      </c>
      <c r="H44" s="3">
        <f t="shared" si="14"/>
        <v>105.68850176074695</v>
      </c>
      <c r="I44" s="3">
        <f t="shared" si="15"/>
        <v>-7072.93</v>
      </c>
      <c r="J44" s="5">
        <f t="shared" si="16"/>
        <v>-0.1191159097013989</v>
      </c>
      <c r="K44" s="1">
        <v>45422</v>
      </c>
      <c r="L44" s="1">
        <v>45456</v>
      </c>
      <c r="M44" s="54">
        <f t="shared" si="17"/>
        <v>33</v>
      </c>
    </row>
    <row r="45" spans="1:15" x14ac:dyDescent="0.25">
      <c r="A45" t="s">
        <v>138</v>
      </c>
      <c r="B45" t="s">
        <v>33</v>
      </c>
      <c r="C45" s="26" t="s">
        <v>139</v>
      </c>
      <c r="D45" s="2">
        <f>1465.9283+649.0589</f>
        <v>2114.9872</v>
      </c>
      <c r="E45" s="3">
        <f t="shared" si="13"/>
        <v>40.121826742024723</v>
      </c>
      <c r="F45" s="3">
        <v>84857.15</v>
      </c>
      <c r="G45" s="3">
        <v>77799.8</v>
      </c>
      <c r="H45" s="3">
        <f t="shared" si="14"/>
        <v>36.784998036867556</v>
      </c>
      <c r="I45" s="3">
        <f t="shared" si="15"/>
        <v>-7057.3499999999913</v>
      </c>
      <c r="J45" s="5">
        <f t="shared" si="16"/>
        <v>-8.3167417241799796E-2</v>
      </c>
      <c r="K45" s="1">
        <v>45446</v>
      </c>
      <c r="L45" s="1">
        <v>45461</v>
      </c>
      <c r="M45" s="54">
        <f t="shared" si="17"/>
        <v>15</v>
      </c>
      <c r="O45" t="s">
        <v>91</v>
      </c>
    </row>
    <row r="46" spans="1:15" x14ac:dyDescent="0.25">
      <c r="A46" t="s">
        <v>142</v>
      </c>
      <c r="B46" t="s">
        <v>33</v>
      </c>
      <c r="C46" s="26" t="s">
        <v>143</v>
      </c>
      <c r="D46" s="2">
        <v>305.40449999999998</v>
      </c>
      <c r="E46" s="3">
        <f t="shared" si="13"/>
        <v>190.14353095648559</v>
      </c>
      <c r="F46" s="3">
        <v>58070.69</v>
      </c>
      <c r="G46" s="3">
        <v>55002.36</v>
      </c>
      <c r="H46" s="3">
        <f t="shared" si="14"/>
        <v>180.0967569240139</v>
      </c>
      <c r="I46" s="3">
        <f t="shared" si="15"/>
        <v>-3068.3300000000017</v>
      </c>
      <c r="J46" s="5">
        <f t="shared" si="16"/>
        <v>-5.2837842980684432E-2</v>
      </c>
      <c r="K46" s="1">
        <v>45460</v>
      </c>
      <c r="L46" s="1">
        <v>45478</v>
      </c>
      <c r="M46" s="54">
        <f t="shared" si="17"/>
        <v>18</v>
      </c>
      <c r="O46" t="s">
        <v>91</v>
      </c>
    </row>
    <row r="47" spans="1:15" x14ac:dyDescent="0.25">
      <c r="A47" t="s">
        <v>135</v>
      </c>
      <c r="B47" t="s">
        <v>33</v>
      </c>
      <c r="C47" s="26" t="s">
        <v>136</v>
      </c>
      <c r="D47" s="2">
        <v>389.78429999999997</v>
      </c>
      <c r="E47" s="3">
        <f t="shared" si="13"/>
        <v>151.88325953610754</v>
      </c>
      <c r="F47" s="3">
        <v>59201.71</v>
      </c>
      <c r="G47" s="3">
        <v>55840.480000000003</v>
      </c>
      <c r="H47" s="3">
        <f t="shared" si="14"/>
        <v>143.25995172201652</v>
      </c>
      <c r="I47" s="3">
        <f t="shared" si="15"/>
        <v>-3361.2299999999959</v>
      </c>
      <c r="J47" s="5">
        <f t="shared" si="16"/>
        <v>-5.6775893804418755E-2</v>
      </c>
      <c r="K47" s="1">
        <v>45440</v>
      </c>
      <c r="L47" s="1">
        <v>45482</v>
      </c>
      <c r="M47" s="54">
        <f t="shared" si="17"/>
        <v>41</v>
      </c>
      <c r="O47" t="s">
        <v>91</v>
      </c>
    </row>
    <row r="48" spans="1:15" x14ac:dyDescent="0.25">
      <c r="A48" t="s">
        <v>144</v>
      </c>
      <c r="B48" t="s">
        <v>33</v>
      </c>
      <c r="C48" s="26" t="s">
        <v>145</v>
      </c>
      <c r="D48" s="2">
        <v>275.726</v>
      </c>
      <c r="E48" s="3">
        <f t="shared" si="13"/>
        <v>210.8544352001625</v>
      </c>
      <c r="F48" s="3">
        <v>58138.05</v>
      </c>
      <c r="G48" s="3">
        <v>51919.61</v>
      </c>
      <c r="H48" s="3">
        <f t="shared" si="14"/>
        <v>188.30146594807889</v>
      </c>
      <c r="I48" s="3">
        <f t="shared" si="15"/>
        <v>-6218.4400000000023</v>
      </c>
      <c r="J48" s="5">
        <f t="shared" si="16"/>
        <v>-0.1069598997558398</v>
      </c>
      <c r="K48" s="1">
        <v>45461</v>
      </c>
      <c r="L48" s="1">
        <v>45489</v>
      </c>
      <c r="M48" s="54">
        <f t="shared" si="17"/>
        <v>28</v>
      </c>
      <c r="O48" t="s">
        <v>91</v>
      </c>
    </row>
    <row r="49" spans="1:15" x14ac:dyDescent="0.25">
      <c r="A49" t="s">
        <v>133</v>
      </c>
      <c r="B49" t="s">
        <v>33</v>
      </c>
      <c r="C49" s="26" t="s">
        <v>134</v>
      </c>
      <c r="D49" s="2">
        <v>261.28930000000003</v>
      </c>
      <c r="E49" s="3">
        <f t="shared" si="13"/>
        <v>94.220008243735961</v>
      </c>
      <c r="F49" s="3">
        <v>24618.68</v>
      </c>
      <c r="G49" s="3">
        <v>30783.54</v>
      </c>
      <c r="H49" s="3">
        <f t="shared" si="14"/>
        <v>117.81400922272745</v>
      </c>
      <c r="I49" s="3">
        <f t="shared" si="15"/>
        <v>6164.8600000000006</v>
      </c>
      <c r="J49" s="5">
        <f t="shared" si="16"/>
        <v>0.25041391333735197</v>
      </c>
      <c r="K49" s="1">
        <v>45427</v>
      </c>
      <c r="L49" s="1">
        <v>45491</v>
      </c>
      <c r="M49" s="54">
        <f t="shared" si="17"/>
        <v>63</v>
      </c>
      <c r="O49" t="s">
        <v>150</v>
      </c>
    </row>
    <row r="50" spans="1:15" x14ac:dyDescent="0.25">
      <c r="A50" t="s">
        <v>151</v>
      </c>
      <c r="B50" t="s">
        <v>33</v>
      </c>
      <c r="C50" s="26" t="s">
        <v>152</v>
      </c>
      <c r="D50" s="2">
        <v>720.19590000000005</v>
      </c>
      <c r="E50" s="3">
        <f t="shared" si="13"/>
        <v>99.676254752352776</v>
      </c>
      <c r="F50" s="3">
        <v>71786.429999999993</v>
      </c>
      <c r="G50" s="3">
        <v>64047.02</v>
      </c>
      <c r="H50" s="3">
        <f t="shared" si="14"/>
        <v>88.929998074135099</v>
      </c>
      <c r="I50" s="3">
        <f t="shared" si="15"/>
        <v>-7739.4099999999962</v>
      </c>
      <c r="J50" s="5">
        <f t="shared" si="16"/>
        <v>-0.10781160171915495</v>
      </c>
      <c r="K50" s="1">
        <v>45495</v>
      </c>
      <c r="L50" s="1">
        <v>45506</v>
      </c>
      <c r="M50" s="54">
        <f t="shared" si="17"/>
        <v>10</v>
      </c>
      <c r="O50" t="s">
        <v>153</v>
      </c>
    </row>
    <row r="51" spans="1:15" x14ac:dyDescent="0.25">
      <c r="A51" t="s">
        <v>133</v>
      </c>
      <c r="B51" t="s">
        <v>33</v>
      </c>
      <c r="C51" s="26" t="s">
        <v>134</v>
      </c>
      <c r="D51" s="2">
        <f>940.668-261.2893</f>
        <v>679.37869999999998</v>
      </c>
      <c r="E51" s="3">
        <f t="shared" si="13"/>
        <v>94.217245845358406</v>
      </c>
      <c r="F51" s="3">
        <f>88627.87-24618.68</f>
        <v>64009.189999999995</v>
      </c>
      <c r="G51" s="3">
        <v>69221.69</v>
      </c>
      <c r="H51" s="3">
        <f t="shared" si="14"/>
        <v>101.88969716006699</v>
      </c>
      <c r="I51" s="3">
        <f t="shared" si="15"/>
        <v>5212.5000000000073</v>
      </c>
      <c r="J51" s="5">
        <f t="shared" si="16"/>
        <v>8.1433619141251551E-2</v>
      </c>
      <c r="K51" s="1">
        <v>45427</v>
      </c>
      <c r="L51" s="1">
        <v>45506</v>
      </c>
      <c r="M51" s="54">
        <f t="shared" si="17"/>
        <v>77</v>
      </c>
      <c r="O51" t="s">
        <v>154</v>
      </c>
    </row>
    <row r="52" spans="1:15" x14ac:dyDescent="0.25">
      <c r="A52" t="s">
        <v>148</v>
      </c>
      <c r="B52" t="s">
        <v>33</v>
      </c>
      <c r="C52" s="26" t="s">
        <v>149</v>
      </c>
      <c r="D52" s="2">
        <v>1873.41</v>
      </c>
      <c r="E52" s="27">
        <v>26.89</v>
      </c>
      <c r="F52" s="3">
        <v>50873.97</v>
      </c>
      <c r="G52" s="3">
        <v>45449.43</v>
      </c>
      <c r="H52" s="3">
        <f t="shared" si="14"/>
        <v>24.260268707864267</v>
      </c>
      <c r="I52" s="3">
        <f t="shared" si="15"/>
        <v>-5424.5400000000009</v>
      </c>
      <c r="J52" s="5">
        <f t="shared" si="16"/>
        <v>-0.10662702360362285</v>
      </c>
      <c r="K52" s="1">
        <v>45478</v>
      </c>
      <c r="L52" s="1">
        <v>45506</v>
      </c>
      <c r="M52" s="54">
        <f t="shared" si="17"/>
        <v>27</v>
      </c>
    </row>
    <row r="53" spans="1:15" x14ac:dyDescent="0.25">
      <c r="A53" t="s">
        <v>128</v>
      </c>
      <c r="B53" t="s">
        <v>33</v>
      </c>
      <c r="C53" s="26" t="s">
        <v>129</v>
      </c>
      <c r="D53" s="2">
        <v>390.4513</v>
      </c>
      <c r="E53" s="3">
        <f t="shared" si="13"/>
        <v>150.35572938289613</v>
      </c>
      <c r="F53" s="3">
        <v>58706.59</v>
      </c>
      <c r="G53" s="3">
        <v>58315.35</v>
      </c>
      <c r="H53" s="3">
        <f t="shared" si="14"/>
        <v>149.35370941267195</v>
      </c>
      <c r="I53" s="3">
        <f t="shared" si="15"/>
        <v>-391.23999999999796</v>
      </c>
      <c r="J53" s="5">
        <f t="shared" si="16"/>
        <v>-6.6643284850984872E-3</v>
      </c>
      <c r="K53" s="1">
        <v>45426</v>
      </c>
      <c r="L53" s="1">
        <v>45506</v>
      </c>
      <c r="M53" s="54">
        <f t="shared" si="17"/>
        <v>78</v>
      </c>
    </row>
    <row r="54" spans="1:15" x14ac:dyDescent="0.25">
      <c r="A54" t="s">
        <v>146</v>
      </c>
      <c r="B54" t="s">
        <v>33</v>
      </c>
      <c r="C54" s="26" t="s">
        <v>147</v>
      </c>
      <c r="D54" s="2">
        <v>341.96359999999999</v>
      </c>
      <c r="E54" s="3">
        <f t="shared" si="13"/>
        <v>210.88800094512985</v>
      </c>
      <c r="F54" s="3">
        <v>72116.02</v>
      </c>
      <c r="G54" s="3">
        <v>72157.78</v>
      </c>
      <c r="H54" s="3">
        <f t="shared" si="14"/>
        <v>211.01011920566984</v>
      </c>
      <c r="I54" s="3">
        <f t="shared" si="15"/>
        <v>41.759999999994761</v>
      </c>
      <c r="J54" s="5">
        <f t="shared" si="16"/>
        <v>5.7906689803451105E-4</v>
      </c>
      <c r="K54" s="1">
        <v>45464</v>
      </c>
      <c r="L54" s="1">
        <v>45512</v>
      </c>
      <c r="M54" s="54">
        <f t="shared" si="17"/>
        <v>47</v>
      </c>
    </row>
    <row r="55" spans="1:15" x14ac:dyDescent="0.25">
      <c r="A55" t="s">
        <v>155</v>
      </c>
      <c r="B55" t="s">
        <v>33</v>
      </c>
      <c r="C55" s="26" t="s">
        <v>156</v>
      </c>
      <c r="D55" s="2">
        <v>206.7054</v>
      </c>
      <c r="E55" s="3">
        <f t="shared" si="13"/>
        <v>343.08895655362653</v>
      </c>
      <c r="F55" s="3">
        <v>70918.34</v>
      </c>
      <c r="G55" s="3">
        <v>64755.66</v>
      </c>
      <c r="H55" s="3">
        <f t="shared" si="14"/>
        <v>313.27512488788392</v>
      </c>
      <c r="I55" s="3">
        <f t="shared" si="15"/>
        <v>-6162.679999999993</v>
      </c>
      <c r="J55" s="5">
        <f t="shared" si="16"/>
        <v>-8.6898255091701154E-2</v>
      </c>
      <c r="K55" s="1">
        <v>45531</v>
      </c>
      <c r="L55" s="1">
        <v>45546</v>
      </c>
      <c r="M55" s="54">
        <f t="shared" si="17"/>
        <v>14</v>
      </c>
    </row>
    <row r="56" spans="1:15" x14ac:dyDescent="0.25">
      <c r="A56" t="s">
        <v>161</v>
      </c>
      <c r="B56" t="s">
        <v>33</v>
      </c>
      <c r="C56" s="26" t="s">
        <v>162</v>
      </c>
      <c r="D56" s="2">
        <v>685.0933</v>
      </c>
      <c r="E56" s="3">
        <f t="shared" si="13"/>
        <v>81.834167696575051</v>
      </c>
      <c r="F56" s="3">
        <v>56064.04</v>
      </c>
      <c r="G56" s="3">
        <v>46739.21</v>
      </c>
      <c r="H56" s="3">
        <f t="shared" si="14"/>
        <v>68.223131068425275</v>
      </c>
      <c r="I56" s="3">
        <f t="shared" si="15"/>
        <v>-9324.8300000000017</v>
      </c>
      <c r="J56" s="5">
        <f t="shared" si="16"/>
        <v>-0.16632461734830387</v>
      </c>
      <c r="K56" s="1">
        <v>45553</v>
      </c>
      <c r="L56" s="1">
        <v>45587</v>
      </c>
      <c r="M56" s="54">
        <f t="shared" si="17"/>
        <v>34</v>
      </c>
    </row>
    <row r="57" spans="1:15" x14ac:dyDescent="0.25">
      <c r="A57" t="s">
        <v>105</v>
      </c>
      <c r="B57" t="s">
        <v>33</v>
      </c>
      <c r="C57" s="26" t="s">
        <v>106</v>
      </c>
      <c r="D57" s="2">
        <f>2972.4372+3509.2812</f>
        <v>6481.7183999999997</v>
      </c>
      <c r="E57" s="3">
        <f t="shared" si="13"/>
        <v>8.6074458279458721</v>
      </c>
      <c r="F57" s="3">
        <f>23794.37+31996.67</f>
        <v>55791.039999999994</v>
      </c>
      <c r="G57" s="3">
        <v>64158.11</v>
      </c>
      <c r="H57" s="3">
        <f t="shared" si="14"/>
        <v>9.8983180139390203</v>
      </c>
      <c r="I57" s="3">
        <f t="shared" si="15"/>
        <v>8367.070000000007</v>
      </c>
      <c r="J57" s="5">
        <f t="shared" si="16"/>
        <v>0.14997157249622892</v>
      </c>
      <c r="K57" s="1">
        <v>45378</v>
      </c>
      <c r="L57" s="1">
        <v>45607</v>
      </c>
      <c r="M57" s="54">
        <f t="shared" si="17"/>
        <v>224</v>
      </c>
    </row>
    <row r="58" spans="1:15" x14ac:dyDescent="0.25">
      <c r="A58" t="s">
        <v>109</v>
      </c>
      <c r="B58" t="s">
        <v>33</v>
      </c>
      <c r="C58" s="26" t="s">
        <v>107</v>
      </c>
      <c r="D58" s="2">
        <v>828.40229999999997</v>
      </c>
      <c r="E58" s="3">
        <f t="shared" si="13"/>
        <v>57.488481140141687</v>
      </c>
      <c r="F58" s="3">
        <v>47623.59</v>
      </c>
      <c r="G58" s="3">
        <v>63919.73</v>
      </c>
      <c r="H58" s="3">
        <f>G58/D58</f>
        <v>77.160251727934607</v>
      </c>
      <c r="I58" s="3">
        <f>G58-F58</f>
        <v>16296.140000000007</v>
      </c>
      <c r="J58" s="5">
        <f>I58/F58</f>
        <v>0.34218629884895296</v>
      </c>
      <c r="K58" s="1">
        <v>45378</v>
      </c>
      <c r="L58" s="1">
        <v>45609</v>
      </c>
      <c r="M58" s="54">
        <f t="shared" si="17"/>
        <v>226</v>
      </c>
    </row>
    <row r="59" spans="1:15" x14ac:dyDescent="0.25">
      <c r="A59" t="s">
        <v>167</v>
      </c>
      <c r="B59" t="s">
        <v>33</v>
      </c>
      <c r="C59" s="26" t="s">
        <v>168</v>
      </c>
      <c r="D59" s="2">
        <f>1552.0855+958.8847</f>
        <v>2510.9701999999997</v>
      </c>
      <c r="E59" s="3">
        <f t="shared" si="13"/>
        <v>23.833572377720774</v>
      </c>
      <c r="F59" s="3">
        <v>59845.39</v>
      </c>
      <c r="G59" s="3">
        <v>54243.09</v>
      </c>
      <c r="H59" s="3">
        <f>G59/D59</f>
        <v>21.602442753004397</v>
      </c>
      <c r="I59" s="3">
        <f>G59-F59</f>
        <v>-5602.3000000000029</v>
      </c>
      <c r="J59" s="5">
        <f>I59/F59</f>
        <v>-9.3612891485877245E-2</v>
      </c>
      <c r="K59" s="1">
        <v>45587</v>
      </c>
      <c r="L59" s="1">
        <v>45610</v>
      </c>
      <c r="M59" s="54">
        <f t="shared" si="17"/>
        <v>22</v>
      </c>
    </row>
    <row r="60" spans="1:15" x14ac:dyDescent="0.25">
      <c r="A60" t="s">
        <v>165</v>
      </c>
      <c r="B60" t="s">
        <v>33</v>
      </c>
      <c r="C60" s="26" t="s">
        <v>166</v>
      </c>
      <c r="D60" s="2">
        <v>83.212100000000007</v>
      </c>
      <c r="E60" s="3">
        <f t="shared" si="13"/>
        <v>208.1099984257097</v>
      </c>
      <c r="F60" s="3">
        <v>17317.27</v>
      </c>
      <c r="G60" s="3">
        <v>36959.46</v>
      </c>
      <c r="H60" s="3">
        <f>G60/D60</f>
        <v>444.15968350756674</v>
      </c>
      <c r="I60" s="3">
        <f>G60-F60</f>
        <v>19642.189999999999</v>
      </c>
      <c r="J60" s="5">
        <f>I60/F60</f>
        <v>1.1342544176997875</v>
      </c>
      <c r="K60" s="1">
        <v>45580</v>
      </c>
      <c r="L60" s="1">
        <v>45614</v>
      </c>
      <c r="M60" s="54">
        <f t="shared" si="17"/>
        <v>33</v>
      </c>
    </row>
    <row r="61" spans="1:15" x14ac:dyDescent="0.25">
      <c r="A61" t="s">
        <v>163</v>
      </c>
      <c r="B61" t="s">
        <v>33</v>
      </c>
      <c r="C61" s="26" t="s">
        <v>164</v>
      </c>
      <c r="D61" s="2">
        <v>427.7285</v>
      </c>
      <c r="E61" s="3">
        <f t="shared" si="13"/>
        <v>132.0782458966377</v>
      </c>
      <c r="F61" s="3">
        <v>56493.63</v>
      </c>
      <c r="G61" s="3">
        <v>80207.45</v>
      </c>
      <c r="H61" s="3">
        <f>G61/D61</f>
        <v>187.51953634139412</v>
      </c>
      <c r="I61" s="3">
        <f>G61-F61</f>
        <v>23713.82</v>
      </c>
      <c r="J61" s="5">
        <f>I61/F61</f>
        <v>0.4197609535800762</v>
      </c>
      <c r="K61" s="1">
        <v>45554</v>
      </c>
      <c r="L61" s="1">
        <v>45629</v>
      </c>
      <c r="M61" s="54">
        <f t="shared" si="17"/>
        <v>74</v>
      </c>
    </row>
    <row r="62" spans="1:15" x14ac:dyDescent="0.25">
      <c r="A62" t="s">
        <v>176</v>
      </c>
      <c r="B62" t="s">
        <v>33</v>
      </c>
      <c r="C62" s="26" t="s">
        <v>177</v>
      </c>
      <c r="D62" s="2">
        <f>1398.5013+654.0854</f>
        <v>2052.5866999999998</v>
      </c>
      <c r="E62" s="3">
        <f t="shared" si="13"/>
        <v>35.711090790951729</v>
      </c>
      <c r="F62" s="3">
        <v>73300.11</v>
      </c>
      <c r="G62" s="3">
        <v>52589.03</v>
      </c>
      <c r="H62" s="3">
        <f>G62/D62</f>
        <v>25.620856843708481</v>
      </c>
      <c r="I62" s="3">
        <f>G62-F62</f>
        <v>-20711.080000000002</v>
      </c>
      <c r="J62" s="5">
        <f>I62/F62</f>
        <v>-0.28255182700271531</v>
      </c>
      <c r="K62" s="1">
        <v>45630</v>
      </c>
      <c r="L62" s="1">
        <v>45639</v>
      </c>
      <c r="M62" s="54">
        <f t="shared" si="17"/>
        <v>9</v>
      </c>
    </row>
    <row r="63" spans="1:15" x14ac:dyDescent="0.25">
      <c r="A63" t="s">
        <v>131</v>
      </c>
      <c r="B63" t="s">
        <v>33</v>
      </c>
      <c r="C63" s="26" t="s">
        <v>132</v>
      </c>
      <c r="D63" s="2">
        <f>1542.0192+932.4994</f>
        <v>2474.5185999999999</v>
      </c>
      <c r="E63" s="3">
        <f t="shared" si="13"/>
        <v>28.898752266400425</v>
      </c>
      <c r="F63" s="3">
        <v>71510.5</v>
      </c>
      <c r="G63" s="3">
        <v>86504.7</v>
      </c>
      <c r="H63" s="3">
        <f t="shared" ref="H63:H64" si="18">G63/D63</f>
        <v>34.958193484583227</v>
      </c>
      <c r="I63" s="3">
        <f t="shared" ref="I63:I64" si="19">G63-F63</f>
        <v>14994.199999999997</v>
      </c>
      <c r="J63" s="5">
        <f t="shared" ref="J63:J64" si="20">I63/F63</f>
        <v>0.20967829899105722</v>
      </c>
      <c r="K63" s="1">
        <v>45426</v>
      </c>
      <c r="L63" s="1">
        <v>45644</v>
      </c>
      <c r="M63" s="54">
        <f t="shared" si="17"/>
        <v>214</v>
      </c>
    </row>
    <row r="64" spans="1:15" x14ac:dyDescent="0.25">
      <c r="A64" t="s">
        <v>133</v>
      </c>
      <c r="B64" t="s">
        <v>33</v>
      </c>
      <c r="C64" s="26" t="s">
        <v>134</v>
      </c>
      <c r="D64" s="2">
        <v>552.66859999999997</v>
      </c>
      <c r="E64" s="3">
        <f t="shared" si="13"/>
        <v>127.82998708448426</v>
      </c>
      <c r="F64" s="3">
        <v>70647.62</v>
      </c>
      <c r="G64" s="3">
        <v>70456.95</v>
      </c>
      <c r="H64" s="3">
        <f t="shared" si="18"/>
        <v>127.4849882913558</v>
      </c>
      <c r="I64" s="3">
        <f t="shared" si="19"/>
        <v>-190.66999999999825</v>
      </c>
      <c r="J64" s="5">
        <f t="shared" si="20"/>
        <v>-2.6988878040052626E-3</v>
      </c>
      <c r="K64" s="1">
        <v>45531</v>
      </c>
      <c r="L64" s="1">
        <v>45643</v>
      </c>
      <c r="M64" s="54">
        <f t="shared" si="17"/>
        <v>110</v>
      </c>
    </row>
    <row r="65" spans="3:13" x14ac:dyDescent="0.25">
      <c r="C65" s="26"/>
      <c r="E65" s="3"/>
      <c r="J65" s="5"/>
      <c r="K65" s="1"/>
      <c r="L65" s="1"/>
      <c r="M65" s="54"/>
    </row>
    <row r="66" spans="3:13" x14ac:dyDescent="0.25">
      <c r="C66" s="26"/>
      <c r="E66" s="3"/>
      <c r="J66" s="5"/>
      <c r="K66" s="1"/>
      <c r="L66" s="1"/>
      <c r="M66" s="54"/>
    </row>
    <row r="67" spans="3:13" x14ac:dyDescent="0.25">
      <c r="C67" s="26"/>
      <c r="E67" s="3"/>
      <c r="J67" s="5"/>
      <c r="K67" s="1"/>
      <c r="L67" s="1"/>
      <c r="M67" s="54"/>
    </row>
    <row r="68" spans="3:13" x14ac:dyDescent="0.25">
      <c r="C68" s="26"/>
      <c r="E68" s="3"/>
      <c r="J68" s="5"/>
      <c r="K68" s="1"/>
      <c r="L68" s="1"/>
      <c r="M68" s="54"/>
    </row>
    <row r="69" spans="3:13" x14ac:dyDescent="0.25">
      <c r="I69" s="3">
        <f>SUM(I25:I68)</f>
        <v>71197.740000000034</v>
      </c>
      <c r="J69" s="13" t="s">
        <v>68</v>
      </c>
    </row>
    <row r="70" spans="3:13" x14ac:dyDescent="0.25">
      <c r="H70" s="3" t="s">
        <v>69</v>
      </c>
      <c r="I70" s="55">
        <v>23</v>
      </c>
      <c r="J70" s="5">
        <v>9.2100000000000001E-2</v>
      </c>
    </row>
    <row r="71" spans="3:13" x14ac:dyDescent="0.25">
      <c r="H71" s="3" t="s">
        <v>70</v>
      </c>
      <c r="I71" s="55">
        <v>17</v>
      </c>
      <c r="J71" s="5">
        <v>0.33100000000000002</v>
      </c>
    </row>
    <row r="72" spans="3:13" x14ac:dyDescent="0.25">
      <c r="J72" s="5"/>
    </row>
    <row r="73" spans="3:13" x14ac:dyDescent="0.25">
      <c r="J73" s="5"/>
    </row>
    <row r="74" spans="3:13" x14ac:dyDescent="0.25">
      <c r="J74" s="5"/>
    </row>
    <row r="75" spans="3:13" x14ac:dyDescent="0.25">
      <c r="J75" s="5"/>
    </row>
    <row r="76" spans="3:13" x14ac:dyDescent="0.25">
      <c r="J76" s="5"/>
    </row>
    <row r="77" spans="3:13" x14ac:dyDescent="0.25">
      <c r="J77" s="5"/>
    </row>
    <row r="78" spans="3:13" x14ac:dyDescent="0.25">
      <c r="J78" s="5"/>
    </row>
    <row r="79" spans="3:13" x14ac:dyDescent="0.25">
      <c r="J79" s="5"/>
    </row>
    <row r="80" spans="3:13" x14ac:dyDescent="0.25">
      <c r="J80" s="5"/>
    </row>
    <row r="81" spans="10:10" x14ac:dyDescent="0.25">
      <c r="J81" s="5"/>
    </row>
    <row r="82" spans="10:10" x14ac:dyDescent="0.25">
      <c r="J82" s="5"/>
    </row>
    <row r="83" spans="10:10" x14ac:dyDescent="0.25">
      <c r="J83" s="5"/>
    </row>
    <row r="84" spans="10:10" x14ac:dyDescent="0.25">
      <c r="J84" s="5"/>
    </row>
    <row r="85" spans="10:10" x14ac:dyDescent="0.25">
      <c r="J85" s="5"/>
    </row>
    <row r="86" spans="10:10" x14ac:dyDescent="0.25">
      <c r="J86" s="5"/>
    </row>
    <row r="87" spans="10:10" x14ac:dyDescent="0.25">
      <c r="J87" s="5"/>
    </row>
    <row r="88" spans="10:10" x14ac:dyDescent="0.25">
      <c r="J88" s="5"/>
    </row>
    <row r="89" spans="10:10" x14ac:dyDescent="0.25">
      <c r="J89" s="5"/>
    </row>
    <row r="90" spans="10:10" x14ac:dyDescent="0.25">
      <c r="J90" s="5"/>
    </row>
    <row r="91" spans="10:10" x14ac:dyDescent="0.25">
      <c r="J91" s="5"/>
    </row>
    <row r="92" spans="10:10" x14ac:dyDescent="0.25">
      <c r="J92" s="5"/>
    </row>
    <row r="93" spans="10:10" x14ac:dyDescent="0.25">
      <c r="J93" s="5"/>
    </row>
    <row r="94" spans="10:10" x14ac:dyDescent="0.25">
      <c r="J94" s="5"/>
    </row>
    <row r="95" spans="10:10" x14ac:dyDescent="0.25">
      <c r="J95" s="5"/>
    </row>
    <row r="96" spans="10:10" x14ac:dyDescent="0.25">
      <c r="J96" s="5"/>
    </row>
    <row r="97" spans="10:10" x14ac:dyDescent="0.25">
      <c r="J97" s="5"/>
    </row>
    <row r="98" spans="10:10" x14ac:dyDescent="0.25">
      <c r="J98" s="5"/>
    </row>
    <row r="99" spans="10:10" x14ac:dyDescent="0.25">
      <c r="J99" s="5"/>
    </row>
    <row r="100" spans="10:10" x14ac:dyDescent="0.25">
      <c r="J100" s="5"/>
    </row>
    <row r="101" spans="10:10" x14ac:dyDescent="0.25">
      <c r="J101" s="5"/>
    </row>
    <row r="102" spans="10:10" x14ac:dyDescent="0.25">
      <c r="J102" s="5"/>
    </row>
    <row r="103" spans="10:10" x14ac:dyDescent="0.25">
      <c r="J103" s="5"/>
    </row>
    <row r="104" spans="10:10" x14ac:dyDescent="0.25">
      <c r="J104" s="5"/>
    </row>
    <row r="105" spans="10:10" x14ac:dyDescent="0.25">
      <c r="J105" s="5"/>
    </row>
    <row r="106" spans="10:10" x14ac:dyDescent="0.25">
      <c r="J106" s="5"/>
    </row>
    <row r="107" spans="10:10" x14ac:dyDescent="0.25">
      <c r="J107" s="5"/>
    </row>
    <row r="108" spans="10:10" x14ac:dyDescent="0.25">
      <c r="J108" s="5"/>
    </row>
    <row r="109" spans="10:10" x14ac:dyDescent="0.25">
      <c r="J109" s="5"/>
    </row>
    <row r="110" spans="10:10" x14ac:dyDescent="0.25">
      <c r="J110" s="5"/>
    </row>
    <row r="111" spans="10:10" x14ac:dyDescent="0.25">
      <c r="J111" s="5"/>
    </row>
    <row r="112" spans="10:10" x14ac:dyDescent="0.25">
      <c r="J112" s="5"/>
    </row>
    <row r="113" spans="10:10" x14ac:dyDescent="0.25">
      <c r="J113" s="5"/>
    </row>
    <row r="114" spans="10:10" x14ac:dyDescent="0.25">
      <c r="J114" s="5"/>
    </row>
    <row r="115" spans="10:10" x14ac:dyDescent="0.25">
      <c r="J115" s="5"/>
    </row>
    <row r="116" spans="10:10" x14ac:dyDescent="0.25">
      <c r="J116" s="5"/>
    </row>
    <row r="117" spans="10:10" x14ac:dyDescent="0.25">
      <c r="J117" s="5"/>
    </row>
    <row r="118" spans="10:10" x14ac:dyDescent="0.25">
      <c r="J118" s="5"/>
    </row>
    <row r="119" spans="10:10" x14ac:dyDescent="0.25">
      <c r="J119" s="5"/>
    </row>
    <row r="120" spans="10:10" x14ac:dyDescent="0.25">
      <c r="J120" s="5"/>
    </row>
    <row r="121" spans="10:10" x14ac:dyDescent="0.25">
      <c r="J121" s="5"/>
    </row>
    <row r="122" spans="10:10" x14ac:dyDescent="0.25">
      <c r="J122" s="5"/>
    </row>
    <row r="123" spans="10:10" x14ac:dyDescent="0.25">
      <c r="J123" s="5"/>
    </row>
    <row r="124" spans="10:10" x14ac:dyDescent="0.25">
      <c r="J124" s="5"/>
    </row>
    <row r="125" spans="10:10" x14ac:dyDescent="0.25">
      <c r="J125" s="5"/>
    </row>
    <row r="126" spans="10:10" x14ac:dyDescent="0.25">
      <c r="J126" s="5"/>
    </row>
    <row r="127" spans="10:10" x14ac:dyDescent="0.25">
      <c r="J127" s="5"/>
    </row>
    <row r="128" spans="10:10" x14ac:dyDescent="0.25">
      <c r="J128" s="5"/>
    </row>
    <row r="129" spans="10:10" x14ac:dyDescent="0.25">
      <c r="J129" s="5"/>
    </row>
    <row r="130" spans="10:10" x14ac:dyDescent="0.25">
      <c r="J130" s="5"/>
    </row>
    <row r="131" spans="10:10" x14ac:dyDescent="0.25">
      <c r="J131" s="5"/>
    </row>
    <row r="132" spans="10:10" x14ac:dyDescent="0.25">
      <c r="J132" s="5"/>
    </row>
    <row r="133" spans="10:10" x14ac:dyDescent="0.25">
      <c r="J133" s="5"/>
    </row>
    <row r="134" spans="10:10" x14ac:dyDescent="0.25">
      <c r="J134" s="5"/>
    </row>
    <row r="135" spans="10:10" x14ac:dyDescent="0.25">
      <c r="J135" s="5"/>
    </row>
    <row r="136" spans="10:10" x14ac:dyDescent="0.25">
      <c r="J136" s="5"/>
    </row>
    <row r="137" spans="10:10" x14ac:dyDescent="0.25">
      <c r="J137" s="5"/>
    </row>
    <row r="138" spans="10:10" x14ac:dyDescent="0.25">
      <c r="J138" s="5"/>
    </row>
    <row r="139" spans="10:10" x14ac:dyDescent="0.25">
      <c r="J139" s="5"/>
    </row>
    <row r="140" spans="10:10" x14ac:dyDescent="0.25">
      <c r="J140" s="5"/>
    </row>
    <row r="141" spans="10:10" x14ac:dyDescent="0.25">
      <c r="J141" s="5"/>
    </row>
    <row r="142" spans="10:10" x14ac:dyDescent="0.25">
      <c r="J142" s="5"/>
    </row>
    <row r="143" spans="10:10" x14ac:dyDescent="0.25">
      <c r="J143" s="5"/>
    </row>
    <row r="144" spans="10:10" x14ac:dyDescent="0.25">
      <c r="J144" s="5"/>
    </row>
    <row r="145" spans="10:10" x14ac:dyDescent="0.25">
      <c r="J145" s="5"/>
    </row>
    <row r="146" spans="10:10" x14ac:dyDescent="0.25">
      <c r="J146" s="5"/>
    </row>
    <row r="147" spans="10:10" x14ac:dyDescent="0.25">
      <c r="J147" s="5"/>
    </row>
    <row r="148" spans="10:10" x14ac:dyDescent="0.25">
      <c r="J148" s="5"/>
    </row>
    <row r="149" spans="10:10" x14ac:dyDescent="0.25">
      <c r="J149" s="5"/>
    </row>
    <row r="150" spans="10:10" x14ac:dyDescent="0.25">
      <c r="J150" s="5"/>
    </row>
    <row r="151" spans="10:10" x14ac:dyDescent="0.25">
      <c r="J151" s="5"/>
    </row>
    <row r="152" spans="10:10" x14ac:dyDescent="0.25">
      <c r="J152" s="5"/>
    </row>
    <row r="153" spans="10:10" x14ac:dyDescent="0.25">
      <c r="J153" s="5"/>
    </row>
    <row r="154" spans="10:10" x14ac:dyDescent="0.25">
      <c r="J154" s="5"/>
    </row>
    <row r="155" spans="10:10" x14ac:dyDescent="0.25">
      <c r="J155" s="5"/>
    </row>
    <row r="156" spans="10:10" x14ac:dyDescent="0.25">
      <c r="J156" s="5"/>
    </row>
    <row r="157" spans="10:10" x14ac:dyDescent="0.25">
      <c r="J157" s="5"/>
    </row>
    <row r="158" spans="10:10" x14ac:dyDescent="0.25">
      <c r="J158" s="5"/>
    </row>
    <row r="159" spans="10:10" x14ac:dyDescent="0.25">
      <c r="J159" s="5"/>
    </row>
    <row r="160" spans="10:10" x14ac:dyDescent="0.25">
      <c r="J160" s="5"/>
    </row>
    <row r="161" spans="10:10" x14ac:dyDescent="0.25">
      <c r="J161" s="5"/>
    </row>
    <row r="162" spans="10:10" x14ac:dyDescent="0.25">
      <c r="J162" s="5"/>
    </row>
    <row r="163" spans="10:10" x14ac:dyDescent="0.25">
      <c r="J163" s="5"/>
    </row>
    <row r="164" spans="10:10" x14ac:dyDescent="0.25">
      <c r="J164" s="5"/>
    </row>
    <row r="165" spans="10:10" x14ac:dyDescent="0.25">
      <c r="J165" s="5"/>
    </row>
    <row r="166" spans="10:10" x14ac:dyDescent="0.25">
      <c r="J166" s="5"/>
    </row>
    <row r="167" spans="10:10" x14ac:dyDescent="0.25">
      <c r="J167" s="5"/>
    </row>
    <row r="168" spans="10:10" x14ac:dyDescent="0.25">
      <c r="J168" s="5"/>
    </row>
    <row r="169" spans="10:10" x14ac:dyDescent="0.25">
      <c r="J169" s="5"/>
    </row>
    <row r="170" spans="10:10" x14ac:dyDescent="0.25">
      <c r="J170" s="5"/>
    </row>
    <row r="171" spans="10:10" x14ac:dyDescent="0.25">
      <c r="J171" s="5"/>
    </row>
    <row r="172" spans="10:10" x14ac:dyDescent="0.25">
      <c r="J172" s="5"/>
    </row>
    <row r="173" spans="10:10" x14ac:dyDescent="0.25">
      <c r="J173" s="5"/>
    </row>
    <row r="174" spans="10:10" x14ac:dyDescent="0.25">
      <c r="J174" s="5"/>
    </row>
    <row r="175" spans="10:10" x14ac:dyDescent="0.25">
      <c r="J175" s="5"/>
    </row>
    <row r="176" spans="10:10" x14ac:dyDescent="0.25">
      <c r="J176" s="5"/>
    </row>
    <row r="177" spans="10:10" x14ac:dyDescent="0.25">
      <c r="J177" s="5"/>
    </row>
    <row r="178" spans="10:10" x14ac:dyDescent="0.25">
      <c r="J178" s="5"/>
    </row>
    <row r="179" spans="10:10" x14ac:dyDescent="0.25">
      <c r="J179" s="5"/>
    </row>
    <row r="180" spans="10:10" x14ac:dyDescent="0.25">
      <c r="J180" s="5"/>
    </row>
    <row r="181" spans="10:10" x14ac:dyDescent="0.25">
      <c r="J181" s="5"/>
    </row>
    <row r="182" spans="10:10" x14ac:dyDescent="0.25">
      <c r="J182" s="5"/>
    </row>
    <row r="183" spans="10:10" x14ac:dyDescent="0.25">
      <c r="J183" s="5"/>
    </row>
    <row r="184" spans="10:10" x14ac:dyDescent="0.25">
      <c r="J184" s="5"/>
    </row>
    <row r="185" spans="10:10" x14ac:dyDescent="0.25">
      <c r="J185" s="5"/>
    </row>
    <row r="186" spans="10:10" x14ac:dyDescent="0.25">
      <c r="J186" s="5"/>
    </row>
    <row r="187" spans="10:10" x14ac:dyDescent="0.25">
      <c r="J187" s="5"/>
    </row>
    <row r="188" spans="10:10" x14ac:dyDescent="0.25">
      <c r="J188" s="5"/>
    </row>
    <row r="189" spans="10:10" x14ac:dyDescent="0.25">
      <c r="J189" s="5"/>
    </row>
    <row r="190" spans="10:10" x14ac:dyDescent="0.25">
      <c r="J190" s="5"/>
    </row>
    <row r="191" spans="10:10" x14ac:dyDescent="0.25">
      <c r="J191" s="5"/>
    </row>
    <row r="192" spans="10:10" x14ac:dyDescent="0.25">
      <c r="J192" s="5"/>
    </row>
    <row r="193" spans="10:10" x14ac:dyDescent="0.25">
      <c r="J193" s="5"/>
    </row>
    <row r="194" spans="10:10" x14ac:dyDescent="0.25">
      <c r="J194" s="5"/>
    </row>
    <row r="195" spans="10:10" x14ac:dyDescent="0.25">
      <c r="J195" s="5"/>
    </row>
    <row r="196" spans="10:10" x14ac:dyDescent="0.25">
      <c r="J196" s="5"/>
    </row>
    <row r="197" spans="10:10" x14ac:dyDescent="0.25">
      <c r="J197" s="5"/>
    </row>
    <row r="198" spans="10:10" x14ac:dyDescent="0.25">
      <c r="J198" s="5"/>
    </row>
    <row r="199" spans="10:10" x14ac:dyDescent="0.25">
      <c r="J199" s="5"/>
    </row>
    <row r="200" spans="10:10" x14ac:dyDescent="0.25">
      <c r="J200" s="5"/>
    </row>
    <row r="201" spans="10:10" x14ac:dyDescent="0.25">
      <c r="J201" s="5"/>
    </row>
    <row r="202" spans="10:10" x14ac:dyDescent="0.25">
      <c r="J202" s="5"/>
    </row>
    <row r="203" spans="10:10" x14ac:dyDescent="0.25">
      <c r="J203" s="5"/>
    </row>
    <row r="204" spans="10:10" x14ac:dyDescent="0.25">
      <c r="J204" s="5"/>
    </row>
    <row r="205" spans="10:10" x14ac:dyDescent="0.25">
      <c r="J205" s="5"/>
    </row>
    <row r="206" spans="10:10" x14ac:dyDescent="0.25">
      <c r="J206" s="5"/>
    </row>
    <row r="207" spans="10:10" x14ac:dyDescent="0.25">
      <c r="J207" s="5"/>
    </row>
    <row r="208" spans="10:10" x14ac:dyDescent="0.25">
      <c r="J208" s="5"/>
    </row>
    <row r="209" spans="10:10" x14ac:dyDescent="0.25">
      <c r="J209" s="5"/>
    </row>
    <row r="210" spans="10:10" x14ac:dyDescent="0.25">
      <c r="J210" s="5"/>
    </row>
    <row r="211" spans="10:10" x14ac:dyDescent="0.25">
      <c r="J211" s="5"/>
    </row>
    <row r="212" spans="10:10" x14ac:dyDescent="0.25">
      <c r="J212" s="5"/>
    </row>
    <row r="213" spans="10:10" x14ac:dyDescent="0.25">
      <c r="J213" s="5"/>
    </row>
    <row r="214" spans="10:10" x14ac:dyDescent="0.25">
      <c r="J214" s="5"/>
    </row>
    <row r="215" spans="10:10" x14ac:dyDescent="0.25">
      <c r="J215" s="5"/>
    </row>
    <row r="216" spans="10:10" x14ac:dyDescent="0.25">
      <c r="J216" s="5"/>
    </row>
    <row r="217" spans="10:10" x14ac:dyDescent="0.25">
      <c r="J217" s="5"/>
    </row>
    <row r="218" spans="10:10" x14ac:dyDescent="0.25">
      <c r="J218" s="5"/>
    </row>
    <row r="219" spans="10:10" x14ac:dyDescent="0.25">
      <c r="J219" s="5"/>
    </row>
    <row r="220" spans="10:10" x14ac:dyDescent="0.25">
      <c r="J220" s="5"/>
    </row>
    <row r="221" spans="10:10" x14ac:dyDescent="0.25">
      <c r="J2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01-05-24</vt:lpstr>
      <vt:lpstr>01-12-24</vt:lpstr>
      <vt:lpstr>01-19-24</vt:lpstr>
      <vt:lpstr>01-26-24</vt:lpstr>
      <vt:lpstr>02-02-24</vt:lpstr>
      <vt:lpstr>02-09-24</vt:lpstr>
      <vt:lpstr>02-16-24</vt:lpstr>
      <vt:lpstr>02-23-24</vt:lpstr>
      <vt:lpstr>03-01-24</vt:lpstr>
      <vt:lpstr>03-08-24</vt:lpstr>
      <vt:lpstr>03-15-24</vt:lpstr>
      <vt:lpstr>03-22-24</vt:lpstr>
      <vt:lpstr>03-29-24</vt:lpstr>
      <vt:lpstr>04-05-24</vt:lpstr>
      <vt:lpstr>04-12-24</vt:lpstr>
      <vt:lpstr>04-19-24</vt:lpstr>
      <vt:lpstr>05-03-24</vt:lpstr>
      <vt:lpstr>05-10-24</vt:lpstr>
      <vt:lpstr>05-17-24</vt:lpstr>
      <vt:lpstr>05-24-24</vt:lpstr>
      <vt:lpstr>05-31-24</vt:lpstr>
      <vt:lpstr>06-07-24</vt:lpstr>
      <vt:lpstr>06-14-24</vt:lpstr>
      <vt:lpstr>06-21-24</vt:lpstr>
      <vt:lpstr>06-28-24</vt:lpstr>
      <vt:lpstr>07-05-24</vt:lpstr>
      <vt:lpstr>07-12-24</vt:lpstr>
      <vt:lpstr>07-19-24</vt:lpstr>
      <vt:lpstr>07-26-24</vt:lpstr>
      <vt:lpstr>08-02-24</vt:lpstr>
      <vt:lpstr>08-09-24</vt:lpstr>
      <vt:lpstr>08-16-24</vt:lpstr>
      <vt:lpstr>08-23-24</vt:lpstr>
      <vt:lpstr>08-30-24</vt:lpstr>
      <vt:lpstr>09-06-24</vt:lpstr>
      <vt:lpstr>09-13-24</vt:lpstr>
      <vt:lpstr>09-20-24</vt:lpstr>
      <vt:lpstr>09-27-24</vt:lpstr>
      <vt:lpstr>10-04-24</vt:lpstr>
      <vt:lpstr>10-11-24</vt:lpstr>
      <vt:lpstr>10-18-24</vt:lpstr>
      <vt:lpstr>10-25-24</vt:lpstr>
      <vt:lpstr>11-01-24</vt:lpstr>
      <vt:lpstr>11-08-24</vt:lpstr>
      <vt:lpstr>11-15-24</vt:lpstr>
      <vt:lpstr>11-22-24</vt:lpstr>
      <vt:lpstr>11-29-24</vt:lpstr>
      <vt:lpstr>12-06-24</vt:lpstr>
      <vt:lpstr>12-13-24</vt:lpstr>
      <vt:lpstr>12-20-24</vt:lpstr>
      <vt:lpstr>12-27-24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doug@apsvllc.com</dc:creator>
  <cp:lastModifiedBy>doug@apsvllc.com</cp:lastModifiedBy>
  <dcterms:created xsi:type="dcterms:W3CDTF">2024-01-04T16:41:36Z</dcterms:created>
  <dcterms:modified xsi:type="dcterms:W3CDTF">2024-12-28T23:05:32Z</dcterms:modified>
</cp:coreProperties>
</file>