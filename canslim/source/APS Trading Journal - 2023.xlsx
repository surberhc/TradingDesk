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\Documents\"/>
    </mc:Choice>
  </mc:AlternateContent>
  <xr:revisionPtr revIDLastSave="0" documentId="13_ncr:1_{B76C9004-FF53-4CFD-AF89-7D959E4BBBF7}" xr6:coauthVersionLast="47" xr6:coauthVersionMax="47" xr10:uidLastSave="{00000000-0000-0000-0000-000000000000}"/>
  <bookViews>
    <workbookView xWindow="-120" yWindow="-120" windowWidth="29040" windowHeight="15840" firstSheet="14" activeTab="25" xr2:uid="{A6A29B25-D792-42CD-A0EE-E1FC244B2F35}"/>
  </bookViews>
  <sheets>
    <sheet name="06-30-23" sheetId="1" r:id="rId1"/>
    <sheet name="07-07-23" sheetId="2" r:id="rId2"/>
    <sheet name="07-14-23" sheetId="3" r:id="rId3"/>
    <sheet name="07-21-23" sheetId="5" r:id="rId4"/>
    <sheet name="07-28-23" sheetId="6" r:id="rId5"/>
    <sheet name="08-04-23" sheetId="4" r:id="rId6"/>
    <sheet name="08-11-23" sheetId="7" r:id="rId7"/>
    <sheet name="08-18-23" sheetId="8" r:id="rId8"/>
    <sheet name="08-25-23" sheetId="9" r:id="rId9"/>
    <sheet name="09-01-23" sheetId="10" r:id="rId10"/>
    <sheet name="09-08-23" sheetId="11" r:id="rId11"/>
    <sheet name="09-15-23" sheetId="12" r:id="rId12"/>
    <sheet name="09-22-23" sheetId="13" r:id="rId13"/>
    <sheet name="09-29-23" sheetId="14" r:id="rId14"/>
    <sheet name="10-06-23" sheetId="15" r:id="rId15"/>
    <sheet name="10-13-23" sheetId="16" r:id="rId16"/>
    <sheet name="10-20-23" sheetId="17" r:id="rId17"/>
    <sheet name="10-27-23" sheetId="18" r:id="rId18"/>
    <sheet name="11-03-23" sheetId="19" r:id="rId19"/>
    <sheet name="11-10-23" sheetId="20" r:id="rId20"/>
    <sheet name="11-17-23" sheetId="21" r:id="rId21"/>
    <sheet name="11-24-23" sheetId="22" r:id="rId22"/>
    <sheet name="12-01-23" sheetId="23" r:id="rId23"/>
    <sheet name="12-15-23" sheetId="25" r:id="rId24"/>
    <sheet name="12-22-23" sheetId="26" r:id="rId25"/>
    <sheet name="12-29-23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27" l="1"/>
  <c r="I38" i="27"/>
  <c r="J38" i="27" s="1"/>
  <c r="E38" i="27"/>
  <c r="M37" i="27"/>
  <c r="H37" i="27"/>
  <c r="I37" i="27"/>
  <c r="J37" i="27"/>
  <c r="E37" i="27"/>
  <c r="F37" i="27"/>
  <c r="D37" i="27"/>
  <c r="R12" i="27"/>
  <c r="T12" i="27"/>
  <c r="U12" i="27"/>
  <c r="V12" i="27"/>
  <c r="L12" i="27"/>
  <c r="H12" i="27"/>
  <c r="W12" i="27" s="1"/>
  <c r="J12" i="27"/>
  <c r="F12" i="27"/>
  <c r="I12" i="27" s="1"/>
  <c r="M12" i="27" s="1"/>
  <c r="I20" i="27"/>
  <c r="M36" i="27"/>
  <c r="I36" i="27"/>
  <c r="J36" i="27" s="1"/>
  <c r="H36" i="27"/>
  <c r="E36" i="27"/>
  <c r="M35" i="27"/>
  <c r="I35" i="27"/>
  <c r="J35" i="27" s="1"/>
  <c r="H35" i="27"/>
  <c r="E35" i="27"/>
  <c r="M34" i="27"/>
  <c r="I34" i="27"/>
  <c r="J34" i="27" s="1"/>
  <c r="H34" i="27"/>
  <c r="E34" i="27"/>
  <c r="M33" i="27"/>
  <c r="I33" i="27"/>
  <c r="J33" i="27" s="1"/>
  <c r="H33" i="27"/>
  <c r="E33" i="27"/>
  <c r="M32" i="27"/>
  <c r="I32" i="27"/>
  <c r="J32" i="27" s="1"/>
  <c r="H32" i="27"/>
  <c r="E32" i="27"/>
  <c r="M31" i="27"/>
  <c r="I31" i="27"/>
  <c r="J31" i="27" s="1"/>
  <c r="H31" i="27"/>
  <c r="E31" i="27"/>
  <c r="M30" i="27"/>
  <c r="I30" i="27"/>
  <c r="J30" i="27" s="1"/>
  <c r="H30" i="27"/>
  <c r="E30" i="27"/>
  <c r="M29" i="27"/>
  <c r="I29" i="27"/>
  <c r="J29" i="27" s="1"/>
  <c r="H29" i="27"/>
  <c r="E29" i="27"/>
  <c r="M28" i="27"/>
  <c r="I28" i="27"/>
  <c r="J28" i="27" s="1"/>
  <c r="H28" i="27"/>
  <c r="E28" i="27"/>
  <c r="M27" i="27"/>
  <c r="I27" i="27"/>
  <c r="J27" i="27" s="1"/>
  <c r="H27" i="27"/>
  <c r="E27" i="27"/>
  <c r="M26" i="27"/>
  <c r="J26" i="27"/>
  <c r="I26" i="27"/>
  <c r="H26" i="27"/>
  <c r="E26" i="27"/>
  <c r="L20" i="27"/>
  <c r="V16" i="27"/>
  <c r="U16" i="27"/>
  <c r="T16" i="27"/>
  <c r="R16" i="27"/>
  <c r="L16" i="27"/>
  <c r="H16" i="27"/>
  <c r="Y16" i="27" s="1"/>
  <c r="F16" i="27"/>
  <c r="I16" i="27" s="1"/>
  <c r="M16" i="27" s="1"/>
  <c r="V15" i="27"/>
  <c r="U15" i="27"/>
  <c r="T15" i="27"/>
  <c r="R15" i="27"/>
  <c r="H15" i="27"/>
  <c r="Y15" i="27" s="1"/>
  <c r="F15" i="27"/>
  <c r="V14" i="27"/>
  <c r="U14" i="27"/>
  <c r="T14" i="27"/>
  <c r="R14" i="27"/>
  <c r="G14" i="27"/>
  <c r="H14" i="27" s="1"/>
  <c r="D14" i="27"/>
  <c r="F14" i="27" s="1"/>
  <c r="V13" i="27"/>
  <c r="U13" i="27"/>
  <c r="T13" i="27"/>
  <c r="R13" i="27"/>
  <c r="L13" i="27"/>
  <c r="F13" i="27"/>
  <c r="V10" i="27"/>
  <c r="U10" i="27"/>
  <c r="T10" i="27"/>
  <c r="R10" i="27"/>
  <c r="L10" i="27"/>
  <c r="G10" i="27"/>
  <c r="D10" i="27"/>
  <c r="F10" i="27" s="1"/>
  <c r="Y9" i="27"/>
  <c r="W9" i="27"/>
  <c r="V9" i="27"/>
  <c r="U9" i="27"/>
  <c r="T9" i="27"/>
  <c r="R9" i="27"/>
  <c r="L9" i="27"/>
  <c r="J9" i="27"/>
  <c r="H9" i="27"/>
  <c r="F9" i="27"/>
  <c r="I9" i="27" s="1"/>
  <c r="M9" i="27" s="1"/>
  <c r="V8" i="27"/>
  <c r="U8" i="27"/>
  <c r="T8" i="27"/>
  <c r="R8" i="27"/>
  <c r="L8" i="27"/>
  <c r="H8" i="27"/>
  <c r="J8" i="27" s="1"/>
  <c r="F8" i="27"/>
  <c r="I8" i="27" s="1"/>
  <c r="M8" i="27" s="1"/>
  <c r="V7" i="27"/>
  <c r="U7" i="27"/>
  <c r="T7" i="27"/>
  <c r="R7" i="27"/>
  <c r="L7" i="27"/>
  <c r="G7" i="27"/>
  <c r="F7" i="27"/>
  <c r="D7" i="27"/>
  <c r="V11" i="27"/>
  <c r="U11" i="27"/>
  <c r="T11" i="27"/>
  <c r="R11" i="27"/>
  <c r="L11" i="27"/>
  <c r="H11" i="27"/>
  <c r="W11" i="27" s="1"/>
  <c r="F11" i="27"/>
  <c r="I11" i="27" s="1"/>
  <c r="M35" i="26"/>
  <c r="H35" i="26"/>
  <c r="I35" i="26"/>
  <c r="J35" i="26"/>
  <c r="E35" i="26"/>
  <c r="L19" i="26"/>
  <c r="I19" i="26"/>
  <c r="Y12" i="27" l="1"/>
  <c r="W8" i="27"/>
  <c r="Y8" i="27"/>
  <c r="H13" i="27"/>
  <c r="J13" i="27" s="1"/>
  <c r="I7" i="27"/>
  <c r="M7" i="27" s="1"/>
  <c r="G17" i="27"/>
  <c r="I39" i="27"/>
  <c r="H10" i="27"/>
  <c r="J10" i="27" s="1"/>
  <c r="Y11" i="27"/>
  <c r="J11" i="27"/>
  <c r="W10" i="27"/>
  <c r="I13" i="27"/>
  <c r="M13" i="27" s="1"/>
  <c r="I14" i="27"/>
  <c r="M14" i="27" s="1"/>
  <c r="Y14" i="27"/>
  <c r="W14" i="27"/>
  <c r="J14" i="27"/>
  <c r="I10" i="27"/>
  <c r="M10" i="27" s="1"/>
  <c r="F17" i="27"/>
  <c r="F19" i="27" s="1"/>
  <c r="Z12" i="27" s="1"/>
  <c r="H7" i="27"/>
  <c r="I15" i="27"/>
  <c r="M15" i="27" s="1"/>
  <c r="M11" i="27"/>
  <c r="J15" i="27"/>
  <c r="W15" i="27"/>
  <c r="J16" i="27"/>
  <c r="W16" i="27"/>
  <c r="M34" i="26"/>
  <c r="I34" i="26"/>
  <c r="J34" i="26" s="1"/>
  <c r="H34" i="26"/>
  <c r="E34" i="26"/>
  <c r="M33" i="26"/>
  <c r="J33" i="26"/>
  <c r="I33" i="26"/>
  <c r="H33" i="26"/>
  <c r="E33" i="26"/>
  <c r="M32" i="26"/>
  <c r="I32" i="26"/>
  <c r="J32" i="26" s="1"/>
  <c r="H32" i="26"/>
  <c r="E32" i="26"/>
  <c r="M31" i="26"/>
  <c r="I31" i="26"/>
  <c r="J31" i="26" s="1"/>
  <c r="H31" i="26"/>
  <c r="E31" i="26"/>
  <c r="M30" i="26"/>
  <c r="J30" i="26"/>
  <c r="I30" i="26"/>
  <c r="H30" i="26"/>
  <c r="E30" i="26"/>
  <c r="M29" i="26"/>
  <c r="I29" i="26"/>
  <c r="J29" i="26" s="1"/>
  <c r="H29" i="26"/>
  <c r="E29" i="26"/>
  <c r="M28" i="26"/>
  <c r="I28" i="26"/>
  <c r="J28" i="26" s="1"/>
  <c r="H28" i="26"/>
  <c r="E28" i="26"/>
  <c r="M27" i="26"/>
  <c r="J27" i="26"/>
  <c r="I27" i="26"/>
  <c r="H27" i="26"/>
  <c r="E27" i="26"/>
  <c r="M26" i="26"/>
  <c r="I26" i="26"/>
  <c r="J26" i="26" s="1"/>
  <c r="H26" i="26"/>
  <c r="E26" i="26"/>
  <c r="M25" i="26"/>
  <c r="I25" i="26"/>
  <c r="I38" i="26" s="1"/>
  <c r="H25" i="26"/>
  <c r="E25" i="26"/>
  <c r="Y15" i="26"/>
  <c r="V15" i="26"/>
  <c r="U15" i="26"/>
  <c r="T15" i="26"/>
  <c r="R15" i="26"/>
  <c r="M15" i="26"/>
  <c r="L15" i="26"/>
  <c r="J15" i="26"/>
  <c r="I15" i="26"/>
  <c r="H15" i="26"/>
  <c r="W15" i="26" s="1"/>
  <c r="F15" i="26"/>
  <c r="W14" i="26"/>
  <c r="V14" i="26"/>
  <c r="U14" i="26"/>
  <c r="T14" i="26"/>
  <c r="R14" i="26"/>
  <c r="J14" i="26"/>
  <c r="H14" i="26"/>
  <c r="Y14" i="26" s="1"/>
  <c r="F14" i="26"/>
  <c r="I14" i="26" s="1"/>
  <c r="M14" i="26" s="1"/>
  <c r="V13" i="26"/>
  <c r="U13" i="26"/>
  <c r="T13" i="26"/>
  <c r="R13" i="26"/>
  <c r="G13" i="26"/>
  <c r="H13" i="26" s="1"/>
  <c r="F13" i="26"/>
  <c r="I13" i="26" s="1"/>
  <c r="M13" i="26" s="1"/>
  <c r="D13" i="26"/>
  <c r="V12" i="26"/>
  <c r="U12" i="26"/>
  <c r="T12" i="26"/>
  <c r="R12" i="26"/>
  <c r="L12" i="26"/>
  <c r="G12" i="26"/>
  <c r="H12" i="26" s="1"/>
  <c r="F12" i="26"/>
  <c r="I12" i="26" s="1"/>
  <c r="M12" i="26" s="1"/>
  <c r="D12" i="26"/>
  <c r="V11" i="26"/>
  <c r="U11" i="26"/>
  <c r="T11" i="26"/>
  <c r="R11" i="26"/>
  <c r="L11" i="26"/>
  <c r="G11" i="26"/>
  <c r="G16" i="26" s="1"/>
  <c r="F11" i="26"/>
  <c r="D11" i="26"/>
  <c r="Y10" i="26"/>
  <c r="W10" i="26"/>
  <c r="V10" i="26"/>
  <c r="U10" i="26"/>
  <c r="T10" i="26"/>
  <c r="R10" i="26"/>
  <c r="L10" i="26"/>
  <c r="J10" i="26"/>
  <c r="H10" i="26"/>
  <c r="F10" i="26"/>
  <c r="I10" i="26" s="1"/>
  <c r="M10" i="26" s="1"/>
  <c r="W9" i="26"/>
  <c r="V9" i="26"/>
  <c r="U9" i="26"/>
  <c r="T9" i="26"/>
  <c r="R9" i="26"/>
  <c r="L9" i="26"/>
  <c r="J9" i="26"/>
  <c r="H9" i="26"/>
  <c r="Y9" i="26" s="1"/>
  <c r="F9" i="26"/>
  <c r="I9" i="26" s="1"/>
  <c r="M9" i="26" s="1"/>
  <c r="V8" i="26"/>
  <c r="U8" i="26"/>
  <c r="T8" i="26"/>
  <c r="R8" i="26"/>
  <c r="L8" i="26"/>
  <c r="G8" i="26"/>
  <c r="D8" i="26"/>
  <c r="H8" i="26" s="1"/>
  <c r="V7" i="26"/>
  <c r="U7" i="26"/>
  <c r="T7" i="26"/>
  <c r="R7" i="26"/>
  <c r="L7" i="26"/>
  <c r="H7" i="26"/>
  <c r="Y7" i="26" s="1"/>
  <c r="F7" i="26"/>
  <c r="I7" i="26" s="1"/>
  <c r="I19" i="25"/>
  <c r="L19" i="25"/>
  <c r="I38" i="25"/>
  <c r="M34" i="25"/>
  <c r="I34" i="25"/>
  <c r="J34" i="25" s="1"/>
  <c r="H34" i="25"/>
  <c r="E34" i="25"/>
  <c r="M33" i="25"/>
  <c r="I33" i="25"/>
  <c r="J33" i="25" s="1"/>
  <c r="H33" i="25"/>
  <c r="E33" i="25"/>
  <c r="M32" i="25"/>
  <c r="I32" i="25"/>
  <c r="J32" i="25" s="1"/>
  <c r="H32" i="25"/>
  <c r="E32" i="25"/>
  <c r="M31" i="25"/>
  <c r="I31" i="25"/>
  <c r="J31" i="25" s="1"/>
  <c r="H31" i="25"/>
  <c r="E31" i="25"/>
  <c r="M30" i="25"/>
  <c r="I30" i="25"/>
  <c r="J30" i="25" s="1"/>
  <c r="H30" i="25"/>
  <c r="E30" i="25"/>
  <c r="M29" i="25"/>
  <c r="I29" i="25"/>
  <c r="J29" i="25" s="1"/>
  <c r="H29" i="25"/>
  <c r="E29" i="25"/>
  <c r="M28" i="25"/>
  <c r="J28" i="25"/>
  <c r="I28" i="25"/>
  <c r="H28" i="25"/>
  <c r="E28" i="25"/>
  <c r="M27" i="25"/>
  <c r="J27" i="25"/>
  <c r="I27" i="25"/>
  <c r="H27" i="25"/>
  <c r="E27" i="25"/>
  <c r="M26" i="25"/>
  <c r="I26" i="25"/>
  <c r="J26" i="25" s="1"/>
  <c r="H26" i="25"/>
  <c r="E26" i="25"/>
  <c r="M25" i="25"/>
  <c r="I25" i="25"/>
  <c r="J25" i="25" s="1"/>
  <c r="H25" i="25"/>
  <c r="E25" i="25"/>
  <c r="G16" i="25"/>
  <c r="V15" i="25"/>
  <c r="U15" i="25"/>
  <c r="T15" i="25"/>
  <c r="R15" i="25"/>
  <c r="L15" i="25"/>
  <c r="I15" i="25"/>
  <c r="M15" i="25" s="1"/>
  <c r="H15" i="25"/>
  <c r="W15" i="25" s="1"/>
  <c r="F15" i="25"/>
  <c r="V14" i="25"/>
  <c r="U14" i="25"/>
  <c r="T14" i="25"/>
  <c r="R14" i="25"/>
  <c r="H14" i="25"/>
  <c r="Y14" i="25" s="1"/>
  <c r="F14" i="25"/>
  <c r="I14" i="25" s="1"/>
  <c r="M14" i="25" s="1"/>
  <c r="V13" i="25"/>
  <c r="U13" i="25"/>
  <c r="T13" i="25"/>
  <c r="R13" i="25"/>
  <c r="H13" i="25"/>
  <c r="Y13" i="25" s="1"/>
  <c r="G13" i="25"/>
  <c r="F13" i="25"/>
  <c r="I13" i="25" s="1"/>
  <c r="M13" i="25" s="1"/>
  <c r="D13" i="25"/>
  <c r="V12" i="25"/>
  <c r="U12" i="25"/>
  <c r="T12" i="25"/>
  <c r="R12" i="25"/>
  <c r="L12" i="25"/>
  <c r="G12" i="25"/>
  <c r="H12" i="25" s="1"/>
  <c r="F12" i="25"/>
  <c r="D12" i="25"/>
  <c r="V7" i="25"/>
  <c r="U7" i="25"/>
  <c r="T7" i="25"/>
  <c r="R7" i="25"/>
  <c r="L7" i="25"/>
  <c r="H7" i="25"/>
  <c r="W7" i="25" s="1"/>
  <c r="F7" i="25"/>
  <c r="I7" i="25" s="1"/>
  <c r="M7" i="25" s="1"/>
  <c r="V11" i="25"/>
  <c r="U11" i="25"/>
  <c r="T11" i="25"/>
  <c r="R11" i="25"/>
  <c r="L11" i="25"/>
  <c r="G11" i="25"/>
  <c r="H11" i="25" s="1"/>
  <c r="D11" i="25"/>
  <c r="F11" i="25" s="1"/>
  <c r="V10" i="25"/>
  <c r="U10" i="25"/>
  <c r="T10" i="25"/>
  <c r="R10" i="25"/>
  <c r="L10" i="25"/>
  <c r="H10" i="25"/>
  <c r="Y10" i="25" s="1"/>
  <c r="F10" i="25"/>
  <c r="I10" i="25" s="1"/>
  <c r="V9" i="25"/>
  <c r="U9" i="25"/>
  <c r="T9" i="25"/>
  <c r="R9" i="25"/>
  <c r="L9" i="25"/>
  <c r="I9" i="25"/>
  <c r="M9" i="25" s="1"/>
  <c r="H9" i="25"/>
  <c r="J9" i="25" s="1"/>
  <c r="F9" i="25"/>
  <c r="V8" i="25"/>
  <c r="U8" i="25"/>
  <c r="T8" i="25"/>
  <c r="R8" i="25"/>
  <c r="L8" i="25"/>
  <c r="H8" i="25"/>
  <c r="W8" i="25" s="1"/>
  <c r="G8" i="25"/>
  <c r="F8" i="25"/>
  <c r="D8" i="25"/>
  <c r="G10" i="23"/>
  <c r="D10" i="23"/>
  <c r="I19" i="23"/>
  <c r="G12" i="23"/>
  <c r="D12" i="23"/>
  <c r="M33" i="23"/>
  <c r="I33" i="23"/>
  <c r="J33" i="23" s="1"/>
  <c r="H33" i="23"/>
  <c r="E33" i="23"/>
  <c r="M32" i="23"/>
  <c r="J32" i="23"/>
  <c r="I32" i="23"/>
  <c r="H32" i="23"/>
  <c r="E32" i="23"/>
  <c r="M31" i="23"/>
  <c r="J31" i="23"/>
  <c r="I31" i="23"/>
  <c r="H31" i="23"/>
  <c r="E31" i="23"/>
  <c r="M30" i="23"/>
  <c r="I30" i="23"/>
  <c r="J30" i="23" s="1"/>
  <c r="H30" i="23"/>
  <c r="E30" i="23"/>
  <c r="M29" i="23"/>
  <c r="J29" i="23"/>
  <c r="I29" i="23"/>
  <c r="H29" i="23"/>
  <c r="E29" i="23"/>
  <c r="M28" i="23"/>
  <c r="I28" i="23"/>
  <c r="J28" i="23" s="1"/>
  <c r="H28" i="23"/>
  <c r="E28" i="23"/>
  <c r="M27" i="23"/>
  <c r="I27" i="23"/>
  <c r="J27" i="23" s="1"/>
  <c r="H27" i="23"/>
  <c r="E27" i="23"/>
  <c r="M26" i="23"/>
  <c r="J26" i="23"/>
  <c r="I26" i="23"/>
  <c r="H26" i="23"/>
  <c r="E26" i="23"/>
  <c r="M25" i="23"/>
  <c r="J25" i="23"/>
  <c r="I25" i="23"/>
  <c r="I34" i="23" s="1"/>
  <c r="H25" i="23"/>
  <c r="E25" i="23"/>
  <c r="V15" i="23"/>
  <c r="U15" i="23"/>
  <c r="T15" i="23"/>
  <c r="R15" i="23"/>
  <c r="L15" i="23"/>
  <c r="H15" i="23"/>
  <c r="Y15" i="23" s="1"/>
  <c r="F15" i="23"/>
  <c r="V14" i="23"/>
  <c r="U14" i="23"/>
  <c r="T14" i="23"/>
  <c r="R14" i="23"/>
  <c r="H14" i="23"/>
  <c r="Y14" i="23" s="1"/>
  <c r="F14" i="23"/>
  <c r="V13" i="23"/>
  <c r="U13" i="23"/>
  <c r="T13" i="23"/>
  <c r="R13" i="23"/>
  <c r="H13" i="23"/>
  <c r="Y13" i="23" s="1"/>
  <c r="F13" i="23"/>
  <c r="I13" i="23" s="1"/>
  <c r="M13" i="23" s="1"/>
  <c r="V12" i="23"/>
  <c r="U12" i="23"/>
  <c r="T12" i="23"/>
  <c r="R12" i="23"/>
  <c r="L12" i="23"/>
  <c r="H12" i="23"/>
  <c r="Y12" i="23" s="1"/>
  <c r="F12" i="23"/>
  <c r="I12" i="23" s="1"/>
  <c r="M12" i="23" s="1"/>
  <c r="V11" i="23"/>
  <c r="U11" i="23"/>
  <c r="T11" i="23"/>
  <c r="R11" i="23"/>
  <c r="L11" i="23"/>
  <c r="H11" i="23"/>
  <c r="Y11" i="23" s="1"/>
  <c r="F11" i="23"/>
  <c r="I11" i="23" s="1"/>
  <c r="M11" i="23" s="1"/>
  <c r="V10" i="23"/>
  <c r="U10" i="23"/>
  <c r="T10" i="23"/>
  <c r="R10" i="23"/>
  <c r="L10" i="23"/>
  <c r="H10" i="23"/>
  <c r="W10" i="23" s="1"/>
  <c r="F10" i="23"/>
  <c r="I10" i="23" s="1"/>
  <c r="M10" i="23" s="1"/>
  <c r="Y9" i="23"/>
  <c r="W9" i="23"/>
  <c r="V9" i="23"/>
  <c r="U9" i="23"/>
  <c r="T9" i="23"/>
  <c r="R9" i="23"/>
  <c r="L9" i="23"/>
  <c r="J9" i="23"/>
  <c r="H9" i="23"/>
  <c r="F9" i="23"/>
  <c r="I9" i="23" s="1"/>
  <c r="M9" i="23" s="1"/>
  <c r="Y8" i="23"/>
  <c r="W8" i="23"/>
  <c r="V8" i="23"/>
  <c r="U8" i="23"/>
  <c r="T8" i="23"/>
  <c r="R8" i="23"/>
  <c r="L8" i="23"/>
  <c r="H8" i="23"/>
  <c r="J8" i="23" s="1"/>
  <c r="F8" i="23"/>
  <c r="I8" i="23" s="1"/>
  <c r="M8" i="23" s="1"/>
  <c r="V7" i="23"/>
  <c r="U7" i="23"/>
  <c r="T7" i="23"/>
  <c r="R7" i="23"/>
  <c r="L7" i="23"/>
  <c r="G7" i="23"/>
  <c r="H7" i="23" s="1"/>
  <c r="F7" i="23"/>
  <c r="D7" i="23"/>
  <c r="I19" i="22"/>
  <c r="Y10" i="27" l="1"/>
  <c r="Y13" i="27"/>
  <c r="W13" i="27"/>
  <c r="G18" i="27"/>
  <c r="L21" i="27"/>
  <c r="I21" i="27"/>
  <c r="Z15" i="27"/>
  <c r="W7" i="27"/>
  <c r="J7" i="27"/>
  <c r="Y7" i="27"/>
  <c r="I17" i="27"/>
  <c r="Z9" i="27"/>
  <c r="Z7" i="27"/>
  <c r="Z10" i="27"/>
  <c r="Z8" i="27"/>
  <c r="Z13" i="27"/>
  <c r="Z16" i="27"/>
  <c r="Z11" i="27"/>
  <c r="Z14" i="27"/>
  <c r="Y13" i="26"/>
  <c r="W13" i="26"/>
  <c r="J13" i="26"/>
  <c r="W8" i="26"/>
  <c r="J8" i="26"/>
  <c r="Y8" i="26"/>
  <c r="Y12" i="26"/>
  <c r="W12" i="26"/>
  <c r="J12" i="26"/>
  <c r="F8" i="26"/>
  <c r="J7" i="26"/>
  <c r="H11" i="26"/>
  <c r="J25" i="26"/>
  <c r="W7" i="26"/>
  <c r="I11" i="26"/>
  <c r="M11" i="26" s="1"/>
  <c r="M7" i="26"/>
  <c r="J8" i="25"/>
  <c r="F16" i="25"/>
  <c r="F18" i="25" s="1"/>
  <c r="L20" i="25" s="1"/>
  <c r="I8" i="25"/>
  <c r="M8" i="25" s="1"/>
  <c r="G17" i="25"/>
  <c r="M10" i="25"/>
  <c r="W12" i="25"/>
  <c r="J12" i="25"/>
  <c r="Y12" i="25"/>
  <c r="I11" i="25"/>
  <c r="M11" i="25" s="1"/>
  <c r="Y11" i="25"/>
  <c r="W11" i="25"/>
  <c r="J11" i="25"/>
  <c r="Y8" i="25"/>
  <c r="W9" i="25"/>
  <c r="J10" i="25"/>
  <c r="Y7" i="25"/>
  <c r="I12" i="25"/>
  <c r="M12" i="25" s="1"/>
  <c r="Y15" i="25"/>
  <c r="Y9" i="25"/>
  <c r="W10" i="25"/>
  <c r="J7" i="25"/>
  <c r="J13" i="25"/>
  <c r="W13" i="25"/>
  <c r="J14" i="25"/>
  <c r="W14" i="25"/>
  <c r="J15" i="25"/>
  <c r="Y10" i="23"/>
  <c r="J10" i="23"/>
  <c r="W7" i="23"/>
  <c r="J7" i="23"/>
  <c r="Y7" i="23"/>
  <c r="F16" i="23"/>
  <c r="F18" i="23" s="1"/>
  <c r="Z11" i="23" s="1"/>
  <c r="I7" i="23"/>
  <c r="W11" i="23"/>
  <c r="J12" i="23"/>
  <c r="I14" i="23"/>
  <c r="M14" i="23" s="1"/>
  <c r="I15" i="23"/>
  <c r="M15" i="23" s="1"/>
  <c r="G16" i="23"/>
  <c r="J11" i="23"/>
  <c r="W12" i="23"/>
  <c r="J13" i="23"/>
  <c r="W13" i="23"/>
  <c r="J14" i="23"/>
  <c r="W14" i="23"/>
  <c r="J15" i="23"/>
  <c r="W15" i="23"/>
  <c r="M33" i="22"/>
  <c r="I33" i="22"/>
  <c r="J33" i="22" s="1"/>
  <c r="H33" i="22"/>
  <c r="E33" i="22"/>
  <c r="M32" i="22"/>
  <c r="I32" i="22"/>
  <c r="J32" i="22" s="1"/>
  <c r="H32" i="22"/>
  <c r="E32" i="22"/>
  <c r="M31" i="22"/>
  <c r="I31" i="22"/>
  <c r="J31" i="22" s="1"/>
  <c r="H31" i="22"/>
  <c r="E31" i="22"/>
  <c r="M30" i="22"/>
  <c r="J30" i="22"/>
  <c r="I30" i="22"/>
  <c r="H30" i="22"/>
  <c r="E30" i="22"/>
  <c r="M29" i="22"/>
  <c r="I29" i="22"/>
  <c r="J29" i="22" s="1"/>
  <c r="H29" i="22"/>
  <c r="E29" i="22"/>
  <c r="M28" i="22"/>
  <c r="I28" i="22"/>
  <c r="J28" i="22" s="1"/>
  <c r="H28" i="22"/>
  <c r="E28" i="22"/>
  <c r="M27" i="22"/>
  <c r="I27" i="22"/>
  <c r="J27" i="22" s="1"/>
  <c r="H27" i="22"/>
  <c r="E27" i="22"/>
  <c r="M26" i="22"/>
  <c r="I26" i="22"/>
  <c r="J26" i="22" s="1"/>
  <c r="H26" i="22"/>
  <c r="E26" i="22"/>
  <c r="M25" i="22"/>
  <c r="I25" i="22"/>
  <c r="I34" i="22" s="1"/>
  <c r="H25" i="22"/>
  <c r="E25" i="22"/>
  <c r="G16" i="22"/>
  <c r="V15" i="22"/>
  <c r="U15" i="22"/>
  <c r="T15" i="22"/>
  <c r="R15" i="22"/>
  <c r="L15" i="22"/>
  <c r="I15" i="22"/>
  <c r="M15" i="22" s="1"/>
  <c r="H15" i="22"/>
  <c r="Y15" i="22" s="1"/>
  <c r="F15" i="22"/>
  <c r="V14" i="22"/>
  <c r="U14" i="22"/>
  <c r="T14" i="22"/>
  <c r="R14" i="22"/>
  <c r="I14" i="22"/>
  <c r="M14" i="22" s="1"/>
  <c r="H14" i="22"/>
  <c r="Y14" i="22" s="1"/>
  <c r="F14" i="22"/>
  <c r="V13" i="22"/>
  <c r="U13" i="22"/>
  <c r="T13" i="22"/>
  <c r="R13" i="22"/>
  <c r="I13" i="22"/>
  <c r="M13" i="22" s="1"/>
  <c r="H13" i="22"/>
  <c r="Y13" i="22" s="1"/>
  <c r="F13" i="22"/>
  <c r="Y12" i="22"/>
  <c r="W12" i="22"/>
  <c r="V12" i="22"/>
  <c r="U12" i="22"/>
  <c r="T12" i="22"/>
  <c r="R12" i="22"/>
  <c r="L12" i="22"/>
  <c r="J12" i="22"/>
  <c r="I12" i="22"/>
  <c r="M12" i="22" s="1"/>
  <c r="H12" i="22"/>
  <c r="F12" i="22"/>
  <c r="Y11" i="22"/>
  <c r="W11" i="22"/>
  <c r="V11" i="22"/>
  <c r="U11" i="22"/>
  <c r="T11" i="22"/>
  <c r="R11" i="22"/>
  <c r="L11" i="22"/>
  <c r="J11" i="22"/>
  <c r="H11" i="22"/>
  <c r="F11" i="22"/>
  <c r="I11" i="22" s="1"/>
  <c r="M11" i="22" s="1"/>
  <c r="Y10" i="22"/>
  <c r="W10" i="22"/>
  <c r="V10" i="22"/>
  <c r="U10" i="22"/>
  <c r="T10" i="22"/>
  <c r="R10" i="22"/>
  <c r="L10" i="22"/>
  <c r="H10" i="22"/>
  <c r="J10" i="22" s="1"/>
  <c r="F10" i="22"/>
  <c r="I10" i="22" s="1"/>
  <c r="M10" i="22" s="1"/>
  <c r="Y9" i="22"/>
  <c r="V9" i="22"/>
  <c r="U9" i="22"/>
  <c r="T9" i="22"/>
  <c r="R9" i="22"/>
  <c r="L9" i="22"/>
  <c r="H9" i="22"/>
  <c r="W9" i="22" s="1"/>
  <c r="F9" i="22"/>
  <c r="I9" i="22" s="1"/>
  <c r="M9" i="22" s="1"/>
  <c r="V8" i="22"/>
  <c r="U8" i="22"/>
  <c r="T8" i="22"/>
  <c r="R8" i="22"/>
  <c r="L8" i="22"/>
  <c r="H8" i="22"/>
  <c r="Y8" i="22" s="1"/>
  <c r="F8" i="22"/>
  <c r="I8" i="22" s="1"/>
  <c r="M8" i="22" s="1"/>
  <c r="V7" i="22"/>
  <c r="U7" i="22"/>
  <c r="T7" i="22"/>
  <c r="R7" i="22"/>
  <c r="L7" i="22"/>
  <c r="H7" i="22"/>
  <c r="Y7" i="22" s="1"/>
  <c r="G7" i="22"/>
  <c r="D7" i="22"/>
  <c r="F7" i="22" s="1"/>
  <c r="Y12" i="21"/>
  <c r="R12" i="21"/>
  <c r="T12" i="21"/>
  <c r="U12" i="21"/>
  <c r="V12" i="21"/>
  <c r="L12" i="21"/>
  <c r="H12" i="21"/>
  <c r="J12" i="21"/>
  <c r="W12" i="21"/>
  <c r="F12" i="21"/>
  <c r="I12" i="21" s="1"/>
  <c r="M12" i="21" s="1"/>
  <c r="L11" i="21"/>
  <c r="I19" i="21"/>
  <c r="L10" i="21"/>
  <c r="M33" i="21"/>
  <c r="I33" i="21"/>
  <c r="J33" i="21" s="1"/>
  <c r="H33" i="21"/>
  <c r="E33" i="21"/>
  <c r="M32" i="21"/>
  <c r="I32" i="21"/>
  <c r="J32" i="21" s="1"/>
  <c r="H32" i="21"/>
  <c r="E32" i="21"/>
  <c r="M31" i="21"/>
  <c r="I31" i="21"/>
  <c r="J31" i="21" s="1"/>
  <c r="H31" i="21"/>
  <c r="E31" i="21"/>
  <c r="M30" i="21"/>
  <c r="J30" i="21"/>
  <c r="I30" i="21"/>
  <c r="H30" i="21"/>
  <c r="E30" i="21"/>
  <c r="M29" i="21"/>
  <c r="I29" i="21"/>
  <c r="J29" i="21" s="1"/>
  <c r="H29" i="21"/>
  <c r="E29" i="21"/>
  <c r="M28" i="21"/>
  <c r="I28" i="21"/>
  <c r="J28" i="21" s="1"/>
  <c r="H28" i="21"/>
  <c r="E28" i="21"/>
  <c r="M27" i="21"/>
  <c r="I27" i="21"/>
  <c r="J27" i="21" s="1"/>
  <c r="H27" i="21"/>
  <c r="E27" i="21"/>
  <c r="M26" i="21"/>
  <c r="J26" i="21"/>
  <c r="I26" i="21"/>
  <c r="H26" i="21"/>
  <c r="E26" i="21"/>
  <c r="M25" i="21"/>
  <c r="I25" i="21"/>
  <c r="I34" i="21" s="1"/>
  <c r="H25" i="21"/>
  <c r="E25" i="21"/>
  <c r="V15" i="21"/>
  <c r="U15" i="21"/>
  <c r="T15" i="21"/>
  <c r="R15" i="21"/>
  <c r="L15" i="21"/>
  <c r="H15" i="21"/>
  <c r="Y15" i="21" s="1"/>
  <c r="F15" i="21"/>
  <c r="V14" i="21"/>
  <c r="U14" i="21"/>
  <c r="T14" i="21"/>
  <c r="R14" i="21"/>
  <c r="H14" i="21"/>
  <c r="Y14" i="21" s="1"/>
  <c r="F14" i="21"/>
  <c r="I14" i="21" s="1"/>
  <c r="M14" i="21" s="1"/>
  <c r="V13" i="21"/>
  <c r="U13" i="21"/>
  <c r="T13" i="21"/>
  <c r="R13" i="21"/>
  <c r="H13" i="21"/>
  <c r="Y13" i="21" s="1"/>
  <c r="F13" i="21"/>
  <c r="I13" i="21" s="1"/>
  <c r="M13" i="21" s="1"/>
  <c r="V11" i="21"/>
  <c r="U11" i="21"/>
  <c r="T11" i="21"/>
  <c r="R11" i="21"/>
  <c r="H11" i="21"/>
  <c r="Y11" i="21" s="1"/>
  <c r="F11" i="21"/>
  <c r="I11" i="21" s="1"/>
  <c r="M11" i="21" s="1"/>
  <c r="V10" i="21"/>
  <c r="U10" i="21"/>
  <c r="T10" i="21"/>
  <c r="R10" i="21"/>
  <c r="H10" i="21"/>
  <c r="Y10" i="21" s="1"/>
  <c r="F10" i="21"/>
  <c r="I10" i="21" s="1"/>
  <c r="M10" i="21" s="1"/>
  <c r="V9" i="21"/>
  <c r="U9" i="21"/>
  <c r="T9" i="21"/>
  <c r="R9" i="21"/>
  <c r="L9" i="21"/>
  <c r="H9" i="21"/>
  <c r="Y9" i="21" s="1"/>
  <c r="F9" i="21"/>
  <c r="I9" i="21" s="1"/>
  <c r="M9" i="21" s="1"/>
  <c r="V8" i="21"/>
  <c r="U8" i="21"/>
  <c r="T8" i="21"/>
  <c r="R8" i="21"/>
  <c r="L8" i="21"/>
  <c r="H8" i="21"/>
  <c r="Y8" i="21" s="1"/>
  <c r="F8" i="21"/>
  <c r="I8" i="21" s="1"/>
  <c r="M8" i="21" s="1"/>
  <c r="V7" i="21"/>
  <c r="U7" i="21"/>
  <c r="T7" i="21"/>
  <c r="R7" i="21"/>
  <c r="L7" i="21"/>
  <c r="G7" i="21"/>
  <c r="H7" i="21" s="1"/>
  <c r="D7" i="21"/>
  <c r="F7" i="21" s="1"/>
  <c r="I18" i="20"/>
  <c r="L9" i="20"/>
  <c r="W11" i="26" l="1"/>
  <c r="J11" i="26"/>
  <c r="Y11" i="26"/>
  <c r="I8" i="26"/>
  <c r="F16" i="26"/>
  <c r="F18" i="26" s="1"/>
  <c r="Z8" i="26" s="1"/>
  <c r="Z10" i="25"/>
  <c r="Z12" i="25"/>
  <c r="Z9" i="25"/>
  <c r="Z14" i="25"/>
  <c r="Z7" i="25"/>
  <c r="I20" i="25"/>
  <c r="Z15" i="25"/>
  <c r="Z13" i="25"/>
  <c r="Z11" i="25"/>
  <c r="Z8" i="25"/>
  <c r="I16" i="25"/>
  <c r="Z8" i="23"/>
  <c r="Z14" i="23"/>
  <c r="Z12" i="23"/>
  <c r="Z9" i="23"/>
  <c r="M7" i="23"/>
  <c r="I16" i="23"/>
  <c r="G17" i="23"/>
  <c r="Z13" i="23"/>
  <c r="L20" i="23"/>
  <c r="I20" i="23"/>
  <c r="Z10" i="23"/>
  <c r="Z15" i="23"/>
  <c r="Z7" i="23"/>
  <c r="I7" i="22"/>
  <c r="F16" i="22"/>
  <c r="F18" i="22" s="1"/>
  <c r="Z10" i="22" s="1"/>
  <c r="J7" i="22"/>
  <c r="J13" i="22"/>
  <c r="W13" i="22"/>
  <c r="J14" i="22"/>
  <c r="W14" i="22"/>
  <c r="J15" i="22"/>
  <c r="W7" i="22"/>
  <c r="J8" i="22"/>
  <c r="W15" i="22"/>
  <c r="W8" i="22"/>
  <c r="J9" i="22"/>
  <c r="J25" i="22"/>
  <c r="J8" i="21"/>
  <c r="W9" i="21"/>
  <c r="I7" i="21"/>
  <c r="F16" i="21"/>
  <c r="F18" i="21" s="1"/>
  <c r="Z12" i="21" s="1"/>
  <c r="J7" i="21"/>
  <c r="W7" i="21"/>
  <c r="Y7" i="21"/>
  <c r="W8" i="21"/>
  <c r="J9" i="21"/>
  <c r="I15" i="21"/>
  <c r="M15" i="21" s="1"/>
  <c r="G16" i="21"/>
  <c r="J10" i="21"/>
  <c r="W10" i="21"/>
  <c r="J11" i="21"/>
  <c r="W11" i="21"/>
  <c r="J13" i="21"/>
  <c r="W13" i="21"/>
  <c r="J14" i="21"/>
  <c r="W14" i="21"/>
  <c r="J15" i="21"/>
  <c r="W15" i="21"/>
  <c r="J25" i="21"/>
  <c r="M32" i="20"/>
  <c r="I32" i="20"/>
  <c r="J32" i="20" s="1"/>
  <c r="H32" i="20"/>
  <c r="E32" i="20"/>
  <c r="M31" i="20"/>
  <c r="J31" i="20"/>
  <c r="I31" i="20"/>
  <c r="H31" i="20"/>
  <c r="E31" i="20"/>
  <c r="M30" i="20"/>
  <c r="J30" i="20"/>
  <c r="I30" i="20"/>
  <c r="H30" i="20"/>
  <c r="E30" i="20"/>
  <c r="M29" i="20"/>
  <c r="J29" i="20"/>
  <c r="I29" i="20"/>
  <c r="H29" i="20"/>
  <c r="E29" i="20"/>
  <c r="M28" i="20"/>
  <c r="I28" i="20"/>
  <c r="J28" i="20" s="1"/>
  <c r="H28" i="20"/>
  <c r="E28" i="20"/>
  <c r="M27" i="20"/>
  <c r="I27" i="20"/>
  <c r="J27" i="20" s="1"/>
  <c r="H27" i="20"/>
  <c r="E27" i="20"/>
  <c r="M26" i="20"/>
  <c r="I26" i="20"/>
  <c r="J26" i="20" s="1"/>
  <c r="H26" i="20"/>
  <c r="E26" i="20"/>
  <c r="M25" i="20"/>
  <c r="I25" i="20"/>
  <c r="J25" i="20" s="1"/>
  <c r="H25" i="20"/>
  <c r="E25" i="20"/>
  <c r="M24" i="20"/>
  <c r="J24" i="20"/>
  <c r="I24" i="20"/>
  <c r="I33" i="20" s="1"/>
  <c r="H24" i="20"/>
  <c r="E24" i="20"/>
  <c r="G15" i="20"/>
  <c r="V14" i="20"/>
  <c r="U14" i="20"/>
  <c r="T14" i="20"/>
  <c r="R14" i="20"/>
  <c r="L14" i="20"/>
  <c r="I14" i="20"/>
  <c r="M14" i="20" s="1"/>
  <c r="H14" i="20"/>
  <c r="Y14" i="20" s="1"/>
  <c r="F14" i="20"/>
  <c r="V13" i="20"/>
  <c r="U13" i="20"/>
  <c r="T13" i="20"/>
  <c r="R13" i="20"/>
  <c r="H13" i="20"/>
  <c r="Y13" i="20" s="1"/>
  <c r="F13" i="20"/>
  <c r="I13" i="20" s="1"/>
  <c r="M13" i="20" s="1"/>
  <c r="V12" i="20"/>
  <c r="U12" i="20"/>
  <c r="T12" i="20"/>
  <c r="R12" i="20"/>
  <c r="H12" i="20"/>
  <c r="Y12" i="20" s="1"/>
  <c r="F12" i="20"/>
  <c r="I12" i="20" s="1"/>
  <c r="M12" i="20" s="1"/>
  <c r="V11" i="20"/>
  <c r="U11" i="20"/>
  <c r="T11" i="20"/>
  <c r="R11" i="20"/>
  <c r="I11" i="20"/>
  <c r="M11" i="20" s="1"/>
  <c r="H11" i="20"/>
  <c r="Y11" i="20" s="1"/>
  <c r="F11" i="20"/>
  <c r="V10" i="20"/>
  <c r="U10" i="20"/>
  <c r="T10" i="20"/>
  <c r="R10" i="20"/>
  <c r="I10" i="20"/>
  <c r="M10" i="20" s="1"/>
  <c r="H10" i="20"/>
  <c r="Y10" i="20" s="1"/>
  <c r="F10" i="20"/>
  <c r="V9" i="20"/>
  <c r="U9" i="20"/>
  <c r="T9" i="20"/>
  <c r="R9" i="20"/>
  <c r="H9" i="20"/>
  <c r="W9" i="20" s="1"/>
  <c r="F9" i="20"/>
  <c r="I9" i="20" s="1"/>
  <c r="M9" i="20" s="1"/>
  <c r="W8" i="20"/>
  <c r="V8" i="20"/>
  <c r="U8" i="20"/>
  <c r="T8" i="20"/>
  <c r="R8" i="20"/>
  <c r="L8" i="20"/>
  <c r="J8" i="20"/>
  <c r="H8" i="20"/>
  <c r="Y8" i="20" s="1"/>
  <c r="F8" i="20"/>
  <c r="I8" i="20" s="1"/>
  <c r="M8" i="20" s="1"/>
  <c r="V7" i="20"/>
  <c r="U7" i="20"/>
  <c r="T7" i="20"/>
  <c r="R7" i="20"/>
  <c r="L7" i="20"/>
  <c r="G7" i="20"/>
  <c r="H7" i="20" s="1"/>
  <c r="D7" i="20"/>
  <c r="F7" i="20" s="1"/>
  <c r="I18" i="19"/>
  <c r="M32" i="19"/>
  <c r="I32" i="19"/>
  <c r="J32" i="19" s="1"/>
  <c r="H32" i="19"/>
  <c r="E32" i="19"/>
  <c r="M31" i="19"/>
  <c r="I31" i="19"/>
  <c r="J31" i="19" s="1"/>
  <c r="H31" i="19"/>
  <c r="E31" i="19"/>
  <c r="M30" i="19"/>
  <c r="J30" i="19"/>
  <c r="I30" i="19"/>
  <c r="H30" i="19"/>
  <c r="E30" i="19"/>
  <c r="M29" i="19"/>
  <c r="J29" i="19"/>
  <c r="I29" i="19"/>
  <c r="H29" i="19"/>
  <c r="E29" i="19"/>
  <c r="M28" i="19"/>
  <c r="I28" i="19"/>
  <c r="J28" i="19" s="1"/>
  <c r="H28" i="19"/>
  <c r="E28" i="19"/>
  <c r="M27" i="19"/>
  <c r="I27" i="19"/>
  <c r="J27" i="19" s="1"/>
  <c r="H27" i="19"/>
  <c r="E27" i="19"/>
  <c r="M26" i="19"/>
  <c r="I26" i="19"/>
  <c r="J26" i="19" s="1"/>
  <c r="H26" i="19"/>
  <c r="E26" i="19"/>
  <c r="M25" i="19"/>
  <c r="I25" i="19"/>
  <c r="J25" i="19" s="1"/>
  <c r="H25" i="19"/>
  <c r="E25" i="19"/>
  <c r="M24" i="19"/>
  <c r="I24" i="19"/>
  <c r="I33" i="19" s="1"/>
  <c r="H24" i="19"/>
  <c r="E24" i="19"/>
  <c r="G15" i="19"/>
  <c r="V14" i="19"/>
  <c r="U14" i="19"/>
  <c r="T14" i="19"/>
  <c r="R14" i="19"/>
  <c r="L14" i="19"/>
  <c r="I14" i="19"/>
  <c r="M14" i="19" s="1"/>
  <c r="H14" i="19"/>
  <c r="W14" i="19" s="1"/>
  <c r="F14" i="19"/>
  <c r="V13" i="19"/>
  <c r="U13" i="19"/>
  <c r="T13" i="19"/>
  <c r="R13" i="19"/>
  <c r="H13" i="19"/>
  <c r="W13" i="19" s="1"/>
  <c r="F13" i="19"/>
  <c r="I13" i="19" s="1"/>
  <c r="M13" i="19" s="1"/>
  <c r="V12" i="19"/>
  <c r="U12" i="19"/>
  <c r="T12" i="19"/>
  <c r="R12" i="19"/>
  <c r="H12" i="19"/>
  <c r="W12" i="19" s="1"/>
  <c r="F12" i="19"/>
  <c r="I12" i="19" s="1"/>
  <c r="M12" i="19" s="1"/>
  <c r="V11" i="19"/>
  <c r="U11" i="19"/>
  <c r="T11" i="19"/>
  <c r="R11" i="19"/>
  <c r="I11" i="19"/>
  <c r="M11" i="19" s="1"/>
  <c r="H11" i="19"/>
  <c r="W11" i="19" s="1"/>
  <c r="F11" i="19"/>
  <c r="V10" i="19"/>
  <c r="U10" i="19"/>
  <c r="T10" i="19"/>
  <c r="R10" i="19"/>
  <c r="I10" i="19"/>
  <c r="M10" i="19" s="1"/>
  <c r="H10" i="19"/>
  <c r="W10" i="19" s="1"/>
  <c r="F10" i="19"/>
  <c r="V9" i="19"/>
  <c r="U9" i="19"/>
  <c r="T9" i="19"/>
  <c r="R9" i="19"/>
  <c r="I9" i="19"/>
  <c r="M9" i="19" s="1"/>
  <c r="H9" i="19"/>
  <c r="Y9" i="19" s="1"/>
  <c r="F9" i="19"/>
  <c r="V8" i="19"/>
  <c r="U8" i="19"/>
  <c r="T8" i="19"/>
  <c r="R8" i="19"/>
  <c r="L8" i="19"/>
  <c r="H8" i="19"/>
  <c r="Y8" i="19" s="1"/>
  <c r="F8" i="19"/>
  <c r="I8" i="19" s="1"/>
  <c r="M8" i="19" s="1"/>
  <c r="V7" i="19"/>
  <c r="U7" i="19"/>
  <c r="T7" i="19"/>
  <c r="R7" i="19"/>
  <c r="L7" i="19"/>
  <c r="G7" i="19"/>
  <c r="H7" i="19" s="1"/>
  <c r="D7" i="19"/>
  <c r="F7" i="19" s="1"/>
  <c r="M32" i="18"/>
  <c r="H32" i="18"/>
  <c r="I32" i="18"/>
  <c r="J32" i="18" s="1"/>
  <c r="E32" i="18"/>
  <c r="I18" i="18"/>
  <c r="M31" i="18"/>
  <c r="I31" i="18"/>
  <c r="J31" i="18" s="1"/>
  <c r="H31" i="18"/>
  <c r="E31" i="18"/>
  <c r="M30" i="18"/>
  <c r="J30" i="18"/>
  <c r="I30" i="18"/>
  <c r="H30" i="18"/>
  <c r="E30" i="18"/>
  <c r="M29" i="18"/>
  <c r="I29" i="18"/>
  <c r="J29" i="18" s="1"/>
  <c r="H29" i="18"/>
  <c r="E29" i="18"/>
  <c r="M28" i="18"/>
  <c r="I28" i="18"/>
  <c r="J28" i="18" s="1"/>
  <c r="H28" i="18"/>
  <c r="E28" i="18"/>
  <c r="M27" i="18"/>
  <c r="I27" i="18"/>
  <c r="J27" i="18" s="1"/>
  <c r="H27" i="18"/>
  <c r="E27" i="18"/>
  <c r="M26" i="18"/>
  <c r="J26" i="18"/>
  <c r="I26" i="18"/>
  <c r="H26" i="18"/>
  <c r="E26" i="18"/>
  <c r="M25" i="18"/>
  <c r="I25" i="18"/>
  <c r="J25" i="18" s="1"/>
  <c r="H25" i="18"/>
  <c r="E25" i="18"/>
  <c r="M24" i="18"/>
  <c r="J24" i="18"/>
  <c r="I24" i="18"/>
  <c r="H24" i="18"/>
  <c r="E24" i="18"/>
  <c r="V14" i="18"/>
  <c r="U14" i="18"/>
  <c r="T14" i="18"/>
  <c r="R14" i="18"/>
  <c r="L14" i="18"/>
  <c r="H14" i="18"/>
  <c r="Y14" i="18" s="1"/>
  <c r="F14" i="18"/>
  <c r="I14" i="18" s="1"/>
  <c r="M14" i="18" s="1"/>
  <c r="V13" i="18"/>
  <c r="U13" i="18"/>
  <c r="T13" i="18"/>
  <c r="R13" i="18"/>
  <c r="I13" i="18"/>
  <c r="M13" i="18" s="1"/>
  <c r="H13" i="18"/>
  <c r="Y13" i="18" s="1"/>
  <c r="F13" i="18"/>
  <c r="V12" i="18"/>
  <c r="U12" i="18"/>
  <c r="T12" i="18"/>
  <c r="R12" i="18"/>
  <c r="H12" i="18"/>
  <c r="Y12" i="18" s="1"/>
  <c r="F12" i="18"/>
  <c r="I12" i="18" s="1"/>
  <c r="M12" i="18" s="1"/>
  <c r="V11" i="18"/>
  <c r="U11" i="18"/>
  <c r="T11" i="18"/>
  <c r="R11" i="18"/>
  <c r="H11" i="18"/>
  <c r="Y11" i="18" s="1"/>
  <c r="F11" i="18"/>
  <c r="I11" i="18" s="1"/>
  <c r="M11" i="18" s="1"/>
  <c r="V10" i="18"/>
  <c r="U10" i="18"/>
  <c r="T10" i="18"/>
  <c r="R10" i="18"/>
  <c r="H10" i="18"/>
  <c r="Y10" i="18" s="1"/>
  <c r="F10" i="18"/>
  <c r="I10" i="18" s="1"/>
  <c r="M10" i="18" s="1"/>
  <c r="V9" i="18"/>
  <c r="U9" i="18"/>
  <c r="T9" i="18"/>
  <c r="R9" i="18"/>
  <c r="I9" i="18"/>
  <c r="M9" i="18" s="1"/>
  <c r="H9" i="18"/>
  <c r="Y9" i="18" s="1"/>
  <c r="F9" i="18"/>
  <c r="V8" i="18"/>
  <c r="U8" i="18"/>
  <c r="T8" i="18"/>
  <c r="R8" i="18"/>
  <c r="L8" i="18"/>
  <c r="H8" i="18"/>
  <c r="Y8" i="18" s="1"/>
  <c r="F8" i="18"/>
  <c r="I8" i="18" s="1"/>
  <c r="M8" i="18" s="1"/>
  <c r="V7" i="18"/>
  <c r="U7" i="18"/>
  <c r="T7" i="18"/>
  <c r="R7" i="18"/>
  <c r="L7" i="18"/>
  <c r="G7" i="18"/>
  <c r="G15" i="18" s="1"/>
  <c r="D7" i="18"/>
  <c r="H7" i="18" s="1"/>
  <c r="M31" i="17"/>
  <c r="H31" i="17"/>
  <c r="I31" i="17"/>
  <c r="J31" i="17"/>
  <c r="E31" i="17"/>
  <c r="M30" i="17"/>
  <c r="H30" i="17"/>
  <c r="I30" i="17"/>
  <c r="J30" i="17"/>
  <c r="E30" i="17"/>
  <c r="H29" i="17"/>
  <c r="I29" i="17"/>
  <c r="J29" i="17"/>
  <c r="M29" i="17"/>
  <c r="E29" i="17"/>
  <c r="I18" i="17"/>
  <c r="M28" i="17"/>
  <c r="I28" i="17"/>
  <c r="J28" i="17" s="1"/>
  <c r="H28" i="17"/>
  <c r="E28" i="17"/>
  <c r="M27" i="17"/>
  <c r="I27" i="17"/>
  <c r="J27" i="17" s="1"/>
  <c r="H27" i="17"/>
  <c r="E27" i="17"/>
  <c r="M26" i="17"/>
  <c r="J26" i="17"/>
  <c r="I26" i="17"/>
  <c r="H26" i="17"/>
  <c r="E26" i="17"/>
  <c r="M25" i="17"/>
  <c r="I25" i="17"/>
  <c r="J25" i="17" s="1"/>
  <c r="H25" i="17"/>
  <c r="E25" i="17"/>
  <c r="M24" i="17"/>
  <c r="J24" i="17"/>
  <c r="I24" i="17"/>
  <c r="H24" i="17"/>
  <c r="E24" i="17"/>
  <c r="W14" i="17"/>
  <c r="V14" i="17"/>
  <c r="U14" i="17"/>
  <c r="T14" i="17"/>
  <c r="R14" i="17"/>
  <c r="L14" i="17"/>
  <c r="H14" i="17"/>
  <c r="Y14" i="17" s="1"/>
  <c r="F14" i="17"/>
  <c r="I14" i="17" s="1"/>
  <c r="M14" i="17" s="1"/>
  <c r="V13" i="17"/>
  <c r="U13" i="17"/>
  <c r="T13" i="17"/>
  <c r="R13" i="17"/>
  <c r="H13" i="17"/>
  <c r="W13" i="17" s="1"/>
  <c r="F13" i="17"/>
  <c r="I13" i="17" s="1"/>
  <c r="M13" i="17" s="1"/>
  <c r="V12" i="17"/>
  <c r="U12" i="17"/>
  <c r="T12" i="17"/>
  <c r="R12" i="17"/>
  <c r="H12" i="17"/>
  <c r="Y12" i="17" s="1"/>
  <c r="F12" i="17"/>
  <c r="V11" i="17"/>
  <c r="U11" i="17"/>
  <c r="T11" i="17"/>
  <c r="R11" i="17"/>
  <c r="H11" i="17"/>
  <c r="Y11" i="17" s="1"/>
  <c r="F11" i="17"/>
  <c r="I11" i="17" s="1"/>
  <c r="M11" i="17" s="1"/>
  <c r="V10" i="17"/>
  <c r="U10" i="17"/>
  <c r="T10" i="17"/>
  <c r="R10" i="17"/>
  <c r="H10" i="17"/>
  <c r="Y10" i="17" s="1"/>
  <c r="F10" i="17"/>
  <c r="I10" i="17" s="1"/>
  <c r="M10" i="17" s="1"/>
  <c r="V9" i="17"/>
  <c r="U9" i="17"/>
  <c r="T9" i="17"/>
  <c r="R9" i="17"/>
  <c r="H9" i="17"/>
  <c r="W9" i="17" s="1"/>
  <c r="F9" i="17"/>
  <c r="I9" i="17" s="1"/>
  <c r="M9" i="17" s="1"/>
  <c r="V8" i="17"/>
  <c r="U8" i="17"/>
  <c r="T8" i="17"/>
  <c r="R8" i="17"/>
  <c r="L8" i="17"/>
  <c r="H8" i="17"/>
  <c r="Y8" i="17" s="1"/>
  <c r="F8" i="17"/>
  <c r="I8" i="17" s="1"/>
  <c r="M8" i="17" s="1"/>
  <c r="V7" i="17"/>
  <c r="U7" i="17"/>
  <c r="T7" i="17"/>
  <c r="R7" i="17"/>
  <c r="L7" i="17"/>
  <c r="H7" i="17"/>
  <c r="W7" i="17" s="1"/>
  <c r="G7" i="17"/>
  <c r="G15" i="17" s="1"/>
  <c r="F7" i="17"/>
  <c r="D7" i="17"/>
  <c r="I18" i="16"/>
  <c r="T10" i="16"/>
  <c r="U10" i="16"/>
  <c r="V10" i="16"/>
  <c r="T11" i="16"/>
  <c r="U11" i="16"/>
  <c r="V11" i="16"/>
  <c r="R10" i="16"/>
  <c r="R11" i="16"/>
  <c r="L10" i="16"/>
  <c r="L11" i="16"/>
  <c r="J10" i="16"/>
  <c r="H10" i="16"/>
  <c r="W10" i="16" s="1"/>
  <c r="H11" i="16"/>
  <c r="W11" i="16" s="1"/>
  <c r="F10" i="16"/>
  <c r="I10" i="16" s="1"/>
  <c r="M10" i="16" s="1"/>
  <c r="F11" i="16"/>
  <c r="I11" i="16" s="1"/>
  <c r="M11" i="16" s="1"/>
  <c r="M28" i="16"/>
  <c r="I28" i="16"/>
  <c r="J28" i="16" s="1"/>
  <c r="H28" i="16"/>
  <c r="E28" i="16"/>
  <c r="M27" i="16"/>
  <c r="I27" i="16"/>
  <c r="J27" i="16" s="1"/>
  <c r="H27" i="16"/>
  <c r="E27" i="16"/>
  <c r="M26" i="16"/>
  <c r="I26" i="16"/>
  <c r="J26" i="16" s="1"/>
  <c r="H26" i="16"/>
  <c r="E26" i="16"/>
  <c r="M25" i="16"/>
  <c r="I25" i="16"/>
  <c r="J25" i="16" s="1"/>
  <c r="H25" i="16"/>
  <c r="E25" i="16"/>
  <c r="M24" i="16"/>
  <c r="I24" i="16"/>
  <c r="H24" i="16"/>
  <c r="E24" i="16"/>
  <c r="V14" i="16"/>
  <c r="U14" i="16"/>
  <c r="T14" i="16"/>
  <c r="R14" i="16"/>
  <c r="L14" i="16"/>
  <c r="H14" i="16"/>
  <c r="Y14" i="16" s="1"/>
  <c r="F14" i="16"/>
  <c r="I14" i="16" s="1"/>
  <c r="M14" i="16" s="1"/>
  <c r="Y13" i="16"/>
  <c r="V13" i="16"/>
  <c r="U13" i="16"/>
  <c r="T13" i="16"/>
  <c r="R13" i="16"/>
  <c r="L13" i="16"/>
  <c r="H13" i="16"/>
  <c r="W13" i="16" s="1"/>
  <c r="F13" i="16"/>
  <c r="I13" i="16" s="1"/>
  <c r="M13" i="16" s="1"/>
  <c r="V12" i="16"/>
  <c r="U12" i="16"/>
  <c r="T12" i="16"/>
  <c r="R12" i="16"/>
  <c r="L12" i="16"/>
  <c r="H12" i="16"/>
  <c r="J12" i="16" s="1"/>
  <c r="F12" i="16"/>
  <c r="I12" i="16" s="1"/>
  <c r="M12" i="16" s="1"/>
  <c r="V7" i="16"/>
  <c r="U7" i="16"/>
  <c r="T7" i="16"/>
  <c r="R7" i="16"/>
  <c r="L7" i="16"/>
  <c r="G7" i="16"/>
  <c r="G15" i="16" s="1"/>
  <c r="D7" i="16"/>
  <c r="F7" i="16" s="1"/>
  <c r="V8" i="16"/>
  <c r="U8" i="16"/>
  <c r="T8" i="16"/>
  <c r="R8" i="16"/>
  <c r="L8" i="16"/>
  <c r="H8" i="16"/>
  <c r="J8" i="16" s="1"/>
  <c r="F8" i="16"/>
  <c r="I8" i="16" s="1"/>
  <c r="M8" i="16" s="1"/>
  <c r="V9" i="16"/>
  <c r="U9" i="16"/>
  <c r="T9" i="16"/>
  <c r="R9" i="16"/>
  <c r="L9" i="16"/>
  <c r="H9" i="16"/>
  <c r="J9" i="16" s="1"/>
  <c r="F9" i="16"/>
  <c r="M27" i="15"/>
  <c r="J27" i="15"/>
  <c r="I27" i="15"/>
  <c r="H27" i="15"/>
  <c r="E27" i="15"/>
  <c r="M26" i="15"/>
  <c r="J26" i="15"/>
  <c r="I26" i="15"/>
  <c r="H26" i="15"/>
  <c r="E26" i="15"/>
  <c r="M25" i="15"/>
  <c r="I25" i="15"/>
  <c r="J25" i="15" s="1"/>
  <c r="H25" i="15"/>
  <c r="E25" i="15"/>
  <c r="M24" i="15"/>
  <c r="J24" i="15"/>
  <c r="I24" i="15"/>
  <c r="H24" i="15"/>
  <c r="E24" i="15"/>
  <c r="M23" i="15"/>
  <c r="I23" i="15"/>
  <c r="I31" i="15" s="1"/>
  <c r="H23" i="15"/>
  <c r="E23" i="15"/>
  <c r="V13" i="15"/>
  <c r="U13" i="15"/>
  <c r="T13" i="15"/>
  <c r="R13" i="15"/>
  <c r="L13" i="15"/>
  <c r="H13" i="15"/>
  <c r="W13" i="15" s="1"/>
  <c r="F13" i="15"/>
  <c r="I13" i="15" s="1"/>
  <c r="M13" i="15" s="1"/>
  <c r="W12" i="15"/>
  <c r="V12" i="15"/>
  <c r="U12" i="15"/>
  <c r="T12" i="15"/>
  <c r="R12" i="15"/>
  <c r="L12" i="15"/>
  <c r="H12" i="15"/>
  <c r="Y12" i="15" s="1"/>
  <c r="F12" i="15"/>
  <c r="I12" i="15" s="1"/>
  <c r="M12" i="15" s="1"/>
  <c r="Y11" i="15"/>
  <c r="V11" i="15"/>
  <c r="U11" i="15"/>
  <c r="T11" i="15"/>
  <c r="R11" i="15"/>
  <c r="L11" i="15"/>
  <c r="I11" i="15"/>
  <c r="M11" i="15" s="1"/>
  <c r="H11" i="15"/>
  <c r="W11" i="15" s="1"/>
  <c r="F11" i="15"/>
  <c r="V10" i="15"/>
  <c r="U10" i="15"/>
  <c r="T10" i="15"/>
  <c r="R10" i="15"/>
  <c r="L10" i="15"/>
  <c r="G10" i="15"/>
  <c r="H10" i="15" s="1"/>
  <c r="D10" i="15"/>
  <c r="F10" i="15" s="1"/>
  <c r="V8" i="15"/>
  <c r="U8" i="15"/>
  <c r="T8" i="15"/>
  <c r="R8" i="15"/>
  <c r="L8" i="15"/>
  <c r="I8" i="15"/>
  <c r="M8" i="15" s="1"/>
  <c r="H8" i="15"/>
  <c r="W8" i="15" s="1"/>
  <c r="F8" i="15"/>
  <c r="W7" i="15"/>
  <c r="V7" i="15"/>
  <c r="U7" i="15"/>
  <c r="T7" i="15"/>
  <c r="R7" i="15"/>
  <c r="L7" i="15"/>
  <c r="J7" i="15"/>
  <c r="H7" i="15"/>
  <c r="Y7" i="15" s="1"/>
  <c r="F7" i="15"/>
  <c r="G17" i="26" l="1"/>
  <c r="L20" i="26"/>
  <c r="I20" i="26"/>
  <c r="Z14" i="26"/>
  <c r="Z10" i="26"/>
  <c r="Z11" i="26"/>
  <c r="Z13" i="26"/>
  <c r="Z9" i="26"/>
  <c r="Z15" i="26"/>
  <c r="Z12" i="26"/>
  <c r="Z7" i="26"/>
  <c r="M8" i="26"/>
  <c r="I16" i="26"/>
  <c r="Z14" i="22"/>
  <c r="Z13" i="22"/>
  <c r="G17" i="22"/>
  <c r="L20" i="22"/>
  <c r="I20" i="22"/>
  <c r="M7" i="22"/>
  <c r="I16" i="22"/>
  <c r="Z9" i="22"/>
  <c r="Z7" i="22"/>
  <c r="Z8" i="22"/>
  <c r="Z11" i="22"/>
  <c r="Z15" i="22"/>
  <c r="Z12" i="22"/>
  <c r="Z14" i="21"/>
  <c r="Z13" i="21"/>
  <c r="Z11" i="21"/>
  <c r="Z10" i="21"/>
  <c r="G17" i="21"/>
  <c r="L20" i="21"/>
  <c r="I20" i="21"/>
  <c r="Z7" i="21"/>
  <c r="Z8" i="21"/>
  <c r="I16" i="21"/>
  <c r="M7" i="21"/>
  <c r="Z9" i="21"/>
  <c r="Z15" i="21"/>
  <c r="I7" i="20"/>
  <c r="F15" i="20"/>
  <c r="F17" i="20" s="1"/>
  <c r="Z13" i="20" s="1"/>
  <c r="W7" i="20"/>
  <c r="J7" i="20"/>
  <c r="Y7" i="20"/>
  <c r="J9" i="20"/>
  <c r="J10" i="20"/>
  <c r="J11" i="20"/>
  <c r="W12" i="20"/>
  <c r="Y9" i="20"/>
  <c r="W10" i="20"/>
  <c r="W11" i="20"/>
  <c r="J12" i="20"/>
  <c r="J13" i="20"/>
  <c r="W13" i="20"/>
  <c r="J14" i="20"/>
  <c r="W14" i="20"/>
  <c r="J8" i="19"/>
  <c r="W8" i="19"/>
  <c r="I7" i="19"/>
  <c r="F15" i="19"/>
  <c r="F17" i="19" s="1"/>
  <c r="Z8" i="19" s="1"/>
  <c r="Y7" i="19"/>
  <c r="W7" i="19"/>
  <c r="J7" i="19"/>
  <c r="Y10" i="19"/>
  <c r="Y11" i="19"/>
  <c r="Y12" i="19"/>
  <c r="Y13" i="19"/>
  <c r="Y14" i="19"/>
  <c r="J9" i="19"/>
  <c r="W9" i="19"/>
  <c r="J10" i="19"/>
  <c r="J11" i="19"/>
  <c r="J12" i="19"/>
  <c r="J13" i="19"/>
  <c r="J14" i="19"/>
  <c r="J24" i="19"/>
  <c r="J8" i="18"/>
  <c r="W8" i="18"/>
  <c r="I33" i="18"/>
  <c r="W7" i="18"/>
  <c r="Y7" i="18"/>
  <c r="J7" i="18"/>
  <c r="F7" i="18"/>
  <c r="J9" i="18"/>
  <c r="W9" i="18"/>
  <c r="J10" i="18"/>
  <c r="W10" i="18"/>
  <c r="J11" i="18"/>
  <c r="W11" i="18"/>
  <c r="J12" i="18"/>
  <c r="W12" i="18"/>
  <c r="J13" i="18"/>
  <c r="W13" i="18"/>
  <c r="J14" i="18"/>
  <c r="W14" i="18"/>
  <c r="J10" i="17"/>
  <c r="W10" i="17"/>
  <c r="I32" i="17"/>
  <c r="J12" i="17"/>
  <c r="W12" i="17"/>
  <c r="W8" i="17"/>
  <c r="Y7" i="17"/>
  <c r="Y13" i="17"/>
  <c r="J9" i="17"/>
  <c r="Y9" i="17"/>
  <c r="I12" i="17"/>
  <c r="M12" i="17" s="1"/>
  <c r="I7" i="17"/>
  <c r="W11" i="17"/>
  <c r="F15" i="17"/>
  <c r="F17" i="17" s="1"/>
  <c r="Z10" i="17" s="1"/>
  <c r="J11" i="17"/>
  <c r="J7" i="17"/>
  <c r="J13" i="17"/>
  <c r="J8" i="17"/>
  <c r="J14" i="17"/>
  <c r="J11" i="16"/>
  <c r="Y11" i="16"/>
  <c r="Y10" i="16"/>
  <c r="F15" i="16"/>
  <c r="F17" i="16" s="1"/>
  <c r="W8" i="16"/>
  <c r="I32" i="16"/>
  <c r="W9" i="16"/>
  <c r="Y8" i="16"/>
  <c r="Y9" i="16"/>
  <c r="J14" i="16"/>
  <c r="W14" i="16"/>
  <c r="W12" i="16"/>
  <c r="Y12" i="16"/>
  <c r="J24" i="16"/>
  <c r="J13" i="16"/>
  <c r="J33" i="16"/>
  <c r="H7" i="16"/>
  <c r="I7" i="16"/>
  <c r="M7" i="16" s="1"/>
  <c r="I9" i="16"/>
  <c r="F14" i="15"/>
  <c r="F16" i="15" s="1"/>
  <c r="Z13" i="15" s="1"/>
  <c r="I7" i="15"/>
  <c r="M7" i="15" s="1"/>
  <c r="Z10" i="15"/>
  <c r="I10" i="15"/>
  <c r="M10" i="15" s="1"/>
  <c r="Y10" i="15"/>
  <c r="W10" i="15"/>
  <c r="J10" i="15"/>
  <c r="Y8" i="15"/>
  <c r="Y13" i="15"/>
  <c r="J23" i="15"/>
  <c r="J32" i="15" s="1"/>
  <c r="J11" i="15"/>
  <c r="J12" i="15"/>
  <c r="G14" i="15"/>
  <c r="J8" i="15"/>
  <c r="J13" i="15"/>
  <c r="I19" i="20" l="1"/>
  <c r="G16" i="20"/>
  <c r="L19" i="20"/>
  <c r="Z8" i="20"/>
  <c r="I15" i="20"/>
  <c r="M7" i="20"/>
  <c r="Z9" i="20"/>
  <c r="Z12" i="20"/>
  <c r="Z11" i="20"/>
  <c r="Z14" i="20"/>
  <c r="Z7" i="20"/>
  <c r="Z10" i="20"/>
  <c r="Z13" i="19"/>
  <c r="Z12" i="19"/>
  <c r="Z11" i="19"/>
  <c r="Z10" i="19"/>
  <c r="Z9" i="19"/>
  <c r="G16" i="19"/>
  <c r="L19" i="19"/>
  <c r="I19" i="19"/>
  <c r="Z7" i="19"/>
  <c r="Z14" i="19"/>
  <c r="I15" i="19"/>
  <c r="M7" i="19"/>
  <c r="I7" i="18"/>
  <c r="F15" i="18"/>
  <c r="F17" i="18" s="1"/>
  <c r="Z8" i="17"/>
  <c r="Z7" i="17"/>
  <c r="Z12" i="17"/>
  <c r="Z9" i="17"/>
  <c r="G16" i="17"/>
  <c r="L19" i="17"/>
  <c r="I19" i="17"/>
  <c r="I15" i="17"/>
  <c r="M7" i="17"/>
  <c r="Z13" i="17"/>
  <c r="Z14" i="17"/>
  <c r="Z11" i="17"/>
  <c r="Z8" i="16"/>
  <c r="Z10" i="16"/>
  <c r="Z11" i="16"/>
  <c r="Z7" i="16"/>
  <c r="L19" i="16"/>
  <c r="Z13" i="16"/>
  <c r="Z14" i="16"/>
  <c r="I19" i="16"/>
  <c r="Z9" i="16"/>
  <c r="G16" i="16"/>
  <c r="Z12" i="16"/>
  <c r="Y7" i="16"/>
  <c r="W7" i="16"/>
  <c r="J7" i="16"/>
  <c r="M9" i="16"/>
  <c r="I15" i="16"/>
  <c r="Z8" i="15"/>
  <c r="I18" i="15"/>
  <c r="Z12" i="15"/>
  <c r="L18" i="15"/>
  <c r="Z7" i="15"/>
  <c r="Z11" i="15"/>
  <c r="G15" i="15"/>
  <c r="I14" i="15"/>
  <c r="Z13" i="18" l="1"/>
  <c r="Z12" i="18"/>
  <c r="Z11" i="18"/>
  <c r="Z10" i="18"/>
  <c r="Z9" i="18"/>
  <c r="L19" i="18"/>
  <c r="I19" i="18"/>
  <c r="G16" i="18"/>
  <c r="Z14" i="18"/>
  <c r="Z8" i="18"/>
  <c r="Z7" i="18"/>
  <c r="M7" i="18"/>
  <c r="I15" i="18"/>
  <c r="I17" i="14"/>
  <c r="M27" i="14"/>
  <c r="J27" i="14"/>
  <c r="I27" i="14"/>
  <c r="H27" i="14"/>
  <c r="E27" i="14"/>
  <c r="M26" i="14"/>
  <c r="J26" i="14"/>
  <c r="I26" i="14"/>
  <c r="H26" i="14"/>
  <c r="E26" i="14"/>
  <c r="M25" i="14"/>
  <c r="I25" i="14"/>
  <c r="J25" i="14" s="1"/>
  <c r="H25" i="14"/>
  <c r="E25" i="14"/>
  <c r="M24" i="14"/>
  <c r="I24" i="14"/>
  <c r="J24" i="14" s="1"/>
  <c r="H24" i="14"/>
  <c r="E24" i="14"/>
  <c r="M23" i="14"/>
  <c r="I23" i="14"/>
  <c r="I31" i="14" s="1"/>
  <c r="H23" i="14"/>
  <c r="E23" i="14"/>
  <c r="G14" i="14"/>
  <c r="Y13" i="14"/>
  <c r="W13" i="14"/>
  <c r="V13" i="14"/>
  <c r="U13" i="14"/>
  <c r="T13" i="14"/>
  <c r="R13" i="14"/>
  <c r="L13" i="14"/>
  <c r="J13" i="14"/>
  <c r="I13" i="14"/>
  <c r="M13" i="14" s="1"/>
  <c r="H13" i="14"/>
  <c r="F13" i="14"/>
  <c r="Y12" i="14"/>
  <c r="W12" i="14"/>
  <c r="V12" i="14"/>
  <c r="U12" i="14"/>
  <c r="T12" i="14"/>
  <c r="R12" i="14"/>
  <c r="L12" i="14"/>
  <c r="J12" i="14"/>
  <c r="H12" i="14"/>
  <c r="F12" i="14"/>
  <c r="I12" i="14" s="1"/>
  <c r="M12" i="14" s="1"/>
  <c r="Y11" i="14"/>
  <c r="W11" i="14"/>
  <c r="V11" i="14"/>
  <c r="U11" i="14"/>
  <c r="T11" i="14"/>
  <c r="R11" i="14"/>
  <c r="L11" i="14"/>
  <c r="H11" i="14"/>
  <c r="J11" i="14" s="1"/>
  <c r="F11" i="14"/>
  <c r="I11" i="14" s="1"/>
  <c r="M11" i="14" s="1"/>
  <c r="V10" i="14"/>
  <c r="U10" i="14"/>
  <c r="T10" i="14"/>
  <c r="R10" i="14"/>
  <c r="L10" i="14"/>
  <c r="G10" i="14"/>
  <c r="H10" i="14" s="1"/>
  <c r="D10" i="14"/>
  <c r="F10" i="14" s="1"/>
  <c r="V8" i="14"/>
  <c r="U8" i="14"/>
  <c r="T8" i="14"/>
  <c r="R8" i="14"/>
  <c r="L8" i="14"/>
  <c r="H8" i="14"/>
  <c r="W8" i="14" s="1"/>
  <c r="F8" i="14"/>
  <c r="I8" i="14" s="1"/>
  <c r="M8" i="14" s="1"/>
  <c r="Y7" i="14"/>
  <c r="W7" i="14"/>
  <c r="V7" i="14"/>
  <c r="U7" i="14"/>
  <c r="T7" i="14"/>
  <c r="R7" i="14"/>
  <c r="L7" i="14"/>
  <c r="J7" i="14"/>
  <c r="I7" i="14"/>
  <c r="M7" i="14" s="1"/>
  <c r="H7" i="14"/>
  <c r="F7" i="14"/>
  <c r="Y10" i="14" l="1"/>
  <c r="W10" i="14"/>
  <c r="J10" i="14"/>
  <c r="F14" i="14"/>
  <c r="F16" i="14" s="1"/>
  <c r="Z13" i="14" s="1"/>
  <c r="I10" i="14"/>
  <c r="M10" i="14" s="1"/>
  <c r="J23" i="14"/>
  <c r="J32" i="14" s="1"/>
  <c r="Y8" i="14"/>
  <c r="J8" i="14"/>
  <c r="Z12" i="14" l="1"/>
  <c r="Z11" i="14"/>
  <c r="Z10" i="14"/>
  <c r="G15" i="14"/>
  <c r="L18" i="14"/>
  <c r="I18" i="14"/>
  <c r="Z7" i="14"/>
  <c r="I14" i="14"/>
  <c r="Z8" i="14"/>
  <c r="M27" i="13" l="1"/>
  <c r="J27" i="13"/>
  <c r="I27" i="13"/>
  <c r="H27" i="13"/>
  <c r="E27" i="13"/>
  <c r="M26" i="13"/>
  <c r="J26" i="13"/>
  <c r="I26" i="13"/>
  <c r="H26" i="13"/>
  <c r="E26" i="13"/>
  <c r="M25" i="13"/>
  <c r="J25" i="13"/>
  <c r="I25" i="13"/>
  <c r="H25" i="13"/>
  <c r="E25" i="13"/>
  <c r="M24" i="13"/>
  <c r="I24" i="13"/>
  <c r="J24" i="13" s="1"/>
  <c r="H24" i="13"/>
  <c r="E24" i="13"/>
  <c r="M23" i="13"/>
  <c r="I23" i="13"/>
  <c r="I31" i="13" s="1"/>
  <c r="H23" i="13"/>
  <c r="E23" i="13"/>
  <c r="V13" i="13"/>
  <c r="U13" i="13"/>
  <c r="T13" i="13"/>
  <c r="R13" i="13"/>
  <c r="L13" i="13"/>
  <c r="I13" i="13"/>
  <c r="M13" i="13" s="1"/>
  <c r="H13" i="13"/>
  <c r="Y13" i="13" s="1"/>
  <c r="F13" i="13"/>
  <c r="Y12" i="13"/>
  <c r="W12" i="13"/>
  <c r="V12" i="13"/>
  <c r="U12" i="13"/>
  <c r="T12" i="13"/>
  <c r="R12" i="13"/>
  <c r="L12" i="13"/>
  <c r="J12" i="13"/>
  <c r="I12" i="13"/>
  <c r="M12" i="13" s="1"/>
  <c r="H12" i="13"/>
  <c r="F12" i="13"/>
  <c r="Y11" i="13"/>
  <c r="W11" i="13"/>
  <c r="V11" i="13"/>
  <c r="U11" i="13"/>
  <c r="T11" i="13"/>
  <c r="R11" i="13"/>
  <c r="L11" i="13"/>
  <c r="J11" i="13"/>
  <c r="H11" i="13"/>
  <c r="F11" i="13"/>
  <c r="I11" i="13" s="1"/>
  <c r="M11" i="13" s="1"/>
  <c r="V10" i="13"/>
  <c r="U10" i="13"/>
  <c r="T10" i="13"/>
  <c r="R10" i="13"/>
  <c r="L10" i="13"/>
  <c r="G10" i="13"/>
  <c r="G14" i="13" s="1"/>
  <c r="D10" i="13"/>
  <c r="F10" i="13" s="1"/>
  <c r="V8" i="13"/>
  <c r="U8" i="13"/>
  <c r="T8" i="13"/>
  <c r="R8" i="13"/>
  <c r="L8" i="13"/>
  <c r="H8" i="13"/>
  <c r="Y8" i="13" s="1"/>
  <c r="F8" i="13"/>
  <c r="Y7" i="13"/>
  <c r="W7" i="13"/>
  <c r="V7" i="13"/>
  <c r="U7" i="13"/>
  <c r="T7" i="13"/>
  <c r="R7" i="13"/>
  <c r="L7" i="13"/>
  <c r="J7" i="13"/>
  <c r="H7" i="13"/>
  <c r="F7" i="13"/>
  <c r="I7" i="13" s="1"/>
  <c r="M7" i="13" s="1"/>
  <c r="F14" i="13" l="1"/>
  <c r="F16" i="13" s="1"/>
  <c r="Z10" i="13" s="1"/>
  <c r="Z8" i="13"/>
  <c r="I8" i="13"/>
  <c r="M8" i="13" s="1"/>
  <c r="I10" i="13"/>
  <c r="M10" i="13" s="1"/>
  <c r="J23" i="13"/>
  <c r="J32" i="13" s="1"/>
  <c r="J8" i="13"/>
  <c r="J13" i="13"/>
  <c r="W8" i="13"/>
  <c r="H10" i="13"/>
  <c r="W13" i="13"/>
  <c r="M27" i="12"/>
  <c r="H27" i="12"/>
  <c r="I27" i="12"/>
  <c r="J27" i="12"/>
  <c r="J32" i="12" s="1"/>
  <c r="E27" i="12"/>
  <c r="M26" i="12"/>
  <c r="I26" i="12"/>
  <c r="J26" i="12" s="1"/>
  <c r="H26" i="12"/>
  <c r="E26" i="12"/>
  <c r="Z11" i="13" l="1"/>
  <c r="Z13" i="13"/>
  <c r="G15" i="13"/>
  <c r="I18" i="13"/>
  <c r="L18" i="13"/>
  <c r="Z7" i="13"/>
  <c r="Z12" i="13"/>
  <c r="J10" i="13"/>
  <c r="Y10" i="13"/>
  <c r="W10" i="13"/>
  <c r="I14" i="13"/>
  <c r="M25" i="12"/>
  <c r="I25" i="12"/>
  <c r="J25" i="12" s="1"/>
  <c r="H25" i="12"/>
  <c r="E25" i="12"/>
  <c r="M24" i="12"/>
  <c r="J24" i="12"/>
  <c r="I24" i="12"/>
  <c r="H24" i="12"/>
  <c r="E24" i="12"/>
  <c r="M23" i="12"/>
  <c r="J23" i="12"/>
  <c r="I23" i="12"/>
  <c r="I31" i="12" s="1"/>
  <c r="H23" i="12"/>
  <c r="E23" i="12"/>
  <c r="Y13" i="12"/>
  <c r="W13" i="12"/>
  <c r="V13" i="12"/>
  <c r="U13" i="12"/>
  <c r="T13" i="12"/>
  <c r="R13" i="12"/>
  <c r="L13" i="12"/>
  <c r="H13" i="12"/>
  <c r="J13" i="12" s="1"/>
  <c r="F13" i="12"/>
  <c r="I13" i="12" s="1"/>
  <c r="M13" i="12" s="1"/>
  <c r="V12" i="12"/>
  <c r="U12" i="12"/>
  <c r="T12" i="12"/>
  <c r="R12" i="12"/>
  <c r="L12" i="12"/>
  <c r="H12" i="12"/>
  <c r="Y12" i="12" s="1"/>
  <c r="F12" i="12"/>
  <c r="I12" i="12" s="1"/>
  <c r="M12" i="12" s="1"/>
  <c r="V11" i="12"/>
  <c r="U11" i="12"/>
  <c r="T11" i="12"/>
  <c r="R11" i="12"/>
  <c r="L11" i="12"/>
  <c r="H11" i="12"/>
  <c r="Y11" i="12" s="1"/>
  <c r="F11" i="12"/>
  <c r="I11" i="12" s="1"/>
  <c r="M11" i="12" s="1"/>
  <c r="V10" i="12"/>
  <c r="U10" i="12"/>
  <c r="T10" i="12"/>
  <c r="R10" i="12"/>
  <c r="L10" i="12"/>
  <c r="G10" i="12"/>
  <c r="H10" i="12" s="1"/>
  <c r="F10" i="12"/>
  <c r="I10" i="12" s="1"/>
  <c r="M10" i="12" s="1"/>
  <c r="D10" i="12"/>
  <c r="W8" i="12"/>
  <c r="V8" i="12"/>
  <c r="U8" i="12"/>
  <c r="T8" i="12"/>
  <c r="R8" i="12"/>
  <c r="L8" i="12"/>
  <c r="J8" i="12"/>
  <c r="H8" i="12"/>
  <c r="Y8" i="12" s="1"/>
  <c r="F8" i="12"/>
  <c r="V7" i="12"/>
  <c r="U7" i="12"/>
  <c r="T7" i="12"/>
  <c r="R7" i="12"/>
  <c r="L7" i="12"/>
  <c r="H7" i="12"/>
  <c r="Y7" i="12" s="1"/>
  <c r="F7" i="12"/>
  <c r="F7" i="11"/>
  <c r="Y10" i="12" l="1"/>
  <c r="W10" i="12"/>
  <c r="J10" i="12"/>
  <c r="I7" i="12"/>
  <c r="M7" i="12" s="1"/>
  <c r="J7" i="12"/>
  <c r="I8" i="12"/>
  <c r="M8" i="12" s="1"/>
  <c r="J11" i="12"/>
  <c r="F14" i="12"/>
  <c r="F16" i="12" s="1"/>
  <c r="Z8" i="12" s="1"/>
  <c r="W7" i="12"/>
  <c r="W11" i="12"/>
  <c r="J12" i="12"/>
  <c r="G14" i="12"/>
  <c r="W12" i="12"/>
  <c r="M24" i="11"/>
  <c r="M25" i="11"/>
  <c r="M23" i="11"/>
  <c r="J25" i="11"/>
  <c r="I25" i="11"/>
  <c r="H25" i="11"/>
  <c r="E25" i="11"/>
  <c r="J24" i="11"/>
  <c r="I24" i="11"/>
  <c r="H24" i="11"/>
  <c r="E24" i="11"/>
  <c r="I23" i="11"/>
  <c r="I31" i="11" s="1"/>
  <c r="H23" i="11"/>
  <c r="E23" i="11"/>
  <c r="V13" i="11"/>
  <c r="U13" i="11"/>
  <c r="T13" i="11"/>
  <c r="R13" i="11"/>
  <c r="L13" i="11"/>
  <c r="J13" i="11"/>
  <c r="I13" i="11"/>
  <c r="M13" i="11" s="1"/>
  <c r="H13" i="11"/>
  <c r="Y13" i="11" s="1"/>
  <c r="F13" i="11"/>
  <c r="Y12" i="11"/>
  <c r="W12" i="11"/>
  <c r="V12" i="11"/>
  <c r="U12" i="11"/>
  <c r="T12" i="11"/>
  <c r="R12" i="11"/>
  <c r="L12" i="11"/>
  <c r="J12" i="11"/>
  <c r="H12" i="11"/>
  <c r="F12" i="11"/>
  <c r="I12" i="11" s="1"/>
  <c r="M12" i="11" s="1"/>
  <c r="Y11" i="11"/>
  <c r="W11" i="11"/>
  <c r="V11" i="11"/>
  <c r="U11" i="11"/>
  <c r="T11" i="11"/>
  <c r="R11" i="11"/>
  <c r="L11" i="11"/>
  <c r="J11" i="11"/>
  <c r="H11" i="11"/>
  <c r="F11" i="11"/>
  <c r="I11" i="11" s="1"/>
  <c r="M11" i="11" s="1"/>
  <c r="V10" i="11"/>
  <c r="U10" i="11"/>
  <c r="T10" i="11"/>
  <c r="R10" i="11"/>
  <c r="L10" i="11"/>
  <c r="G10" i="11"/>
  <c r="G14" i="11" s="1"/>
  <c r="F10" i="11"/>
  <c r="I10" i="11" s="1"/>
  <c r="M10" i="11" s="1"/>
  <c r="D10" i="11"/>
  <c r="W9" i="11"/>
  <c r="V9" i="11"/>
  <c r="U9" i="11"/>
  <c r="T9" i="11"/>
  <c r="R9" i="11"/>
  <c r="L9" i="11"/>
  <c r="J9" i="11"/>
  <c r="H9" i="11"/>
  <c r="Y9" i="11" s="1"/>
  <c r="F9" i="11"/>
  <c r="I9" i="11" s="1"/>
  <c r="M9" i="11" s="1"/>
  <c r="Y8" i="11"/>
  <c r="W8" i="11"/>
  <c r="V8" i="11"/>
  <c r="U8" i="11"/>
  <c r="T8" i="11"/>
  <c r="R8" i="11"/>
  <c r="L8" i="11"/>
  <c r="J8" i="11"/>
  <c r="H8" i="11"/>
  <c r="F8" i="11"/>
  <c r="I8" i="11" s="1"/>
  <c r="M8" i="11" s="1"/>
  <c r="Y7" i="11"/>
  <c r="W7" i="11"/>
  <c r="V7" i="11"/>
  <c r="U7" i="11"/>
  <c r="T7" i="11"/>
  <c r="R7" i="11"/>
  <c r="M7" i="11"/>
  <c r="L7" i="11"/>
  <c r="J7" i="11"/>
  <c r="I7" i="11"/>
  <c r="H7" i="11"/>
  <c r="Y6" i="11"/>
  <c r="W6" i="11"/>
  <c r="V6" i="11"/>
  <c r="U6" i="11"/>
  <c r="T6" i="11"/>
  <c r="R6" i="11"/>
  <c r="L6" i="11"/>
  <c r="J6" i="11"/>
  <c r="H6" i="11"/>
  <c r="F6" i="11"/>
  <c r="I25" i="10"/>
  <c r="J25" i="10" s="1"/>
  <c r="H25" i="10"/>
  <c r="E25" i="10"/>
  <c r="J24" i="10"/>
  <c r="I24" i="10"/>
  <c r="I31" i="10" s="1"/>
  <c r="H24" i="10"/>
  <c r="E24" i="10"/>
  <c r="J23" i="10"/>
  <c r="J32" i="10" s="1"/>
  <c r="I23" i="10"/>
  <c r="H23" i="10"/>
  <c r="E23" i="10"/>
  <c r="Y13" i="10"/>
  <c r="V13" i="10"/>
  <c r="U13" i="10"/>
  <c r="T13" i="10"/>
  <c r="R13" i="10"/>
  <c r="L13" i="10"/>
  <c r="J13" i="10"/>
  <c r="H13" i="10"/>
  <c r="W13" i="10" s="1"/>
  <c r="F13" i="10"/>
  <c r="I13" i="10" s="1"/>
  <c r="M13" i="10" s="1"/>
  <c r="V12" i="10"/>
  <c r="U12" i="10"/>
  <c r="T12" i="10"/>
  <c r="R12" i="10"/>
  <c r="L12" i="10"/>
  <c r="H12" i="10"/>
  <c r="J12" i="10" s="1"/>
  <c r="F12" i="10"/>
  <c r="I12" i="10" s="1"/>
  <c r="M12" i="10" s="1"/>
  <c r="V11" i="10"/>
  <c r="U11" i="10"/>
  <c r="T11" i="10"/>
  <c r="R11" i="10"/>
  <c r="L11" i="10"/>
  <c r="H11" i="10"/>
  <c r="W11" i="10" s="1"/>
  <c r="F11" i="10"/>
  <c r="I11" i="10" s="1"/>
  <c r="M11" i="10" s="1"/>
  <c r="V10" i="10"/>
  <c r="U10" i="10"/>
  <c r="T10" i="10"/>
  <c r="R10" i="10"/>
  <c r="L10" i="10"/>
  <c r="G10" i="10"/>
  <c r="G14" i="10" s="1"/>
  <c r="D10" i="10"/>
  <c r="F10" i="10" s="1"/>
  <c r="Y9" i="10"/>
  <c r="V9" i="10"/>
  <c r="U9" i="10"/>
  <c r="T9" i="10"/>
  <c r="R9" i="10"/>
  <c r="L9" i="10"/>
  <c r="J9" i="10"/>
  <c r="H9" i="10"/>
  <c r="W9" i="10" s="1"/>
  <c r="F9" i="10"/>
  <c r="I9" i="10" s="1"/>
  <c r="M9" i="10" s="1"/>
  <c r="V8" i="10"/>
  <c r="U8" i="10"/>
  <c r="T8" i="10"/>
  <c r="R8" i="10"/>
  <c r="L8" i="10"/>
  <c r="H8" i="10"/>
  <c r="J8" i="10" s="1"/>
  <c r="F8" i="10"/>
  <c r="I8" i="10" s="1"/>
  <c r="M8" i="10" s="1"/>
  <c r="V7" i="10"/>
  <c r="U7" i="10"/>
  <c r="T7" i="10"/>
  <c r="R7" i="10"/>
  <c r="L7" i="10"/>
  <c r="H7" i="10"/>
  <c r="W7" i="10" s="1"/>
  <c r="I7" i="10"/>
  <c r="M7" i="10" s="1"/>
  <c r="Y6" i="10"/>
  <c r="W6" i="10"/>
  <c r="V6" i="10"/>
  <c r="U6" i="10"/>
  <c r="T6" i="10"/>
  <c r="R6" i="10"/>
  <c r="L6" i="10"/>
  <c r="J6" i="10"/>
  <c r="I6" i="10"/>
  <c r="M6" i="10" s="1"/>
  <c r="H6" i="10"/>
  <c r="F6" i="10"/>
  <c r="I31" i="9"/>
  <c r="I25" i="9"/>
  <c r="J25" i="9" s="1"/>
  <c r="H25" i="9"/>
  <c r="E25" i="9"/>
  <c r="I24" i="9"/>
  <c r="J24" i="9" s="1"/>
  <c r="H24" i="9"/>
  <c r="E24" i="9"/>
  <c r="I23" i="9"/>
  <c r="J23" i="9" s="1"/>
  <c r="J32" i="9" s="1"/>
  <c r="H23" i="9"/>
  <c r="E23" i="9"/>
  <c r="G14" i="9"/>
  <c r="V13" i="9"/>
  <c r="U13" i="9"/>
  <c r="T13" i="9"/>
  <c r="R13" i="9"/>
  <c r="M13" i="9"/>
  <c r="L13" i="9"/>
  <c r="I13" i="9"/>
  <c r="H13" i="9"/>
  <c r="Y13" i="9" s="1"/>
  <c r="F13" i="9"/>
  <c r="V12" i="9"/>
  <c r="U12" i="9"/>
  <c r="T12" i="9"/>
  <c r="R12" i="9"/>
  <c r="L12" i="9"/>
  <c r="J12" i="9"/>
  <c r="H12" i="9"/>
  <c r="Y12" i="9" s="1"/>
  <c r="F12" i="9"/>
  <c r="I12" i="9" s="1"/>
  <c r="M12" i="9" s="1"/>
  <c r="V11" i="9"/>
  <c r="U11" i="9"/>
  <c r="T11" i="9"/>
  <c r="R11" i="9"/>
  <c r="L11" i="9"/>
  <c r="H11" i="9"/>
  <c r="W11" i="9" s="1"/>
  <c r="F11" i="9"/>
  <c r="I11" i="9" s="1"/>
  <c r="M11" i="9" s="1"/>
  <c r="V10" i="9"/>
  <c r="U10" i="9"/>
  <c r="T10" i="9"/>
  <c r="R10" i="9"/>
  <c r="L10" i="9"/>
  <c r="G10" i="9"/>
  <c r="H10" i="9" s="1"/>
  <c r="D10" i="9"/>
  <c r="F10" i="9" s="1"/>
  <c r="V9" i="9"/>
  <c r="U9" i="9"/>
  <c r="T9" i="9"/>
  <c r="R9" i="9"/>
  <c r="L9" i="9"/>
  <c r="H9" i="9"/>
  <c r="Y9" i="9" s="1"/>
  <c r="F9" i="9"/>
  <c r="I9" i="9" s="1"/>
  <c r="M9" i="9" s="1"/>
  <c r="V8" i="9"/>
  <c r="U8" i="9"/>
  <c r="T8" i="9"/>
  <c r="R8" i="9"/>
  <c r="L8" i="9"/>
  <c r="J8" i="9"/>
  <c r="H8" i="9"/>
  <c r="Y8" i="9" s="1"/>
  <c r="F8" i="9"/>
  <c r="V7" i="9"/>
  <c r="U7" i="9"/>
  <c r="T7" i="9"/>
  <c r="R7" i="9"/>
  <c r="L7" i="9"/>
  <c r="J7" i="9"/>
  <c r="I7" i="9"/>
  <c r="M7" i="9" s="1"/>
  <c r="H7" i="9"/>
  <c r="W7" i="9" s="1"/>
  <c r="F7" i="9"/>
  <c r="Y6" i="9"/>
  <c r="W6" i="9"/>
  <c r="V6" i="9"/>
  <c r="U6" i="9"/>
  <c r="T6" i="9"/>
  <c r="R6" i="9"/>
  <c r="M6" i="9"/>
  <c r="L6" i="9"/>
  <c r="J6" i="9"/>
  <c r="I6" i="9"/>
  <c r="H6" i="9"/>
  <c r="F6" i="9"/>
  <c r="J32" i="8"/>
  <c r="I25" i="8"/>
  <c r="J25" i="8" s="1"/>
  <c r="H25" i="8"/>
  <c r="E25" i="8"/>
  <c r="I24" i="8"/>
  <c r="J24" i="8" s="1"/>
  <c r="H24" i="8"/>
  <c r="E24" i="8"/>
  <c r="I23" i="8"/>
  <c r="J23" i="8" s="1"/>
  <c r="H23" i="8"/>
  <c r="E23" i="8"/>
  <c r="G14" i="8"/>
  <c r="Y13" i="8"/>
  <c r="W13" i="8"/>
  <c r="V13" i="8"/>
  <c r="U13" i="8"/>
  <c r="T13" i="8"/>
  <c r="R13" i="8"/>
  <c r="L13" i="8"/>
  <c r="J13" i="8"/>
  <c r="I13" i="8"/>
  <c r="M13" i="8" s="1"/>
  <c r="H13" i="8"/>
  <c r="F13" i="8"/>
  <c r="Y12" i="8"/>
  <c r="W12" i="8"/>
  <c r="V12" i="8"/>
  <c r="U12" i="8"/>
  <c r="T12" i="8"/>
  <c r="R12" i="8"/>
  <c r="L12" i="8"/>
  <c r="J12" i="8"/>
  <c r="H12" i="8"/>
  <c r="F12" i="8"/>
  <c r="I12" i="8" s="1"/>
  <c r="M12" i="8" s="1"/>
  <c r="Y11" i="8"/>
  <c r="W11" i="8"/>
  <c r="V11" i="8"/>
  <c r="U11" i="8"/>
  <c r="T11" i="8"/>
  <c r="R11" i="8"/>
  <c r="L11" i="8"/>
  <c r="H11" i="8"/>
  <c r="J11" i="8" s="1"/>
  <c r="F11" i="8"/>
  <c r="I11" i="8" s="1"/>
  <c r="M11" i="8" s="1"/>
  <c r="V10" i="8"/>
  <c r="U10" i="8"/>
  <c r="T10" i="8"/>
  <c r="R10" i="8"/>
  <c r="L10" i="8"/>
  <c r="G10" i="8"/>
  <c r="H10" i="8" s="1"/>
  <c r="F10" i="8"/>
  <c r="I10" i="8" s="1"/>
  <c r="M10" i="8" s="1"/>
  <c r="D10" i="8"/>
  <c r="Y9" i="8"/>
  <c r="W9" i="8"/>
  <c r="V9" i="8"/>
  <c r="U9" i="8"/>
  <c r="T9" i="8"/>
  <c r="R9" i="8"/>
  <c r="L9" i="8"/>
  <c r="J9" i="8"/>
  <c r="H9" i="8"/>
  <c r="F9" i="8"/>
  <c r="I9" i="8" s="1"/>
  <c r="M9" i="8" s="1"/>
  <c r="V8" i="8"/>
  <c r="U8" i="8"/>
  <c r="T8" i="8"/>
  <c r="R8" i="8"/>
  <c r="L8" i="8"/>
  <c r="H8" i="8"/>
  <c r="Y8" i="8" s="1"/>
  <c r="F8" i="8"/>
  <c r="I8" i="8" s="1"/>
  <c r="M8" i="8" s="1"/>
  <c r="Y7" i="8"/>
  <c r="W7" i="8"/>
  <c r="V7" i="8"/>
  <c r="U7" i="8"/>
  <c r="T7" i="8"/>
  <c r="R7" i="8"/>
  <c r="L7" i="8"/>
  <c r="H7" i="8"/>
  <c r="J7" i="8" s="1"/>
  <c r="F7" i="8"/>
  <c r="I7" i="8" s="1"/>
  <c r="M7" i="8" s="1"/>
  <c r="Y6" i="8"/>
  <c r="V6" i="8"/>
  <c r="U6" i="8"/>
  <c r="T6" i="8"/>
  <c r="R6" i="8"/>
  <c r="L6" i="8"/>
  <c r="H6" i="8"/>
  <c r="W6" i="8" s="1"/>
  <c r="F6" i="8"/>
  <c r="L18" i="7"/>
  <c r="G10" i="7"/>
  <c r="D10" i="7"/>
  <c r="J25" i="7"/>
  <c r="I25" i="7"/>
  <c r="H25" i="7"/>
  <c r="E25" i="7"/>
  <c r="I24" i="7"/>
  <c r="J24" i="7" s="1"/>
  <c r="H24" i="7"/>
  <c r="E24" i="7"/>
  <c r="I23" i="7"/>
  <c r="J23" i="7" s="1"/>
  <c r="H23" i="7"/>
  <c r="E23" i="7"/>
  <c r="G14" i="7"/>
  <c r="V13" i="7"/>
  <c r="U13" i="7"/>
  <c r="T13" i="7"/>
  <c r="R13" i="7"/>
  <c r="L13" i="7"/>
  <c r="I13" i="7"/>
  <c r="M13" i="7" s="1"/>
  <c r="H13" i="7"/>
  <c r="Y13" i="7" s="1"/>
  <c r="F13" i="7"/>
  <c r="Y12" i="7"/>
  <c r="W12" i="7"/>
  <c r="V12" i="7"/>
  <c r="U12" i="7"/>
  <c r="T12" i="7"/>
  <c r="R12" i="7"/>
  <c r="L12" i="7"/>
  <c r="J12" i="7"/>
  <c r="H12" i="7"/>
  <c r="F12" i="7"/>
  <c r="I12" i="7" s="1"/>
  <c r="M12" i="7" s="1"/>
  <c r="Y11" i="7"/>
  <c r="W11" i="7"/>
  <c r="V11" i="7"/>
  <c r="U11" i="7"/>
  <c r="T11" i="7"/>
  <c r="R11" i="7"/>
  <c r="L11" i="7"/>
  <c r="J11" i="7"/>
  <c r="H11" i="7"/>
  <c r="F11" i="7"/>
  <c r="I11" i="7" s="1"/>
  <c r="M11" i="7" s="1"/>
  <c r="V10" i="7"/>
  <c r="U10" i="7"/>
  <c r="T10" i="7"/>
  <c r="R10" i="7"/>
  <c r="L10" i="7"/>
  <c r="Y9" i="7"/>
  <c r="V9" i="7"/>
  <c r="U9" i="7"/>
  <c r="T9" i="7"/>
  <c r="R9" i="7"/>
  <c r="L9" i="7"/>
  <c r="H9" i="7"/>
  <c r="W9" i="7" s="1"/>
  <c r="F9" i="7"/>
  <c r="I9" i="7" s="1"/>
  <c r="M9" i="7" s="1"/>
  <c r="Y8" i="7"/>
  <c r="V8" i="7"/>
  <c r="U8" i="7"/>
  <c r="T8" i="7"/>
  <c r="R8" i="7"/>
  <c r="L8" i="7"/>
  <c r="H8" i="7"/>
  <c r="W8" i="7" s="1"/>
  <c r="F8" i="7"/>
  <c r="V7" i="7"/>
  <c r="U7" i="7"/>
  <c r="T7" i="7"/>
  <c r="R7" i="7"/>
  <c r="L7" i="7"/>
  <c r="H7" i="7"/>
  <c r="Y7" i="7" s="1"/>
  <c r="F7" i="7"/>
  <c r="I7" i="7" s="1"/>
  <c r="M7" i="7" s="1"/>
  <c r="V6" i="7"/>
  <c r="U6" i="7"/>
  <c r="T6" i="7"/>
  <c r="R6" i="7"/>
  <c r="L6" i="7"/>
  <c r="I6" i="7"/>
  <c r="H6" i="7"/>
  <c r="J6" i="7" s="1"/>
  <c r="F6" i="7"/>
  <c r="I25" i="4"/>
  <c r="J25" i="4"/>
  <c r="H25" i="4"/>
  <c r="E25" i="4"/>
  <c r="J24" i="4"/>
  <c r="I24" i="4"/>
  <c r="H24" i="4"/>
  <c r="E24" i="4"/>
  <c r="I23" i="4"/>
  <c r="J23" i="4" s="1"/>
  <c r="H23" i="4"/>
  <c r="E23" i="4"/>
  <c r="G14" i="4"/>
  <c r="V13" i="4"/>
  <c r="U13" i="4"/>
  <c r="T13" i="4"/>
  <c r="R13" i="4"/>
  <c r="M13" i="4"/>
  <c r="L13" i="4"/>
  <c r="I13" i="4"/>
  <c r="H13" i="4"/>
  <c r="W13" i="4" s="1"/>
  <c r="F13" i="4"/>
  <c r="Y12" i="4"/>
  <c r="W12" i="4"/>
  <c r="V12" i="4"/>
  <c r="U12" i="4"/>
  <c r="T12" i="4"/>
  <c r="R12" i="4"/>
  <c r="M12" i="4"/>
  <c r="L12" i="4"/>
  <c r="J12" i="4"/>
  <c r="I12" i="4"/>
  <c r="H12" i="4"/>
  <c r="F12" i="4"/>
  <c r="Y11" i="4"/>
  <c r="V11" i="4"/>
  <c r="U11" i="4"/>
  <c r="T11" i="4"/>
  <c r="R11" i="4"/>
  <c r="L11" i="4"/>
  <c r="J11" i="4"/>
  <c r="H11" i="4"/>
  <c r="W11" i="4" s="1"/>
  <c r="F11" i="4"/>
  <c r="Y10" i="4"/>
  <c r="V10" i="4"/>
  <c r="U10" i="4"/>
  <c r="T10" i="4"/>
  <c r="R10" i="4"/>
  <c r="L10" i="4"/>
  <c r="H10" i="4"/>
  <c r="W10" i="4" s="1"/>
  <c r="F10" i="4"/>
  <c r="V9" i="4"/>
  <c r="U9" i="4"/>
  <c r="T9" i="4"/>
  <c r="R9" i="4"/>
  <c r="L9" i="4"/>
  <c r="H9" i="4"/>
  <c r="Y9" i="4" s="1"/>
  <c r="F9" i="4"/>
  <c r="I9" i="4" s="1"/>
  <c r="M9" i="4" s="1"/>
  <c r="V8" i="4"/>
  <c r="U8" i="4"/>
  <c r="T8" i="4"/>
  <c r="R8" i="4"/>
  <c r="L8" i="4"/>
  <c r="I8" i="4"/>
  <c r="M8" i="4" s="1"/>
  <c r="H8" i="4"/>
  <c r="J8" i="4" s="1"/>
  <c r="F8" i="4"/>
  <c r="Y7" i="4"/>
  <c r="W7" i="4"/>
  <c r="V7" i="4"/>
  <c r="U7" i="4"/>
  <c r="T7" i="4"/>
  <c r="R7" i="4"/>
  <c r="L7" i="4"/>
  <c r="J7" i="4"/>
  <c r="I7" i="4"/>
  <c r="M7" i="4" s="1"/>
  <c r="H7" i="4"/>
  <c r="F7" i="4"/>
  <c r="Y6" i="4"/>
  <c r="W6" i="4"/>
  <c r="V6" i="4"/>
  <c r="U6" i="4"/>
  <c r="T6" i="4"/>
  <c r="R6" i="4"/>
  <c r="L6" i="4"/>
  <c r="J6" i="4"/>
  <c r="H6" i="4"/>
  <c r="F6" i="4"/>
  <c r="I23" i="6"/>
  <c r="J23" i="6" s="1"/>
  <c r="H23" i="6"/>
  <c r="E23" i="6"/>
  <c r="G14" i="6"/>
  <c r="Y13" i="6"/>
  <c r="V13" i="6"/>
  <c r="U13" i="6"/>
  <c r="T13" i="6"/>
  <c r="R13" i="6"/>
  <c r="M13" i="6"/>
  <c r="L13" i="6"/>
  <c r="J13" i="6"/>
  <c r="I13" i="6"/>
  <c r="H13" i="6"/>
  <c r="W13" i="6" s="1"/>
  <c r="F13" i="6"/>
  <c r="V12" i="6"/>
  <c r="U12" i="6"/>
  <c r="T12" i="6"/>
  <c r="R12" i="6"/>
  <c r="L12" i="6"/>
  <c r="H12" i="6"/>
  <c r="Y12" i="6" s="1"/>
  <c r="F12" i="6"/>
  <c r="V11" i="6"/>
  <c r="U11" i="6"/>
  <c r="T11" i="6"/>
  <c r="R11" i="6"/>
  <c r="L11" i="6"/>
  <c r="H11" i="6"/>
  <c r="W11" i="6" s="1"/>
  <c r="F11" i="6"/>
  <c r="I11" i="6" s="1"/>
  <c r="M11" i="6" s="1"/>
  <c r="V10" i="6"/>
  <c r="U10" i="6"/>
  <c r="T10" i="6"/>
  <c r="R10" i="6"/>
  <c r="L10" i="6"/>
  <c r="H10" i="6"/>
  <c r="W10" i="6" s="1"/>
  <c r="F10" i="6"/>
  <c r="I10" i="6" s="1"/>
  <c r="M10" i="6" s="1"/>
  <c r="V9" i="6"/>
  <c r="U9" i="6"/>
  <c r="T9" i="6"/>
  <c r="R9" i="6"/>
  <c r="L9" i="6"/>
  <c r="H9" i="6"/>
  <c r="J9" i="6" s="1"/>
  <c r="F9" i="6"/>
  <c r="I9" i="6" s="1"/>
  <c r="M9" i="6" s="1"/>
  <c r="Y8" i="6"/>
  <c r="W8" i="6"/>
  <c r="V8" i="6"/>
  <c r="U8" i="6"/>
  <c r="T8" i="6"/>
  <c r="R8" i="6"/>
  <c r="L8" i="6"/>
  <c r="J8" i="6"/>
  <c r="H8" i="6"/>
  <c r="F8" i="6"/>
  <c r="I8" i="6" s="1"/>
  <c r="M8" i="6" s="1"/>
  <c r="V7" i="6"/>
  <c r="U7" i="6"/>
  <c r="T7" i="6"/>
  <c r="R7" i="6"/>
  <c r="L7" i="6"/>
  <c r="H7" i="6"/>
  <c r="Y7" i="6" s="1"/>
  <c r="F7" i="6"/>
  <c r="V6" i="6"/>
  <c r="U6" i="6"/>
  <c r="T6" i="6"/>
  <c r="R6" i="6"/>
  <c r="L6" i="6"/>
  <c r="H6" i="6"/>
  <c r="J6" i="6" s="1"/>
  <c r="F6" i="6"/>
  <c r="G20" i="5"/>
  <c r="Y19" i="5"/>
  <c r="W19" i="5"/>
  <c r="V19" i="5"/>
  <c r="U19" i="5"/>
  <c r="T19" i="5"/>
  <c r="R19" i="5"/>
  <c r="M19" i="5"/>
  <c r="L19" i="5"/>
  <c r="J19" i="5"/>
  <c r="I19" i="5"/>
  <c r="H19" i="5"/>
  <c r="F19" i="5"/>
  <c r="Y18" i="5"/>
  <c r="W18" i="5"/>
  <c r="V18" i="5"/>
  <c r="U18" i="5"/>
  <c r="T18" i="5"/>
  <c r="R18" i="5"/>
  <c r="L18" i="5"/>
  <c r="J18" i="5"/>
  <c r="H18" i="5"/>
  <c r="F18" i="5"/>
  <c r="I18" i="5" s="1"/>
  <c r="M18" i="5" s="1"/>
  <c r="Y17" i="5"/>
  <c r="V17" i="5"/>
  <c r="U17" i="5"/>
  <c r="T17" i="5"/>
  <c r="R17" i="5"/>
  <c r="L17" i="5"/>
  <c r="H17" i="5"/>
  <c r="W17" i="5" s="1"/>
  <c r="F17" i="5"/>
  <c r="I17" i="5" s="1"/>
  <c r="M17" i="5" s="1"/>
  <c r="V16" i="5"/>
  <c r="U16" i="5"/>
  <c r="T16" i="5"/>
  <c r="R16" i="5"/>
  <c r="L16" i="5"/>
  <c r="H16" i="5"/>
  <c r="Y16" i="5" s="1"/>
  <c r="F16" i="5"/>
  <c r="I16" i="5" s="1"/>
  <c r="M16" i="5" s="1"/>
  <c r="V15" i="5"/>
  <c r="U15" i="5"/>
  <c r="T15" i="5"/>
  <c r="R15" i="5"/>
  <c r="L15" i="5"/>
  <c r="I15" i="5"/>
  <c r="M15" i="5" s="1"/>
  <c r="H15" i="5"/>
  <c r="Y15" i="5" s="1"/>
  <c r="F15" i="5"/>
  <c r="V14" i="5"/>
  <c r="U14" i="5"/>
  <c r="T14" i="5"/>
  <c r="R14" i="5"/>
  <c r="L14" i="5"/>
  <c r="J14" i="5"/>
  <c r="I14" i="5"/>
  <c r="M14" i="5" s="1"/>
  <c r="H14" i="5"/>
  <c r="Y14" i="5" s="1"/>
  <c r="F14" i="5"/>
  <c r="Y13" i="5"/>
  <c r="W13" i="5"/>
  <c r="V13" i="5"/>
  <c r="U13" i="5"/>
  <c r="T13" i="5"/>
  <c r="R13" i="5"/>
  <c r="M13" i="5"/>
  <c r="L13" i="5"/>
  <c r="J13" i="5"/>
  <c r="I13" i="5"/>
  <c r="H13" i="5"/>
  <c r="F13" i="5"/>
  <c r="Y12" i="5"/>
  <c r="W12" i="5"/>
  <c r="V12" i="5"/>
  <c r="U12" i="5"/>
  <c r="T12" i="5"/>
  <c r="R12" i="5"/>
  <c r="L12" i="5"/>
  <c r="J12" i="5"/>
  <c r="H12" i="5"/>
  <c r="F12" i="5"/>
  <c r="I12" i="5" s="1"/>
  <c r="M12" i="5" s="1"/>
  <c r="Y11" i="5"/>
  <c r="W11" i="5"/>
  <c r="V11" i="5"/>
  <c r="U11" i="5"/>
  <c r="T11" i="5"/>
  <c r="R11" i="5"/>
  <c r="L11" i="5"/>
  <c r="H11" i="5"/>
  <c r="J11" i="5" s="1"/>
  <c r="F11" i="5"/>
  <c r="I11" i="5" s="1"/>
  <c r="M11" i="5" s="1"/>
  <c r="Y10" i="5"/>
  <c r="V10" i="5"/>
  <c r="U10" i="5"/>
  <c r="T10" i="5"/>
  <c r="R10" i="5"/>
  <c r="L10" i="5"/>
  <c r="H10" i="5"/>
  <c r="W10" i="5" s="1"/>
  <c r="F10" i="5"/>
  <c r="I10" i="5" s="1"/>
  <c r="M10" i="5" s="1"/>
  <c r="V9" i="5"/>
  <c r="U9" i="5"/>
  <c r="T9" i="5"/>
  <c r="R9" i="5"/>
  <c r="L9" i="5"/>
  <c r="H9" i="5"/>
  <c r="Y9" i="5" s="1"/>
  <c r="F9" i="5"/>
  <c r="V8" i="5"/>
  <c r="U8" i="5"/>
  <c r="T8" i="5"/>
  <c r="R8" i="5"/>
  <c r="L8" i="5"/>
  <c r="H8" i="5"/>
  <c r="Y8" i="5" s="1"/>
  <c r="F8" i="5"/>
  <c r="I8" i="5" s="1"/>
  <c r="M8" i="5" s="1"/>
  <c r="Y7" i="5"/>
  <c r="W7" i="5"/>
  <c r="V7" i="5"/>
  <c r="U7" i="5"/>
  <c r="T7" i="5"/>
  <c r="R7" i="5"/>
  <c r="L7" i="5"/>
  <c r="J7" i="5"/>
  <c r="H7" i="5"/>
  <c r="F7" i="5"/>
  <c r="I7" i="5" s="1"/>
  <c r="M7" i="5" s="1"/>
  <c r="Y6" i="5"/>
  <c r="W6" i="5"/>
  <c r="V6" i="5"/>
  <c r="U6" i="5"/>
  <c r="T6" i="5"/>
  <c r="R6" i="5"/>
  <c r="L6" i="5"/>
  <c r="J6" i="5"/>
  <c r="H6" i="5"/>
  <c r="F6" i="5"/>
  <c r="G20" i="3"/>
  <c r="V19" i="3"/>
  <c r="U19" i="3"/>
  <c r="T19" i="3"/>
  <c r="R19" i="3"/>
  <c r="L19" i="3"/>
  <c r="I19" i="3"/>
  <c r="M19" i="3" s="1"/>
  <c r="H19" i="3"/>
  <c r="Y19" i="3" s="1"/>
  <c r="F19" i="3"/>
  <c r="Y18" i="3"/>
  <c r="V18" i="3"/>
  <c r="U18" i="3"/>
  <c r="T18" i="3"/>
  <c r="R18" i="3"/>
  <c r="L18" i="3"/>
  <c r="J18" i="3"/>
  <c r="H18" i="3"/>
  <c r="W18" i="3" s="1"/>
  <c r="F18" i="3"/>
  <c r="I18" i="3" s="1"/>
  <c r="M18" i="3" s="1"/>
  <c r="Y17" i="3"/>
  <c r="W17" i="3"/>
  <c r="V17" i="3"/>
  <c r="U17" i="3"/>
  <c r="T17" i="3"/>
  <c r="R17" i="3"/>
  <c r="L17" i="3"/>
  <c r="J17" i="3"/>
  <c r="H17" i="3"/>
  <c r="F17" i="3"/>
  <c r="I17" i="3" s="1"/>
  <c r="M17" i="3" s="1"/>
  <c r="Y16" i="3"/>
  <c r="V16" i="3"/>
  <c r="U16" i="3"/>
  <c r="T16" i="3"/>
  <c r="R16" i="3"/>
  <c r="L16" i="3"/>
  <c r="H16" i="3"/>
  <c r="W16" i="3" s="1"/>
  <c r="F16" i="3"/>
  <c r="I16" i="3" s="1"/>
  <c r="M16" i="3" s="1"/>
  <c r="V15" i="3"/>
  <c r="U15" i="3"/>
  <c r="T15" i="3"/>
  <c r="R15" i="3"/>
  <c r="L15" i="3"/>
  <c r="H15" i="3"/>
  <c r="Y15" i="3" s="1"/>
  <c r="F15" i="3"/>
  <c r="I15" i="3" s="1"/>
  <c r="M15" i="3" s="1"/>
  <c r="V14" i="3"/>
  <c r="U14" i="3"/>
  <c r="T14" i="3"/>
  <c r="R14" i="3"/>
  <c r="L14" i="3"/>
  <c r="I14" i="3"/>
  <c r="M14" i="3" s="1"/>
  <c r="H14" i="3"/>
  <c r="Y14" i="3" s="1"/>
  <c r="F14" i="3"/>
  <c r="Y13" i="3"/>
  <c r="W13" i="3"/>
  <c r="V13" i="3"/>
  <c r="U13" i="3"/>
  <c r="T13" i="3"/>
  <c r="R13" i="3"/>
  <c r="L13" i="3"/>
  <c r="J13" i="3"/>
  <c r="I13" i="3"/>
  <c r="M13" i="3" s="1"/>
  <c r="H13" i="3"/>
  <c r="F13" i="3"/>
  <c r="Y12" i="3"/>
  <c r="W12" i="3"/>
  <c r="V12" i="3"/>
  <c r="U12" i="3"/>
  <c r="T12" i="3"/>
  <c r="R12" i="3"/>
  <c r="L12" i="3"/>
  <c r="J12" i="3"/>
  <c r="H12" i="3"/>
  <c r="F12" i="3"/>
  <c r="I12" i="3" s="1"/>
  <c r="M12" i="3" s="1"/>
  <c r="Y11" i="3"/>
  <c r="W11" i="3"/>
  <c r="V11" i="3"/>
  <c r="U11" i="3"/>
  <c r="T11" i="3"/>
  <c r="R11" i="3"/>
  <c r="L11" i="3"/>
  <c r="H11" i="3"/>
  <c r="J11" i="3" s="1"/>
  <c r="F11" i="3"/>
  <c r="I11" i="3" s="1"/>
  <c r="M11" i="3" s="1"/>
  <c r="V10" i="3"/>
  <c r="U10" i="3"/>
  <c r="T10" i="3"/>
  <c r="R10" i="3"/>
  <c r="L10" i="3"/>
  <c r="H10" i="3"/>
  <c r="W10" i="3" s="1"/>
  <c r="F10" i="3"/>
  <c r="I10" i="3" s="1"/>
  <c r="M10" i="3" s="1"/>
  <c r="V9" i="3"/>
  <c r="U9" i="3"/>
  <c r="T9" i="3"/>
  <c r="R9" i="3"/>
  <c r="L9" i="3"/>
  <c r="H9" i="3"/>
  <c r="Y9" i="3" s="1"/>
  <c r="F9" i="3"/>
  <c r="I9" i="3" s="1"/>
  <c r="M9" i="3" s="1"/>
  <c r="V8" i="3"/>
  <c r="U8" i="3"/>
  <c r="T8" i="3"/>
  <c r="R8" i="3"/>
  <c r="L8" i="3"/>
  <c r="H8" i="3"/>
  <c r="Y8" i="3" s="1"/>
  <c r="F8" i="3"/>
  <c r="I8" i="3" s="1"/>
  <c r="M8" i="3" s="1"/>
  <c r="Y7" i="3"/>
  <c r="W7" i="3"/>
  <c r="V7" i="3"/>
  <c r="U7" i="3"/>
  <c r="T7" i="3"/>
  <c r="R7" i="3"/>
  <c r="L7" i="3"/>
  <c r="J7" i="3"/>
  <c r="H7" i="3"/>
  <c r="F7" i="3"/>
  <c r="I7" i="3" s="1"/>
  <c r="M7" i="3" s="1"/>
  <c r="Y6" i="3"/>
  <c r="W6" i="3"/>
  <c r="V6" i="3"/>
  <c r="U6" i="3"/>
  <c r="T6" i="3"/>
  <c r="R6" i="3"/>
  <c r="L6" i="3"/>
  <c r="J6" i="3"/>
  <c r="H6" i="3"/>
  <c r="F6" i="3"/>
  <c r="G20" i="2"/>
  <c r="V19" i="2"/>
  <c r="U19" i="2"/>
  <c r="T19" i="2"/>
  <c r="R19" i="2"/>
  <c r="L19" i="2"/>
  <c r="I19" i="2"/>
  <c r="M19" i="2" s="1"/>
  <c r="H19" i="2"/>
  <c r="Y19" i="2" s="1"/>
  <c r="F19" i="2"/>
  <c r="Y18" i="2"/>
  <c r="V18" i="2"/>
  <c r="U18" i="2"/>
  <c r="T18" i="2"/>
  <c r="R18" i="2"/>
  <c r="L18" i="2"/>
  <c r="J18" i="2"/>
  <c r="H18" i="2"/>
  <c r="W18" i="2" s="1"/>
  <c r="F18" i="2"/>
  <c r="I18" i="2" s="1"/>
  <c r="M18" i="2" s="1"/>
  <c r="Y17" i="2"/>
  <c r="V17" i="2"/>
  <c r="U17" i="2"/>
  <c r="T17" i="2"/>
  <c r="R17" i="2"/>
  <c r="L17" i="2"/>
  <c r="H17" i="2"/>
  <c r="J17" i="2" s="1"/>
  <c r="F17" i="2"/>
  <c r="I17" i="2" s="1"/>
  <c r="M17" i="2" s="1"/>
  <c r="V16" i="2"/>
  <c r="U16" i="2"/>
  <c r="T16" i="2"/>
  <c r="R16" i="2"/>
  <c r="L16" i="2"/>
  <c r="H16" i="2"/>
  <c r="W16" i="2" s="1"/>
  <c r="F16" i="2"/>
  <c r="I16" i="2" s="1"/>
  <c r="M16" i="2" s="1"/>
  <c r="V15" i="2"/>
  <c r="U15" i="2"/>
  <c r="T15" i="2"/>
  <c r="R15" i="2"/>
  <c r="L15" i="2"/>
  <c r="I15" i="2"/>
  <c r="M15" i="2" s="1"/>
  <c r="H15" i="2"/>
  <c r="W15" i="2" s="1"/>
  <c r="F15" i="2"/>
  <c r="Y14" i="2"/>
  <c r="V14" i="2"/>
  <c r="U14" i="2"/>
  <c r="T14" i="2"/>
  <c r="R14" i="2"/>
  <c r="M14" i="2"/>
  <c r="L14" i="2"/>
  <c r="J14" i="2"/>
  <c r="I14" i="2"/>
  <c r="H14" i="2"/>
  <c r="W14" i="2" s="1"/>
  <c r="F14" i="2"/>
  <c r="Y13" i="2"/>
  <c r="W13" i="2"/>
  <c r="V13" i="2"/>
  <c r="U13" i="2"/>
  <c r="T13" i="2"/>
  <c r="R13" i="2"/>
  <c r="L13" i="2"/>
  <c r="J13" i="2"/>
  <c r="H13" i="2"/>
  <c r="F13" i="2"/>
  <c r="Y12" i="2"/>
  <c r="W12" i="2"/>
  <c r="V12" i="2"/>
  <c r="U12" i="2"/>
  <c r="T12" i="2"/>
  <c r="R12" i="2"/>
  <c r="L12" i="2"/>
  <c r="H12" i="2"/>
  <c r="J12" i="2" s="1"/>
  <c r="F12" i="2"/>
  <c r="Y11" i="2"/>
  <c r="V11" i="2"/>
  <c r="U11" i="2"/>
  <c r="T11" i="2"/>
  <c r="R11" i="2"/>
  <c r="L11" i="2"/>
  <c r="H11" i="2"/>
  <c r="W11" i="2" s="1"/>
  <c r="F11" i="2"/>
  <c r="I11" i="2" s="1"/>
  <c r="M11" i="2" s="1"/>
  <c r="V10" i="2"/>
  <c r="U10" i="2"/>
  <c r="T10" i="2"/>
  <c r="R10" i="2"/>
  <c r="L10" i="2"/>
  <c r="H10" i="2"/>
  <c r="J10" i="2" s="1"/>
  <c r="F10" i="2"/>
  <c r="I10" i="2" s="1"/>
  <c r="M10" i="2" s="1"/>
  <c r="V9" i="2"/>
  <c r="U9" i="2"/>
  <c r="T9" i="2"/>
  <c r="R9" i="2"/>
  <c r="L9" i="2"/>
  <c r="H9" i="2"/>
  <c r="W9" i="2" s="1"/>
  <c r="F9" i="2"/>
  <c r="I9" i="2" s="1"/>
  <c r="M9" i="2" s="1"/>
  <c r="Y8" i="2"/>
  <c r="W8" i="2"/>
  <c r="V8" i="2"/>
  <c r="U8" i="2"/>
  <c r="T8" i="2"/>
  <c r="R8" i="2"/>
  <c r="L8" i="2"/>
  <c r="J8" i="2"/>
  <c r="H8" i="2"/>
  <c r="F8" i="2"/>
  <c r="I8" i="2" s="1"/>
  <c r="M8" i="2" s="1"/>
  <c r="Y7" i="2"/>
  <c r="W7" i="2"/>
  <c r="V7" i="2"/>
  <c r="U7" i="2"/>
  <c r="T7" i="2"/>
  <c r="R7" i="2"/>
  <c r="L7" i="2"/>
  <c r="J7" i="2"/>
  <c r="H7" i="2"/>
  <c r="F7" i="2"/>
  <c r="Y6" i="2"/>
  <c r="W6" i="2"/>
  <c r="V6" i="2"/>
  <c r="U6" i="2"/>
  <c r="T6" i="2"/>
  <c r="R6" i="2"/>
  <c r="L6" i="2"/>
  <c r="H6" i="2"/>
  <c r="J6" i="2" s="1"/>
  <c r="F6" i="2"/>
  <c r="V19" i="1"/>
  <c r="U19" i="1"/>
  <c r="T19" i="1"/>
  <c r="R19" i="1"/>
  <c r="L19" i="1"/>
  <c r="H19" i="1"/>
  <c r="Y19" i="1" s="1"/>
  <c r="F19" i="1"/>
  <c r="I19" i="1" s="1"/>
  <c r="M19" i="1" s="1"/>
  <c r="V18" i="1"/>
  <c r="U18" i="1"/>
  <c r="T18" i="1"/>
  <c r="R18" i="1"/>
  <c r="L18" i="1"/>
  <c r="H18" i="1"/>
  <c r="J18" i="1" s="1"/>
  <c r="F18" i="1"/>
  <c r="I18" i="1" s="1"/>
  <c r="M18" i="1" s="1"/>
  <c r="V17" i="1"/>
  <c r="U17" i="1"/>
  <c r="T17" i="1"/>
  <c r="R17" i="1"/>
  <c r="L17" i="1"/>
  <c r="H17" i="1"/>
  <c r="W17" i="1" s="1"/>
  <c r="F17" i="1"/>
  <c r="I17" i="1" s="1"/>
  <c r="M17" i="1" s="1"/>
  <c r="Y16" i="1"/>
  <c r="V16" i="1"/>
  <c r="U16" i="1"/>
  <c r="T16" i="1"/>
  <c r="R16" i="1"/>
  <c r="L16" i="1"/>
  <c r="H16" i="1"/>
  <c r="W16" i="1" s="1"/>
  <c r="F16" i="1"/>
  <c r="I16" i="1" s="1"/>
  <c r="M16" i="1" s="1"/>
  <c r="V15" i="1"/>
  <c r="U15" i="1"/>
  <c r="T15" i="1"/>
  <c r="R15" i="1"/>
  <c r="L15" i="1"/>
  <c r="H15" i="1"/>
  <c r="W15" i="1" s="1"/>
  <c r="F15" i="1"/>
  <c r="I15" i="1" s="1"/>
  <c r="M15" i="1" s="1"/>
  <c r="V14" i="1"/>
  <c r="U14" i="1"/>
  <c r="T14" i="1"/>
  <c r="R14" i="1"/>
  <c r="L14" i="1"/>
  <c r="H14" i="1"/>
  <c r="F14" i="1"/>
  <c r="V13" i="1"/>
  <c r="U13" i="1"/>
  <c r="T13" i="1"/>
  <c r="R13" i="1"/>
  <c r="L13" i="1"/>
  <c r="H13" i="1"/>
  <c r="Y13" i="1" s="1"/>
  <c r="F13" i="1"/>
  <c r="V12" i="1"/>
  <c r="U12" i="1"/>
  <c r="T12" i="1"/>
  <c r="R12" i="1"/>
  <c r="L12" i="1"/>
  <c r="H12" i="1"/>
  <c r="F12" i="1"/>
  <c r="V11" i="1"/>
  <c r="U11" i="1"/>
  <c r="T11" i="1"/>
  <c r="R11" i="1"/>
  <c r="L11" i="1"/>
  <c r="H11" i="1"/>
  <c r="Y11" i="1" s="1"/>
  <c r="F11" i="1"/>
  <c r="V10" i="1"/>
  <c r="U10" i="1"/>
  <c r="T10" i="1"/>
  <c r="R10" i="1"/>
  <c r="L10" i="1"/>
  <c r="H10" i="1"/>
  <c r="F10" i="1"/>
  <c r="V9" i="1"/>
  <c r="U9" i="1"/>
  <c r="T9" i="1"/>
  <c r="R9" i="1"/>
  <c r="L9" i="1"/>
  <c r="H9" i="1"/>
  <c r="Y9" i="1" s="1"/>
  <c r="F9" i="1"/>
  <c r="V8" i="1"/>
  <c r="U8" i="1"/>
  <c r="T8" i="1"/>
  <c r="R8" i="1"/>
  <c r="L8" i="1"/>
  <c r="G20" i="1"/>
  <c r="F8" i="1"/>
  <c r="V7" i="1"/>
  <c r="U7" i="1"/>
  <c r="T7" i="1"/>
  <c r="R7" i="1"/>
  <c r="L7" i="1"/>
  <c r="H7" i="1"/>
  <c r="Y7" i="1" s="1"/>
  <c r="F7" i="1"/>
  <c r="I7" i="1" s="1"/>
  <c r="M7" i="1" s="1"/>
  <c r="Y6" i="1"/>
  <c r="W6" i="1"/>
  <c r="V6" i="1"/>
  <c r="U6" i="1"/>
  <c r="T6" i="1"/>
  <c r="R6" i="1"/>
  <c r="L6" i="1"/>
  <c r="J6" i="1"/>
  <c r="I6" i="1"/>
  <c r="M6" i="1" s="1"/>
  <c r="H6" i="1"/>
  <c r="F6" i="1"/>
  <c r="Z11" i="12" l="1"/>
  <c r="Z12" i="12"/>
  <c r="G15" i="12"/>
  <c r="Z10" i="12"/>
  <c r="L18" i="12"/>
  <c r="I18" i="12"/>
  <c r="I14" i="12"/>
  <c r="Z13" i="12"/>
  <c r="Z7" i="12"/>
  <c r="F14" i="11"/>
  <c r="F16" i="11" s="1"/>
  <c r="G15" i="11" s="1"/>
  <c r="H10" i="11"/>
  <c r="W13" i="11"/>
  <c r="J23" i="11"/>
  <c r="J32" i="11" s="1"/>
  <c r="I6" i="11"/>
  <c r="I10" i="10"/>
  <c r="M10" i="10" s="1"/>
  <c r="F14" i="10"/>
  <c r="F16" i="10" s="1"/>
  <c r="Z10" i="10" s="1"/>
  <c r="Y7" i="10"/>
  <c r="W8" i="10"/>
  <c r="Y11" i="10"/>
  <c r="W12" i="10"/>
  <c r="Y8" i="10"/>
  <c r="H10" i="10"/>
  <c r="Y12" i="10"/>
  <c r="J11" i="10"/>
  <c r="J7" i="10"/>
  <c r="F14" i="9"/>
  <c r="F16" i="9" s="1"/>
  <c r="Z9" i="9" s="1"/>
  <c r="I8" i="9"/>
  <c r="M8" i="9" s="1"/>
  <c r="I10" i="9"/>
  <c r="Y10" i="9"/>
  <c r="W10" i="9"/>
  <c r="J10" i="9"/>
  <c r="Y7" i="9"/>
  <c r="W8" i="9"/>
  <c r="J9" i="9"/>
  <c r="Y11" i="9"/>
  <c r="W12" i="9"/>
  <c r="J13" i="9"/>
  <c r="W9" i="9"/>
  <c r="W13" i="9"/>
  <c r="J11" i="9"/>
  <c r="J8" i="8"/>
  <c r="W8" i="8"/>
  <c r="F14" i="8"/>
  <c r="F16" i="8" s="1"/>
  <c r="Z13" i="8" s="1"/>
  <c r="W10" i="8"/>
  <c r="J10" i="8"/>
  <c r="Y10" i="8"/>
  <c r="I6" i="8"/>
  <c r="J6" i="8"/>
  <c r="H10" i="7"/>
  <c r="J10" i="7"/>
  <c r="W10" i="7"/>
  <c r="Y10" i="7"/>
  <c r="F10" i="7"/>
  <c r="W6" i="7"/>
  <c r="J7" i="7"/>
  <c r="I8" i="7"/>
  <c r="M8" i="7" s="1"/>
  <c r="J13" i="7"/>
  <c r="M6" i="7"/>
  <c r="Y6" i="7"/>
  <c r="W7" i="7"/>
  <c r="J8" i="7"/>
  <c r="W13" i="7"/>
  <c r="J9" i="7"/>
  <c r="F14" i="4"/>
  <c r="F16" i="4" s="1"/>
  <c r="I18" i="4" s="1"/>
  <c r="G15" i="4"/>
  <c r="Z13" i="4"/>
  <c r="W8" i="4"/>
  <c r="J9" i="4"/>
  <c r="I10" i="4"/>
  <c r="M10" i="4" s="1"/>
  <c r="Y13" i="4"/>
  <c r="Z9" i="4"/>
  <c r="Y8" i="4"/>
  <c r="W9" i="4"/>
  <c r="J10" i="4"/>
  <c r="I11" i="4"/>
  <c r="M11" i="4" s="1"/>
  <c r="I6" i="4"/>
  <c r="J13" i="4"/>
  <c r="W12" i="6"/>
  <c r="J12" i="6"/>
  <c r="J7" i="6"/>
  <c r="W7" i="6"/>
  <c r="Y10" i="6"/>
  <c r="Y11" i="6"/>
  <c r="Y6" i="6"/>
  <c r="W6" i="6"/>
  <c r="J11" i="6"/>
  <c r="I12" i="6"/>
  <c r="M12" i="6" s="1"/>
  <c r="F14" i="6"/>
  <c r="F16" i="6" s="1"/>
  <c r="Z13" i="6" s="1"/>
  <c r="I6" i="6"/>
  <c r="W9" i="6"/>
  <c r="J10" i="6"/>
  <c r="I7" i="6"/>
  <c r="M7" i="6" s="1"/>
  <c r="Y9" i="6"/>
  <c r="F20" i="3"/>
  <c r="F22" i="3" s="1"/>
  <c r="Z8" i="3" s="1"/>
  <c r="F20" i="5"/>
  <c r="F22" i="5" s="1"/>
  <c r="G21" i="5" s="1"/>
  <c r="J8" i="5"/>
  <c r="I9" i="5"/>
  <c r="M9" i="5" s="1"/>
  <c r="W8" i="5"/>
  <c r="J9" i="5"/>
  <c r="W15" i="5"/>
  <c r="J16" i="5"/>
  <c r="W14" i="5"/>
  <c r="J15" i="5"/>
  <c r="W9" i="5"/>
  <c r="J10" i="5"/>
  <c r="I6" i="5"/>
  <c r="W16" i="5"/>
  <c r="J17" i="5"/>
  <c r="Y10" i="3"/>
  <c r="Z14" i="3"/>
  <c r="Z7" i="3"/>
  <c r="Z19" i="3"/>
  <c r="I24" i="3"/>
  <c r="G24" i="3"/>
  <c r="G21" i="3"/>
  <c r="J19" i="3"/>
  <c r="W19" i="3"/>
  <c r="Z9" i="3"/>
  <c r="Z15" i="3"/>
  <c r="Z10" i="3"/>
  <c r="Z16" i="3"/>
  <c r="J8" i="3"/>
  <c r="Z11" i="3"/>
  <c r="J14" i="3"/>
  <c r="Z17" i="3"/>
  <c r="Z6" i="3"/>
  <c r="W8" i="3"/>
  <c r="J9" i="3"/>
  <c r="Z12" i="3"/>
  <c r="W14" i="3"/>
  <c r="J15" i="3"/>
  <c r="W15" i="3"/>
  <c r="J16" i="3"/>
  <c r="W9" i="3"/>
  <c r="J10" i="3"/>
  <c r="I6" i="3"/>
  <c r="F20" i="2"/>
  <c r="F22" i="2" s="1"/>
  <c r="Z7" i="2" s="1"/>
  <c r="Z19" i="2"/>
  <c r="I6" i="2"/>
  <c r="Y9" i="2"/>
  <c r="W10" i="2"/>
  <c r="J11" i="2"/>
  <c r="I12" i="2"/>
  <c r="M12" i="2" s="1"/>
  <c r="Y15" i="2"/>
  <c r="I7" i="2"/>
  <c r="M7" i="2" s="1"/>
  <c r="Y10" i="2"/>
  <c r="I13" i="2"/>
  <c r="M13" i="2" s="1"/>
  <c r="Y16" i="2"/>
  <c r="W17" i="2"/>
  <c r="J19" i="2"/>
  <c r="W19" i="2"/>
  <c r="J15" i="2"/>
  <c r="J16" i="2"/>
  <c r="J9" i="2"/>
  <c r="J17" i="1"/>
  <c r="Y17" i="1"/>
  <c r="Y18" i="1"/>
  <c r="Y15" i="1"/>
  <c r="F20" i="1"/>
  <c r="F22" i="1" s="1"/>
  <c r="Z18" i="1" s="1"/>
  <c r="I12" i="1"/>
  <c r="M12" i="1" s="1"/>
  <c r="J12" i="1"/>
  <c r="Y12" i="1"/>
  <c r="W12" i="1"/>
  <c r="I9" i="1"/>
  <c r="M9" i="1" s="1"/>
  <c r="I13" i="1"/>
  <c r="M13" i="1" s="1"/>
  <c r="I8" i="1"/>
  <c r="M8" i="1" s="1"/>
  <c r="I10" i="1"/>
  <c r="M10" i="1" s="1"/>
  <c r="I14" i="1"/>
  <c r="M14" i="1" s="1"/>
  <c r="J10" i="1"/>
  <c r="Y10" i="1"/>
  <c r="W10" i="1"/>
  <c r="I11" i="1"/>
  <c r="M11" i="1" s="1"/>
  <c r="Y14" i="1"/>
  <c r="W14" i="1"/>
  <c r="J14" i="1"/>
  <c r="W18" i="1"/>
  <c r="J19" i="1"/>
  <c r="J7" i="1"/>
  <c r="J9" i="1"/>
  <c r="J11" i="1"/>
  <c r="J13" i="1"/>
  <c r="W7" i="1"/>
  <c r="H8" i="1"/>
  <c r="W9" i="1"/>
  <c r="W11" i="1"/>
  <c r="W13" i="1"/>
  <c r="W19" i="1"/>
  <c r="J15" i="1"/>
  <c r="J16" i="1"/>
  <c r="Z7" i="11" l="1"/>
  <c r="Z9" i="11"/>
  <c r="I18" i="11"/>
  <c r="Z6" i="11"/>
  <c r="Z10" i="11"/>
  <c r="Z8" i="11"/>
  <c r="Z13" i="11"/>
  <c r="Z12" i="11"/>
  <c r="Z11" i="11"/>
  <c r="L18" i="11"/>
  <c r="Y10" i="11"/>
  <c r="W10" i="11"/>
  <c r="J10" i="11"/>
  <c r="I14" i="11"/>
  <c r="M6" i="11"/>
  <c r="Z12" i="10"/>
  <c r="Z8" i="10"/>
  <c r="I18" i="10"/>
  <c r="L18" i="10"/>
  <c r="G15" i="10"/>
  <c r="Y10" i="10"/>
  <c r="W10" i="10"/>
  <c r="J10" i="10"/>
  <c r="Z6" i="10"/>
  <c r="Z7" i="10"/>
  <c r="Z9" i="10"/>
  <c r="I14" i="10"/>
  <c r="Z13" i="10"/>
  <c r="Z11" i="10"/>
  <c r="Z11" i="9"/>
  <c r="Z12" i="9"/>
  <c r="Z7" i="9"/>
  <c r="G15" i="9"/>
  <c r="Z10" i="9"/>
  <c r="I18" i="9"/>
  <c r="Z6" i="9"/>
  <c r="L18" i="9"/>
  <c r="Z8" i="9"/>
  <c r="Z13" i="9"/>
  <c r="M10" i="9"/>
  <c r="I14" i="9"/>
  <c r="Z12" i="8"/>
  <c r="Z8" i="8"/>
  <c r="Z6" i="8"/>
  <c r="I18" i="8"/>
  <c r="Z11" i="8"/>
  <c r="Z7" i="8"/>
  <c r="Z10" i="8"/>
  <c r="G15" i="8"/>
  <c r="Z9" i="8"/>
  <c r="L18" i="8"/>
  <c r="I14" i="8"/>
  <c r="M6" i="8"/>
  <c r="I10" i="7"/>
  <c r="F14" i="7"/>
  <c r="F16" i="7" s="1"/>
  <c r="Z10" i="7" s="1"/>
  <c r="Z10" i="4"/>
  <c r="Z12" i="4"/>
  <c r="Z8" i="4"/>
  <c r="Z6" i="4"/>
  <c r="Z7" i="4"/>
  <c r="Z11" i="4"/>
  <c r="I14" i="4"/>
  <c r="M6" i="4"/>
  <c r="Z10" i="6"/>
  <c r="Z11" i="6"/>
  <c r="Z7" i="6"/>
  <c r="Z6" i="6"/>
  <c r="Z12" i="6"/>
  <c r="M6" i="6"/>
  <c r="I14" i="6"/>
  <c r="I18" i="6"/>
  <c r="G15" i="6"/>
  <c r="Z8" i="6"/>
  <c r="Z9" i="6"/>
  <c r="Z18" i="3"/>
  <c r="Z13" i="3"/>
  <c r="I24" i="5"/>
  <c r="Z9" i="5"/>
  <c r="Z16" i="5"/>
  <c r="Z12" i="5"/>
  <c r="Z19" i="5"/>
  <c r="Z18" i="5"/>
  <c r="Z14" i="5"/>
  <c r="Z11" i="5"/>
  <c r="Z13" i="5"/>
  <c r="Z8" i="5"/>
  <c r="Z6" i="5"/>
  <c r="Z10" i="5"/>
  <c r="Z15" i="5"/>
  <c r="Z17" i="5"/>
  <c r="Z7" i="5"/>
  <c r="M6" i="5"/>
  <c r="I20" i="5"/>
  <c r="M6" i="3"/>
  <c r="I20" i="3"/>
  <c r="Z8" i="2"/>
  <c r="G24" i="2"/>
  <c r="Z16" i="2"/>
  <c r="Z11" i="2"/>
  <c r="Z6" i="2"/>
  <c r="G21" i="2"/>
  <c r="Z18" i="2"/>
  <c r="Z10" i="2"/>
  <c r="I24" i="2"/>
  <c r="Z12" i="2"/>
  <c r="Z13" i="2"/>
  <c r="Z15" i="2"/>
  <c r="Z14" i="2"/>
  <c r="Z17" i="2"/>
  <c r="Z9" i="2"/>
  <c r="I20" i="2"/>
  <c r="M6" i="2"/>
  <c r="Z14" i="1"/>
  <c r="Z17" i="1"/>
  <c r="Z8" i="1"/>
  <c r="Z16" i="1"/>
  <c r="Z7" i="1"/>
  <c r="G24" i="1"/>
  <c r="I24" i="1"/>
  <c r="Z19" i="1"/>
  <c r="Z6" i="1"/>
  <c r="Z11" i="1"/>
  <c r="Z13" i="1"/>
  <c r="Z12" i="1"/>
  <c r="Z15" i="1"/>
  <c r="G21" i="1"/>
  <c r="Z10" i="1"/>
  <c r="Z9" i="1"/>
  <c r="Y8" i="1"/>
  <c r="J8" i="1"/>
  <c r="W8" i="1"/>
  <c r="I20" i="1"/>
  <c r="Z8" i="7" l="1"/>
  <c r="Z12" i="7"/>
  <c r="Z11" i="7"/>
  <c r="Z6" i="7"/>
  <c r="Z7" i="7"/>
  <c r="Z13" i="7"/>
  <c r="Z9" i="7"/>
  <c r="I18" i="7"/>
  <c r="G15" i="7"/>
  <c r="M10" i="7"/>
  <c r="I14" i="7"/>
</calcChain>
</file>

<file path=xl/sharedStrings.xml><?xml version="1.0" encoding="utf-8"?>
<sst xmlns="http://schemas.openxmlformats.org/spreadsheetml/2006/main" count="2615" uniqueCount="121">
  <si>
    <t>MANAGED ACCT</t>
  </si>
  <si>
    <t>Current</t>
  </si>
  <si>
    <t>IBD</t>
  </si>
  <si>
    <t>Cost</t>
  </si>
  <si>
    <t xml:space="preserve">P/L </t>
  </si>
  <si>
    <t>Group</t>
  </si>
  <si>
    <t>EPS</t>
  </si>
  <si>
    <t>pivot</t>
  </si>
  <si>
    <t xml:space="preserve">last </t>
  </si>
  <si>
    <t>cost</t>
  </si>
  <si>
    <t xml:space="preserve">Stop </t>
  </si>
  <si>
    <t>Stop</t>
  </si>
  <si>
    <t>%</t>
  </si>
  <si>
    <t>Comp</t>
  </si>
  <si>
    <t>Symbol</t>
  </si>
  <si>
    <t>Position</t>
  </si>
  <si>
    <t>Name</t>
  </si>
  <si>
    <t>Qty</t>
  </si>
  <si>
    <t>Value</t>
  </si>
  <si>
    <t>per share</t>
  </si>
  <si>
    <t>P/L $</t>
  </si>
  <si>
    <t>per sh</t>
  </si>
  <si>
    <t>Date purch</t>
  </si>
  <si>
    <t>days held</t>
  </si>
  <si>
    <t>% incr</t>
  </si>
  <si>
    <t>Rank</t>
  </si>
  <si>
    <t>RS</t>
  </si>
  <si>
    <t>low</t>
  </si>
  <si>
    <t>Loss</t>
  </si>
  <si>
    <t>Loss%</t>
  </si>
  <si>
    <t>of port</t>
  </si>
  <si>
    <t>Due</t>
  </si>
  <si>
    <t>Long</t>
  </si>
  <si>
    <t>Sub-Total</t>
  </si>
  <si>
    <t>Cash, other</t>
  </si>
  <si>
    <t>Total</t>
  </si>
  <si>
    <t>Yesterday's close &gt;&gt;&gt;&gt;</t>
  </si>
  <si>
    <t xml:space="preserve">Last week's close </t>
  </si>
  <si>
    <t>Day's change &gt;&gt;&gt;</t>
  </si>
  <si>
    <t>Week's change</t>
  </si>
  <si>
    <t>MCK</t>
  </si>
  <si>
    <t>McKesson</t>
  </si>
  <si>
    <t>SQQQ</t>
  </si>
  <si>
    <t>QQQ Triple short</t>
  </si>
  <si>
    <t>BIL</t>
  </si>
  <si>
    <t>Tbill ETF</t>
  </si>
  <si>
    <t>days</t>
  </si>
  <si>
    <t>Cost/sh</t>
  </si>
  <si>
    <t>$ cost</t>
  </si>
  <si>
    <t>Proc/sh</t>
  </si>
  <si>
    <t>$Proc</t>
  </si>
  <si>
    <t>Profit/loss</t>
  </si>
  <si>
    <t>Date sold</t>
  </si>
  <si>
    <t>held</t>
  </si>
  <si>
    <t>2023 Closed Trades - Managed Acct</t>
  </si>
  <si>
    <t>Comments</t>
  </si>
  <si>
    <t>DXCM</t>
  </si>
  <si>
    <t>DexCom</t>
  </si>
  <si>
    <t>Bought after pullback to 50dma and pivot area.</t>
  </si>
  <si>
    <t>Bought after pullback to 10dma</t>
  </si>
  <si>
    <t>HXL</t>
  </si>
  <si>
    <t>Hexcel</t>
  </si>
  <si>
    <t>Bought after pivot test.  Katie recommends also.</t>
  </si>
  <si>
    <t>SNPS</t>
  </si>
  <si>
    <t>Synopsys</t>
  </si>
  <si>
    <t>Bought when breaking out of bull flag in volume.</t>
  </si>
  <si>
    <t>Bad reaction to EPS report.  Stopped out.</t>
  </si>
  <si>
    <t>MNSO</t>
  </si>
  <si>
    <t>Bought after 07/24 b/o.</t>
  </si>
  <si>
    <t>Broke original stop and 50dma.  EPS coming in a few days.</t>
  </si>
  <si>
    <t>Minoso</t>
  </si>
  <si>
    <t>The positive reaction to EPS report was rejected at the old high and reversed.  Didn't like the action.</t>
  </si>
  <si>
    <t>Bought after 07/24 b/o.  Added at the 21dema.</t>
  </si>
  <si>
    <t>chg %</t>
  </si>
  <si>
    <t>AIT</t>
  </si>
  <si>
    <t>Applied Ind Tec</t>
  </si>
  <si>
    <t>Bought at pivot test area.</t>
  </si>
  <si>
    <t># of losses</t>
  </si>
  <si>
    <t>Avg</t>
  </si>
  <si>
    <t>MTSI</t>
  </si>
  <si>
    <t>MACOM Tech Sol</t>
  </si>
  <si>
    <t>B/o on 08/23.  Bought after pivot test.</t>
  </si>
  <si>
    <t>IONQ</t>
  </si>
  <si>
    <t>IonQ</t>
  </si>
  <si>
    <t>Breakout failure.  Only 4% position.  Only .6% hit to total.</t>
  </si>
  <si>
    <t># of wins</t>
  </si>
  <si>
    <t>Sold to protect capital on an ugly day.</t>
  </si>
  <si>
    <t>DUOL</t>
  </si>
  <si>
    <t>Duolingo</t>
  </si>
  <si>
    <t>Bought the b/o on +60% vol.</t>
  </si>
  <si>
    <t>ZS</t>
  </si>
  <si>
    <t>Zscaler</t>
  </si>
  <si>
    <t>Bought the b/o on +65% vol.</t>
  </si>
  <si>
    <t>Lost the pivot in heavy vol.  Sold prior to stop.</t>
  </si>
  <si>
    <t>Blew through my stop in a matter of an hour on Thurs.  Sold Friday when it didn't recover early.</t>
  </si>
  <si>
    <t>Lost the 50dma in above avg vol.  Sold prior to stop.</t>
  </si>
  <si>
    <t>Sold to protect my cost.</t>
  </si>
  <si>
    <t>TS</t>
  </si>
  <si>
    <t>Tenaris</t>
  </si>
  <si>
    <t>AXON</t>
  </si>
  <si>
    <t>Axon Enterprise</t>
  </si>
  <si>
    <t>Bought day after gapping out of base.</t>
  </si>
  <si>
    <t>Bought as it gapped out of base on EPS.</t>
  </si>
  <si>
    <t>KD</t>
  </si>
  <si>
    <t>Kyndryl Hldgs</t>
  </si>
  <si>
    <t>Bought after 11/08 b/o.  Trading tightly here.</t>
  </si>
  <si>
    <t>APPF</t>
  </si>
  <si>
    <t>AppFolio</t>
  </si>
  <si>
    <t xml:space="preserve">B/o at the open.  </t>
  </si>
  <si>
    <t>PLTR</t>
  </si>
  <si>
    <t>Palantir</t>
  </si>
  <si>
    <t xml:space="preserve">Broke the 50dma.  </t>
  </si>
  <si>
    <t>SMCI</t>
  </si>
  <si>
    <t>Super Micro Comp</t>
  </si>
  <si>
    <t>B/O failed.</t>
  </si>
  <si>
    <t>DDOG</t>
  </si>
  <si>
    <t>Datadog</t>
  </si>
  <si>
    <t>Trading tightly since b/o.</t>
  </si>
  <si>
    <t>YELP</t>
  </si>
  <si>
    <t>Yelp Inc</t>
  </si>
  <si>
    <t>Bought the pivot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</si>
</sst>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\$#,##0.00_);[Red]&quot;($&quot;#,##0.00\)"/>
    <numFmt numFmtId="165" formatCode="mm/dd/yy"/>
    <numFmt numFmtId="166" formatCode="0.0000"/>
    <numFmt numFmtId="167" formatCode="&quot;$&quot;#,##0.00"/>
    <numFmt numFmtId="168" formatCode="&quot;$&quot;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10" fontId="0" fillId="0" borderId="0" xfId="1" applyNumberFormat="1" applyFont="1"/>
    <xf numFmtId="20" fontId="0" fillId="0" borderId="0" xfId="0" applyNumberFormat="1"/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2" fontId="0" fillId="0" borderId="0" xfId="0" applyNumberFormat="1"/>
    <xf numFmtId="2" fontId="4" fillId="0" borderId="0" xfId="0" applyNumberFormat="1" applyFont="1"/>
    <xf numFmtId="16" fontId="6" fillId="0" borderId="0" xfId="0" applyNumberFormat="1" applyFont="1" applyAlignment="1">
      <alignment horizontal="center"/>
    </xf>
    <xf numFmtId="0" fontId="6" fillId="0" borderId="0" xfId="0" applyFont="1"/>
    <xf numFmtId="2" fontId="6" fillId="0" borderId="0" xfId="0" applyNumberFormat="1" applyFont="1"/>
    <xf numFmtId="10" fontId="0" fillId="0" borderId="0" xfId="1" applyNumberFormat="1" applyFont="1" applyBorder="1"/>
    <xf numFmtId="16" fontId="2" fillId="0" borderId="0" xfId="0" applyNumberFormat="1" applyFont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64" fontId="0" fillId="0" borderId="2" xfId="0" applyNumberFormat="1" applyBorder="1" applyAlignment="1">
      <alignment horizontal="right"/>
    </xf>
    <xf numFmtId="165" fontId="0" fillId="0" borderId="2" xfId="0" applyNumberFormat="1" applyBorder="1"/>
    <xf numFmtId="10" fontId="0" fillId="0" borderId="2" xfId="0" applyNumberFormat="1" applyBorder="1"/>
    <xf numFmtId="2" fontId="0" fillId="0" borderId="2" xfId="0" applyNumberFormat="1" applyBorder="1"/>
    <xf numFmtId="2" fontId="4" fillId="0" borderId="2" xfId="0" applyNumberFormat="1" applyFont="1" applyBorder="1"/>
    <xf numFmtId="10" fontId="0" fillId="0" borderId="2" xfId="1" applyNumberFormat="1" applyFont="1" applyBorder="1"/>
    <xf numFmtId="16" fontId="6" fillId="0" borderId="2" xfId="0" applyNumberFormat="1" applyFont="1" applyBorder="1" applyAlignment="1">
      <alignment horizontal="center"/>
    </xf>
    <xf numFmtId="8" fontId="0" fillId="0" borderId="0" xfId="0" applyNumberFormat="1"/>
    <xf numFmtId="14" fontId="0" fillId="0" borderId="0" xfId="0" applyNumberFormat="1" applyAlignment="1">
      <alignment horizontal="left"/>
    </xf>
    <xf numFmtId="10" fontId="0" fillId="0" borderId="0" xfId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2" xfId="0" applyNumberFormat="1" applyBorder="1"/>
    <xf numFmtId="0" fontId="2" fillId="0" borderId="0" xfId="0" applyFont="1" applyAlignment="1">
      <alignment horizontal="left"/>
    </xf>
    <xf numFmtId="0" fontId="3" fillId="0" borderId="0" xfId="0" applyFont="1"/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2" xfId="0" applyNumberFormat="1" applyBorder="1"/>
    <xf numFmtId="167" fontId="0" fillId="0" borderId="0" xfId="0" applyNumberFormat="1" applyAlignment="1">
      <alignment horizontal="right"/>
    </xf>
    <xf numFmtId="167" fontId="0" fillId="0" borderId="0" xfId="1" applyNumberFormat="1" applyFont="1" applyAlignment="1">
      <alignment horizontal="right"/>
    </xf>
    <xf numFmtId="167" fontId="2" fillId="0" borderId="0" xfId="0" applyNumberFormat="1" applyFont="1" applyAlignment="1">
      <alignment horizontal="left"/>
    </xf>
    <xf numFmtId="167" fontId="0" fillId="0" borderId="2" xfId="0" applyNumberFormat="1" applyBorder="1" applyAlignment="1">
      <alignment horizontal="center"/>
    </xf>
    <xf numFmtId="167" fontId="0" fillId="0" borderId="0" xfId="1" applyNumberFormat="1" applyFont="1"/>
    <xf numFmtId="167" fontId="0" fillId="0" borderId="2" xfId="0" applyNumberFormat="1" applyBorder="1" applyAlignment="1">
      <alignment horizontal="right"/>
    </xf>
    <xf numFmtId="167" fontId="0" fillId="0" borderId="0" xfId="0" applyNumberFormat="1" applyAlignment="1">
      <alignment horizontal="left"/>
    </xf>
    <xf numFmtId="16" fontId="0" fillId="0" borderId="0" xfId="0" applyNumberFormat="1"/>
    <xf numFmtId="3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78F5-8116-4060-96EA-0A726E74F718}">
  <dimension ref="A1:AE27"/>
  <sheetViews>
    <sheetView zoomScale="90" zoomScaleNormal="90" workbookViewId="0">
      <selection activeCell="I23" sqref="I23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bestFit="1" customWidth="1"/>
    <col min="7" max="7" width="12.7109375" bestFit="1" customWidth="1"/>
    <col min="8" max="8" width="16.5703125" bestFit="1" customWidth="1"/>
    <col min="9" max="9" width="15.5703125" bestFit="1" customWidth="1"/>
    <col min="10" max="10" width="8.42578125" bestFit="1" customWidth="1"/>
    <col min="11" max="11" width="10.5703125" bestFit="1" customWidth="1"/>
    <col min="12" max="12" width="9.5703125" bestFit="1" customWidth="1"/>
    <col min="13" max="13" width="8.140625" bestFit="1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" bestFit="1" customWidth="1"/>
    <col min="29" max="29" width="6.140625" bestFit="1" customWidth="1"/>
  </cols>
  <sheetData>
    <row r="1" spans="1:31" x14ac:dyDescent="0.25">
      <c r="C1" s="1">
        <v>45107</v>
      </c>
      <c r="H1" s="2"/>
      <c r="M1" s="3"/>
      <c r="Z1" s="4"/>
    </row>
    <row r="2" spans="1:31" x14ac:dyDescent="0.25">
      <c r="C2" s="1"/>
      <c r="E2" s="5"/>
      <c r="H2" s="2"/>
      <c r="M2" s="3"/>
      <c r="Z2" s="4"/>
    </row>
    <row r="3" spans="1:31" x14ac:dyDescent="0.25">
      <c r="C3" s="6" t="s">
        <v>0</v>
      </c>
      <c r="H3" s="2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7"/>
      <c r="G4" s="7"/>
      <c r="H4" s="7" t="s">
        <v>3</v>
      </c>
      <c r="I4" s="7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12" t="s">
        <v>18</v>
      </c>
      <c r="G5" s="12" t="s">
        <v>3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21">
        <f t="shared" ref="F6:F19" si="0">E6*D6</f>
        <v>0</v>
      </c>
      <c r="G6" s="21"/>
      <c r="H6" s="22" t="e">
        <f t="shared" ref="H6:H19" si="1">G6/D6</f>
        <v>#DIV/0!</v>
      </c>
      <c r="I6" s="21">
        <f t="shared" ref="I6:I19" si="2">F6-G6</f>
        <v>0</v>
      </c>
      <c r="J6" s="21" t="e">
        <f t="shared" ref="J6:J19" si="3">E6-H6</f>
        <v>#DIV/0!</v>
      </c>
      <c r="K6" s="23"/>
      <c r="L6">
        <f t="shared" ref="L6:L19" si="4">DAYS360(K6,$C$1)</f>
        <v>44460</v>
      </c>
      <c r="M6" s="3" t="e">
        <f t="shared" ref="M6:M19" si="5">(I6/G6)</f>
        <v>#DIV/0!</v>
      </c>
      <c r="Q6" s="24"/>
      <c r="R6" s="25">
        <f t="shared" ref="R6:R19" si="6">Q6*0.93</f>
        <v>0</v>
      </c>
      <c r="S6" s="25"/>
      <c r="T6" s="24">
        <f t="shared" ref="T6:T19" si="7">Q6*1.25</f>
        <v>0</v>
      </c>
      <c r="U6" s="24">
        <f t="shared" ref="U6:U19" si="8">Q6*1.5</f>
        <v>0</v>
      </c>
      <c r="V6" s="24">
        <f t="shared" ref="V6:V19" si="9">Q6*2</f>
        <v>0</v>
      </c>
      <c r="W6" s="24" t="e">
        <f t="shared" ref="W6:W19" si="10">H6-(H6*0.07)</f>
        <v>#DIV/0!</v>
      </c>
      <c r="X6" s="25"/>
      <c r="Y6" s="3" t="e">
        <f t="shared" ref="Y6:Y19" si="11">(X6-H6)/H6</f>
        <v>#DIV/0!</v>
      </c>
      <c r="Z6" s="4">
        <f t="shared" ref="Z6:Z19" si="12">F6/F$22</f>
        <v>0</v>
      </c>
      <c r="AB6" s="26"/>
      <c r="AC6" s="7"/>
      <c r="AD6" s="7"/>
      <c r="AE6" s="7"/>
    </row>
    <row r="7" spans="1:31" x14ac:dyDescent="0.25">
      <c r="A7" t="s">
        <v>40</v>
      </c>
      <c r="B7" t="s">
        <v>32</v>
      </c>
      <c r="C7" s="20" t="s">
        <v>41</v>
      </c>
      <c r="D7" s="44">
        <v>123.3931</v>
      </c>
      <c r="E7" s="21">
        <v>428.17</v>
      </c>
      <c r="F7" s="21">
        <f t="shared" si="0"/>
        <v>52833.223627000007</v>
      </c>
      <c r="G7" s="21">
        <v>50990.97</v>
      </c>
      <c r="H7" s="22">
        <f t="shared" si="1"/>
        <v>413.24004340599271</v>
      </c>
      <c r="I7" s="21">
        <f t="shared" si="2"/>
        <v>1842.2536270000055</v>
      </c>
      <c r="J7" s="21">
        <f t="shared" si="3"/>
        <v>14.929956594007308</v>
      </c>
      <c r="K7" s="23">
        <v>45104</v>
      </c>
      <c r="L7">
        <f t="shared" si="4"/>
        <v>3</v>
      </c>
      <c r="M7" s="3">
        <f t="shared" si="5"/>
        <v>3.6129017098517749E-2</v>
      </c>
      <c r="N7">
        <v>56</v>
      </c>
      <c r="O7">
        <v>85</v>
      </c>
      <c r="P7">
        <v>95</v>
      </c>
      <c r="Q7" s="24">
        <v>401.53</v>
      </c>
      <c r="R7" s="25">
        <f t="shared" si="6"/>
        <v>373.42289999999997</v>
      </c>
      <c r="S7" s="25">
        <v>373.28</v>
      </c>
      <c r="T7" s="24">
        <f t="shared" si="7"/>
        <v>501.91249999999997</v>
      </c>
      <c r="U7" s="24">
        <f t="shared" si="8"/>
        <v>602.29499999999996</v>
      </c>
      <c r="V7" s="24">
        <f t="shared" si="9"/>
        <v>803.06</v>
      </c>
      <c r="W7" s="24">
        <f t="shared" si="10"/>
        <v>384.3132403675732</v>
      </c>
      <c r="X7" s="25">
        <v>399</v>
      </c>
      <c r="Y7" s="3">
        <f t="shared" si="11"/>
        <v>-3.4459495475375322E-2</v>
      </c>
      <c r="Z7" s="4">
        <f t="shared" si="12"/>
        <v>0.10329670637013386</v>
      </c>
      <c r="AB7" s="26"/>
      <c r="AC7" s="7">
        <v>88</v>
      </c>
      <c r="AD7" t="s">
        <v>59</v>
      </c>
    </row>
    <row r="8" spans="1:31" x14ac:dyDescent="0.25">
      <c r="A8" t="s">
        <v>56</v>
      </c>
      <c r="B8" t="s">
        <v>32</v>
      </c>
      <c r="C8" s="20" t="s">
        <v>57</v>
      </c>
      <c r="D8" s="44">
        <v>278.20080000000002</v>
      </c>
      <c r="E8" s="21">
        <v>128.80000000000001</v>
      </c>
      <c r="F8" s="21">
        <f t="shared" si="0"/>
        <v>35832.263040000005</v>
      </c>
      <c r="G8" s="21">
        <v>35723.769999999997</v>
      </c>
      <c r="H8" s="22">
        <f t="shared" si="1"/>
        <v>128.41001895034088</v>
      </c>
      <c r="I8" s="21">
        <f t="shared" si="2"/>
        <v>108.49304000000848</v>
      </c>
      <c r="J8" s="21">
        <f t="shared" si="3"/>
        <v>0.38998104965912717</v>
      </c>
      <c r="K8" s="23">
        <v>45106</v>
      </c>
      <c r="L8">
        <f t="shared" si="4"/>
        <v>1</v>
      </c>
      <c r="M8" s="3">
        <f t="shared" si="5"/>
        <v>3.0369986146481318E-3</v>
      </c>
      <c r="N8">
        <v>47</v>
      </c>
      <c r="O8">
        <v>90</v>
      </c>
      <c r="P8" s="27">
        <v>98</v>
      </c>
      <c r="Q8" s="24">
        <v>126.44</v>
      </c>
      <c r="R8" s="25">
        <f t="shared" si="6"/>
        <v>117.58920000000001</v>
      </c>
      <c r="S8" s="25">
        <v>121.79</v>
      </c>
      <c r="T8" s="28">
        <f t="shared" si="7"/>
        <v>158.05000000000001</v>
      </c>
      <c r="U8" s="24">
        <f t="shared" si="8"/>
        <v>189.66</v>
      </c>
      <c r="V8" s="24">
        <f t="shared" si="9"/>
        <v>252.88</v>
      </c>
      <c r="W8" s="24">
        <f t="shared" si="10"/>
        <v>119.42131762381702</v>
      </c>
      <c r="X8" s="25">
        <v>120</v>
      </c>
      <c r="Y8" s="3">
        <f t="shared" si="11"/>
        <v>-6.549347955157013E-2</v>
      </c>
      <c r="Z8" s="4">
        <f t="shared" si="12"/>
        <v>7.0057333240758982E-2</v>
      </c>
      <c r="AB8" s="26">
        <v>44596</v>
      </c>
      <c r="AC8" s="7">
        <v>97</v>
      </c>
      <c r="AD8" t="s">
        <v>58</v>
      </c>
    </row>
    <row r="9" spans="1:31" x14ac:dyDescent="0.25">
      <c r="C9" s="20"/>
      <c r="E9" s="21"/>
      <c r="F9" s="21">
        <f t="shared" si="0"/>
        <v>0</v>
      </c>
      <c r="G9" s="21"/>
      <c r="H9" s="22" t="e">
        <f t="shared" si="1"/>
        <v>#DIV/0!</v>
      </c>
      <c r="I9" s="21">
        <f t="shared" si="2"/>
        <v>0</v>
      </c>
      <c r="J9" s="21" t="e">
        <f t="shared" si="3"/>
        <v>#DIV/0!</v>
      </c>
      <c r="K9" s="23"/>
      <c r="L9">
        <f t="shared" si="4"/>
        <v>44460</v>
      </c>
      <c r="M9" s="3" t="e">
        <f t="shared" si="5"/>
        <v>#DIV/0!</v>
      </c>
      <c r="Q9" s="24"/>
      <c r="R9" s="25">
        <f t="shared" si="6"/>
        <v>0</v>
      </c>
      <c r="S9" s="25"/>
      <c r="T9" s="24">
        <f t="shared" si="7"/>
        <v>0</v>
      </c>
      <c r="U9" s="24">
        <f t="shared" si="8"/>
        <v>0</v>
      </c>
      <c r="V9" s="24">
        <f t="shared" si="9"/>
        <v>0</v>
      </c>
      <c r="W9" s="24" t="e">
        <f t="shared" si="10"/>
        <v>#DIV/0!</v>
      </c>
      <c r="X9" s="25"/>
      <c r="Y9" s="3" t="e">
        <f t="shared" si="11"/>
        <v>#DIV/0!</v>
      </c>
      <c r="Z9" s="29">
        <f t="shared" si="12"/>
        <v>0</v>
      </c>
      <c r="AB9" s="26">
        <v>44596</v>
      </c>
      <c r="AC9" s="7">
        <v>75</v>
      </c>
    </row>
    <row r="10" spans="1:31" x14ac:dyDescent="0.25">
      <c r="C10" s="20"/>
      <c r="E10" s="21"/>
      <c r="F10" s="21">
        <f t="shared" si="0"/>
        <v>0</v>
      </c>
      <c r="G10" s="21"/>
      <c r="H10" s="22" t="e">
        <f t="shared" si="1"/>
        <v>#DIV/0!</v>
      </c>
      <c r="I10" s="21">
        <f t="shared" si="2"/>
        <v>0</v>
      </c>
      <c r="J10" s="21" t="e">
        <f t="shared" si="3"/>
        <v>#DIV/0!</v>
      </c>
      <c r="K10" s="23"/>
      <c r="L10">
        <f t="shared" si="4"/>
        <v>44460</v>
      </c>
      <c r="M10" s="3" t="e">
        <f t="shared" si="5"/>
        <v>#DIV/0!</v>
      </c>
      <c r="Q10" s="24"/>
      <c r="R10" s="25">
        <f t="shared" si="6"/>
        <v>0</v>
      </c>
      <c r="S10" s="25"/>
      <c r="T10" s="24">
        <f t="shared" si="7"/>
        <v>0</v>
      </c>
      <c r="U10" s="24">
        <f t="shared" si="8"/>
        <v>0</v>
      </c>
      <c r="V10" s="24">
        <f t="shared" si="9"/>
        <v>0</v>
      </c>
      <c r="W10" s="24" t="e">
        <f t="shared" si="10"/>
        <v>#DIV/0!</v>
      </c>
      <c r="X10" s="25"/>
      <c r="Y10" s="3" t="e">
        <f t="shared" si="11"/>
        <v>#DIV/0!</v>
      </c>
      <c r="Z10" s="4">
        <f t="shared" si="12"/>
        <v>0</v>
      </c>
      <c r="AB10" s="26">
        <v>44589</v>
      </c>
      <c r="AC10" s="7">
        <v>87</v>
      </c>
    </row>
    <row r="11" spans="1:31" x14ac:dyDescent="0.25">
      <c r="C11" s="20"/>
      <c r="E11" s="21"/>
      <c r="F11" s="21">
        <f t="shared" si="0"/>
        <v>0</v>
      </c>
      <c r="G11" s="21"/>
      <c r="H11" s="22" t="e">
        <f t="shared" si="1"/>
        <v>#DIV/0!</v>
      </c>
      <c r="I11" s="21">
        <f t="shared" si="2"/>
        <v>0</v>
      </c>
      <c r="J11" s="21" t="e">
        <f t="shared" si="3"/>
        <v>#DIV/0!</v>
      </c>
      <c r="K11" s="23"/>
      <c r="L11">
        <f t="shared" si="4"/>
        <v>44460</v>
      </c>
      <c r="M11" s="3" t="e">
        <f t="shared" si="5"/>
        <v>#DIV/0!</v>
      </c>
      <c r="Q11" s="24"/>
      <c r="R11" s="25">
        <f t="shared" si="6"/>
        <v>0</v>
      </c>
      <c r="S11" s="25"/>
      <c r="T11" s="28">
        <f t="shared" si="7"/>
        <v>0</v>
      </c>
      <c r="U11" s="24">
        <f t="shared" si="8"/>
        <v>0</v>
      </c>
      <c r="V11" s="24">
        <f t="shared" si="9"/>
        <v>0</v>
      </c>
      <c r="W11" s="24" t="e">
        <f t="shared" si="10"/>
        <v>#DIV/0!</v>
      </c>
      <c r="X11" s="25"/>
      <c r="Y11" s="3" t="e">
        <f t="shared" si="11"/>
        <v>#DIV/0!</v>
      </c>
      <c r="Z11" s="29">
        <f t="shared" si="12"/>
        <v>0</v>
      </c>
      <c r="AA11" s="7"/>
      <c r="AB11" s="26">
        <v>44581</v>
      </c>
      <c r="AC11" s="7">
        <v>99</v>
      </c>
    </row>
    <row r="12" spans="1:31" x14ac:dyDescent="0.25">
      <c r="C12" s="20"/>
      <c r="E12" s="21"/>
      <c r="F12" s="21">
        <f t="shared" si="0"/>
        <v>0</v>
      </c>
      <c r="G12" s="21"/>
      <c r="H12" s="22" t="e">
        <f t="shared" si="1"/>
        <v>#DIV/0!</v>
      </c>
      <c r="I12" s="21">
        <f t="shared" si="2"/>
        <v>0</v>
      </c>
      <c r="J12" s="21" t="e">
        <f t="shared" si="3"/>
        <v>#DIV/0!</v>
      </c>
      <c r="K12" s="23"/>
      <c r="L12">
        <f t="shared" si="4"/>
        <v>44460</v>
      </c>
      <c r="M12" s="3" t="e">
        <f t="shared" si="5"/>
        <v>#DIV/0!</v>
      </c>
      <c r="Q12" s="24"/>
      <c r="R12" s="25">
        <f t="shared" si="6"/>
        <v>0</v>
      </c>
      <c r="S12" s="25"/>
      <c r="T12" s="28">
        <f t="shared" si="7"/>
        <v>0</v>
      </c>
      <c r="U12" s="24">
        <f t="shared" si="8"/>
        <v>0</v>
      </c>
      <c r="V12" s="24">
        <f t="shared" si="9"/>
        <v>0</v>
      </c>
      <c r="W12" s="24" t="e">
        <f t="shared" si="10"/>
        <v>#DIV/0!</v>
      </c>
      <c r="X12" s="25"/>
      <c r="Y12" s="3" t="e">
        <f t="shared" si="11"/>
        <v>#DIV/0!</v>
      </c>
      <c r="Z12" s="29">
        <f t="shared" si="12"/>
        <v>0</v>
      </c>
      <c r="AB12" s="26">
        <v>44568</v>
      </c>
      <c r="AC12" s="7">
        <v>90</v>
      </c>
    </row>
    <row r="13" spans="1:31" x14ac:dyDescent="0.25">
      <c r="C13" s="20"/>
      <c r="E13" s="21"/>
      <c r="F13" s="21">
        <f t="shared" si="0"/>
        <v>0</v>
      </c>
      <c r="G13" s="21"/>
      <c r="H13" s="22" t="e">
        <f t="shared" si="1"/>
        <v>#DIV/0!</v>
      </c>
      <c r="I13" s="21">
        <f t="shared" si="2"/>
        <v>0</v>
      </c>
      <c r="J13" s="21" t="e">
        <f t="shared" si="3"/>
        <v>#DIV/0!</v>
      </c>
      <c r="K13" s="23"/>
      <c r="L13">
        <f t="shared" si="4"/>
        <v>44460</v>
      </c>
      <c r="M13" s="3" t="e">
        <f t="shared" si="5"/>
        <v>#DIV/0!</v>
      </c>
      <c r="Q13" s="24"/>
      <c r="R13" s="25">
        <f t="shared" si="6"/>
        <v>0</v>
      </c>
      <c r="S13" s="25"/>
      <c r="T13" s="28">
        <f t="shared" si="7"/>
        <v>0</v>
      </c>
      <c r="U13" s="24">
        <f t="shared" si="8"/>
        <v>0</v>
      </c>
      <c r="V13" s="24">
        <f t="shared" si="9"/>
        <v>0</v>
      </c>
      <c r="W13" s="24" t="e">
        <f t="shared" si="10"/>
        <v>#DIV/0!</v>
      </c>
      <c r="X13" s="25"/>
      <c r="Y13" s="3" t="e">
        <f t="shared" si="11"/>
        <v>#DIV/0!</v>
      </c>
      <c r="Z13" s="4">
        <f t="shared" si="12"/>
        <v>0</v>
      </c>
      <c r="AB13" s="26">
        <v>44601</v>
      </c>
      <c r="AC13" s="7">
        <v>99</v>
      </c>
    </row>
    <row r="14" spans="1:31" x14ac:dyDescent="0.25">
      <c r="C14" s="20"/>
      <c r="E14" s="21"/>
      <c r="F14" s="21">
        <f t="shared" si="0"/>
        <v>0</v>
      </c>
      <c r="G14" s="21"/>
      <c r="H14" s="22" t="e">
        <f t="shared" si="1"/>
        <v>#DIV/0!</v>
      </c>
      <c r="I14" s="21">
        <f t="shared" si="2"/>
        <v>0</v>
      </c>
      <c r="J14" s="21" t="e">
        <f t="shared" si="3"/>
        <v>#DIV/0!</v>
      </c>
      <c r="K14" s="23"/>
      <c r="L14">
        <f t="shared" si="4"/>
        <v>44460</v>
      </c>
      <c r="M14" s="3" t="e">
        <f t="shared" si="5"/>
        <v>#DIV/0!</v>
      </c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 t="e">
        <f t="shared" si="10"/>
        <v>#DIV/0!</v>
      </c>
      <c r="X14" s="25"/>
      <c r="Y14" s="3" t="e">
        <f t="shared" si="11"/>
        <v>#DIV/0!</v>
      </c>
      <c r="Z14" s="4">
        <f t="shared" si="12"/>
        <v>0</v>
      </c>
      <c r="AB14" s="26">
        <v>44610</v>
      </c>
      <c r="AC14" s="7">
        <v>92</v>
      </c>
    </row>
    <row r="15" spans="1:31" x14ac:dyDescent="0.25">
      <c r="C15" s="20"/>
      <c r="E15" s="21"/>
      <c r="F15" s="21">
        <f t="shared" si="0"/>
        <v>0</v>
      </c>
      <c r="G15" s="21"/>
      <c r="H15" s="22" t="e">
        <f t="shared" si="1"/>
        <v>#DIV/0!</v>
      </c>
      <c r="I15" s="21">
        <f t="shared" si="2"/>
        <v>0</v>
      </c>
      <c r="J15" s="21" t="e">
        <f t="shared" si="3"/>
        <v>#DIV/0!</v>
      </c>
      <c r="K15" s="23"/>
      <c r="L15">
        <f t="shared" si="4"/>
        <v>44460</v>
      </c>
      <c r="M15" s="3" t="e">
        <f t="shared" si="5"/>
        <v>#DIV/0!</v>
      </c>
      <c r="Q15" s="24"/>
      <c r="R15" s="25">
        <f t="shared" si="6"/>
        <v>0</v>
      </c>
      <c r="S15" s="25"/>
      <c r="T15" s="24">
        <f t="shared" si="7"/>
        <v>0</v>
      </c>
      <c r="U15" s="24">
        <f t="shared" si="8"/>
        <v>0</v>
      </c>
      <c r="V15" s="24">
        <f t="shared" si="9"/>
        <v>0</v>
      </c>
      <c r="W15" s="24" t="e">
        <f t="shared" si="10"/>
        <v>#DIV/0!</v>
      </c>
      <c r="X15" s="25"/>
      <c r="Y15" s="3" t="e">
        <f t="shared" si="11"/>
        <v>#DIV/0!</v>
      </c>
      <c r="Z15" s="29">
        <f t="shared" si="12"/>
        <v>0</v>
      </c>
      <c r="AA15" s="7"/>
      <c r="AB15" s="26"/>
      <c r="AC15" s="7"/>
    </row>
    <row r="16" spans="1:31" x14ac:dyDescent="0.25">
      <c r="C16" s="20"/>
      <c r="E16" s="21"/>
      <c r="F16" s="21">
        <f t="shared" si="0"/>
        <v>0</v>
      </c>
      <c r="G16" s="21"/>
      <c r="H16" s="22" t="e">
        <f t="shared" si="1"/>
        <v>#DIV/0!</v>
      </c>
      <c r="I16" s="21">
        <f t="shared" si="2"/>
        <v>0</v>
      </c>
      <c r="J16" s="21" t="e">
        <f t="shared" si="3"/>
        <v>#DIV/0!</v>
      </c>
      <c r="K16" s="23"/>
      <c r="L16">
        <f t="shared" si="4"/>
        <v>44460</v>
      </c>
      <c r="M16" s="3" t="e">
        <f t="shared" si="5"/>
        <v>#DIV/0!</v>
      </c>
      <c r="Q16" s="24"/>
      <c r="R16" s="25">
        <f t="shared" si="6"/>
        <v>0</v>
      </c>
      <c r="S16" s="25"/>
      <c r="T16" s="28">
        <f t="shared" si="7"/>
        <v>0</v>
      </c>
      <c r="U16" s="28">
        <f t="shared" si="8"/>
        <v>0</v>
      </c>
      <c r="V16" s="24">
        <f t="shared" si="9"/>
        <v>0</v>
      </c>
      <c r="W16" s="24" t="e">
        <f t="shared" si="10"/>
        <v>#DIV/0!</v>
      </c>
      <c r="X16" s="25"/>
      <c r="Y16" s="3" t="e">
        <f t="shared" si="11"/>
        <v>#DIV/0!</v>
      </c>
      <c r="Z16" s="4">
        <f t="shared" si="12"/>
        <v>0</v>
      </c>
      <c r="AB16" s="30"/>
      <c r="AC16" s="7"/>
    </row>
    <row r="17" spans="1:29" x14ac:dyDescent="0.25">
      <c r="A17" s="20" t="s">
        <v>44</v>
      </c>
      <c r="B17" s="20" t="s">
        <v>32</v>
      </c>
      <c r="C17" s="20" t="s">
        <v>45</v>
      </c>
      <c r="D17" s="44">
        <v>2778.4117999999999</v>
      </c>
      <c r="E17" s="21">
        <v>91.83</v>
      </c>
      <c r="F17" s="21">
        <f t="shared" si="0"/>
        <v>255141.55559399998</v>
      </c>
      <c r="G17" s="21">
        <v>254613.66</v>
      </c>
      <c r="H17" s="22">
        <f t="shared" si="1"/>
        <v>91.640000953062469</v>
      </c>
      <c r="I17" s="21">
        <f t="shared" si="2"/>
        <v>527.89559399997233</v>
      </c>
      <c r="J17" s="21">
        <f t="shared" si="3"/>
        <v>0.18999904693752967</v>
      </c>
      <c r="K17" s="23"/>
      <c r="L17">
        <f t="shared" si="4"/>
        <v>44460</v>
      </c>
      <c r="M17" s="3">
        <f t="shared" si="5"/>
        <v>2.0733200017625619E-3</v>
      </c>
      <c r="Q17" s="24"/>
      <c r="R17" s="25">
        <f t="shared" si="6"/>
        <v>0</v>
      </c>
      <c r="S17" s="25"/>
      <c r="T17" s="28">
        <f t="shared" si="7"/>
        <v>0</v>
      </c>
      <c r="U17" s="28">
        <f t="shared" si="8"/>
        <v>0</v>
      </c>
      <c r="V17" s="24">
        <f t="shared" si="9"/>
        <v>0</v>
      </c>
      <c r="W17" s="24">
        <f t="shared" si="10"/>
        <v>85.225200886348091</v>
      </c>
      <c r="X17" s="25"/>
      <c r="Y17" s="3">
        <f t="shared" si="11"/>
        <v>-1</v>
      </c>
      <c r="Z17" s="4">
        <f t="shared" si="12"/>
        <v>0.4988391875740843</v>
      </c>
      <c r="AB17" s="26"/>
      <c r="AC17" s="7"/>
    </row>
    <row r="18" spans="1:29" x14ac:dyDescent="0.25">
      <c r="A18" t="s">
        <v>42</v>
      </c>
      <c r="B18" t="s">
        <v>32</v>
      </c>
      <c r="C18" s="20" t="s">
        <v>43</v>
      </c>
      <c r="D18" s="44">
        <v>511.29180000000002</v>
      </c>
      <c r="E18" s="21">
        <v>18.82</v>
      </c>
      <c r="F18" s="21">
        <f t="shared" si="0"/>
        <v>9622.5116760000001</v>
      </c>
      <c r="G18" s="21">
        <v>24797.66</v>
      </c>
      <c r="H18" s="22">
        <f t="shared" si="1"/>
        <v>48.500015059893386</v>
      </c>
      <c r="I18" s="21">
        <f t="shared" si="2"/>
        <v>-15175.148324</v>
      </c>
      <c r="J18" s="21">
        <f t="shared" si="3"/>
        <v>-29.680015059893385</v>
      </c>
      <c r="K18" s="23"/>
      <c r="L18">
        <f t="shared" si="4"/>
        <v>44460</v>
      </c>
      <c r="M18" s="3">
        <f t="shared" si="5"/>
        <v>-0.61195888337851234</v>
      </c>
      <c r="P18" s="27"/>
      <c r="Q18" s="24"/>
      <c r="R18" s="25">
        <f t="shared" si="6"/>
        <v>0</v>
      </c>
      <c r="S18" s="25"/>
      <c r="T18" s="24">
        <f t="shared" si="7"/>
        <v>0</v>
      </c>
      <c r="U18" s="24">
        <f t="shared" si="8"/>
        <v>0</v>
      </c>
      <c r="V18" s="24">
        <f t="shared" si="9"/>
        <v>0</v>
      </c>
      <c r="W18" s="24">
        <f t="shared" si="10"/>
        <v>45.105014005700852</v>
      </c>
      <c r="X18" s="25"/>
      <c r="Y18" s="3">
        <f t="shared" si="11"/>
        <v>-1</v>
      </c>
      <c r="Z18" s="4">
        <f t="shared" si="12"/>
        <v>1.8813422594774136E-2</v>
      </c>
      <c r="AB18" s="26"/>
      <c r="AC18" s="7"/>
    </row>
    <row r="19" spans="1:29" x14ac:dyDescent="0.25">
      <c r="A19" s="31"/>
      <c r="B19" s="31"/>
      <c r="C19" s="31"/>
      <c r="D19" s="47"/>
      <c r="E19" s="32"/>
      <c r="F19" s="32">
        <f t="shared" si="0"/>
        <v>0</v>
      </c>
      <c r="G19" s="32"/>
      <c r="H19" s="33" t="e">
        <f t="shared" si="1"/>
        <v>#DIV/0!</v>
      </c>
      <c r="I19" s="32">
        <f t="shared" si="2"/>
        <v>0</v>
      </c>
      <c r="J19" s="32" t="e">
        <f t="shared" si="3"/>
        <v>#DIV/0!</v>
      </c>
      <c r="K19" s="34"/>
      <c r="L19" s="31">
        <f t="shared" si="4"/>
        <v>44460</v>
      </c>
      <c r="M19" s="35" t="e">
        <f t="shared" si="5"/>
        <v>#DIV/0!</v>
      </c>
      <c r="N19" s="31"/>
      <c r="O19" s="31"/>
      <c r="P19" s="31"/>
      <c r="Q19" s="36"/>
      <c r="R19" s="37">
        <f t="shared" si="6"/>
        <v>0</v>
      </c>
      <c r="S19" s="37"/>
      <c r="T19" s="36">
        <f t="shared" si="7"/>
        <v>0</v>
      </c>
      <c r="U19" s="36">
        <f t="shared" si="8"/>
        <v>0</v>
      </c>
      <c r="V19" s="36">
        <f t="shared" si="9"/>
        <v>0</v>
      </c>
      <c r="W19" s="36" t="e">
        <f t="shared" si="10"/>
        <v>#DIV/0!</v>
      </c>
      <c r="X19" s="37"/>
      <c r="Y19" s="35" t="e">
        <f t="shared" si="11"/>
        <v>#DIV/0!</v>
      </c>
      <c r="Z19" s="38">
        <f t="shared" si="12"/>
        <v>0</v>
      </c>
      <c r="AB19" s="39"/>
      <c r="AC19" s="7"/>
    </row>
    <row r="20" spans="1:29" x14ac:dyDescent="0.25">
      <c r="A20" t="s">
        <v>33</v>
      </c>
      <c r="F20" s="21">
        <f>SUM(F6:F19)</f>
        <v>353429.55393700005</v>
      </c>
      <c r="G20" s="21">
        <f>SUM(G6:G19)</f>
        <v>366126.06</v>
      </c>
      <c r="H20" s="2"/>
      <c r="I20" s="21">
        <f>SUM(I6:I19)</f>
        <v>-12696.506063000013</v>
      </c>
      <c r="M20" s="3"/>
      <c r="Z20" s="4"/>
    </row>
    <row r="21" spans="1:29" x14ac:dyDescent="0.25">
      <c r="D21" s="44" t="s">
        <v>34</v>
      </c>
      <c r="F21" s="40">
        <v>158041</v>
      </c>
      <c r="G21" s="4">
        <f>F21/F22</f>
        <v>0.3089933502202486</v>
      </c>
      <c r="H21" s="2"/>
      <c r="M21" s="3"/>
      <c r="Z21" s="4"/>
    </row>
    <row r="22" spans="1:29" x14ac:dyDescent="0.25">
      <c r="D22" s="44" t="s">
        <v>35</v>
      </c>
      <c r="F22" s="21">
        <f>SUM(F20:F21)</f>
        <v>511470.55393700005</v>
      </c>
      <c r="G22" s="21"/>
      <c r="H22" s="41"/>
      <c r="M22" s="3"/>
      <c r="Z22" s="4"/>
    </row>
    <row r="23" spans="1:29" x14ac:dyDescent="0.25">
      <c r="F23" s="22" t="s">
        <v>36</v>
      </c>
      <c r="G23" s="21"/>
      <c r="H23" s="20" t="s">
        <v>37</v>
      </c>
      <c r="I23" s="40">
        <v>509801</v>
      </c>
      <c r="M23" s="3"/>
      <c r="Z23" s="4"/>
    </row>
    <row r="24" spans="1:29" x14ac:dyDescent="0.25">
      <c r="F24" s="42" t="s">
        <v>38</v>
      </c>
      <c r="G24" s="4" t="e">
        <f>(F22-G23)/G23</f>
        <v>#DIV/0!</v>
      </c>
      <c r="H24" s="43" t="s">
        <v>39</v>
      </c>
      <c r="I24" s="4">
        <f>(F22-I23-F25)/I23</f>
        <v>3.2749130288093745E-3</v>
      </c>
      <c r="Z24" s="4"/>
    </row>
    <row r="26" spans="1:29" x14ac:dyDescent="0.25">
      <c r="D26" s="7"/>
      <c r="E26" s="7"/>
      <c r="F26" s="48"/>
      <c r="G26" s="7"/>
      <c r="H26" s="7"/>
      <c r="I26" s="7"/>
      <c r="J26" s="7"/>
      <c r="K26" s="7"/>
      <c r="L26" s="7"/>
      <c r="M26" s="9" t="s">
        <v>46</v>
      </c>
    </row>
    <row r="27" spans="1:29" x14ac:dyDescent="0.25">
      <c r="A27" s="49" t="s">
        <v>54</v>
      </c>
      <c r="D27" s="19" t="s">
        <v>17</v>
      </c>
      <c r="E27" s="19" t="s">
        <v>47</v>
      </c>
      <c r="F27" s="19" t="s">
        <v>48</v>
      </c>
      <c r="G27" s="19" t="s">
        <v>49</v>
      </c>
      <c r="H27" s="19" t="s">
        <v>50</v>
      </c>
      <c r="I27" s="19" t="s">
        <v>51</v>
      </c>
      <c r="J27" s="19" t="s">
        <v>12</v>
      </c>
      <c r="K27" s="19" t="s">
        <v>22</v>
      </c>
      <c r="L27" s="19" t="s">
        <v>52</v>
      </c>
      <c r="M27" s="19" t="s">
        <v>53</v>
      </c>
      <c r="N27" s="1"/>
      <c r="P27" s="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4012-9FEC-494F-A07D-5F2E9F986694}">
  <dimension ref="A1:AE2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bestFit="1" customWidth="1"/>
    <col min="7" max="7" width="12.7109375" bestFit="1" customWidth="1"/>
    <col min="8" max="8" width="16.5703125" bestFit="1" customWidth="1"/>
    <col min="9" max="9" width="15.5703125" bestFit="1" customWidth="1"/>
    <col min="10" max="10" width="8.42578125" bestFit="1" customWidth="1"/>
    <col min="11" max="11" width="10.5703125" bestFit="1" customWidth="1"/>
    <col min="12" max="12" width="9.5703125" bestFit="1" customWidth="1"/>
    <col min="13" max="13" width="8.140625" bestFit="1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" bestFit="1" customWidth="1"/>
    <col min="29" max="29" width="6.140625" bestFit="1" customWidth="1"/>
  </cols>
  <sheetData>
    <row r="1" spans="1:31" x14ac:dyDescent="0.25">
      <c r="C1" s="1">
        <v>45114</v>
      </c>
      <c r="H1" s="2"/>
      <c r="M1" s="3"/>
      <c r="Z1" s="4"/>
    </row>
    <row r="2" spans="1:31" x14ac:dyDescent="0.25">
      <c r="C2" s="1"/>
      <c r="E2" s="5"/>
      <c r="H2" s="2"/>
      <c r="M2" s="3"/>
      <c r="Z2" s="4"/>
    </row>
    <row r="3" spans="1:31" x14ac:dyDescent="0.25">
      <c r="C3" s="6" t="s">
        <v>0</v>
      </c>
      <c r="H3" s="2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7"/>
      <c r="G4" s="7"/>
      <c r="H4" s="7" t="s">
        <v>3</v>
      </c>
      <c r="I4" s="7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12" t="s">
        <v>18</v>
      </c>
      <c r="G5" s="12" t="s">
        <v>3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21">
        <f t="shared" ref="F6:F19" si="0">E6*D6</f>
        <v>0</v>
      </c>
      <c r="G6" s="21"/>
      <c r="H6" s="22" t="e">
        <f t="shared" ref="H6:H19" si="1">G6/D6</f>
        <v>#DIV/0!</v>
      </c>
      <c r="I6" s="21">
        <f t="shared" ref="I6:I19" si="2">F6-G6</f>
        <v>0</v>
      </c>
      <c r="J6" s="21" t="e">
        <f t="shared" ref="J6:J19" si="3">E6-H6</f>
        <v>#DIV/0!</v>
      </c>
      <c r="K6" s="23"/>
      <c r="L6">
        <f t="shared" ref="L6:L19" si="4">DAYS360(K6,$C$1)</f>
        <v>44467</v>
      </c>
      <c r="M6" s="3" t="e">
        <f t="shared" ref="M6:M19" si="5">(I6/G6)</f>
        <v>#DIV/0!</v>
      </c>
      <c r="Q6" s="24"/>
      <c r="R6" s="25">
        <f t="shared" ref="R6:R19" si="6">Q6*0.93</f>
        <v>0</v>
      </c>
      <c r="S6" s="25"/>
      <c r="T6" s="24">
        <f t="shared" ref="T6:T19" si="7">Q6*1.25</f>
        <v>0</v>
      </c>
      <c r="U6" s="24">
        <f t="shared" ref="U6:U19" si="8">Q6*1.5</f>
        <v>0</v>
      </c>
      <c r="V6" s="24">
        <f t="shared" ref="V6:V19" si="9">Q6*2</f>
        <v>0</v>
      </c>
      <c r="W6" s="24" t="e">
        <f t="shared" ref="W6:W19" si="10">H6-(H6*0.07)</f>
        <v>#DIV/0!</v>
      </c>
      <c r="X6" s="25"/>
      <c r="Y6" s="3" t="e">
        <f t="shared" ref="Y6:Y19" si="11">(X6-H6)/H6</f>
        <v>#DIV/0!</v>
      </c>
      <c r="Z6" s="4">
        <f t="shared" ref="Z6:Z19" si="12">F6/F$22</f>
        <v>0</v>
      </c>
      <c r="AB6" s="26"/>
      <c r="AC6" s="7"/>
      <c r="AD6" s="7"/>
      <c r="AE6" s="7"/>
    </row>
    <row r="7" spans="1:31" x14ac:dyDescent="0.25">
      <c r="A7" t="s">
        <v>40</v>
      </c>
      <c r="B7" t="s">
        <v>32</v>
      </c>
      <c r="C7" s="20" t="s">
        <v>41</v>
      </c>
      <c r="D7" s="44">
        <v>123.3931</v>
      </c>
      <c r="E7" s="21">
        <v>414.8</v>
      </c>
      <c r="F7" s="21">
        <f t="shared" si="0"/>
        <v>51183.457880000002</v>
      </c>
      <c r="G7" s="21">
        <v>50990.97</v>
      </c>
      <c r="H7" s="22">
        <f t="shared" si="1"/>
        <v>413.24004340599271</v>
      </c>
      <c r="I7" s="21">
        <f t="shared" si="2"/>
        <v>192.48788000000059</v>
      </c>
      <c r="J7" s="21">
        <f t="shared" si="3"/>
        <v>1.5599565940073035</v>
      </c>
      <c r="K7" s="23">
        <v>45104</v>
      </c>
      <c r="L7">
        <f t="shared" si="4"/>
        <v>10</v>
      </c>
      <c r="M7" s="3">
        <f t="shared" si="5"/>
        <v>3.7749405433942632E-3</v>
      </c>
      <c r="N7">
        <v>39</v>
      </c>
      <c r="O7">
        <v>83</v>
      </c>
      <c r="P7">
        <v>95</v>
      </c>
      <c r="Q7" s="24">
        <v>401.53</v>
      </c>
      <c r="R7" s="25">
        <f t="shared" si="6"/>
        <v>373.42289999999997</v>
      </c>
      <c r="S7" s="25">
        <v>373.28</v>
      </c>
      <c r="T7" s="24">
        <f t="shared" si="7"/>
        <v>501.91249999999997</v>
      </c>
      <c r="U7" s="24">
        <f t="shared" si="8"/>
        <v>602.29499999999996</v>
      </c>
      <c r="V7" s="24">
        <f t="shared" si="9"/>
        <v>803.06</v>
      </c>
      <c r="W7" s="24">
        <f t="shared" si="10"/>
        <v>384.3132403675732</v>
      </c>
      <c r="X7" s="25">
        <v>399</v>
      </c>
      <c r="Y7" s="3">
        <f t="shared" si="11"/>
        <v>-3.4459495475375322E-2</v>
      </c>
      <c r="Z7" s="4">
        <f t="shared" si="12"/>
        <v>0.10043627549864503</v>
      </c>
      <c r="AB7" s="26">
        <v>45140</v>
      </c>
      <c r="AC7" s="7">
        <v>88</v>
      </c>
      <c r="AD7" t="s">
        <v>59</v>
      </c>
    </row>
    <row r="8" spans="1:31" x14ac:dyDescent="0.25">
      <c r="A8" t="s">
        <v>56</v>
      </c>
      <c r="B8" t="s">
        <v>32</v>
      </c>
      <c r="C8" s="20" t="s">
        <v>57</v>
      </c>
      <c r="D8" s="44">
        <v>278.20080000000002</v>
      </c>
      <c r="E8" s="21">
        <v>126.71</v>
      </c>
      <c r="F8" s="21">
        <f t="shared" si="0"/>
        <v>35250.823367999998</v>
      </c>
      <c r="G8" s="21">
        <v>35723.769999999997</v>
      </c>
      <c r="H8" s="22">
        <f t="shared" si="1"/>
        <v>128.41001895034088</v>
      </c>
      <c r="I8" s="21">
        <f t="shared" si="2"/>
        <v>-472.94663199999923</v>
      </c>
      <c r="J8" s="21">
        <f t="shared" si="3"/>
        <v>-1.7000189503408905</v>
      </c>
      <c r="K8" s="23">
        <v>45106</v>
      </c>
      <c r="L8">
        <f t="shared" si="4"/>
        <v>8</v>
      </c>
      <c r="M8" s="3">
        <f t="shared" si="5"/>
        <v>-1.3238989949828903E-2</v>
      </c>
      <c r="N8">
        <v>47</v>
      </c>
      <c r="O8">
        <v>89</v>
      </c>
      <c r="P8" s="27">
        <v>98</v>
      </c>
      <c r="Q8" s="24">
        <v>126.44</v>
      </c>
      <c r="R8" s="25">
        <f t="shared" si="6"/>
        <v>117.58920000000001</v>
      </c>
      <c r="S8" s="25">
        <v>121.79</v>
      </c>
      <c r="T8" s="28">
        <f t="shared" si="7"/>
        <v>158.05000000000001</v>
      </c>
      <c r="U8" s="24">
        <f t="shared" si="8"/>
        <v>189.66</v>
      </c>
      <c r="V8" s="24">
        <f t="shared" si="9"/>
        <v>252.88</v>
      </c>
      <c r="W8" s="24">
        <f t="shared" si="10"/>
        <v>119.42131762381702</v>
      </c>
      <c r="X8" s="25">
        <v>122.45</v>
      </c>
      <c r="Y8" s="3">
        <f t="shared" si="11"/>
        <v>-4.6413971425748005E-2</v>
      </c>
      <c r="Z8" s="4">
        <f t="shared" si="12"/>
        <v>6.9171985520070964E-2</v>
      </c>
      <c r="AB8" s="26">
        <v>45140</v>
      </c>
      <c r="AC8" s="7">
        <v>97</v>
      </c>
      <c r="AD8" t="s">
        <v>58</v>
      </c>
    </row>
    <row r="9" spans="1:31" x14ac:dyDescent="0.25">
      <c r="A9" t="s">
        <v>60</v>
      </c>
      <c r="B9" t="s">
        <v>32</v>
      </c>
      <c r="C9" s="20" t="s">
        <v>61</v>
      </c>
      <c r="D9" s="44">
        <v>665.97389999999996</v>
      </c>
      <c r="E9" s="21">
        <v>76.819999999999993</v>
      </c>
      <c r="F9" s="21">
        <f t="shared" si="0"/>
        <v>51160.11499799999</v>
      </c>
      <c r="G9" s="21">
        <v>51028</v>
      </c>
      <c r="H9" s="22">
        <f t="shared" si="1"/>
        <v>76.621621357834002</v>
      </c>
      <c r="I9" s="21">
        <f t="shared" si="2"/>
        <v>132.11499799999001</v>
      </c>
      <c r="J9" s="21">
        <f t="shared" si="3"/>
        <v>0.19837864216599144</v>
      </c>
      <c r="K9" s="23">
        <v>45112</v>
      </c>
      <c r="L9">
        <f t="shared" si="4"/>
        <v>2</v>
      </c>
      <c r="M9" s="3">
        <f t="shared" si="5"/>
        <v>2.5890687073761467E-3</v>
      </c>
      <c r="N9">
        <v>44</v>
      </c>
      <c r="O9">
        <v>90</v>
      </c>
      <c r="P9">
        <v>82</v>
      </c>
      <c r="Q9" s="24">
        <v>74.44</v>
      </c>
      <c r="R9" s="25">
        <f t="shared" si="6"/>
        <v>69.229200000000006</v>
      </c>
      <c r="S9" s="25">
        <v>70.88</v>
      </c>
      <c r="T9" s="24">
        <f t="shared" si="7"/>
        <v>93.05</v>
      </c>
      <c r="U9" s="24">
        <f t="shared" si="8"/>
        <v>111.66</v>
      </c>
      <c r="V9" s="24">
        <f t="shared" si="9"/>
        <v>148.88</v>
      </c>
      <c r="W9" s="24">
        <f t="shared" si="10"/>
        <v>71.258107862785621</v>
      </c>
      <c r="X9" s="25">
        <v>73.25</v>
      </c>
      <c r="Y9" s="3">
        <f t="shared" si="11"/>
        <v>-4.4003524045622119E-2</v>
      </c>
      <c r="Z9" s="29">
        <f t="shared" si="12"/>
        <v>0.100390470228259</v>
      </c>
      <c r="AB9" s="26">
        <v>45131</v>
      </c>
      <c r="AC9" s="7">
        <v>97</v>
      </c>
      <c r="AD9" t="s">
        <v>62</v>
      </c>
    </row>
    <row r="10" spans="1:31" x14ac:dyDescent="0.25">
      <c r="C10" s="20"/>
      <c r="E10" s="21"/>
      <c r="F10" s="21">
        <f t="shared" si="0"/>
        <v>0</v>
      </c>
      <c r="G10" s="21"/>
      <c r="H10" s="22" t="e">
        <f t="shared" si="1"/>
        <v>#DIV/0!</v>
      </c>
      <c r="I10" s="21">
        <f t="shared" si="2"/>
        <v>0</v>
      </c>
      <c r="J10" s="21" t="e">
        <f t="shared" si="3"/>
        <v>#DIV/0!</v>
      </c>
      <c r="K10" s="23"/>
      <c r="L10">
        <f t="shared" si="4"/>
        <v>44467</v>
      </c>
      <c r="M10" s="3" t="e">
        <f t="shared" si="5"/>
        <v>#DIV/0!</v>
      </c>
      <c r="Q10" s="24"/>
      <c r="R10" s="25">
        <f t="shared" si="6"/>
        <v>0</v>
      </c>
      <c r="S10" s="25"/>
      <c r="T10" s="24">
        <f t="shared" si="7"/>
        <v>0</v>
      </c>
      <c r="U10" s="24">
        <f t="shared" si="8"/>
        <v>0</v>
      </c>
      <c r="V10" s="24">
        <f t="shared" si="9"/>
        <v>0</v>
      </c>
      <c r="W10" s="24" t="e">
        <f t="shared" si="10"/>
        <v>#DIV/0!</v>
      </c>
      <c r="X10" s="25"/>
      <c r="Y10" s="3" t="e">
        <f t="shared" si="11"/>
        <v>#DIV/0!</v>
      </c>
      <c r="Z10" s="4">
        <f t="shared" si="12"/>
        <v>0</v>
      </c>
      <c r="AB10" s="26">
        <v>44589</v>
      </c>
      <c r="AC10" s="7">
        <v>87</v>
      </c>
    </row>
    <row r="11" spans="1:31" x14ac:dyDescent="0.25">
      <c r="C11" s="20"/>
      <c r="E11" s="21"/>
      <c r="F11" s="21">
        <f t="shared" si="0"/>
        <v>0</v>
      </c>
      <c r="G11" s="21"/>
      <c r="H11" s="22" t="e">
        <f t="shared" si="1"/>
        <v>#DIV/0!</v>
      </c>
      <c r="I11" s="21">
        <f t="shared" si="2"/>
        <v>0</v>
      </c>
      <c r="J11" s="21" t="e">
        <f t="shared" si="3"/>
        <v>#DIV/0!</v>
      </c>
      <c r="K11" s="23"/>
      <c r="L11">
        <f t="shared" si="4"/>
        <v>44467</v>
      </c>
      <c r="M11" s="3" t="e">
        <f t="shared" si="5"/>
        <v>#DIV/0!</v>
      </c>
      <c r="Q11" s="24"/>
      <c r="R11" s="25">
        <f t="shared" si="6"/>
        <v>0</v>
      </c>
      <c r="S11" s="25"/>
      <c r="T11" s="28">
        <f t="shared" si="7"/>
        <v>0</v>
      </c>
      <c r="U11" s="24">
        <f t="shared" si="8"/>
        <v>0</v>
      </c>
      <c r="V11" s="24">
        <f t="shared" si="9"/>
        <v>0</v>
      </c>
      <c r="W11" s="24" t="e">
        <f t="shared" si="10"/>
        <v>#DIV/0!</v>
      </c>
      <c r="X11" s="25"/>
      <c r="Y11" s="3" t="e">
        <f t="shared" si="11"/>
        <v>#DIV/0!</v>
      </c>
      <c r="Z11" s="29">
        <f t="shared" si="12"/>
        <v>0</v>
      </c>
      <c r="AA11" s="7"/>
      <c r="AB11" s="26">
        <v>44581</v>
      </c>
      <c r="AC11" s="7">
        <v>99</v>
      </c>
    </row>
    <row r="12" spans="1:31" x14ac:dyDescent="0.25">
      <c r="C12" s="20"/>
      <c r="E12" s="21"/>
      <c r="F12" s="21">
        <f t="shared" si="0"/>
        <v>0</v>
      </c>
      <c r="G12" s="21"/>
      <c r="H12" s="22" t="e">
        <f t="shared" si="1"/>
        <v>#DIV/0!</v>
      </c>
      <c r="I12" s="21">
        <f t="shared" si="2"/>
        <v>0</v>
      </c>
      <c r="J12" s="21" t="e">
        <f t="shared" si="3"/>
        <v>#DIV/0!</v>
      </c>
      <c r="K12" s="23"/>
      <c r="L12">
        <f t="shared" si="4"/>
        <v>44467</v>
      </c>
      <c r="M12" s="3" t="e">
        <f t="shared" si="5"/>
        <v>#DIV/0!</v>
      </c>
      <c r="Q12" s="24"/>
      <c r="R12" s="25">
        <f t="shared" si="6"/>
        <v>0</v>
      </c>
      <c r="S12" s="25"/>
      <c r="T12" s="28">
        <f t="shared" si="7"/>
        <v>0</v>
      </c>
      <c r="U12" s="24">
        <f t="shared" si="8"/>
        <v>0</v>
      </c>
      <c r="V12" s="24">
        <f t="shared" si="9"/>
        <v>0</v>
      </c>
      <c r="W12" s="24" t="e">
        <f t="shared" si="10"/>
        <v>#DIV/0!</v>
      </c>
      <c r="X12" s="25"/>
      <c r="Y12" s="3" t="e">
        <f t="shared" si="11"/>
        <v>#DIV/0!</v>
      </c>
      <c r="Z12" s="29">
        <f t="shared" si="12"/>
        <v>0</v>
      </c>
      <c r="AB12" s="26">
        <v>44568</v>
      </c>
      <c r="AC12" s="7">
        <v>90</v>
      </c>
    </row>
    <row r="13" spans="1:31" x14ac:dyDescent="0.25">
      <c r="C13" s="20"/>
      <c r="E13" s="21"/>
      <c r="F13" s="21">
        <f t="shared" si="0"/>
        <v>0</v>
      </c>
      <c r="G13" s="21"/>
      <c r="H13" s="22" t="e">
        <f t="shared" si="1"/>
        <v>#DIV/0!</v>
      </c>
      <c r="I13" s="21">
        <f t="shared" si="2"/>
        <v>0</v>
      </c>
      <c r="J13" s="21" t="e">
        <f t="shared" si="3"/>
        <v>#DIV/0!</v>
      </c>
      <c r="K13" s="23"/>
      <c r="L13">
        <f t="shared" si="4"/>
        <v>44467</v>
      </c>
      <c r="M13" s="3" t="e">
        <f t="shared" si="5"/>
        <v>#DIV/0!</v>
      </c>
      <c r="Q13" s="24"/>
      <c r="R13" s="25">
        <f t="shared" si="6"/>
        <v>0</v>
      </c>
      <c r="S13" s="25"/>
      <c r="T13" s="28">
        <f t="shared" si="7"/>
        <v>0</v>
      </c>
      <c r="U13" s="24">
        <f t="shared" si="8"/>
        <v>0</v>
      </c>
      <c r="V13" s="24">
        <f t="shared" si="9"/>
        <v>0</v>
      </c>
      <c r="W13" s="24" t="e">
        <f t="shared" si="10"/>
        <v>#DIV/0!</v>
      </c>
      <c r="X13" s="25"/>
      <c r="Y13" s="3" t="e">
        <f t="shared" si="11"/>
        <v>#DIV/0!</v>
      </c>
      <c r="Z13" s="4">
        <f t="shared" si="12"/>
        <v>0</v>
      </c>
      <c r="AB13" s="26">
        <v>44601</v>
      </c>
      <c r="AC13" s="7">
        <v>99</v>
      </c>
    </row>
    <row r="14" spans="1:31" x14ac:dyDescent="0.25">
      <c r="C14" s="20"/>
      <c r="E14" s="21"/>
      <c r="F14" s="21">
        <f t="shared" si="0"/>
        <v>0</v>
      </c>
      <c r="G14" s="21"/>
      <c r="H14" s="22" t="e">
        <f t="shared" si="1"/>
        <v>#DIV/0!</v>
      </c>
      <c r="I14" s="21">
        <f t="shared" si="2"/>
        <v>0</v>
      </c>
      <c r="J14" s="21" t="e">
        <f t="shared" si="3"/>
        <v>#DIV/0!</v>
      </c>
      <c r="K14" s="23"/>
      <c r="L14">
        <f t="shared" si="4"/>
        <v>44467</v>
      </c>
      <c r="M14" s="3" t="e">
        <f t="shared" si="5"/>
        <v>#DIV/0!</v>
      </c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 t="e">
        <f t="shared" si="10"/>
        <v>#DIV/0!</v>
      </c>
      <c r="X14" s="25"/>
      <c r="Y14" s="3" t="e">
        <f t="shared" si="11"/>
        <v>#DIV/0!</v>
      </c>
      <c r="Z14" s="4">
        <f t="shared" si="12"/>
        <v>0</v>
      </c>
      <c r="AB14" s="26">
        <v>44610</v>
      </c>
      <c r="AC14" s="7">
        <v>92</v>
      </c>
    </row>
    <row r="15" spans="1:31" x14ac:dyDescent="0.25">
      <c r="C15" s="20"/>
      <c r="E15" s="21"/>
      <c r="F15" s="21">
        <f t="shared" si="0"/>
        <v>0</v>
      </c>
      <c r="G15" s="21"/>
      <c r="H15" s="22" t="e">
        <f t="shared" si="1"/>
        <v>#DIV/0!</v>
      </c>
      <c r="I15" s="21">
        <f t="shared" si="2"/>
        <v>0</v>
      </c>
      <c r="J15" s="21" t="e">
        <f t="shared" si="3"/>
        <v>#DIV/0!</v>
      </c>
      <c r="K15" s="23"/>
      <c r="L15">
        <f t="shared" si="4"/>
        <v>44467</v>
      </c>
      <c r="M15" s="3" t="e">
        <f t="shared" si="5"/>
        <v>#DIV/0!</v>
      </c>
      <c r="Q15" s="24"/>
      <c r="R15" s="25">
        <f t="shared" si="6"/>
        <v>0</v>
      </c>
      <c r="S15" s="25"/>
      <c r="T15" s="24">
        <f t="shared" si="7"/>
        <v>0</v>
      </c>
      <c r="U15" s="24">
        <f t="shared" si="8"/>
        <v>0</v>
      </c>
      <c r="V15" s="24">
        <f t="shared" si="9"/>
        <v>0</v>
      </c>
      <c r="W15" s="24" t="e">
        <f t="shared" si="10"/>
        <v>#DIV/0!</v>
      </c>
      <c r="X15" s="25"/>
      <c r="Y15" s="3" t="e">
        <f t="shared" si="11"/>
        <v>#DIV/0!</v>
      </c>
      <c r="Z15" s="29">
        <f t="shared" si="12"/>
        <v>0</v>
      </c>
      <c r="AA15" s="7"/>
      <c r="AB15" s="26"/>
      <c r="AC15" s="7"/>
    </row>
    <row r="16" spans="1:31" x14ac:dyDescent="0.25">
      <c r="C16" s="20"/>
      <c r="E16" s="21"/>
      <c r="F16" s="21">
        <f t="shared" si="0"/>
        <v>0</v>
      </c>
      <c r="G16" s="21"/>
      <c r="H16" s="22" t="e">
        <f t="shared" si="1"/>
        <v>#DIV/0!</v>
      </c>
      <c r="I16" s="21">
        <f t="shared" si="2"/>
        <v>0</v>
      </c>
      <c r="J16" s="21" t="e">
        <f t="shared" si="3"/>
        <v>#DIV/0!</v>
      </c>
      <c r="K16" s="23"/>
      <c r="L16">
        <f t="shared" si="4"/>
        <v>44467</v>
      </c>
      <c r="M16" s="3" t="e">
        <f t="shared" si="5"/>
        <v>#DIV/0!</v>
      </c>
      <c r="Q16" s="24"/>
      <c r="R16" s="25">
        <f t="shared" si="6"/>
        <v>0</v>
      </c>
      <c r="S16" s="25"/>
      <c r="T16" s="28">
        <f t="shared" si="7"/>
        <v>0</v>
      </c>
      <c r="U16" s="28">
        <f t="shared" si="8"/>
        <v>0</v>
      </c>
      <c r="V16" s="24">
        <f t="shared" si="9"/>
        <v>0</v>
      </c>
      <c r="W16" s="24" t="e">
        <f t="shared" si="10"/>
        <v>#DIV/0!</v>
      </c>
      <c r="X16" s="25"/>
      <c r="Y16" s="3" t="e">
        <f t="shared" si="11"/>
        <v>#DIV/0!</v>
      </c>
      <c r="Z16" s="4">
        <f t="shared" si="12"/>
        <v>0</v>
      </c>
      <c r="AB16" s="30"/>
      <c r="AC16" s="7"/>
    </row>
    <row r="17" spans="1:29" x14ac:dyDescent="0.25">
      <c r="A17" s="20" t="s">
        <v>44</v>
      </c>
      <c r="B17" s="20" t="s">
        <v>32</v>
      </c>
      <c r="C17" s="20" t="s">
        <v>45</v>
      </c>
      <c r="D17" s="44">
        <v>2778.4117999999999</v>
      </c>
      <c r="E17" s="21">
        <v>91.52</v>
      </c>
      <c r="F17" s="21">
        <f t="shared" si="0"/>
        <v>254280.24793599997</v>
      </c>
      <c r="G17" s="21">
        <v>254613.66</v>
      </c>
      <c r="H17" s="22">
        <f t="shared" si="1"/>
        <v>91.640000953062469</v>
      </c>
      <c r="I17" s="21">
        <f t="shared" si="2"/>
        <v>-333.41206400003284</v>
      </c>
      <c r="J17" s="21">
        <f t="shared" si="3"/>
        <v>-0.1200009530624726</v>
      </c>
      <c r="K17" s="23"/>
      <c r="L17">
        <f t="shared" si="4"/>
        <v>44467</v>
      </c>
      <c r="M17" s="3">
        <f t="shared" si="5"/>
        <v>-1.3094822328072768E-3</v>
      </c>
      <c r="Q17" s="24"/>
      <c r="R17" s="25">
        <f t="shared" si="6"/>
        <v>0</v>
      </c>
      <c r="S17" s="25"/>
      <c r="T17" s="28">
        <f t="shared" si="7"/>
        <v>0</v>
      </c>
      <c r="U17" s="28">
        <f t="shared" si="8"/>
        <v>0</v>
      </c>
      <c r="V17" s="24">
        <f t="shared" si="9"/>
        <v>0</v>
      </c>
      <c r="W17" s="24">
        <f t="shared" si="10"/>
        <v>85.225200886348091</v>
      </c>
      <c r="X17" s="25"/>
      <c r="Y17" s="3">
        <f t="shared" si="11"/>
        <v>-1</v>
      </c>
      <c r="Z17" s="4">
        <f t="shared" si="12"/>
        <v>0.49896904377660733</v>
      </c>
      <c r="AB17" s="26"/>
      <c r="AC17" s="7"/>
    </row>
    <row r="18" spans="1:29" x14ac:dyDescent="0.25">
      <c r="A18" t="s">
        <v>42</v>
      </c>
      <c r="B18" t="s">
        <v>32</v>
      </c>
      <c r="C18" s="20" t="s">
        <v>43</v>
      </c>
      <c r="D18" s="44">
        <v>511.29180000000002</v>
      </c>
      <c r="E18" s="21">
        <v>19.45</v>
      </c>
      <c r="F18" s="21">
        <f t="shared" si="0"/>
        <v>9944.6255099999998</v>
      </c>
      <c r="G18" s="21">
        <v>24797.66</v>
      </c>
      <c r="H18" s="22">
        <f t="shared" si="1"/>
        <v>48.500015059893386</v>
      </c>
      <c r="I18" s="21">
        <f t="shared" si="2"/>
        <v>-14853.03449</v>
      </c>
      <c r="J18" s="21">
        <f t="shared" si="3"/>
        <v>-29.050015059893386</v>
      </c>
      <c r="K18" s="23"/>
      <c r="L18">
        <f t="shared" si="4"/>
        <v>44467</v>
      </c>
      <c r="M18" s="3">
        <f t="shared" si="5"/>
        <v>-0.59896919669033288</v>
      </c>
      <c r="P18" s="27"/>
      <c r="Q18" s="24"/>
      <c r="R18" s="25">
        <f t="shared" si="6"/>
        <v>0</v>
      </c>
      <c r="S18" s="25"/>
      <c r="T18" s="24">
        <f t="shared" si="7"/>
        <v>0</v>
      </c>
      <c r="U18" s="24">
        <f t="shared" si="8"/>
        <v>0</v>
      </c>
      <c r="V18" s="24">
        <f t="shared" si="9"/>
        <v>0</v>
      </c>
      <c r="W18" s="24">
        <f t="shared" si="10"/>
        <v>45.105014005700852</v>
      </c>
      <c r="X18" s="25"/>
      <c r="Y18" s="3">
        <f t="shared" si="11"/>
        <v>-1</v>
      </c>
      <c r="Z18" s="4">
        <f t="shared" si="12"/>
        <v>1.9514139701051657E-2</v>
      </c>
      <c r="AB18" s="26"/>
      <c r="AC18" s="7"/>
    </row>
    <row r="19" spans="1:29" x14ac:dyDescent="0.25">
      <c r="A19" s="31"/>
      <c r="B19" s="31"/>
      <c r="C19" s="31"/>
      <c r="D19" s="47"/>
      <c r="E19" s="32"/>
      <c r="F19" s="32">
        <f t="shared" si="0"/>
        <v>0</v>
      </c>
      <c r="G19" s="32"/>
      <c r="H19" s="33" t="e">
        <f t="shared" si="1"/>
        <v>#DIV/0!</v>
      </c>
      <c r="I19" s="32">
        <f t="shared" si="2"/>
        <v>0</v>
      </c>
      <c r="J19" s="32" t="e">
        <f t="shared" si="3"/>
        <v>#DIV/0!</v>
      </c>
      <c r="K19" s="34"/>
      <c r="L19" s="31">
        <f t="shared" si="4"/>
        <v>44467</v>
      </c>
      <c r="M19" s="35" t="e">
        <f t="shared" si="5"/>
        <v>#DIV/0!</v>
      </c>
      <c r="N19" s="31"/>
      <c r="O19" s="31"/>
      <c r="P19" s="31"/>
      <c r="Q19" s="36"/>
      <c r="R19" s="37">
        <f t="shared" si="6"/>
        <v>0</v>
      </c>
      <c r="S19" s="37"/>
      <c r="T19" s="36">
        <f t="shared" si="7"/>
        <v>0</v>
      </c>
      <c r="U19" s="36">
        <f t="shared" si="8"/>
        <v>0</v>
      </c>
      <c r="V19" s="36">
        <f t="shared" si="9"/>
        <v>0</v>
      </c>
      <c r="W19" s="36" t="e">
        <f t="shared" si="10"/>
        <v>#DIV/0!</v>
      </c>
      <c r="X19" s="37"/>
      <c r="Y19" s="35" t="e">
        <f t="shared" si="11"/>
        <v>#DIV/0!</v>
      </c>
      <c r="Z19" s="38">
        <f t="shared" si="12"/>
        <v>0</v>
      </c>
      <c r="AB19" s="39"/>
      <c r="AC19" s="7"/>
    </row>
    <row r="20" spans="1:29" x14ac:dyDescent="0.25">
      <c r="A20" t="s">
        <v>33</v>
      </c>
      <c r="F20" s="21">
        <f>SUM(F6:F19)</f>
        <v>401819.26969199994</v>
      </c>
      <c r="G20" s="21">
        <f>SUM(G6:G19)</f>
        <v>417154.06</v>
      </c>
      <c r="H20" s="2"/>
      <c r="I20" s="21">
        <f>SUM(I6:I19)</f>
        <v>-15334.790308000041</v>
      </c>
      <c r="M20" s="3"/>
      <c r="Z20" s="4"/>
    </row>
    <row r="21" spans="1:29" x14ac:dyDescent="0.25">
      <c r="D21" s="44" t="s">
        <v>34</v>
      </c>
      <c r="F21" s="40">
        <v>107792</v>
      </c>
      <c r="G21" s="4">
        <f>F21/F22</f>
        <v>0.21151808527536603</v>
      </c>
      <c r="H21" s="2"/>
      <c r="M21" s="3"/>
      <c r="Z21" s="4"/>
    </row>
    <row r="22" spans="1:29" x14ac:dyDescent="0.25">
      <c r="D22" s="44" t="s">
        <v>35</v>
      </c>
      <c r="F22" s="21">
        <f>SUM(F20:F21)</f>
        <v>509611.26969199994</v>
      </c>
      <c r="G22" s="21"/>
      <c r="H22" s="41"/>
      <c r="M22" s="3"/>
      <c r="Z22" s="4"/>
    </row>
    <row r="23" spans="1:29" x14ac:dyDescent="0.25">
      <c r="F23" s="22" t="s">
        <v>36</v>
      </c>
      <c r="G23" s="21"/>
      <c r="H23" s="20" t="s">
        <v>37</v>
      </c>
      <c r="I23" s="40">
        <v>511470.55</v>
      </c>
      <c r="M23" s="3"/>
      <c r="Z23" s="4"/>
    </row>
    <row r="24" spans="1:29" x14ac:dyDescent="0.25">
      <c r="F24" s="42" t="s">
        <v>38</v>
      </c>
      <c r="G24" s="4" t="e">
        <f>(F22-G23)/G23</f>
        <v>#DIV/0!</v>
      </c>
      <c r="H24" s="43" t="s">
        <v>39</v>
      </c>
      <c r="I24" s="4">
        <f>(F22-I23-F25)/I23</f>
        <v>-3.635165911312088E-3</v>
      </c>
      <c r="Z24" s="4"/>
    </row>
    <row r="26" spans="1:29" x14ac:dyDescent="0.25">
      <c r="D26" s="7"/>
      <c r="E26" s="7"/>
      <c r="F26" s="48"/>
      <c r="G26" s="7"/>
      <c r="H26" s="7"/>
      <c r="I26" s="7"/>
      <c r="J26" s="7"/>
      <c r="K26" s="7"/>
      <c r="L26" s="7"/>
      <c r="M26" s="9" t="s">
        <v>46</v>
      </c>
    </row>
    <row r="27" spans="1:29" x14ac:dyDescent="0.25">
      <c r="A27" s="49" t="s">
        <v>54</v>
      </c>
      <c r="D27" s="19" t="s">
        <v>17</v>
      </c>
      <c r="E27" s="19" t="s">
        <v>47</v>
      </c>
      <c r="F27" s="19" t="s">
        <v>48</v>
      </c>
      <c r="G27" s="19" t="s">
        <v>49</v>
      </c>
      <c r="H27" s="19" t="s">
        <v>50</v>
      </c>
      <c r="I27" s="19" t="s">
        <v>51</v>
      </c>
      <c r="J27" s="19" t="s">
        <v>12</v>
      </c>
      <c r="K27" s="19" t="s">
        <v>22</v>
      </c>
      <c r="L27" s="19" t="s">
        <v>52</v>
      </c>
      <c r="M27" s="19" t="s">
        <v>53</v>
      </c>
      <c r="N27" s="1"/>
      <c r="P27" s="7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C0F0-3D57-48F3-AEFB-DED70C2A5A3E}">
  <dimension ref="A1:AE27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bestFit="1" customWidth="1"/>
    <col min="7" max="7" width="12.7109375" bestFit="1" customWidth="1"/>
    <col min="8" max="8" width="16.5703125" bestFit="1" customWidth="1"/>
    <col min="9" max="9" width="15.5703125" bestFit="1" customWidth="1"/>
    <col min="10" max="10" width="8.42578125" bestFit="1" customWidth="1"/>
    <col min="11" max="11" width="10.5703125" bestFit="1" customWidth="1"/>
    <col min="12" max="12" width="9.5703125" bestFit="1" customWidth="1"/>
    <col min="13" max="13" width="8.140625" bestFit="1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" bestFit="1" customWidth="1"/>
    <col min="29" max="29" width="6.140625" bestFit="1" customWidth="1"/>
  </cols>
  <sheetData>
    <row r="1" spans="1:31" x14ac:dyDescent="0.25">
      <c r="C1" s="1">
        <v>45121</v>
      </c>
      <c r="H1" s="2"/>
      <c r="M1" s="3"/>
      <c r="Z1" s="4"/>
    </row>
    <row r="2" spans="1:31" x14ac:dyDescent="0.25">
      <c r="C2" s="1"/>
      <c r="E2" s="5"/>
      <c r="H2" s="2"/>
      <c r="M2" s="3"/>
      <c r="Z2" s="4"/>
    </row>
    <row r="3" spans="1:31" x14ac:dyDescent="0.25">
      <c r="C3" s="6" t="s">
        <v>0</v>
      </c>
      <c r="H3" s="2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7"/>
      <c r="G4" s="7"/>
      <c r="H4" s="7" t="s">
        <v>3</v>
      </c>
      <c r="I4" s="7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12" t="s">
        <v>18</v>
      </c>
      <c r="G5" s="12" t="s">
        <v>3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21">
        <f t="shared" ref="F6:F19" si="0">E6*D6</f>
        <v>0</v>
      </c>
      <c r="G6" s="21"/>
      <c r="H6" s="22" t="e">
        <f t="shared" ref="H6:H19" si="1">G6/D6</f>
        <v>#DIV/0!</v>
      </c>
      <c r="I6" s="21">
        <f t="shared" ref="I6:I19" si="2">F6-G6</f>
        <v>0</v>
      </c>
      <c r="J6" s="21" t="e">
        <f t="shared" ref="J6:J19" si="3">E6-H6</f>
        <v>#DIV/0!</v>
      </c>
      <c r="K6" s="23"/>
      <c r="L6">
        <f t="shared" ref="L6:L19" si="4">DAYS360(K6,$C$1)</f>
        <v>44474</v>
      </c>
      <c r="M6" s="3" t="e">
        <f t="shared" ref="M6:M19" si="5">(I6/G6)</f>
        <v>#DIV/0!</v>
      </c>
      <c r="Q6" s="24"/>
      <c r="R6" s="25">
        <f t="shared" ref="R6:R19" si="6">Q6*0.93</f>
        <v>0</v>
      </c>
      <c r="S6" s="25"/>
      <c r="T6" s="24">
        <f t="shared" ref="T6:T19" si="7">Q6*1.25</f>
        <v>0</v>
      </c>
      <c r="U6" s="24">
        <f t="shared" ref="U6:U19" si="8">Q6*1.5</f>
        <v>0</v>
      </c>
      <c r="V6" s="24">
        <f t="shared" ref="V6:V19" si="9">Q6*2</f>
        <v>0</v>
      </c>
      <c r="W6" s="24" t="e">
        <f t="shared" ref="W6:W19" si="10">H6-(H6*0.07)</f>
        <v>#DIV/0!</v>
      </c>
      <c r="X6" s="25"/>
      <c r="Y6" s="3" t="e">
        <f t="shared" ref="Y6:Y19" si="11">(X6-H6)/H6</f>
        <v>#DIV/0!</v>
      </c>
      <c r="Z6" s="4">
        <f t="shared" ref="Z6:Z19" si="12">F6/F$22</f>
        <v>0</v>
      </c>
      <c r="AB6" s="26"/>
      <c r="AC6" s="7"/>
      <c r="AD6" s="7"/>
      <c r="AE6" s="7"/>
    </row>
    <row r="7" spans="1:31" x14ac:dyDescent="0.25">
      <c r="A7" t="s">
        <v>40</v>
      </c>
      <c r="B7" t="s">
        <v>32</v>
      </c>
      <c r="C7" s="20" t="s">
        <v>41</v>
      </c>
      <c r="D7" s="44">
        <v>123.3931</v>
      </c>
      <c r="E7" s="21">
        <v>409.5</v>
      </c>
      <c r="F7" s="21">
        <f t="shared" si="0"/>
        <v>50529.474450000002</v>
      </c>
      <c r="G7" s="21">
        <v>50990.97</v>
      </c>
      <c r="H7" s="22">
        <f t="shared" si="1"/>
        <v>413.24004340599271</v>
      </c>
      <c r="I7" s="21">
        <f t="shared" si="2"/>
        <v>-461.49554999999964</v>
      </c>
      <c r="J7" s="21">
        <f t="shared" si="3"/>
        <v>-3.7400434059927079</v>
      </c>
      <c r="K7" s="23">
        <v>45104</v>
      </c>
      <c r="L7">
        <f t="shared" si="4"/>
        <v>17</v>
      </c>
      <c r="M7" s="3">
        <f t="shared" si="5"/>
        <v>-9.0505348299904798E-3</v>
      </c>
      <c r="N7">
        <v>39</v>
      </c>
      <c r="O7">
        <v>83</v>
      </c>
      <c r="P7">
        <v>95</v>
      </c>
      <c r="Q7" s="24">
        <v>401.53</v>
      </c>
      <c r="R7" s="25">
        <f t="shared" si="6"/>
        <v>373.42289999999997</v>
      </c>
      <c r="S7" s="25">
        <v>373.28</v>
      </c>
      <c r="T7" s="24">
        <f t="shared" si="7"/>
        <v>501.91249999999997</v>
      </c>
      <c r="U7" s="24">
        <f t="shared" si="8"/>
        <v>602.29499999999996</v>
      </c>
      <c r="V7" s="24">
        <f t="shared" si="9"/>
        <v>803.06</v>
      </c>
      <c r="W7" s="24">
        <f t="shared" si="10"/>
        <v>384.3132403675732</v>
      </c>
      <c r="X7" s="25">
        <v>399</v>
      </c>
      <c r="Y7" s="3">
        <f t="shared" si="11"/>
        <v>-3.4459495475375322E-2</v>
      </c>
      <c r="Z7" s="4">
        <f t="shared" si="12"/>
        <v>9.8459081946138741E-2</v>
      </c>
      <c r="AB7" s="26">
        <v>45140</v>
      </c>
      <c r="AC7" s="7">
        <v>88</v>
      </c>
      <c r="AD7" t="s">
        <v>59</v>
      </c>
    </row>
    <row r="8" spans="1:31" x14ac:dyDescent="0.25">
      <c r="A8" t="s">
        <v>56</v>
      </c>
      <c r="B8" t="s">
        <v>32</v>
      </c>
      <c r="C8" s="20" t="s">
        <v>57</v>
      </c>
      <c r="D8" s="44">
        <v>278.20080000000002</v>
      </c>
      <c r="E8" s="21">
        <v>137.32</v>
      </c>
      <c r="F8" s="21">
        <f t="shared" si="0"/>
        <v>38202.533856000002</v>
      </c>
      <c r="G8" s="21">
        <v>35723.769999999997</v>
      </c>
      <c r="H8" s="22">
        <f t="shared" si="1"/>
        <v>128.41001895034088</v>
      </c>
      <c r="I8" s="21">
        <f t="shared" si="2"/>
        <v>2478.763856000005</v>
      </c>
      <c r="J8" s="21">
        <f t="shared" si="3"/>
        <v>8.909981049659109</v>
      </c>
      <c r="K8" s="23">
        <v>45106</v>
      </c>
      <c r="L8">
        <f t="shared" si="4"/>
        <v>15</v>
      </c>
      <c r="M8" s="3">
        <f t="shared" si="5"/>
        <v>6.9386961566486549E-2</v>
      </c>
      <c r="N8">
        <v>47</v>
      </c>
      <c r="O8">
        <v>89</v>
      </c>
      <c r="P8" s="27">
        <v>98</v>
      </c>
      <c r="Q8" s="24">
        <v>126.44</v>
      </c>
      <c r="R8" s="25">
        <f t="shared" si="6"/>
        <v>117.58920000000001</v>
      </c>
      <c r="S8" s="25">
        <v>121.79</v>
      </c>
      <c r="T8" s="28">
        <f t="shared" si="7"/>
        <v>158.05000000000001</v>
      </c>
      <c r="U8" s="24">
        <f t="shared" si="8"/>
        <v>189.66</v>
      </c>
      <c r="V8" s="24">
        <f t="shared" si="9"/>
        <v>252.88</v>
      </c>
      <c r="W8" s="24">
        <f t="shared" si="10"/>
        <v>119.42131762381702</v>
      </c>
      <c r="X8" s="25">
        <v>122.45</v>
      </c>
      <c r="Y8" s="3">
        <f t="shared" si="11"/>
        <v>-4.6413971425748005E-2</v>
      </c>
      <c r="Z8" s="4">
        <f t="shared" si="12"/>
        <v>7.4439452466500841E-2</v>
      </c>
      <c r="AB8" s="26">
        <v>45140</v>
      </c>
      <c r="AC8" s="7">
        <v>97</v>
      </c>
      <c r="AD8" t="s">
        <v>58</v>
      </c>
    </row>
    <row r="9" spans="1:31" x14ac:dyDescent="0.25">
      <c r="A9" t="s">
        <v>60</v>
      </c>
      <c r="B9" t="s">
        <v>32</v>
      </c>
      <c r="C9" s="20" t="s">
        <v>61</v>
      </c>
      <c r="D9" s="44">
        <v>665.97389999999996</v>
      </c>
      <c r="E9" s="21">
        <v>76.17</v>
      </c>
      <c r="F9" s="21">
        <f t="shared" si="0"/>
        <v>50727.231962999998</v>
      </c>
      <c r="G9" s="21">
        <v>51028</v>
      </c>
      <c r="H9" s="22">
        <f t="shared" si="1"/>
        <v>76.621621357834002</v>
      </c>
      <c r="I9" s="21">
        <f t="shared" si="2"/>
        <v>-300.76803700000164</v>
      </c>
      <c r="J9" s="21">
        <f t="shared" si="3"/>
        <v>-0.45162135783400004</v>
      </c>
      <c r="K9" s="23">
        <v>45112</v>
      </c>
      <c r="L9">
        <f t="shared" si="4"/>
        <v>9</v>
      </c>
      <c r="M9" s="3">
        <f t="shared" si="5"/>
        <v>-5.894176471741037E-3</v>
      </c>
      <c r="N9">
        <v>44</v>
      </c>
      <c r="O9">
        <v>90</v>
      </c>
      <c r="P9">
        <v>82</v>
      </c>
      <c r="Q9" s="24">
        <v>74.44</v>
      </c>
      <c r="R9" s="25">
        <f t="shared" si="6"/>
        <v>69.229200000000006</v>
      </c>
      <c r="S9" s="25">
        <v>70.88</v>
      </c>
      <c r="T9" s="24">
        <f t="shared" si="7"/>
        <v>93.05</v>
      </c>
      <c r="U9" s="24">
        <f t="shared" si="8"/>
        <v>111.66</v>
      </c>
      <c r="V9" s="24">
        <f t="shared" si="9"/>
        <v>148.88</v>
      </c>
      <c r="W9" s="24">
        <f t="shared" si="10"/>
        <v>71.258107862785621</v>
      </c>
      <c r="X9" s="25">
        <v>73.25</v>
      </c>
      <c r="Y9" s="3">
        <f t="shared" si="11"/>
        <v>-4.4003524045622119E-2</v>
      </c>
      <c r="Z9" s="29">
        <f t="shared" si="12"/>
        <v>9.8844421856950554E-2</v>
      </c>
      <c r="AB9" s="26">
        <v>45131</v>
      </c>
      <c r="AC9" s="7">
        <v>97</v>
      </c>
      <c r="AD9" t="s">
        <v>62</v>
      </c>
    </row>
    <row r="10" spans="1:31" x14ac:dyDescent="0.25">
      <c r="A10" t="s">
        <v>63</v>
      </c>
      <c r="B10" t="s">
        <v>32</v>
      </c>
      <c r="C10" s="20" t="s">
        <v>64</v>
      </c>
      <c r="D10" s="44">
        <v>115.8536</v>
      </c>
      <c r="E10" s="21">
        <v>454.11</v>
      </c>
      <c r="F10" s="21">
        <f t="shared" si="0"/>
        <v>52610.278296000004</v>
      </c>
      <c r="G10" s="21">
        <v>51225.83</v>
      </c>
      <c r="H10" s="22">
        <f t="shared" si="1"/>
        <v>442.16001919664131</v>
      </c>
      <c r="I10" s="21">
        <f t="shared" si="2"/>
        <v>1384.4482960000023</v>
      </c>
      <c r="J10" s="21">
        <f t="shared" si="3"/>
        <v>11.949980803358699</v>
      </c>
      <c r="K10" s="23">
        <v>45117</v>
      </c>
      <c r="L10">
        <f t="shared" si="4"/>
        <v>4</v>
      </c>
      <c r="M10" s="3">
        <f t="shared" si="5"/>
        <v>2.7026371188129159E-2</v>
      </c>
      <c r="N10">
        <v>22</v>
      </c>
      <c r="O10">
        <v>89</v>
      </c>
      <c r="P10">
        <v>90</v>
      </c>
      <c r="Q10" s="24">
        <v>392.79</v>
      </c>
      <c r="R10" s="25">
        <f t="shared" si="6"/>
        <v>365.29470000000003</v>
      </c>
      <c r="S10" s="25">
        <v>416.87</v>
      </c>
      <c r="T10" s="24">
        <f t="shared" si="7"/>
        <v>490.98750000000001</v>
      </c>
      <c r="U10" s="24">
        <f t="shared" si="8"/>
        <v>589.18500000000006</v>
      </c>
      <c r="V10" s="24">
        <f t="shared" si="9"/>
        <v>785.58</v>
      </c>
      <c r="W10" s="24">
        <f t="shared" si="10"/>
        <v>411.20881785287639</v>
      </c>
      <c r="X10" s="25">
        <v>415</v>
      </c>
      <c r="Y10" s="3">
        <f t="shared" si="11"/>
        <v>-6.1425768991932465E-2</v>
      </c>
      <c r="Z10" s="4">
        <f t="shared" si="12"/>
        <v>0.10251362711244325</v>
      </c>
      <c r="AB10" s="26">
        <v>45154</v>
      </c>
      <c r="AC10" s="7">
        <v>96</v>
      </c>
      <c r="AD10" t="s">
        <v>65</v>
      </c>
    </row>
    <row r="11" spans="1:31" x14ac:dyDescent="0.25">
      <c r="C11" s="20"/>
      <c r="E11" s="21"/>
      <c r="F11" s="21">
        <f t="shared" si="0"/>
        <v>0</v>
      </c>
      <c r="G11" s="21"/>
      <c r="H11" s="22" t="e">
        <f t="shared" si="1"/>
        <v>#DIV/0!</v>
      </c>
      <c r="I11" s="21">
        <f t="shared" si="2"/>
        <v>0</v>
      </c>
      <c r="J11" s="21" t="e">
        <f t="shared" si="3"/>
        <v>#DIV/0!</v>
      </c>
      <c r="K11" s="23"/>
      <c r="L11">
        <f t="shared" si="4"/>
        <v>44474</v>
      </c>
      <c r="M11" s="3" t="e">
        <f t="shared" si="5"/>
        <v>#DIV/0!</v>
      </c>
      <c r="Q11" s="24"/>
      <c r="R11" s="25">
        <f t="shared" si="6"/>
        <v>0</v>
      </c>
      <c r="S11" s="25"/>
      <c r="T11" s="28">
        <f t="shared" si="7"/>
        <v>0</v>
      </c>
      <c r="U11" s="24">
        <f t="shared" si="8"/>
        <v>0</v>
      </c>
      <c r="V11" s="24">
        <f t="shared" si="9"/>
        <v>0</v>
      </c>
      <c r="W11" s="24" t="e">
        <f t="shared" si="10"/>
        <v>#DIV/0!</v>
      </c>
      <c r="X11" s="25"/>
      <c r="Y11" s="3" t="e">
        <f t="shared" si="11"/>
        <v>#DIV/0!</v>
      </c>
      <c r="Z11" s="29">
        <f t="shared" si="12"/>
        <v>0</v>
      </c>
      <c r="AA11" s="7"/>
      <c r="AB11" s="26">
        <v>44581</v>
      </c>
      <c r="AC11" s="7">
        <v>99</v>
      </c>
    </row>
    <row r="12" spans="1:31" x14ac:dyDescent="0.25">
      <c r="C12" s="20"/>
      <c r="E12" s="21"/>
      <c r="F12" s="21">
        <f t="shared" si="0"/>
        <v>0</v>
      </c>
      <c r="G12" s="21"/>
      <c r="H12" s="22" t="e">
        <f t="shared" si="1"/>
        <v>#DIV/0!</v>
      </c>
      <c r="I12" s="21">
        <f t="shared" si="2"/>
        <v>0</v>
      </c>
      <c r="J12" s="21" t="e">
        <f t="shared" si="3"/>
        <v>#DIV/0!</v>
      </c>
      <c r="K12" s="23"/>
      <c r="L12">
        <f t="shared" si="4"/>
        <v>44474</v>
      </c>
      <c r="M12" s="3" t="e">
        <f t="shared" si="5"/>
        <v>#DIV/0!</v>
      </c>
      <c r="Q12" s="24"/>
      <c r="R12" s="25">
        <f t="shared" si="6"/>
        <v>0</v>
      </c>
      <c r="S12" s="25"/>
      <c r="T12" s="28">
        <f t="shared" si="7"/>
        <v>0</v>
      </c>
      <c r="U12" s="24">
        <f t="shared" si="8"/>
        <v>0</v>
      </c>
      <c r="V12" s="24">
        <f t="shared" si="9"/>
        <v>0</v>
      </c>
      <c r="W12" s="24" t="e">
        <f t="shared" si="10"/>
        <v>#DIV/0!</v>
      </c>
      <c r="X12" s="25"/>
      <c r="Y12" s="3" t="e">
        <f t="shared" si="11"/>
        <v>#DIV/0!</v>
      </c>
      <c r="Z12" s="29">
        <f t="shared" si="12"/>
        <v>0</v>
      </c>
      <c r="AB12" s="26">
        <v>44568</v>
      </c>
      <c r="AC12" s="7">
        <v>90</v>
      </c>
    </row>
    <row r="13" spans="1:31" x14ac:dyDescent="0.25">
      <c r="C13" s="20"/>
      <c r="E13" s="21"/>
      <c r="F13" s="21">
        <f t="shared" si="0"/>
        <v>0</v>
      </c>
      <c r="G13" s="21"/>
      <c r="H13" s="22" t="e">
        <f t="shared" si="1"/>
        <v>#DIV/0!</v>
      </c>
      <c r="I13" s="21">
        <f t="shared" si="2"/>
        <v>0</v>
      </c>
      <c r="J13" s="21" t="e">
        <f t="shared" si="3"/>
        <v>#DIV/0!</v>
      </c>
      <c r="K13" s="23"/>
      <c r="L13">
        <f t="shared" si="4"/>
        <v>44474</v>
      </c>
      <c r="M13" s="3" t="e">
        <f t="shared" si="5"/>
        <v>#DIV/0!</v>
      </c>
      <c r="Q13" s="24"/>
      <c r="R13" s="25">
        <f t="shared" si="6"/>
        <v>0</v>
      </c>
      <c r="S13" s="25"/>
      <c r="T13" s="28">
        <f t="shared" si="7"/>
        <v>0</v>
      </c>
      <c r="U13" s="24">
        <f t="shared" si="8"/>
        <v>0</v>
      </c>
      <c r="V13" s="24">
        <f t="shared" si="9"/>
        <v>0</v>
      </c>
      <c r="W13" s="24" t="e">
        <f t="shared" si="10"/>
        <v>#DIV/0!</v>
      </c>
      <c r="X13" s="25"/>
      <c r="Y13" s="3" t="e">
        <f t="shared" si="11"/>
        <v>#DIV/0!</v>
      </c>
      <c r="Z13" s="4">
        <f t="shared" si="12"/>
        <v>0</v>
      </c>
      <c r="AB13" s="26">
        <v>44601</v>
      </c>
      <c r="AC13" s="7">
        <v>99</v>
      </c>
    </row>
    <row r="14" spans="1:31" x14ac:dyDescent="0.25">
      <c r="C14" s="20"/>
      <c r="E14" s="21"/>
      <c r="F14" s="21">
        <f t="shared" si="0"/>
        <v>0</v>
      </c>
      <c r="G14" s="21"/>
      <c r="H14" s="22" t="e">
        <f t="shared" si="1"/>
        <v>#DIV/0!</v>
      </c>
      <c r="I14" s="21">
        <f t="shared" si="2"/>
        <v>0</v>
      </c>
      <c r="J14" s="21" t="e">
        <f t="shared" si="3"/>
        <v>#DIV/0!</v>
      </c>
      <c r="K14" s="23"/>
      <c r="L14">
        <f t="shared" si="4"/>
        <v>44474</v>
      </c>
      <c r="M14" s="3" t="e">
        <f t="shared" si="5"/>
        <v>#DIV/0!</v>
      </c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 t="e">
        <f t="shared" si="10"/>
        <v>#DIV/0!</v>
      </c>
      <c r="X14" s="25"/>
      <c r="Y14" s="3" t="e">
        <f t="shared" si="11"/>
        <v>#DIV/0!</v>
      </c>
      <c r="Z14" s="4">
        <f t="shared" si="12"/>
        <v>0</v>
      </c>
      <c r="AB14" s="26">
        <v>44610</v>
      </c>
      <c r="AC14" s="7">
        <v>92</v>
      </c>
    </row>
    <row r="15" spans="1:31" x14ac:dyDescent="0.25">
      <c r="C15" s="20"/>
      <c r="E15" s="21"/>
      <c r="F15" s="21">
        <f t="shared" si="0"/>
        <v>0</v>
      </c>
      <c r="G15" s="21"/>
      <c r="H15" s="22" t="e">
        <f t="shared" si="1"/>
        <v>#DIV/0!</v>
      </c>
      <c r="I15" s="21">
        <f t="shared" si="2"/>
        <v>0</v>
      </c>
      <c r="J15" s="21" t="e">
        <f t="shared" si="3"/>
        <v>#DIV/0!</v>
      </c>
      <c r="K15" s="23"/>
      <c r="L15">
        <f t="shared" si="4"/>
        <v>44474</v>
      </c>
      <c r="M15" s="3" t="e">
        <f t="shared" si="5"/>
        <v>#DIV/0!</v>
      </c>
      <c r="Q15" s="24"/>
      <c r="R15" s="25">
        <f t="shared" si="6"/>
        <v>0</v>
      </c>
      <c r="S15" s="25"/>
      <c r="T15" s="24">
        <f t="shared" si="7"/>
        <v>0</v>
      </c>
      <c r="U15" s="24">
        <f t="shared" si="8"/>
        <v>0</v>
      </c>
      <c r="V15" s="24">
        <f t="shared" si="9"/>
        <v>0</v>
      </c>
      <c r="W15" s="24" t="e">
        <f t="shared" si="10"/>
        <v>#DIV/0!</v>
      </c>
      <c r="X15" s="25"/>
      <c r="Y15" s="3" t="e">
        <f t="shared" si="11"/>
        <v>#DIV/0!</v>
      </c>
      <c r="Z15" s="29">
        <f t="shared" si="12"/>
        <v>0</v>
      </c>
      <c r="AA15" s="7"/>
      <c r="AB15" s="26"/>
      <c r="AC15" s="7"/>
    </row>
    <row r="16" spans="1:31" x14ac:dyDescent="0.25">
      <c r="C16" s="20"/>
      <c r="E16" s="21"/>
      <c r="F16" s="21">
        <f t="shared" si="0"/>
        <v>0</v>
      </c>
      <c r="G16" s="21"/>
      <c r="H16" s="22" t="e">
        <f t="shared" si="1"/>
        <v>#DIV/0!</v>
      </c>
      <c r="I16" s="21">
        <f t="shared" si="2"/>
        <v>0</v>
      </c>
      <c r="J16" s="21" t="e">
        <f t="shared" si="3"/>
        <v>#DIV/0!</v>
      </c>
      <c r="K16" s="23"/>
      <c r="L16">
        <f t="shared" si="4"/>
        <v>44474</v>
      </c>
      <c r="M16" s="3" t="e">
        <f t="shared" si="5"/>
        <v>#DIV/0!</v>
      </c>
      <c r="Q16" s="24"/>
      <c r="R16" s="25">
        <f t="shared" si="6"/>
        <v>0</v>
      </c>
      <c r="S16" s="25"/>
      <c r="T16" s="28">
        <f t="shared" si="7"/>
        <v>0</v>
      </c>
      <c r="U16" s="28">
        <f t="shared" si="8"/>
        <v>0</v>
      </c>
      <c r="V16" s="24">
        <f t="shared" si="9"/>
        <v>0</v>
      </c>
      <c r="W16" s="24" t="e">
        <f t="shared" si="10"/>
        <v>#DIV/0!</v>
      </c>
      <c r="X16" s="25"/>
      <c r="Y16" s="3" t="e">
        <f t="shared" si="11"/>
        <v>#DIV/0!</v>
      </c>
      <c r="Z16" s="4">
        <f t="shared" si="12"/>
        <v>0</v>
      </c>
      <c r="AB16" s="30"/>
      <c r="AC16" s="7"/>
    </row>
    <row r="17" spans="1:29" x14ac:dyDescent="0.25">
      <c r="A17" s="20" t="s">
        <v>44</v>
      </c>
      <c r="B17" s="20" t="s">
        <v>32</v>
      </c>
      <c r="C17" s="20" t="s">
        <v>45</v>
      </c>
      <c r="D17" s="44">
        <v>2778.4117999999999</v>
      </c>
      <c r="E17" s="21">
        <v>91.62</v>
      </c>
      <c r="F17" s="21">
        <f t="shared" si="0"/>
        <v>254558.08911599999</v>
      </c>
      <c r="G17" s="21">
        <v>254613.66</v>
      </c>
      <c r="H17" s="22">
        <f t="shared" si="1"/>
        <v>91.640000953062469</v>
      </c>
      <c r="I17" s="21">
        <f t="shared" si="2"/>
        <v>-55.570884000015212</v>
      </c>
      <c r="J17" s="21">
        <f t="shared" si="3"/>
        <v>-2.0000953062464077E-2</v>
      </c>
      <c r="K17" s="23"/>
      <c r="L17">
        <f t="shared" si="4"/>
        <v>44474</v>
      </c>
      <c r="M17" s="3">
        <f t="shared" si="5"/>
        <v>-2.1825570552662106E-4</v>
      </c>
      <c r="Q17" s="24"/>
      <c r="R17" s="25">
        <f t="shared" si="6"/>
        <v>0</v>
      </c>
      <c r="S17" s="25"/>
      <c r="T17" s="28">
        <f t="shared" si="7"/>
        <v>0</v>
      </c>
      <c r="U17" s="28">
        <f t="shared" si="8"/>
        <v>0</v>
      </c>
      <c r="V17" s="24">
        <f t="shared" si="9"/>
        <v>0</v>
      </c>
      <c r="W17" s="24">
        <f t="shared" si="10"/>
        <v>85.225200886348091</v>
      </c>
      <c r="X17" s="25"/>
      <c r="Y17" s="3">
        <f t="shared" si="11"/>
        <v>-1</v>
      </c>
      <c r="Z17" s="4">
        <f t="shared" si="12"/>
        <v>0.4960185323345418</v>
      </c>
      <c r="AB17" s="26"/>
      <c r="AC17" s="7"/>
    </row>
    <row r="18" spans="1:29" x14ac:dyDescent="0.25">
      <c r="A18" t="s">
        <v>42</v>
      </c>
      <c r="B18" t="s">
        <v>32</v>
      </c>
      <c r="C18" s="20" t="s">
        <v>43</v>
      </c>
      <c r="D18" s="44">
        <v>511.29180000000002</v>
      </c>
      <c r="E18" s="21">
        <v>17.55</v>
      </c>
      <c r="F18" s="21">
        <f t="shared" si="0"/>
        <v>8973.1710900000016</v>
      </c>
      <c r="G18" s="21">
        <v>24797.66</v>
      </c>
      <c r="H18" s="22">
        <f t="shared" si="1"/>
        <v>48.500015059893386</v>
      </c>
      <c r="I18" s="21">
        <f t="shared" si="2"/>
        <v>-15824.488909999998</v>
      </c>
      <c r="J18" s="21">
        <f t="shared" si="3"/>
        <v>-30.950015059893385</v>
      </c>
      <c r="K18" s="23"/>
      <c r="L18">
        <f t="shared" si="4"/>
        <v>44474</v>
      </c>
      <c r="M18" s="3">
        <f t="shared" si="5"/>
        <v>-0.63814444225785816</v>
      </c>
      <c r="P18" s="27"/>
      <c r="Q18" s="24"/>
      <c r="R18" s="25">
        <f t="shared" si="6"/>
        <v>0</v>
      </c>
      <c r="S18" s="25"/>
      <c r="T18" s="24">
        <f t="shared" si="7"/>
        <v>0</v>
      </c>
      <c r="U18" s="24">
        <f t="shared" si="8"/>
        <v>0</v>
      </c>
      <c r="V18" s="24">
        <f t="shared" si="9"/>
        <v>0</v>
      </c>
      <c r="W18" s="24">
        <f t="shared" si="10"/>
        <v>45.105014005700852</v>
      </c>
      <c r="X18" s="25"/>
      <c r="Y18" s="3">
        <f t="shared" si="11"/>
        <v>-1</v>
      </c>
      <c r="Z18" s="4">
        <f t="shared" si="12"/>
        <v>1.7484650241934848E-2</v>
      </c>
      <c r="AB18" s="26"/>
      <c r="AC18" s="7"/>
    </row>
    <row r="19" spans="1:29" x14ac:dyDescent="0.25">
      <c r="A19" s="31"/>
      <c r="B19" s="31"/>
      <c r="C19" s="31"/>
      <c r="D19" s="47"/>
      <c r="E19" s="32"/>
      <c r="F19" s="32">
        <f t="shared" si="0"/>
        <v>0</v>
      </c>
      <c r="G19" s="32"/>
      <c r="H19" s="33" t="e">
        <f t="shared" si="1"/>
        <v>#DIV/0!</v>
      </c>
      <c r="I19" s="32">
        <f t="shared" si="2"/>
        <v>0</v>
      </c>
      <c r="J19" s="32" t="e">
        <f t="shared" si="3"/>
        <v>#DIV/0!</v>
      </c>
      <c r="K19" s="34"/>
      <c r="L19" s="31">
        <f t="shared" si="4"/>
        <v>44474</v>
      </c>
      <c r="M19" s="35" t="e">
        <f t="shared" si="5"/>
        <v>#DIV/0!</v>
      </c>
      <c r="N19" s="31"/>
      <c r="O19" s="31"/>
      <c r="P19" s="31"/>
      <c r="Q19" s="36"/>
      <c r="R19" s="37">
        <f t="shared" si="6"/>
        <v>0</v>
      </c>
      <c r="S19" s="37"/>
      <c r="T19" s="36">
        <f t="shared" si="7"/>
        <v>0</v>
      </c>
      <c r="U19" s="36">
        <f t="shared" si="8"/>
        <v>0</v>
      </c>
      <c r="V19" s="36">
        <f t="shared" si="9"/>
        <v>0</v>
      </c>
      <c r="W19" s="36" t="e">
        <f t="shared" si="10"/>
        <v>#DIV/0!</v>
      </c>
      <c r="X19" s="37"/>
      <c r="Y19" s="35" t="e">
        <f t="shared" si="11"/>
        <v>#DIV/0!</v>
      </c>
      <c r="Z19" s="38">
        <f t="shared" si="12"/>
        <v>0</v>
      </c>
      <c r="AB19" s="39"/>
      <c r="AC19" s="7"/>
    </row>
    <row r="20" spans="1:29" x14ac:dyDescent="0.25">
      <c r="A20" t="s">
        <v>33</v>
      </c>
      <c r="F20" s="21">
        <f>SUM(F6:F19)</f>
        <v>455600.77877100004</v>
      </c>
      <c r="G20" s="21">
        <f>SUM(G6:G19)</f>
        <v>468379.88999999996</v>
      </c>
      <c r="H20" s="2"/>
      <c r="I20" s="21">
        <f>SUM(I6:I19)</f>
        <v>-12779.111229000007</v>
      </c>
      <c r="M20" s="3"/>
      <c r="Z20" s="4"/>
    </row>
    <row r="21" spans="1:29" x14ac:dyDescent="0.25">
      <c r="D21" s="44" t="s">
        <v>34</v>
      </c>
      <c r="F21" s="40">
        <v>57602</v>
      </c>
      <c r="G21" s="4">
        <f>F21/F22</f>
        <v>0.11224023404148989</v>
      </c>
      <c r="H21" s="2"/>
      <c r="M21" s="3"/>
      <c r="Z21" s="4"/>
    </row>
    <row r="22" spans="1:29" x14ac:dyDescent="0.25">
      <c r="D22" s="44" t="s">
        <v>35</v>
      </c>
      <c r="F22" s="21">
        <f>SUM(F20:F21)</f>
        <v>513202.77877100004</v>
      </c>
      <c r="G22" s="21"/>
      <c r="H22" s="41"/>
      <c r="M22" s="3"/>
      <c r="Z22" s="4"/>
    </row>
    <row r="23" spans="1:29" x14ac:dyDescent="0.25">
      <c r="F23" s="22" t="s">
        <v>36</v>
      </c>
      <c r="G23" s="21"/>
      <c r="H23" s="20" t="s">
        <v>37</v>
      </c>
      <c r="I23" s="40">
        <v>509611.27</v>
      </c>
      <c r="M23" s="3"/>
      <c r="Z23" s="4"/>
    </row>
    <row r="24" spans="1:29" x14ac:dyDescent="0.25">
      <c r="F24" s="42" t="s">
        <v>38</v>
      </c>
      <c r="G24" s="4" t="e">
        <f>(F22-G23)/G23</f>
        <v>#DIV/0!</v>
      </c>
      <c r="H24" s="43" t="s">
        <v>39</v>
      </c>
      <c r="I24" s="4">
        <f>(F22-I23-F25)/I23</f>
        <v>7.0475458107510502E-3</v>
      </c>
      <c r="Z24" s="4"/>
    </row>
    <row r="26" spans="1:29" x14ac:dyDescent="0.25">
      <c r="D26" s="7"/>
      <c r="E26" s="7"/>
      <c r="F26" s="48"/>
      <c r="G26" s="7"/>
      <c r="H26" s="7"/>
      <c r="I26" s="7"/>
      <c r="J26" s="7"/>
      <c r="K26" s="7"/>
      <c r="L26" s="7"/>
      <c r="M26" s="9" t="s">
        <v>46</v>
      </c>
    </row>
    <row r="27" spans="1:29" x14ac:dyDescent="0.25">
      <c r="A27" s="49" t="s">
        <v>54</v>
      </c>
      <c r="D27" s="19" t="s">
        <v>17</v>
      </c>
      <c r="E27" s="19" t="s">
        <v>47</v>
      </c>
      <c r="F27" s="19" t="s">
        <v>48</v>
      </c>
      <c r="G27" s="19" t="s">
        <v>49</v>
      </c>
      <c r="H27" s="19" t="s">
        <v>50</v>
      </c>
      <c r="I27" s="19" t="s">
        <v>51</v>
      </c>
      <c r="J27" s="19" t="s">
        <v>12</v>
      </c>
      <c r="K27" s="19" t="s">
        <v>22</v>
      </c>
      <c r="L27" s="19" t="s">
        <v>52</v>
      </c>
      <c r="M27" s="19" t="s">
        <v>53</v>
      </c>
      <c r="N27" s="1"/>
      <c r="P27" s="7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EEE5-B17B-47AA-AC34-2BCB99CF2615}">
  <dimension ref="A1:AE2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bestFit="1" customWidth="1"/>
    <col min="7" max="7" width="12.7109375" bestFit="1" customWidth="1"/>
    <col min="8" max="8" width="16.5703125" bestFit="1" customWidth="1"/>
    <col min="9" max="9" width="15.5703125" bestFit="1" customWidth="1"/>
    <col min="10" max="10" width="8.42578125" bestFit="1" customWidth="1"/>
    <col min="11" max="11" width="10.5703125" bestFit="1" customWidth="1"/>
    <col min="12" max="12" width="9.5703125" bestFit="1" customWidth="1"/>
    <col min="13" max="13" width="8.140625" bestFit="1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" bestFit="1" customWidth="1"/>
    <col min="29" max="29" width="6.140625" bestFit="1" customWidth="1"/>
  </cols>
  <sheetData>
    <row r="1" spans="1:31" x14ac:dyDescent="0.25">
      <c r="C1" s="1">
        <v>45128</v>
      </c>
      <c r="H1" s="2"/>
      <c r="M1" s="3"/>
      <c r="Z1" s="4"/>
    </row>
    <row r="2" spans="1:31" x14ac:dyDescent="0.25">
      <c r="C2" s="1"/>
      <c r="E2" s="5"/>
      <c r="H2" s="2"/>
      <c r="M2" s="3"/>
      <c r="Z2" s="4"/>
    </row>
    <row r="3" spans="1:31" x14ac:dyDescent="0.25">
      <c r="C3" s="6" t="s">
        <v>0</v>
      </c>
      <c r="H3" s="2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7"/>
      <c r="G4" s="7"/>
      <c r="H4" s="7" t="s">
        <v>3</v>
      </c>
      <c r="I4" s="7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12" t="s">
        <v>18</v>
      </c>
      <c r="G5" s="12" t="s">
        <v>3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21">
        <f t="shared" ref="F6:F19" si="0">E6*D6</f>
        <v>0</v>
      </c>
      <c r="G6" s="21"/>
      <c r="H6" s="22" t="e">
        <f t="shared" ref="H6:H19" si="1">G6/D6</f>
        <v>#DIV/0!</v>
      </c>
      <c r="I6" s="21">
        <f t="shared" ref="I6:I19" si="2">F6-G6</f>
        <v>0</v>
      </c>
      <c r="J6" s="21" t="e">
        <f t="shared" ref="J6:J19" si="3">E6-H6</f>
        <v>#DIV/0!</v>
      </c>
      <c r="K6" s="23"/>
      <c r="L6">
        <f t="shared" ref="L6:L19" si="4">DAYS360(K6,$C$1)</f>
        <v>44481</v>
      </c>
      <c r="M6" s="3" t="e">
        <f t="shared" ref="M6:M19" si="5">(I6/G6)</f>
        <v>#DIV/0!</v>
      </c>
      <c r="Q6" s="24"/>
      <c r="R6" s="25">
        <f t="shared" ref="R6:R19" si="6">Q6*0.93</f>
        <v>0</v>
      </c>
      <c r="S6" s="25"/>
      <c r="T6" s="24">
        <f t="shared" ref="T6:T19" si="7">Q6*1.25</f>
        <v>0</v>
      </c>
      <c r="U6" s="24">
        <f t="shared" ref="U6:U19" si="8">Q6*1.5</f>
        <v>0</v>
      </c>
      <c r="V6" s="24">
        <f t="shared" ref="V6:V19" si="9">Q6*2</f>
        <v>0</v>
      </c>
      <c r="W6" s="24" t="e">
        <f t="shared" ref="W6:W19" si="10">H6-(H6*0.07)</f>
        <v>#DIV/0!</v>
      </c>
      <c r="X6" s="25"/>
      <c r="Y6" s="3" t="e">
        <f t="shared" ref="Y6:Y19" si="11">(X6-H6)/H6</f>
        <v>#DIV/0!</v>
      </c>
      <c r="Z6" s="4">
        <f t="shared" ref="Z6:Z19" si="12">F6/F$22</f>
        <v>0</v>
      </c>
      <c r="AB6" s="26"/>
      <c r="AC6" s="7"/>
      <c r="AD6" s="7"/>
      <c r="AE6" s="7"/>
    </row>
    <row r="7" spans="1:31" x14ac:dyDescent="0.25">
      <c r="A7" t="s">
        <v>40</v>
      </c>
      <c r="B7" t="s">
        <v>32</v>
      </c>
      <c r="C7" s="20" t="s">
        <v>41</v>
      </c>
      <c r="D7" s="44">
        <v>123.3931</v>
      </c>
      <c r="E7" s="21">
        <v>414.25</v>
      </c>
      <c r="F7" s="21">
        <f t="shared" si="0"/>
        <v>51115.591675000003</v>
      </c>
      <c r="G7" s="21">
        <v>50990.97</v>
      </c>
      <c r="H7" s="22">
        <f t="shared" si="1"/>
        <v>413.24004340599271</v>
      </c>
      <c r="I7" s="21">
        <f t="shared" si="2"/>
        <v>124.62167500000214</v>
      </c>
      <c r="J7" s="21">
        <f t="shared" si="3"/>
        <v>1.0099565940072921</v>
      </c>
      <c r="K7" s="23">
        <v>45104</v>
      </c>
      <c r="L7">
        <f t="shared" si="4"/>
        <v>24</v>
      </c>
      <c r="M7" s="3">
        <f t="shared" si="5"/>
        <v>2.4439949857788966E-3</v>
      </c>
      <c r="N7">
        <v>67</v>
      </c>
      <c r="O7">
        <v>79</v>
      </c>
      <c r="P7">
        <v>95</v>
      </c>
      <c r="Q7" s="24">
        <v>401.53</v>
      </c>
      <c r="R7" s="25">
        <f t="shared" si="6"/>
        <v>373.42289999999997</v>
      </c>
      <c r="S7" s="25">
        <v>373.28</v>
      </c>
      <c r="T7" s="24">
        <f t="shared" si="7"/>
        <v>501.91249999999997</v>
      </c>
      <c r="U7" s="24">
        <f t="shared" si="8"/>
        <v>602.29499999999996</v>
      </c>
      <c r="V7" s="24">
        <f t="shared" si="9"/>
        <v>803.06</v>
      </c>
      <c r="W7" s="24">
        <f t="shared" si="10"/>
        <v>384.3132403675732</v>
      </c>
      <c r="X7" s="25">
        <v>399</v>
      </c>
      <c r="Y7" s="3">
        <f t="shared" si="11"/>
        <v>-3.4459495475375322E-2</v>
      </c>
      <c r="Z7" s="4">
        <f t="shared" si="12"/>
        <v>9.9867343917511661E-2</v>
      </c>
      <c r="AB7" s="26">
        <v>45140</v>
      </c>
      <c r="AC7" s="7">
        <v>84</v>
      </c>
      <c r="AD7" t="s">
        <v>59</v>
      </c>
    </row>
    <row r="8" spans="1:31" x14ac:dyDescent="0.25">
      <c r="A8" t="s">
        <v>56</v>
      </c>
      <c r="B8" t="s">
        <v>32</v>
      </c>
      <c r="C8" s="20" t="s">
        <v>57</v>
      </c>
      <c r="D8" s="44">
        <v>278.20080000000002</v>
      </c>
      <c r="E8" s="21">
        <v>130.6</v>
      </c>
      <c r="F8" s="21">
        <f t="shared" si="0"/>
        <v>36333.02448</v>
      </c>
      <c r="G8" s="21">
        <v>35723.769999999997</v>
      </c>
      <c r="H8" s="22">
        <f t="shared" si="1"/>
        <v>128.41001895034088</v>
      </c>
      <c r="I8" s="21">
        <f t="shared" si="2"/>
        <v>609.25448000000324</v>
      </c>
      <c r="J8" s="21">
        <f t="shared" si="3"/>
        <v>2.1899810496591101</v>
      </c>
      <c r="K8" s="23">
        <v>45106</v>
      </c>
      <c r="L8">
        <f t="shared" si="4"/>
        <v>22</v>
      </c>
      <c r="M8" s="3">
        <f t="shared" si="5"/>
        <v>1.7054596421374434E-2</v>
      </c>
      <c r="N8">
        <v>56</v>
      </c>
      <c r="O8">
        <v>87</v>
      </c>
      <c r="P8" s="27">
        <v>98</v>
      </c>
      <c r="Q8" s="24">
        <v>126.44</v>
      </c>
      <c r="R8" s="25">
        <f t="shared" si="6"/>
        <v>117.58920000000001</v>
      </c>
      <c r="S8" s="25">
        <v>121.79</v>
      </c>
      <c r="T8" s="28">
        <f t="shared" si="7"/>
        <v>158.05000000000001</v>
      </c>
      <c r="U8" s="24">
        <f t="shared" si="8"/>
        <v>189.66</v>
      </c>
      <c r="V8" s="24">
        <f t="shared" si="9"/>
        <v>252.88</v>
      </c>
      <c r="W8" s="24">
        <f t="shared" si="10"/>
        <v>119.42131762381702</v>
      </c>
      <c r="X8" s="25">
        <v>122.45</v>
      </c>
      <c r="Y8" s="3">
        <f t="shared" si="11"/>
        <v>-4.6413971425748005E-2</v>
      </c>
      <c r="Z8" s="4">
        <f t="shared" si="12"/>
        <v>7.0985829028018005E-2</v>
      </c>
      <c r="AB8" s="26">
        <v>45140</v>
      </c>
      <c r="AC8" s="7">
        <v>96</v>
      </c>
      <c r="AD8" t="s">
        <v>58</v>
      </c>
    </row>
    <row r="9" spans="1:31" x14ac:dyDescent="0.25">
      <c r="A9" t="s">
        <v>60</v>
      </c>
      <c r="B9" t="s">
        <v>32</v>
      </c>
      <c r="C9" s="20" t="s">
        <v>61</v>
      </c>
      <c r="D9" s="44">
        <v>665.97389999999996</v>
      </c>
      <c r="E9" s="21">
        <v>75.36</v>
      </c>
      <c r="F9" s="21">
        <f t="shared" si="0"/>
        <v>50187.793103999997</v>
      </c>
      <c r="G9" s="21">
        <v>51028</v>
      </c>
      <c r="H9" s="22">
        <f t="shared" si="1"/>
        <v>76.621621357834002</v>
      </c>
      <c r="I9" s="21">
        <f t="shared" si="2"/>
        <v>-840.20689600000333</v>
      </c>
      <c r="J9" s="21">
        <f t="shared" si="3"/>
        <v>-1.2616213578340023</v>
      </c>
      <c r="K9" s="23">
        <v>45112</v>
      </c>
      <c r="L9">
        <f t="shared" si="4"/>
        <v>16</v>
      </c>
      <c r="M9" s="3">
        <f t="shared" si="5"/>
        <v>-1.6465605079564224E-2</v>
      </c>
      <c r="N9">
        <v>47</v>
      </c>
      <c r="O9">
        <v>85</v>
      </c>
      <c r="P9">
        <v>82</v>
      </c>
      <c r="Q9" s="24">
        <v>74.44</v>
      </c>
      <c r="R9" s="25">
        <f t="shared" si="6"/>
        <v>69.229200000000006</v>
      </c>
      <c r="S9" s="25">
        <v>70.88</v>
      </c>
      <c r="T9" s="24">
        <f t="shared" si="7"/>
        <v>93.05</v>
      </c>
      <c r="U9" s="24">
        <f t="shared" si="8"/>
        <v>111.66</v>
      </c>
      <c r="V9" s="24">
        <f t="shared" si="9"/>
        <v>148.88</v>
      </c>
      <c r="W9" s="24">
        <f t="shared" si="10"/>
        <v>71.258107862785621</v>
      </c>
      <c r="X9" s="25">
        <v>73.25</v>
      </c>
      <c r="Y9" s="3">
        <f t="shared" si="11"/>
        <v>-4.4003524045622119E-2</v>
      </c>
      <c r="Z9" s="29">
        <f t="shared" si="12"/>
        <v>9.805465280037938E-2</v>
      </c>
      <c r="AB9" s="26">
        <v>45131</v>
      </c>
      <c r="AC9" s="7">
        <v>93</v>
      </c>
      <c r="AD9" t="s">
        <v>62</v>
      </c>
    </row>
    <row r="10" spans="1:31" x14ac:dyDescent="0.25">
      <c r="A10" t="s">
        <v>63</v>
      </c>
      <c r="B10" t="s">
        <v>32</v>
      </c>
      <c r="C10" s="20" t="s">
        <v>64</v>
      </c>
      <c r="D10" s="44">
        <v>115.8536</v>
      </c>
      <c r="E10" s="21">
        <v>454</v>
      </c>
      <c r="F10" s="21">
        <f t="shared" si="0"/>
        <v>52597.534399999997</v>
      </c>
      <c r="G10" s="21">
        <v>51225.83</v>
      </c>
      <c r="H10" s="22">
        <f t="shared" si="1"/>
        <v>442.16001919664131</v>
      </c>
      <c r="I10" s="21">
        <f t="shared" si="2"/>
        <v>1371.7043999999951</v>
      </c>
      <c r="J10" s="21">
        <f t="shared" si="3"/>
        <v>11.839980803358685</v>
      </c>
      <c r="K10" s="23">
        <v>45117</v>
      </c>
      <c r="L10">
        <f t="shared" si="4"/>
        <v>11</v>
      </c>
      <c r="M10" s="3">
        <f t="shared" si="5"/>
        <v>2.6777592476295554E-2</v>
      </c>
      <c r="N10">
        <v>19</v>
      </c>
      <c r="O10">
        <v>90</v>
      </c>
      <c r="P10">
        <v>90</v>
      </c>
      <c r="Q10" s="24">
        <v>392.79</v>
      </c>
      <c r="R10" s="25">
        <f t="shared" si="6"/>
        <v>365.29470000000003</v>
      </c>
      <c r="S10" s="25">
        <v>416.87</v>
      </c>
      <c r="T10" s="24">
        <f t="shared" si="7"/>
        <v>490.98750000000001</v>
      </c>
      <c r="U10" s="24">
        <f t="shared" si="8"/>
        <v>589.18500000000006</v>
      </c>
      <c r="V10" s="24">
        <f t="shared" si="9"/>
        <v>785.58</v>
      </c>
      <c r="W10" s="24">
        <f t="shared" si="10"/>
        <v>411.20881785287639</v>
      </c>
      <c r="X10" s="25">
        <v>415</v>
      </c>
      <c r="Y10" s="3">
        <f t="shared" si="11"/>
        <v>-6.1425768991932465E-2</v>
      </c>
      <c r="Z10" s="4">
        <f t="shared" si="12"/>
        <v>0.10276269695821633</v>
      </c>
      <c r="AB10" s="26">
        <v>45154</v>
      </c>
      <c r="AC10" s="7">
        <v>96</v>
      </c>
      <c r="AD10" t="s">
        <v>65</v>
      </c>
    </row>
    <row r="11" spans="1:31" x14ac:dyDescent="0.25">
      <c r="C11" s="20"/>
      <c r="E11" s="21"/>
      <c r="F11" s="21">
        <f t="shared" si="0"/>
        <v>0</v>
      </c>
      <c r="G11" s="21"/>
      <c r="H11" s="22" t="e">
        <f t="shared" si="1"/>
        <v>#DIV/0!</v>
      </c>
      <c r="I11" s="21">
        <f t="shared" si="2"/>
        <v>0</v>
      </c>
      <c r="J11" s="21" t="e">
        <f t="shared" si="3"/>
        <v>#DIV/0!</v>
      </c>
      <c r="K11" s="23"/>
      <c r="L11">
        <f t="shared" si="4"/>
        <v>44481</v>
      </c>
      <c r="M11" s="3" t="e">
        <f t="shared" si="5"/>
        <v>#DIV/0!</v>
      </c>
      <c r="Q11" s="24"/>
      <c r="R11" s="25">
        <f t="shared" si="6"/>
        <v>0</v>
      </c>
      <c r="S11" s="25"/>
      <c r="T11" s="28">
        <f t="shared" si="7"/>
        <v>0</v>
      </c>
      <c r="U11" s="24">
        <f t="shared" si="8"/>
        <v>0</v>
      </c>
      <c r="V11" s="24">
        <f t="shared" si="9"/>
        <v>0</v>
      </c>
      <c r="W11" s="24" t="e">
        <f t="shared" si="10"/>
        <v>#DIV/0!</v>
      </c>
      <c r="X11" s="25"/>
      <c r="Y11" s="3" t="e">
        <f t="shared" si="11"/>
        <v>#DIV/0!</v>
      </c>
      <c r="Z11" s="29">
        <f t="shared" si="12"/>
        <v>0</v>
      </c>
      <c r="AA11" s="7"/>
      <c r="AB11" s="26">
        <v>44581</v>
      </c>
      <c r="AC11" s="7">
        <v>99</v>
      </c>
    </row>
    <row r="12" spans="1:31" x14ac:dyDescent="0.25">
      <c r="C12" s="20"/>
      <c r="E12" s="21"/>
      <c r="F12" s="21">
        <f t="shared" si="0"/>
        <v>0</v>
      </c>
      <c r="G12" s="21"/>
      <c r="H12" s="22" t="e">
        <f t="shared" si="1"/>
        <v>#DIV/0!</v>
      </c>
      <c r="I12" s="21">
        <f t="shared" si="2"/>
        <v>0</v>
      </c>
      <c r="J12" s="21" t="e">
        <f t="shared" si="3"/>
        <v>#DIV/0!</v>
      </c>
      <c r="K12" s="23"/>
      <c r="L12">
        <f t="shared" si="4"/>
        <v>44481</v>
      </c>
      <c r="M12" s="3" t="e">
        <f t="shared" si="5"/>
        <v>#DIV/0!</v>
      </c>
      <c r="Q12" s="24"/>
      <c r="R12" s="25">
        <f t="shared" si="6"/>
        <v>0</v>
      </c>
      <c r="S12" s="25"/>
      <c r="T12" s="28">
        <f t="shared" si="7"/>
        <v>0</v>
      </c>
      <c r="U12" s="24">
        <f t="shared" si="8"/>
        <v>0</v>
      </c>
      <c r="V12" s="24">
        <f t="shared" si="9"/>
        <v>0</v>
      </c>
      <c r="W12" s="24" t="e">
        <f t="shared" si="10"/>
        <v>#DIV/0!</v>
      </c>
      <c r="X12" s="25"/>
      <c r="Y12" s="3" t="e">
        <f t="shared" si="11"/>
        <v>#DIV/0!</v>
      </c>
      <c r="Z12" s="29">
        <f t="shared" si="12"/>
        <v>0</v>
      </c>
      <c r="AB12" s="26">
        <v>44568</v>
      </c>
      <c r="AC12" s="7">
        <v>90</v>
      </c>
    </row>
    <row r="13" spans="1:31" x14ac:dyDescent="0.25">
      <c r="C13" s="20"/>
      <c r="E13" s="21"/>
      <c r="F13" s="21">
        <f t="shared" si="0"/>
        <v>0</v>
      </c>
      <c r="G13" s="21"/>
      <c r="H13" s="22" t="e">
        <f t="shared" si="1"/>
        <v>#DIV/0!</v>
      </c>
      <c r="I13" s="21">
        <f t="shared" si="2"/>
        <v>0</v>
      </c>
      <c r="J13" s="21" t="e">
        <f t="shared" si="3"/>
        <v>#DIV/0!</v>
      </c>
      <c r="K13" s="23"/>
      <c r="L13">
        <f t="shared" si="4"/>
        <v>44481</v>
      </c>
      <c r="M13" s="3" t="e">
        <f t="shared" si="5"/>
        <v>#DIV/0!</v>
      </c>
      <c r="Q13" s="24"/>
      <c r="R13" s="25">
        <f t="shared" si="6"/>
        <v>0</v>
      </c>
      <c r="S13" s="25"/>
      <c r="T13" s="28">
        <f t="shared" si="7"/>
        <v>0</v>
      </c>
      <c r="U13" s="24">
        <f t="shared" si="8"/>
        <v>0</v>
      </c>
      <c r="V13" s="24">
        <f t="shared" si="9"/>
        <v>0</v>
      </c>
      <c r="W13" s="24" t="e">
        <f t="shared" si="10"/>
        <v>#DIV/0!</v>
      </c>
      <c r="X13" s="25"/>
      <c r="Y13" s="3" t="e">
        <f t="shared" si="11"/>
        <v>#DIV/0!</v>
      </c>
      <c r="Z13" s="4">
        <f t="shared" si="12"/>
        <v>0</v>
      </c>
      <c r="AB13" s="26">
        <v>44601</v>
      </c>
      <c r="AC13" s="7">
        <v>99</v>
      </c>
    </row>
    <row r="14" spans="1:31" x14ac:dyDescent="0.25">
      <c r="C14" s="20"/>
      <c r="E14" s="21"/>
      <c r="F14" s="21">
        <f t="shared" si="0"/>
        <v>0</v>
      </c>
      <c r="G14" s="21"/>
      <c r="H14" s="22" t="e">
        <f t="shared" si="1"/>
        <v>#DIV/0!</v>
      </c>
      <c r="I14" s="21">
        <f t="shared" si="2"/>
        <v>0</v>
      </c>
      <c r="J14" s="21" t="e">
        <f t="shared" si="3"/>
        <v>#DIV/0!</v>
      </c>
      <c r="K14" s="23"/>
      <c r="L14">
        <f t="shared" si="4"/>
        <v>44481</v>
      </c>
      <c r="M14" s="3" t="e">
        <f t="shared" si="5"/>
        <v>#DIV/0!</v>
      </c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 t="e">
        <f t="shared" si="10"/>
        <v>#DIV/0!</v>
      </c>
      <c r="X14" s="25"/>
      <c r="Y14" s="3" t="e">
        <f t="shared" si="11"/>
        <v>#DIV/0!</v>
      </c>
      <c r="Z14" s="4">
        <f t="shared" si="12"/>
        <v>0</v>
      </c>
      <c r="AB14" s="26">
        <v>44610</v>
      </c>
      <c r="AC14" s="7">
        <v>92</v>
      </c>
    </row>
    <row r="15" spans="1:31" x14ac:dyDescent="0.25">
      <c r="C15" s="20"/>
      <c r="E15" s="21"/>
      <c r="F15" s="21">
        <f t="shared" si="0"/>
        <v>0</v>
      </c>
      <c r="G15" s="21"/>
      <c r="H15" s="22" t="e">
        <f t="shared" si="1"/>
        <v>#DIV/0!</v>
      </c>
      <c r="I15" s="21">
        <f t="shared" si="2"/>
        <v>0</v>
      </c>
      <c r="J15" s="21" t="e">
        <f t="shared" si="3"/>
        <v>#DIV/0!</v>
      </c>
      <c r="K15" s="23"/>
      <c r="L15">
        <f t="shared" si="4"/>
        <v>44481</v>
      </c>
      <c r="M15" s="3" t="e">
        <f t="shared" si="5"/>
        <v>#DIV/0!</v>
      </c>
      <c r="Q15" s="24"/>
      <c r="R15" s="25">
        <f t="shared" si="6"/>
        <v>0</v>
      </c>
      <c r="S15" s="25"/>
      <c r="T15" s="24">
        <f t="shared" si="7"/>
        <v>0</v>
      </c>
      <c r="U15" s="24">
        <f t="shared" si="8"/>
        <v>0</v>
      </c>
      <c r="V15" s="24">
        <f t="shared" si="9"/>
        <v>0</v>
      </c>
      <c r="W15" s="24" t="e">
        <f t="shared" si="10"/>
        <v>#DIV/0!</v>
      </c>
      <c r="X15" s="25"/>
      <c r="Y15" s="3" t="e">
        <f t="shared" si="11"/>
        <v>#DIV/0!</v>
      </c>
      <c r="Z15" s="29">
        <f t="shared" si="12"/>
        <v>0</v>
      </c>
      <c r="AA15" s="7"/>
      <c r="AB15" s="26"/>
      <c r="AC15" s="7"/>
    </row>
    <row r="16" spans="1:31" x14ac:dyDescent="0.25">
      <c r="C16" s="20"/>
      <c r="E16" s="21"/>
      <c r="F16" s="21">
        <f t="shared" si="0"/>
        <v>0</v>
      </c>
      <c r="G16" s="21"/>
      <c r="H16" s="22" t="e">
        <f t="shared" si="1"/>
        <v>#DIV/0!</v>
      </c>
      <c r="I16" s="21">
        <f t="shared" si="2"/>
        <v>0</v>
      </c>
      <c r="J16" s="21" t="e">
        <f t="shared" si="3"/>
        <v>#DIV/0!</v>
      </c>
      <c r="K16" s="23"/>
      <c r="L16">
        <f t="shared" si="4"/>
        <v>44481</v>
      </c>
      <c r="M16" s="3" t="e">
        <f t="shared" si="5"/>
        <v>#DIV/0!</v>
      </c>
      <c r="Q16" s="24"/>
      <c r="R16" s="25">
        <f t="shared" si="6"/>
        <v>0</v>
      </c>
      <c r="S16" s="25"/>
      <c r="T16" s="28">
        <f t="shared" si="7"/>
        <v>0</v>
      </c>
      <c r="U16" s="28">
        <f t="shared" si="8"/>
        <v>0</v>
      </c>
      <c r="V16" s="24">
        <f t="shared" si="9"/>
        <v>0</v>
      </c>
      <c r="W16" s="24" t="e">
        <f t="shared" si="10"/>
        <v>#DIV/0!</v>
      </c>
      <c r="X16" s="25"/>
      <c r="Y16" s="3" t="e">
        <f t="shared" si="11"/>
        <v>#DIV/0!</v>
      </c>
      <c r="Z16" s="4">
        <f t="shared" si="12"/>
        <v>0</v>
      </c>
      <c r="AB16" s="30"/>
      <c r="AC16" s="7"/>
    </row>
    <row r="17" spans="1:29" x14ac:dyDescent="0.25">
      <c r="A17" s="20" t="s">
        <v>44</v>
      </c>
      <c r="B17" s="20" t="s">
        <v>32</v>
      </c>
      <c r="C17" s="20" t="s">
        <v>45</v>
      </c>
      <c r="D17" s="44">
        <v>2778.4117999999999</v>
      </c>
      <c r="E17" s="21">
        <v>91.7</v>
      </c>
      <c r="F17" s="21">
        <f t="shared" si="0"/>
        <v>254780.36205999998</v>
      </c>
      <c r="G17" s="21">
        <v>254613.66</v>
      </c>
      <c r="H17" s="22">
        <f t="shared" si="1"/>
        <v>91.640000953062469</v>
      </c>
      <c r="I17" s="21">
        <f t="shared" si="2"/>
        <v>166.70205999998143</v>
      </c>
      <c r="J17" s="21">
        <f t="shared" si="3"/>
        <v>5.9999046937534217E-2</v>
      </c>
      <c r="K17" s="23"/>
      <c r="L17">
        <f t="shared" si="4"/>
        <v>44481</v>
      </c>
      <c r="M17" s="3">
        <f t="shared" si="5"/>
        <v>6.5472551629783499E-4</v>
      </c>
      <c r="Q17" s="24"/>
      <c r="R17" s="25">
        <f t="shared" si="6"/>
        <v>0</v>
      </c>
      <c r="S17" s="25"/>
      <c r="T17" s="28">
        <f t="shared" si="7"/>
        <v>0</v>
      </c>
      <c r="U17" s="28">
        <f t="shared" si="8"/>
        <v>0</v>
      </c>
      <c r="V17" s="24">
        <f t="shared" si="9"/>
        <v>0</v>
      </c>
      <c r="W17" s="24">
        <f t="shared" si="10"/>
        <v>85.225200886348091</v>
      </c>
      <c r="X17" s="25"/>
      <c r="Y17" s="3">
        <f t="shared" si="11"/>
        <v>-1</v>
      </c>
      <c r="Z17" s="4">
        <f t="shared" si="12"/>
        <v>0.49777841178191073</v>
      </c>
      <c r="AB17" s="26"/>
      <c r="AC17" s="7"/>
    </row>
    <row r="18" spans="1:29" x14ac:dyDescent="0.25">
      <c r="A18" t="s">
        <v>42</v>
      </c>
      <c r="B18" t="s">
        <v>32</v>
      </c>
      <c r="C18" s="20" t="s">
        <v>43</v>
      </c>
      <c r="D18" s="44">
        <v>511.29180000000002</v>
      </c>
      <c r="E18" s="21">
        <v>18.03</v>
      </c>
      <c r="F18" s="21">
        <f t="shared" si="0"/>
        <v>9218.5911540000016</v>
      </c>
      <c r="G18" s="21">
        <v>24797.66</v>
      </c>
      <c r="H18" s="22">
        <f t="shared" si="1"/>
        <v>48.500015059893386</v>
      </c>
      <c r="I18" s="21">
        <f t="shared" si="2"/>
        <v>-15579.068845999998</v>
      </c>
      <c r="J18" s="21">
        <f t="shared" si="3"/>
        <v>-30.470015059893385</v>
      </c>
      <c r="K18" s="23"/>
      <c r="L18">
        <f t="shared" si="4"/>
        <v>44481</v>
      </c>
      <c r="M18" s="3">
        <f t="shared" si="5"/>
        <v>-0.62824753811448331</v>
      </c>
      <c r="P18" s="27"/>
      <c r="Q18" s="24"/>
      <c r="R18" s="25">
        <f t="shared" si="6"/>
        <v>0</v>
      </c>
      <c r="S18" s="25"/>
      <c r="T18" s="24">
        <f t="shared" si="7"/>
        <v>0</v>
      </c>
      <c r="U18" s="24">
        <f t="shared" si="8"/>
        <v>0</v>
      </c>
      <c r="V18" s="24">
        <f t="shared" si="9"/>
        <v>0</v>
      </c>
      <c r="W18" s="24">
        <f t="shared" si="10"/>
        <v>45.105014005700852</v>
      </c>
      <c r="X18" s="25"/>
      <c r="Y18" s="3">
        <f t="shared" si="11"/>
        <v>-1</v>
      </c>
      <c r="Z18" s="4">
        <f t="shared" si="12"/>
        <v>1.8010868759281536E-2</v>
      </c>
      <c r="AB18" s="26"/>
      <c r="AC18" s="7"/>
    </row>
    <row r="19" spans="1:29" x14ac:dyDescent="0.25">
      <c r="A19" s="31"/>
      <c r="B19" s="31"/>
      <c r="C19" s="31"/>
      <c r="D19" s="47"/>
      <c r="E19" s="32"/>
      <c r="F19" s="32">
        <f t="shared" si="0"/>
        <v>0</v>
      </c>
      <c r="G19" s="32"/>
      <c r="H19" s="33" t="e">
        <f t="shared" si="1"/>
        <v>#DIV/0!</v>
      </c>
      <c r="I19" s="32">
        <f t="shared" si="2"/>
        <v>0</v>
      </c>
      <c r="J19" s="32" t="e">
        <f t="shared" si="3"/>
        <v>#DIV/0!</v>
      </c>
      <c r="K19" s="34"/>
      <c r="L19" s="31">
        <f t="shared" si="4"/>
        <v>44481</v>
      </c>
      <c r="M19" s="35" t="e">
        <f t="shared" si="5"/>
        <v>#DIV/0!</v>
      </c>
      <c r="N19" s="31"/>
      <c r="O19" s="31"/>
      <c r="P19" s="31"/>
      <c r="Q19" s="36"/>
      <c r="R19" s="37">
        <f t="shared" si="6"/>
        <v>0</v>
      </c>
      <c r="S19" s="37"/>
      <c r="T19" s="36">
        <f t="shared" si="7"/>
        <v>0</v>
      </c>
      <c r="U19" s="36">
        <f t="shared" si="8"/>
        <v>0</v>
      </c>
      <c r="V19" s="36">
        <f t="shared" si="9"/>
        <v>0</v>
      </c>
      <c r="W19" s="36" t="e">
        <f t="shared" si="10"/>
        <v>#DIV/0!</v>
      </c>
      <c r="X19" s="37"/>
      <c r="Y19" s="35" t="e">
        <f t="shared" si="11"/>
        <v>#DIV/0!</v>
      </c>
      <c r="Z19" s="38">
        <f t="shared" si="12"/>
        <v>0</v>
      </c>
      <c r="AB19" s="39"/>
      <c r="AC19" s="7"/>
    </row>
    <row r="20" spans="1:29" x14ac:dyDescent="0.25">
      <c r="A20" t="s">
        <v>33</v>
      </c>
      <c r="F20" s="21">
        <f>SUM(F6:F19)</f>
        <v>454232.89687299996</v>
      </c>
      <c r="G20" s="21">
        <f>SUM(G6:G19)</f>
        <v>468379.88999999996</v>
      </c>
      <c r="H20" s="2"/>
      <c r="I20" s="21">
        <f>SUM(I6:I19)</f>
        <v>-14146.99312700002</v>
      </c>
      <c r="M20" s="3"/>
      <c r="Z20" s="4"/>
    </row>
    <row r="21" spans="1:29" x14ac:dyDescent="0.25">
      <c r="D21" s="44" t="s">
        <v>34</v>
      </c>
      <c r="F21" s="40">
        <v>57602</v>
      </c>
      <c r="G21" s="4">
        <f>F21/F22</f>
        <v>0.11254019675468242</v>
      </c>
      <c r="H21" s="2"/>
      <c r="M21" s="3"/>
      <c r="Z21" s="4"/>
    </row>
    <row r="22" spans="1:29" x14ac:dyDescent="0.25">
      <c r="D22" s="44" t="s">
        <v>35</v>
      </c>
      <c r="F22" s="21">
        <f>SUM(F20:F21)</f>
        <v>511834.89687299996</v>
      </c>
      <c r="G22" s="21"/>
      <c r="H22" s="41"/>
      <c r="M22" s="3"/>
      <c r="Z22" s="4"/>
    </row>
    <row r="23" spans="1:29" x14ac:dyDescent="0.25">
      <c r="F23" s="22"/>
      <c r="G23" s="21"/>
      <c r="H23" s="20" t="s">
        <v>37</v>
      </c>
      <c r="I23" s="40">
        <v>513598.81</v>
      </c>
      <c r="M23" s="3"/>
      <c r="Z23" s="4"/>
    </row>
    <row r="24" spans="1:29" x14ac:dyDescent="0.25">
      <c r="F24" s="42"/>
      <c r="G24" s="4"/>
      <c r="H24" s="43" t="s">
        <v>39</v>
      </c>
      <c r="I24" s="4">
        <f>(F22-I23-F25)/I23</f>
        <v>-3.4344182514753807E-3</v>
      </c>
      <c r="Z24" s="4"/>
    </row>
    <row r="26" spans="1:29" x14ac:dyDescent="0.25">
      <c r="D26" s="7"/>
      <c r="E26" s="7"/>
      <c r="F26" s="48"/>
      <c r="G26" s="7"/>
      <c r="H26" s="7"/>
      <c r="I26" s="7"/>
      <c r="J26" s="7"/>
      <c r="K26" s="7"/>
      <c r="L26" s="7"/>
      <c r="M26" s="9" t="s">
        <v>46</v>
      </c>
    </row>
    <row r="27" spans="1:29" x14ac:dyDescent="0.25">
      <c r="A27" s="49" t="s">
        <v>54</v>
      </c>
      <c r="D27" s="19" t="s">
        <v>17</v>
      </c>
      <c r="E27" s="19" t="s">
        <v>47</v>
      </c>
      <c r="F27" s="19" t="s">
        <v>48</v>
      </c>
      <c r="G27" s="19" t="s">
        <v>49</v>
      </c>
      <c r="H27" s="19" t="s">
        <v>50</v>
      </c>
      <c r="I27" s="19" t="s">
        <v>51</v>
      </c>
      <c r="J27" s="19" t="s">
        <v>12</v>
      </c>
      <c r="K27" s="19" t="s">
        <v>22</v>
      </c>
      <c r="L27" s="19" t="s">
        <v>52</v>
      </c>
      <c r="M27" s="19" t="s">
        <v>53</v>
      </c>
      <c r="N27" s="1"/>
      <c r="P27" s="7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277-0A7C-4BF4-800D-D81AEFB91EED}">
  <dimension ref="A1:AE186"/>
  <sheetViews>
    <sheetView topLeftCell="B4" workbookViewId="0">
      <selection activeCell="B4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9.5703125" bestFit="1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" bestFit="1" customWidth="1"/>
    <col min="29" max="29" width="6.140625" bestFit="1" customWidth="1"/>
  </cols>
  <sheetData>
    <row r="1" spans="1:31" x14ac:dyDescent="0.25">
      <c r="C1" s="1">
        <v>45135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50">
        <f t="shared" ref="F6:F13" si="0">E6*D6</f>
        <v>0</v>
      </c>
      <c r="H6" s="54" t="e">
        <f t="shared" ref="H6:H13" si="1">G6/D6</f>
        <v>#DIV/0!</v>
      </c>
      <c r="I6" s="50">
        <f t="shared" ref="I6:I13" si="2">F6-G6</f>
        <v>0</v>
      </c>
      <c r="J6" s="21" t="e">
        <f t="shared" ref="J6:J13" si="3">E6-H6</f>
        <v>#DIV/0!</v>
      </c>
      <c r="K6" s="23"/>
      <c r="L6">
        <f t="shared" ref="L6:L13" si="4">DAYS360(K6,$C$1)</f>
        <v>44488</v>
      </c>
      <c r="M6" s="3" t="e">
        <f t="shared" ref="M6:M13" si="5">(I6/G6)</f>
        <v>#DIV/0!</v>
      </c>
      <c r="Q6" s="24"/>
      <c r="R6" s="25">
        <f t="shared" ref="R6:R13" si="6">Q6*0.93</f>
        <v>0</v>
      </c>
      <c r="S6" s="25"/>
      <c r="T6" s="24">
        <f t="shared" ref="T6:T13" si="7">Q6*1.25</f>
        <v>0</v>
      </c>
      <c r="U6" s="24">
        <f t="shared" ref="U6:U13" si="8">Q6*1.5</f>
        <v>0</v>
      </c>
      <c r="V6" s="24">
        <f t="shared" ref="V6:V13" si="9">Q6*2</f>
        <v>0</v>
      </c>
      <c r="W6" s="24" t="e">
        <f t="shared" ref="W6:W13" si="10">H6-(H6*0.07)</f>
        <v>#DIV/0!</v>
      </c>
      <c r="X6" s="25"/>
      <c r="Y6" s="3" t="e">
        <f t="shared" ref="Y6:Y13" si="11">(X6-H6)/H6</f>
        <v>#DIV/0!</v>
      </c>
      <c r="Z6" s="4">
        <f t="shared" ref="Z6:Z13" si="12">F6/F$16</f>
        <v>0</v>
      </c>
      <c r="AB6" s="26"/>
      <c r="AC6" s="7"/>
      <c r="AD6" s="7"/>
      <c r="AE6" s="7"/>
    </row>
    <row r="7" spans="1:31" x14ac:dyDescent="0.25">
      <c r="A7" t="s">
        <v>40</v>
      </c>
      <c r="B7" t="s">
        <v>32</v>
      </c>
      <c r="C7" s="20" t="s">
        <v>41</v>
      </c>
      <c r="D7" s="44">
        <v>123.3931</v>
      </c>
      <c r="E7" s="21">
        <v>402.97</v>
      </c>
      <c r="F7" s="50">
        <f t="shared" si="0"/>
        <v>49723.717507000008</v>
      </c>
      <c r="G7" s="50">
        <v>50990.97</v>
      </c>
      <c r="H7" s="54">
        <f t="shared" si="1"/>
        <v>413.24004340599271</v>
      </c>
      <c r="I7" s="50">
        <f t="shared" si="2"/>
        <v>-1267.2524929999927</v>
      </c>
      <c r="J7" s="21">
        <f t="shared" si="3"/>
        <v>-10.270043405992681</v>
      </c>
      <c r="K7" s="23">
        <v>45104</v>
      </c>
      <c r="L7">
        <f t="shared" si="4"/>
        <v>31</v>
      </c>
      <c r="M7" s="3">
        <f t="shared" si="5"/>
        <v>-2.4852488450405878E-2</v>
      </c>
      <c r="N7">
        <v>74</v>
      </c>
      <c r="O7">
        <v>72</v>
      </c>
      <c r="P7">
        <v>95</v>
      </c>
      <c r="Q7" s="24">
        <v>401.53</v>
      </c>
      <c r="R7" s="25">
        <f t="shared" si="6"/>
        <v>373.42289999999997</v>
      </c>
      <c r="S7" s="25">
        <v>373.28</v>
      </c>
      <c r="T7" s="24">
        <f t="shared" si="7"/>
        <v>501.91249999999997</v>
      </c>
      <c r="U7" s="24">
        <f t="shared" si="8"/>
        <v>602.29499999999996</v>
      </c>
      <c r="V7" s="24">
        <f t="shared" si="9"/>
        <v>803.06</v>
      </c>
      <c r="W7" s="24">
        <f t="shared" si="10"/>
        <v>384.3132403675732</v>
      </c>
      <c r="X7" s="25">
        <v>399</v>
      </c>
      <c r="Y7" s="3">
        <f t="shared" si="11"/>
        <v>-3.4459495475375322E-2</v>
      </c>
      <c r="Z7" s="4">
        <f t="shared" si="12"/>
        <v>9.8356883758851044E-2</v>
      </c>
      <c r="AB7" s="26">
        <v>45140</v>
      </c>
      <c r="AC7" s="7">
        <v>78</v>
      </c>
      <c r="AD7" t="s">
        <v>59</v>
      </c>
    </row>
    <row r="8" spans="1:31" x14ac:dyDescent="0.25">
      <c r="A8" t="s">
        <v>56</v>
      </c>
      <c r="B8" t="s">
        <v>32</v>
      </c>
      <c r="C8" s="20" t="s">
        <v>57</v>
      </c>
      <c r="D8" s="44">
        <v>278.20080000000002</v>
      </c>
      <c r="E8" s="21">
        <v>132.38</v>
      </c>
      <c r="F8" s="50">
        <f t="shared" si="0"/>
        <v>36828.221903999998</v>
      </c>
      <c r="G8" s="50">
        <v>35723.769999999997</v>
      </c>
      <c r="H8" s="54">
        <f t="shared" si="1"/>
        <v>128.41001895034088</v>
      </c>
      <c r="I8" s="50">
        <f t="shared" si="2"/>
        <v>1104.4519040000014</v>
      </c>
      <c r="J8" s="21">
        <f t="shared" si="3"/>
        <v>3.9699810496591112</v>
      </c>
      <c r="K8" s="23">
        <v>45106</v>
      </c>
      <c r="L8">
        <f t="shared" si="4"/>
        <v>29</v>
      </c>
      <c r="M8" s="3">
        <f t="shared" si="5"/>
        <v>3.0916443141359422E-2</v>
      </c>
      <c r="N8">
        <v>60</v>
      </c>
      <c r="O8">
        <v>86</v>
      </c>
      <c r="P8" s="27">
        <v>98</v>
      </c>
      <c r="Q8" s="24">
        <v>126.44</v>
      </c>
      <c r="R8" s="25">
        <f t="shared" si="6"/>
        <v>117.58920000000001</v>
      </c>
      <c r="S8" s="25">
        <v>126.81</v>
      </c>
      <c r="T8" s="28">
        <f t="shared" si="7"/>
        <v>158.05000000000001</v>
      </c>
      <c r="U8" s="24">
        <f t="shared" si="8"/>
        <v>189.66</v>
      </c>
      <c r="V8" s="24">
        <f t="shared" si="9"/>
        <v>252.88</v>
      </c>
      <c r="W8" s="24">
        <f t="shared" si="10"/>
        <v>119.42131762381702</v>
      </c>
      <c r="X8" s="25">
        <v>124</v>
      </c>
      <c r="Y8" s="3">
        <f t="shared" si="11"/>
        <v>-3.4343262203289142E-2</v>
      </c>
      <c r="Z8" s="4">
        <f t="shared" si="12"/>
        <v>7.2848719332921114E-2</v>
      </c>
      <c r="AB8" s="26">
        <v>45140</v>
      </c>
      <c r="AC8" s="7">
        <v>94</v>
      </c>
      <c r="AD8" t="s">
        <v>58</v>
      </c>
    </row>
    <row r="9" spans="1:31" x14ac:dyDescent="0.25">
      <c r="A9" t="s">
        <v>63</v>
      </c>
      <c r="B9" t="s">
        <v>32</v>
      </c>
      <c r="C9" s="20" t="s">
        <v>64</v>
      </c>
      <c r="D9" s="44">
        <v>115.8536</v>
      </c>
      <c r="E9" s="21">
        <v>450.94</v>
      </c>
      <c r="F9" s="50">
        <f t="shared" si="0"/>
        <v>52243.022383999996</v>
      </c>
      <c r="G9" s="50">
        <v>51225.83</v>
      </c>
      <c r="H9" s="54">
        <f t="shared" si="1"/>
        <v>442.16001919664131</v>
      </c>
      <c r="I9" s="50">
        <f t="shared" si="2"/>
        <v>1017.1923839999945</v>
      </c>
      <c r="J9" s="21">
        <f t="shared" si="3"/>
        <v>8.7799808033586828</v>
      </c>
      <c r="K9" s="23">
        <v>45117</v>
      </c>
      <c r="L9">
        <f t="shared" si="4"/>
        <v>18</v>
      </c>
      <c r="M9" s="3">
        <f t="shared" si="5"/>
        <v>1.9857021038019187E-2</v>
      </c>
      <c r="N9">
        <v>31</v>
      </c>
      <c r="O9">
        <v>91</v>
      </c>
      <c r="P9">
        <v>91</v>
      </c>
      <c r="Q9" s="24">
        <v>392.79</v>
      </c>
      <c r="R9" s="25">
        <f t="shared" si="6"/>
        <v>365.29470000000003</v>
      </c>
      <c r="S9" s="25">
        <v>416.87</v>
      </c>
      <c r="T9" s="24">
        <f t="shared" si="7"/>
        <v>490.98750000000001</v>
      </c>
      <c r="U9" s="24">
        <f t="shared" si="8"/>
        <v>589.18500000000006</v>
      </c>
      <c r="V9" s="24">
        <f t="shared" si="9"/>
        <v>785.58</v>
      </c>
      <c r="W9" s="24">
        <f t="shared" si="10"/>
        <v>411.20881785287639</v>
      </c>
      <c r="X9" s="25">
        <v>415</v>
      </c>
      <c r="Y9" s="3">
        <f t="shared" si="11"/>
        <v>-6.1425768991932465E-2</v>
      </c>
      <c r="Z9" s="4">
        <f t="shared" si="12"/>
        <v>0.103340239577034</v>
      </c>
      <c r="AB9" s="26">
        <v>45154</v>
      </c>
      <c r="AC9" s="7">
        <v>97</v>
      </c>
      <c r="AD9" t="s">
        <v>65</v>
      </c>
    </row>
    <row r="10" spans="1:31" x14ac:dyDescent="0.25">
      <c r="B10" t="s">
        <v>32</v>
      </c>
      <c r="C10" s="20" t="s">
        <v>67</v>
      </c>
      <c r="D10" s="44">
        <v>1211.7122999999999</v>
      </c>
      <c r="E10" s="21">
        <v>21</v>
      </c>
      <c r="F10" s="50">
        <f t="shared" si="0"/>
        <v>25445.958299999998</v>
      </c>
      <c r="G10" s="50">
        <v>25318.9</v>
      </c>
      <c r="H10" s="54">
        <f t="shared" si="1"/>
        <v>20.895141528232404</v>
      </c>
      <c r="I10" s="50">
        <f t="shared" si="2"/>
        <v>127.05829999999696</v>
      </c>
      <c r="J10" s="21">
        <f t="shared" si="3"/>
        <v>0.10485847176759577</v>
      </c>
      <c r="K10" s="23">
        <v>45135</v>
      </c>
      <c r="L10">
        <f t="shared" si="4"/>
        <v>0</v>
      </c>
      <c r="M10" s="3">
        <f t="shared" si="5"/>
        <v>5.0183183313649866E-3</v>
      </c>
      <c r="N10">
        <v>148</v>
      </c>
      <c r="O10">
        <v>99</v>
      </c>
      <c r="P10">
        <v>98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19.432481621256137</v>
      </c>
      <c r="X10" s="25">
        <v>18.12</v>
      </c>
      <c r="Y10" s="3">
        <f t="shared" si="11"/>
        <v>-0.13281276532550781</v>
      </c>
      <c r="Z10" s="29">
        <f t="shared" si="12"/>
        <v>5.0333830375682058E-2</v>
      </c>
      <c r="AA10" s="7"/>
      <c r="AB10" s="26">
        <v>45162</v>
      </c>
      <c r="AC10" s="7">
        <v>99</v>
      </c>
      <c r="AD10" t="s">
        <v>68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91.79</v>
      </c>
      <c r="F11" s="50">
        <f t="shared" si="0"/>
        <v>255030.41912199999</v>
      </c>
      <c r="G11" s="50">
        <v>254613.66</v>
      </c>
      <c r="H11" s="54">
        <f t="shared" si="1"/>
        <v>91.640000953062469</v>
      </c>
      <c r="I11" s="50">
        <f t="shared" si="2"/>
        <v>416.75912199998857</v>
      </c>
      <c r="J11" s="21">
        <f t="shared" si="3"/>
        <v>0.14999904693753763</v>
      </c>
      <c r="K11" s="23"/>
      <c r="L11">
        <f t="shared" si="4"/>
        <v>44488</v>
      </c>
      <c r="M11" s="3">
        <f t="shared" si="5"/>
        <v>1.6368293908503909E-3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0.50446745630035283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16.96</v>
      </c>
      <c r="F12" s="50">
        <f t="shared" si="0"/>
        <v>8671.5089280000011</v>
      </c>
      <c r="G12" s="50">
        <v>24797.66</v>
      </c>
      <c r="H12" s="54">
        <f t="shared" si="1"/>
        <v>48.500015059893386</v>
      </c>
      <c r="I12" s="50">
        <f t="shared" si="2"/>
        <v>-16126.151071999999</v>
      </c>
      <c r="J12" s="21">
        <f t="shared" si="3"/>
        <v>-31.540015059893385</v>
      </c>
      <c r="K12" s="23"/>
      <c r="L12">
        <f t="shared" si="4"/>
        <v>44488</v>
      </c>
      <c r="M12" s="3">
        <f t="shared" si="5"/>
        <v>-0.65030938693408968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1.7152832459179368E-2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44488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427942.848145</v>
      </c>
      <c r="G14" s="50">
        <f>SUM(G6:G13)</f>
        <v>442670.79</v>
      </c>
      <c r="H14" s="54"/>
      <c r="I14" s="50">
        <f>SUM(I6:I13)</f>
        <v>-14727.94185500001</v>
      </c>
      <c r="M14" s="3"/>
      <c r="Z14" s="4"/>
    </row>
    <row r="15" spans="1:31" x14ac:dyDescent="0.25">
      <c r="D15" s="44" t="s">
        <v>34</v>
      </c>
      <c r="F15" s="50">
        <v>77601</v>
      </c>
      <c r="G15" s="58">
        <f>F15/F16</f>
        <v>0.15350003819597957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505543.848145</v>
      </c>
      <c r="H16" s="60"/>
      <c r="M16" s="3"/>
      <c r="Z16" s="4"/>
    </row>
    <row r="17" spans="1:26" x14ac:dyDescent="0.25">
      <c r="F17" s="54"/>
      <c r="H17" s="60" t="s">
        <v>37</v>
      </c>
      <c r="I17" s="50">
        <v>511834.9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(F16-I17-F19)/I17</f>
        <v>-1.2291174077813034E-2</v>
      </c>
      <c r="Z18" s="4"/>
    </row>
    <row r="20" spans="1:26" x14ac:dyDescent="0.25">
      <c r="D20" s="7"/>
      <c r="E20" s="7"/>
      <c r="F20" s="56"/>
      <c r="G20" s="51"/>
      <c r="H20" s="51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49</v>
      </c>
      <c r="H21" s="57" t="s">
        <v>50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 s="61"/>
      <c r="O23" t="s">
        <v>66</v>
      </c>
    </row>
    <row r="24" spans="1:26" x14ac:dyDescent="0.25">
      <c r="J24" s="3"/>
    </row>
    <row r="25" spans="1:26" x14ac:dyDescent="0.25">
      <c r="J25" s="3"/>
    </row>
    <row r="26" spans="1:26" x14ac:dyDescent="0.25">
      <c r="J26" s="3"/>
    </row>
    <row r="27" spans="1:26" x14ac:dyDescent="0.25">
      <c r="J27" s="3"/>
    </row>
    <row r="28" spans="1:26" x14ac:dyDescent="0.25">
      <c r="J28" s="3"/>
    </row>
    <row r="29" spans="1:26" x14ac:dyDescent="0.25">
      <c r="J29" s="3"/>
    </row>
    <row r="30" spans="1:26" x14ac:dyDescent="0.25">
      <c r="J30" s="3"/>
    </row>
    <row r="31" spans="1:26" x14ac:dyDescent="0.25">
      <c r="J31" s="3"/>
    </row>
    <row r="32" spans="1:26" x14ac:dyDescent="0.25">
      <c r="J32" s="3"/>
    </row>
    <row r="33" spans="10:10" x14ac:dyDescent="0.25">
      <c r="J33" s="3"/>
    </row>
    <row r="34" spans="10:10" x14ac:dyDescent="0.25">
      <c r="J34" s="3"/>
    </row>
    <row r="35" spans="10:10" x14ac:dyDescent="0.25">
      <c r="J35" s="3"/>
    </row>
    <row r="36" spans="10:10" x14ac:dyDescent="0.25">
      <c r="J36" s="3"/>
    </row>
    <row r="37" spans="10:10" x14ac:dyDescent="0.25">
      <c r="J37" s="3"/>
    </row>
    <row r="38" spans="10:10" x14ac:dyDescent="0.25">
      <c r="J38" s="3"/>
    </row>
    <row r="39" spans="10:10" x14ac:dyDescent="0.25">
      <c r="J39" s="3"/>
    </row>
    <row r="40" spans="10:10" x14ac:dyDescent="0.25">
      <c r="J40" s="3"/>
    </row>
    <row r="41" spans="10:10" x14ac:dyDescent="0.25">
      <c r="J41" s="3"/>
    </row>
    <row r="42" spans="10:10" x14ac:dyDescent="0.25">
      <c r="J42" s="3"/>
    </row>
    <row r="43" spans="10:10" x14ac:dyDescent="0.25">
      <c r="J43" s="3"/>
    </row>
    <row r="44" spans="10:10" x14ac:dyDescent="0.25">
      <c r="J44" s="3"/>
    </row>
    <row r="45" spans="10:10" x14ac:dyDescent="0.25">
      <c r="J45" s="3"/>
    </row>
    <row r="46" spans="10:10" x14ac:dyDescent="0.25">
      <c r="J46" s="3"/>
    </row>
    <row r="47" spans="10:10" x14ac:dyDescent="0.25">
      <c r="J47" s="3"/>
    </row>
    <row r="48" spans="10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554D-CEA7-4947-B3D5-139AB2553F73}">
  <dimension ref="A1:AE18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9.5703125" bestFit="1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" bestFit="1" customWidth="1"/>
    <col min="29" max="29" width="6.140625" bestFit="1" customWidth="1"/>
  </cols>
  <sheetData>
    <row r="1" spans="1:31" x14ac:dyDescent="0.25">
      <c r="C1" s="1">
        <v>45142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50">
        <f t="shared" ref="F6:F13" si="0">E6*D6</f>
        <v>0</v>
      </c>
      <c r="H6" s="54" t="e">
        <f t="shared" ref="H6:H13" si="1">G6/D6</f>
        <v>#DIV/0!</v>
      </c>
      <c r="I6" s="50">
        <f t="shared" ref="I6:I13" si="2">F6-G6</f>
        <v>0</v>
      </c>
      <c r="J6" s="21" t="e">
        <f t="shared" ref="J6:J13" si="3">E6-H6</f>
        <v>#DIV/0!</v>
      </c>
      <c r="K6" s="23"/>
      <c r="L6">
        <f t="shared" ref="L6:L13" si="4">DAYS360(K6,$C$1)</f>
        <v>44494</v>
      </c>
      <c r="M6" s="3" t="e">
        <f t="shared" ref="M6:M13" si="5">(I6/G6)</f>
        <v>#DIV/0!</v>
      </c>
      <c r="Q6" s="24"/>
      <c r="R6" s="25">
        <f t="shared" ref="R6:R13" si="6">Q6*0.93</f>
        <v>0</v>
      </c>
      <c r="S6" s="25"/>
      <c r="T6" s="24">
        <f t="shared" ref="T6:T13" si="7">Q6*1.25</f>
        <v>0</v>
      </c>
      <c r="U6" s="24">
        <f t="shared" ref="U6:U13" si="8">Q6*1.5</f>
        <v>0</v>
      </c>
      <c r="V6" s="24">
        <f t="shared" ref="V6:V13" si="9">Q6*2</f>
        <v>0</v>
      </c>
      <c r="W6" s="24" t="e">
        <f t="shared" ref="W6:W13" si="10">H6-(H6*0.07)</f>
        <v>#DIV/0!</v>
      </c>
      <c r="X6" s="25"/>
      <c r="Y6" s="3" t="e">
        <f t="shared" ref="Y6:Y13" si="11">(X6-H6)/H6</f>
        <v>#DIV/0!</v>
      </c>
      <c r="Z6" s="4">
        <f t="shared" ref="Z6:Z13" si="12">F6/F$16</f>
        <v>0</v>
      </c>
      <c r="AB6" s="26"/>
      <c r="AC6" s="7"/>
      <c r="AD6" s="7"/>
      <c r="AE6" s="7"/>
    </row>
    <row r="7" spans="1:31" x14ac:dyDescent="0.25">
      <c r="C7" s="20"/>
      <c r="E7" s="21"/>
      <c r="F7" s="50">
        <f t="shared" si="0"/>
        <v>0</v>
      </c>
      <c r="H7" s="54" t="e">
        <f t="shared" si="1"/>
        <v>#DIV/0!</v>
      </c>
      <c r="I7" s="50">
        <f t="shared" si="2"/>
        <v>0</v>
      </c>
      <c r="J7" s="21" t="e">
        <f t="shared" si="3"/>
        <v>#DIV/0!</v>
      </c>
      <c r="K7" s="23"/>
      <c r="L7">
        <f t="shared" si="4"/>
        <v>44494</v>
      </c>
      <c r="M7" s="3" t="e">
        <f t="shared" si="5"/>
        <v>#DIV/0!</v>
      </c>
      <c r="Q7" s="24"/>
      <c r="R7" s="25">
        <f t="shared" si="6"/>
        <v>0</v>
      </c>
      <c r="S7" s="25"/>
      <c r="T7" s="24">
        <f t="shared" si="7"/>
        <v>0</v>
      </c>
      <c r="U7" s="24">
        <f t="shared" si="8"/>
        <v>0</v>
      </c>
      <c r="V7" s="24">
        <f t="shared" si="9"/>
        <v>0</v>
      </c>
      <c r="W7" s="24" t="e">
        <f t="shared" si="10"/>
        <v>#DIV/0!</v>
      </c>
      <c r="X7" s="25"/>
      <c r="Y7" s="3" t="e">
        <f t="shared" si="11"/>
        <v>#DIV/0!</v>
      </c>
      <c r="Z7" s="4">
        <f t="shared" si="12"/>
        <v>0</v>
      </c>
      <c r="AB7" s="26"/>
      <c r="AC7" s="7"/>
    </row>
    <row r="8" spans="1:31" x14ac:dyDescent="0.25">
      <c r="C8" s="20"/>
      <c r="E8" s="21"/>
      <c r="F8" s="50">
        <f t="shared" si="0"/>
        <v>0</v>
      </c>
      <c r="H8" s="54" t="e">
        <f t="shared" si="1"/>
        <v>#DIV/0!</v>
      </c>
      <c r="I8" s="50">
        <f t="shared" si="2"/>
        <v>0</v>
      </c>
      <c r="J8" s="21" t="e">
        <f t="shared" si="3"/>
        <v>#DIV/0!</v>
      </c>
      <c r="K8" s="23"/>
      <c r="L8">
        <f t="shared" si="4"/>
        <v>44494</v>
      </c>
      <c r="M8" s="3" t="e">
        <f t="shared" si="5"/>
        <v>#DIV/0!</v>
      </c>
      <c r="P8" s="27"/>
      <c r="Q8" s="24"/>
      <c r="R8" s="25">
        <f t="shared" si="6"/>
        <v>0</v>
      </c>
      <c r="S8" s="25"/>
      <c r="T8" s="28">
        <f t="shared" si="7"/>
        <v>0</v>
      </c>
      <c r="U8" s="24">
        <f t="shared" si="8"/>
        <v>0</v>
      </c>
      <c r="V8" s="24">
        <f t="shared" si="9"/>
        <v>0</v>
      </c>
      <c r="W8" s="24" t="e">
        <f t="shared" si="10"/>
        <v>#DIV/0!</v>
      </c>
      <c r="X8" s="25"/>
      <c r="Y8" s="3" t="e">
        <f t="shared" si="11"/>
        <v>#DIV/0!</v>
      </c>
      <c r="Z8" s="4">
        <f t="shared" si="12"/>
        <v>0</v>
      </c>
      <c r="AB8" s="26"/>
      <c r="AC8" s="7"/>
    </row>
    <row r="9" spans="1:31" x14ac:dyDescent="0.25">
      <c r="A9" t="s">
        <v>63</v>
      </c>
      <c r="B9" t="s">
        <v>32</v>
      </c>
      <c r="C9" s="20" t="s">
        <v>64</v>
      </c>
      <c r="D9" s="44">
        <v>115.8536</v>
      </c>
      <c r="E9" s="21">
        <v>441.42</v>
      </c>
      <c r="F9" s="50">
        <f t="shared" si="0"/>
        <v>51140.096111999999</v>
      </c>
      <c r="G9" s="50">
        <v>51225.83</v>
      </c>
      <c r="H9" s="54">
        <f t="shared" si="1"/>
        <v>442.16001919664131</v>
      </c>
      <c r="I9" s="50">
        <f t="shared" si="2"/>
        <v>-85.73388800000248</v>
      </c>
      <c r="J9" s="21">
        <f t="shared" si="3"/>
        <v>-0.740019196641299</v>
      </c>
      <c r="K9" s="23">
        <v>45117</v>
      </c>
      <c r="L9">
        <f t="shared" si="4"/>
        <v>24</v>
      </c>
      <c r="M9" s="3">
        <f t="shared" si="5"/>
        <v>-1.67364565884052E-3</v>
      </c>
      <c r="N9">
        <v>39</v>
      </c>
      <c r="O9">
        <v>90</v>
      </c>
      <c r="P9">
        <v>90</v>
      </c>
      <c r="Q9" s="24">
        <v>392.79</v>
      </c>
      <c r="R9" s="25">
        <f t="shared" si="6"/>
        <v>365.29470000000003</v>
      </c>
      <c r="S9" s="25">
        <v>416.87</v>
      </c>
      <c r="T9" s="24">
        <f t="shared" si="7"/>
        <v>490.98750000000001</v>
      </c>
      <c r="U9" s="24">
        <f t="shared" si="8"/>
        <v>589.18500000000006</v>
      </c>
      <c r="V9" s="24">
        <f t="shared" si="9"/>
        <v>785.58</v>
      </c>
      <c r="W9" s="24">
        <f t="shared" si="10"/>
        <v>411.20881785287639</v>
      </c>
      <c r="X9" s="25">
        <v>415</v>
      </c>
      <c r="Y9" s="3">
        <f t="shared" si="11"/>
        <v>-6.1425768991932465E-2</v>
      </c>
      <c r="Z9" s="4">
        <f t="shared" si="12"/>
        <v>0.1017848923887076</v>
      </c>
      <c r="AB9" s="26">
        <v>45154</v>
      </c>
      <c r="AC9" s="7">
        <v>96</v>
      </c>
      <c r="AD9" t="s">
        <v>65</v>
      </c>
    </row>
    <row r="10" spans="1:31" x14ac:dyDescent="0.25">
      <c r="A10" t="s">
        <v>67</v>
      </c>
      <c r="B10" t="s">
        <v>32</v>
      </c>
      <c r="C10" s="20" t="s">
        <v>70</v>
      </c>
      <c r="D10" s="44">
        <v>1211.7122999999999</v>
      </c>
      <c r="E10" s="21">
        <v>20.97</v>
      </c>
      <c r="F10" s="50">
        <f t="shared" si="0"/>
        <v>25409.606930999998</v>
      </c>
      <c r="G10" s="50">
        <v>25318.9</v>
      </c>
      <c r="H10" s="54">
        <f t="shared" si="1"/>
        <v>20.895141528232404</v>
      </c>
      <c r="I10" s="50">
        <f t="shared" si="2"/>
        <v>90.706930999996985</v>
      </c>
      <c r="J10" s="21">
        <f t="shared" si="3"/>
        <v>7.4858471767594637E-2</v>
      </c>
      <c r="K10" s="23">
        <v>45135</v>
      </c>
      <c r="L10">
        <f t="shared" si="4"/>
        <v>6</v>
      </c>
      <c r="M10" s="3">
        <f t="shared" si="5"/>
        <v>3.5825778766058942E-3</v>
      </c>
      <c r="N10">
        <v>150</v>
      </c>
      <c r="O10">
        <v>99</v>
      </c>
      <c r="P10">
        <v>98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19.432481621256137</v>
      </c>
      <c r="X10" s="25">
        <v>18.12</v>
      </c>
      <c r="Y10" s="3">
        <f t="shared" si="11"/>
        <v>-0.13281276532550781</v>
      </c>
      <c r="Z10" s="29">
        <f t="shared" si="12"/>
        <v>5.0573117841761668E-2</v>
      </c>
      <c r="AA10" s="7"/>
      <c r="AB10" s="26">
        <v>45162</v>
      </c>
      <c r="AC10" s="7">
        <v>95</v>
      </c>
      <c r="AD10" t="s">
        <v>68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91.5</v>
      </c>
      <c r="F11" s="50">
        <f t="shared" si="0"/>
        <v>254224.67969999998</v>
      </c>
      <c r="G11" s="50">
        <v>254613.66</v>
      </c>
      <c r="H11" s="54">
        <f t="shared" si="1"/>
        <v>91.640000953062469</v>
      </c>
      <c r="I11" s="50">
        <f t="shared" si="2"/>
        <v>-388.98030000002473</v>
      </c>
      <c r="J11" s="21">
        <f t="shared" si="3"/>
        <v>-0.14000095306246862</v>
      </c>
      <c r="K11" s="23"/>
      <c r="L11">
        <f t="shared" si="4"/>
        <v>44494</v>
      </c>
      <c r="M11" s="3">
        <f t="shared" si="5"/>
        <v>-1.5277275382633623E-3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0.50598715358585944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18.57</v>
      </c>
      <c r="F12" s="50">
        <f t="shared" si="0"/>
        <v>9494.6887260000003</v>
      </c>
      <c r="G12" s="50">
        <v>24797.66</v>
      </c>
      <c r="H12" s="54">
        <f t="shared" si="1"/>
        <v>48.500015059893386</v>
      </c>
      <c r="I12" s="50">
        <f t="shared" si="2"/>
        <v>-15302.971274</v>
      </c>
      <c r="J12" s="21">
        <f t="shared" si="3"/>
        <v>-29.930015059893385</v>
      </c>
      <c r="K12" s="23"/>
      <c r="L12">
        <f t="shared" si="4"/>
        <v>44494</v>
      </c>
      <c r="M12" s="3">
        <f t="shared" si="5"/>
        <v>-0.61711352095318672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1.889741990558004E-2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44494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340269.07146900002</v>
      </c>
      <c r="G14" s="50">
        <f>SUM(G6:G13)</f>
        <v>355956.05</v>
      </c>
      <c r="H14" s="54"/>
      <c r="I14" s="50">
        <f>SUM(I6:I13)</f>
        <v>-15686.97853100003</v>
      </c>
      <c r="M14" s="3"/>
      <c r="Z14" s="4"/>
    </row>
    <row r="15" spans="1:31" x14ac:dyDescent="0.25">
      <c r="D15" s="44" t="s">
        <v>34</v>
      </c>
      <c r="F15" s="50">
        <v>162164</v>
      </c>
      <c r="G15" s="58">
        <f>F15/F16</f>
        <v>0.32275741627809124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502433.07146900002</v>
      </c>
      <c r="H16" s="60"/>
      <c r="M16" s="3"/>
      <c r="Z16" s="4"/>
    </row>
    <row r="17" spans="1:26" x14ac:dyDescent="0.25">
      <c r="F17" s="54"/>
      <c r="H17" s="60" t="s">
        <v>37</v>
      </c>
      <c r="I17" s="50">
        <v>505543.83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(F16-I17-F19)/I17</f>
        <v>-6.1532914584280446E-3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 s="61"/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O25" t="s">
        <v>71</v>
      </c>
    </row>
    <row r="26" spans="1:26" x14ac:dyDescent="0.25">
      <c r="J26" s="3"/>
    </row>
    <row r="27" spans="1:26" x14ac:dyDescent="0.25">
      <c r="J27" s="3"/>
    </row>
    <row r="28" spans="1:26" x14ac:dyDescent="0.25">
      <c r="J28" s="3"/>
    </row>
    <row r="29" spans="1:26" x14ac:dyDescent="0.25">
      <c r="J29" s="3"/>
    </row>
    <row r="30" spans="1:26" x14ac:dyDescent="0.25">
      <c r="J30" s="3"/>
    </row>
    <row r="31" spans="1:26" x14ac:dyDescent="0.25">
      <c r="J31" s="3"/>
    </row>
    <row r="32" spans="1:26" x14ac:dyDescent="0.25">
      <c r="J32" s="3"/>
    </row>
    <row r="33" spans="10:10" x14ac:dyDescent="0.25">
      <c r="J33" s="3"/>
    </row>
    <row r="34" spans="10:10" x14ac:dyDescent="0.25">
      <c r="J34" s="3"/>
    </row>
    <row r="35" spans="10:10" x14ac:dyDescent="0.25">
      <c r="J35" s="3"/>
    </row>
    <row r="36" spans="10:10" x14ac:dyDescent="0.25">
      <c r="J36" s="3"/>
    </row>
    <row r="37" spans="10:10" x14ac:dyDescent="0.25">
      <c r="J37" s="3"/>
    </row>
    <row r="38" spans="10:10" x14ac:dyDescent="0.25">
      <c r="J38" s="3"/>
    </row>
    <row r="39" spans="10:10" x14ac:dyDescent="0.25">
      <c r="J39" s="3"/>
    </row>
    <row r="40" spans="10:10" x14ac:dyDescent="0.25">
      <c r="J40" s="3"/>
    </row>
    <row r="41" spans="10:10" x14ac:dyDescent="0.25">
      <c r="J41" s="3"/>
    </row>
    <row r="42" spans="10:10" x14ac:dyDescent="0.25">
      <c r="J42" s="3"/>
    </row>
    <row r="43" spans="10:10" x14ac:dyDescent="0.25">
      <c r="J43" s="3"/>
    </row>
    <row r="44" spans="10:10" x14ac:dyDescent="0.25">
      <c r="J44" s="3"/>
    </row>
    <row r="45" spans="10:10" x14ac:dyDescent="0.25">
      <c r="J45" s="3"/>
    </row>
    <row r="46" spans="10:10" x14ac:dyDescent="0.25">
      <c r="J46" s="3"/>
    </row>
    <row r="47" spans="10:10" x14ac:dyDescent="0.25">
      <c r="J47" s="3"/>
    </row>
    <row r="48" spans="10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ED8A-2B49-4D7E-BA4D-389C048521CD}">
  <dimension ref="A1:AE186"/>
  <sheetViews>
    <sheetView workbookViewId="0">
      <selection activeCell="F16" sqref="F1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" bestFit="1" customWidth="1"/>
    <col min="29" max="29" width="6.140625" bestFit="1" customWidth="1"/>
  </cols>
  <sheetData>
    <row r="1" spans="1:31" x14ac:dyDescent="0.25">
      <c r="C1" s="1">
        <v>45149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50">
        <f t="shared" ref="F6:F13" si="0">E6*D6</f>
        <v>0</v>
      </c>
      <c r="H6" s="54" t="e">
        <f t="shared" ref="H6:H13" si="1">G6/D6</f>
        <v>#DIV/0!</v>
      </c>
      <c r="I6" s="50">
        <f t="shared" ref="I6:I13" si="2">F6-G6</f>
        <v>0</v>
      </c>
      <c r="J6" s="21" t="e">
        <f t="shared" ref="J6:J13" si="3">E6-H6</f>
        <v>#DIV/0!</v>
      </c>
      <c r="K6" s="23"/>
      <c r="L6">
        <f t="shared" ref="L6:L13" si="4">DAYS360(K6,$C$1)</f>
        <v>44501</v>
      </c>
      <c r="M6" s="3" t="e">
        <f t="shared" ref="M6:M13" si="5">(I6/G6)</f>
        <v>#DIV/0!</v>
      </c>
      <c r="Q6" s="24"/>
      <c r="R6" s="25">
        <f t="shared" ref="R6:R13" si="6">Q6*0.93</f>
        <v>0</v>
      </c>
      <c r="S6" s="25"/>
      <c r="T6" s="24">
        <f t="shared" ref="T6:T13" si="7">Q6*1.25</f>
        <v>0</v>
      </c>
      <c r="U6" s="24">
        <f t="shared" ref="U6:U13" si="8">Q6*1.5</f>
        <v>0</v>
      </c>
      <c r="V6" s="24">
        <f t="shared" ref="V6:V13" si="9">Q6*2</f>
        <v>0</v>
      </c>
      <c r="W6" s="24" t="e">
        <f t="shared" ref="W6:W13" si="10">H6-(H6*0.07)</f>
        <v>#DIV/0!</v>
      </c>
      <c r="X6" s="25"/>
      <c r="Y6" s="3" t="e">
        <f t="shared" ref="Y6:Y13" si="11">(X6-H6)/H6</f>
        <v>#DIV/0!</v>
      </c>
      <c r="Z6" s="4">
        <f t="shared" ref="Z6:Z13" si="12">F6/F$16</f>
        <v>0</v>
      </c>
      <c r="AB6" s="26"/>
      <c r="AC6" s="7"/>
      <c r="AD6" s="7"/>
      <c r="AE6" s="7"/>
    </row>
    <row r="7" spans="1:31" x14ac:dyDescent="0.25">
      <c r="C7" s="20"/>
      <c r="E7" s="21"/>
      <c r="F7" s="50">
        <f t="shared" si="0"/>
        <v>0</v>
      </c>
      <c r="H7" s="54" t="e">
        <f t="shared" si="1"/>
        <v>#DIV/0!</v>
      </c>
      <c r="I7" s="50">
        <f t="shared" si="2"/>
        <v>0</v>
      </c>
      <c r="J7" s="21" t="e">
        <f t="shared" si="3"/>
        <v>#DIV/0!</v>
      </c>
      <c r="K7" s="23"/>
      <c r="L7">
        <f t="shared" si="4"/>
        <v>44501</v>
      </c>
      <c r="M7" s="3" t="e">
        <f t="shared" si="5"/>
        <v>#DIV/0!</v>
      </c>
      <c r="Q7" s="24"/>
      <c r="R7" s="25">
        <f t="shared" si="6"/>
        <v>0</v>
      </c>
      <c r="S7" s="25"/>
      <c r="T7" s="24">
        <f t="shared" si="7"/>
        <v>0</v>
      </c>
      <c r="U7" s="24">
        <f t="shared" si="8"/>
        <v>0</v>
      </c>
      <c r="V7" s="24">
        <f t="shared" si="9"/>
        <v>0</v>
      </c>
      <c r="W7" s="24" t="e">
        <f t="shared" si="10"/>
        <v>#DIV/0!</v>
      </c>
      <c r="X7" s="25"/>
      <c r="Y7" s="3" t="e">
        <f t="shared" si="11"/>
        <v>#DIV/0!</v>
      </c>
      <c r="Z7" s="4">
        <f t="shared" si="12"/>
        <v>0</v>
      </c>
      <c r="AB7" s="26"/>
      <c r="AC7" s="7"/>
    </row>
    <row r="8" spans="1:31" x14ac:dyDescent="0.25">
      <c r="C8" s="20"/>
      <c r="E8" s="21"/>
      <c r="F8" s="50">
        <f t="shared" si="0"/>
        <v>0</v>
      </c>
      <c r="H8" s="54" t="e">
        <f t="shared" si="1"/>
        <v>#DIV/0!</v>
      </c>
      <c r="I8" s="50">
        <f t="shared" si="2"/>
        <v>0</v>
      </c>
      <c r="J8" s="21" t="e">
        <f t="shared" si="3"/>
        <v>#DIV/0!</v>
      </c>
      <c r="K8" s="23"/>
      <c r="L8">
        <f t="shared" si="4"/>
        <v>44501</v>
      </c>
      <c r="M8" s="3" t="e">
        <f t="shared" si="5"/>
        <v>#DIV/0!</v>
      </c>
      <c r="P8" s="27"/>
      <c r="Q8" s="24"/>
      <c r="R8" s="25">
        <f t="shared" si="6"/>
        <v>0</v>
      </c>
      <c r="S8" s="25"/>
      <c r="T8" s="28">
        <f t="shared" si="7"/>
        <v>0</v>
      </c>
      <c r="U8" s="24">
        <f t="shared" si="8"/>
        <v>0</v>
      </c>
      <c r="V8" s="24">
        <f t="shared" si="9"/>
        <v>0</v>
      </c>
      <c r="W8" s="24" t="e">
        <f t="shared" si="10"/>
        <v>#DIV/0!</v>
      </c>
      <c r="X8" s="25"/>
      <c r="Y8" s="3" t="e">
        <f t="shared" si="11"/>
        <v>#DIV/0!</v>
      </c>
      <c r="Z8" s="4">
        <f t="shared" si="12"/>
        <v>0</v>
      </c>
      <c r="AB8" s="26"/>
      <c r="AC8" s="7"/>
    </row>
    <row r="9" spans="1:31" x14ac:dyDescent="0.25">
      <c r="A9" t="s">
        <v>63</v>
      </c>
      <c r="B9" t="s">
        <v>32</v>
      </c>
      <c r="C9" s="20" t="s">
        <v>64</v>
      </c>
      <c r="D9" s="44">
        <v>115.8536</v>
      </c>
      <c r="E9" s="21">
        <v>428.46</v>
      </c>
      <c r="F9" s="50">
        <f t="shared" si="0"/>
        <v>49638.633455999996</v>
      </c>
      <c r="G9" s="50">
        <v>51225.83</v>
      </c>
      <c r="H9" s="54">
        <f t="shared" si="1"/>
        <v>442.16001919664131</v>
      </c>
      <c r="I9" s="50">
        <f t="shared" si="2"/>
        <v>-1587.1965440000058</v>
      </c>
      <c r="J9" s="21">
        <f t="shared" si="3"/>
        <v>-13.700019196641335</v>
      </c>
      <c r="K9" s="23">
        <v>45117</v>
      </c>
      <c r="L9">
        <f t="shared" si="4"/>
        <v>31</v>
      </c>
      <c r="M9" s="3">
        <f t="shared" si="5"/>
        <v>-3.098430116212867E-2</v>
      </c>
      <c r="N9">
        <v>64</v>
      </c>
      <c r="O9">
        <v>87</v>
      </c>
      <c r="P9">
        <v>90</v>
      </c>
      <c r="Q9" s="24">
        <v>392.79</v>
      </c>
      <c r="R9" s="25">
        <f t="shared" si="6"/>
        <v>365.29470000000003</v>
      </c>
      <c r="S9" s="25">
        <v>416.87</v>
      </c>
      <c r="T9" s="24">
        <f t="shared" si="7"/>
        <v>490.98750000000001</v>
      </c>
      <c r="U9" s="24">
        <f t="shared" si="8"/>
        <v>589.18500000000006</v>
      </c>
      <c r="V9" s="24">
        <f t="shared" si="9"/>
        <v>785.58</v>
      </c>
      <c r="W9" s="24">
        <f t="shared" si="10"/>
        <v>411.20881785287639</v>
      </c>
      <c r="X9" s="25">
        <v>415</v>
      </c>
      <c r="Y9" s="3">
        <f t="shared" si="11"/>
        <v>-6.1425768991932465E-2</v>
      </c>
      <c r="Z9" s="4">
        <f t="shared" si="12"/>
        <v>9.9218524928009338E-2</v>
      </c>
      <c r="AB9" s="26">
        <v>45154</v>
      </c>
      <c r="AC9" s="7">
        <v>93</v>
      </c>
      <c r="AD9" t="s">
        <v>65</v>
      </c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19.12</v>
      </c>
      <c r="F10" s="50">
        <f t="shared" si="0"/>
        <v>38553.350031999995</v>
      </c>
      <c r="G10" s="50">
        <f>25318.9+15999</f>
        <v>41317.9</v>
      </c>
      <c r="H10" s="54">
        <f t="shared" si="1"/>
        <v>20.491040268725982</v>
      </c>
      <c r="I10" s="50">
        <f t="shared" si="2"/>
        <v>-2764.5499680000066</v>
      </c>
      <c r="J10" s="21">
        <f t="shared" si="3"/>
        <v>-1.3710402687259808</v>
      </c>
      <c r="K10" s="23">
        <v>45135</v>
      </c>
      <c r="L10">
        <f t="shared" si="4"/>
        <v>13</v>
      </c>
      <c r="M10" s="3">
        <f t="shared" si="5"/>
        <v>-6.6909256472376541E-2</v>
      </c>
      <c r="N10">
        <v>161</v>
      </c>
      <c r="O10">
        <v>98</v>
      </c>
      <c r="P10">
        <v>98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18.12</v>
      </c>
      <c r="Y10" s="3">
        <f t="shared" si="11"/>
        <v>-0.1157110736024823</v>
      </c>
      <c r="Z10" s="29">
        <f t="shared" si="12"/>
        <v>7.7061076320703886E-2</v>
      </c>
      <c r="AA10" s="7"/>
      <c r="AB10" s="26">
        <v>45162</v>
      </c>
      <c r="AC10" s="7">
        <v>92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91.59</v>
      </c>
      <c r="F11" s="50">
        <f t="shared" si="0"/>
        <v>254474.73676199999</v>
      </c>
      <c r="G11" s="50">
        <v>254613.66</v>
      </c>
      <c r="H11" s="54">
        <f t="shared" si="1"/>
        <v>91.640000953062469</v>
      </c>
      <c r="I11" s="50">
        <f t="shared" si="2"/>
        <v>-138.92323800001759</v>
      </c>
      <c r="J11" s="21">
        <f t="shared" si="3"/>
        <v>-5.0000953062465214E-2</v>
      </c>
      <c r="K11" s="23"/>
      <c r="L11">
        <f t="shared" si="4"/>
        <v>44501</v>
      </c>
      <c r="M11" s="3">
        <f t="shared" si="5"/>
        <v>-5.4562366371080633E-4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0.50864833004215637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19.510000000000002</v>
      </c>
      <c r="F12" s="50">
        <f t="shared" si="0"/>
        <v>9975.3030180000005</v>
      </c>
      <c r="G12" s="50">
        <v>24797.66</v>
      </c>
      <c r="H12" s="54">
        <f t="shared" si="1"/>
        <v>48.500015059893386</v>
      </c>
      <c r="I12" s="50">
        <f t="shared" si="2"/>
        <v>-14822.356981999999</v>
      </c>
      <c r="J12" s="21">
        <f t="shared" si="3"/>
        <v>-28.990015059893384</v>
      </c>
      <c r="K12" s="23"/>
      <c r="L12">
        <f t="shared" si="4"/>
        <v>44501</v>
      </c>
      <c r="M12" s="3">
        <f t="shared" si="5"/>
        <v>-0.59773208367241104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1.9938801337736001E-2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44501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352642.02326799999</v>
      </c>
      <c r="G14" s="50">
        <f>SUM(G6:G13)</f>
        <v>371955.05</v>
      </c>
      <c r="H14" s="54"/>
      <c r="I14" s="50">
        <f>SUM(I6:I13)</f>
        <v>-19313.026732000028</v>
      </c>
      <c r="M14" s="3"/>
      <c r="Z14" s="4"/>
    </row>
    <row r="15" spans="1:31" x14ac:dyDescent="0.25">
      <c r="D15" s="44" t="s">
        <v>34</v>
      </c>
      <c r="F15" s="50">
        <v>147654</v>
      </c>
      <c r="G15" s="58">
        <f>F15/F16</f>
        <v>0.29513326737139439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500296.02326799999</v>
      </c>
      <c r="H16" s="60"/>
      <c r="M16" s="3"/>
      <c r="Z16" s="4"/>
    </row>
    <row r="17" spans="1:26" x14ac:dyDescent="0.25">
      <c r="F17" s="54"/>
      <c r="H17" s="60" t="s">
        <v>37</v>
      </c>
      <c r="I17" s="50">
        <v>502433.07</v>
      </c>
      <c r="K17" s="1">
        <v>45107</v>
      </c>
      <c r="L17" s="50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(F16-I17-F19)/I17</f>
        <v>-4.2533958443460281E-3</v>
      </c>
      <c r="K18" s="7" t="s">
        <v>73</v>
      </c>
      <c r="L18" s="4">
        <f>(F16-L17)/L17</f>
        <v>-1.8644484283083025E-2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 s="61"/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O25" t="s">
        <v>71</v>
      </c>
    </row>
    <row r="26" spans="1:26" x14ac:dyDescent="0.25">
      <c r="J26" s="3"/>
    </row>
    <row r="27" spans="1:26" x14ac:dyDescent="0.25">
      <c r="J27" s="3"/>
    </row>
    <row r="28" spans="1:26" x14ac:dyDescent="0.25">
      <c r="J28" s="3"/>
    </row>
    <row r="29" spans="1:26" x14ac:dyDescent="0.25">
      <c r="J29" s="3"/>
    </row>
    <row r="30" spans="1:26" x14ac:dyDescent="0.25">
      <c r="J30" s="3"/>
    </row>
    <row r="31" spans="1:26" x14ac:dyDescent="0.25">
      <c r="J31" s="3"/>
    </row>
    <row r="32" spans="1:26" x14ac:dyDescent="0.25">
      <c r="J32" s="3"/>
    </row>
    <row r="33" spans="10:10" x14ac:dyDescent="0.25">
      <c r="J33" s="3"/>
    </row>
    <row r="34" spans="10:10" x14ac:dyDescent="0.25">
      <c r="J34" s="3"/>
    </row>
    <row r="35" spans="10:10" x14ac:dyDescent="0.25">
      <c r="J35" s="3"/>
    </row>
    <row r="36" spans="10:10" x14ac:dyDescent="0.25">
      <c r="J36" s="3"/>
    </row>
    <row r="37" spans="10:10" x14ac:dyDescent="0.25">
      <c r="J37" s="3"/>
    </row>
    <row r="38" spans="10:10" x14ac:dyDescent="0.25">
      <c r="J38" s="3"/>
    </row>
    <row r="39" spans="10:10" x14ac:dyDescent="0.25">
      <c r="J39" s="3"/>
    </row>
    <row r="40" spans="10:10" x14ac:dyDescent="0.25">
      <c r="J40" s="3"/>
    </row>
    <row r="41" spans="10:10" x14ac:dyDescent="0.25">
      <c r="J41" s="3"/>
    </row>
    <row r="42" spans="10:10" x14ac:dyDescent="0.25">
      <c r="J42" s="3"/>
    </row>
    <row r="43" spans="10:10" x14ac:dyDescent="0.25">
      <c r="J43" s="3"/>
    </row>
    <row r="44" spans="10:10" x14ac:dyDescent="0.25">
      <c r="J44" s="3"/>
    </row>
    <row r="45" spans="10:10" x14ac:dyDescent="0.25">
      <c r="J45" s="3"/>
    </row>
    <row r="46" spans="10:10" x14ac:dyDescent="0.25">
      <c r="J46" s="3"/>
    </row>
    <row r="47" spans="10:10" x14ac:dyDescent="0.25">
      <c r="J47" s="3"/>
    </row>
    <row r="48" spans="10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6924-D321-4040-A174-104E053FB062}">
  <dimension ref="A1:AE18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45156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50">
        <f t="shared" ref="F6:F13" si="0">E6*D6</f>
        <v>0</v>
      </c>
      <c r="H6" s="54" t="e">
        <f t="shared" ref="H6:H13" si="1">G6/D6</f>
        <v>#DIV/0!</v>
      </c>
      <c r="I6" s="50">
        <f t="shared" ref="I6:I13" si="2">F6-G6</f>
        <v>0</v>
      </c>
      <c r="J6" s="21" t="e">
        <f t="shared" ref="J6:J13" si="3">E6-H6</f>
        <v>#DIV/0!</v>
      </c>
      <c r="K6" s="23"/>
      <c r="L6">
        <f t="shared" ref="L6:L13" si="4">DAYS360(K6,$C$1)</f>
        <v>44508</v>
      </c>
      <c r="M6" s="3" t="e">
        <f t="shared" ref="M6:M13" si="5">(I6/G6)</f>
        <v>#DIV/0!</v>
      </c>
      <c r="Q6" s="24"/>
      <c r="R6" s="25">
        <f t="shared" ref="R6:R13" si="6">Q6*0.93</f>
        <v>0</v>
      </c>
      <c r="S6" s="25"/>
      <c r="T6" s="24">
        <f t="shared" ref="T6:T13" si="7">Q6*1.25</f>
        <v>0</v>
      </c>
      <c r="U6" s="24">
        <f t="shared" ref="U6:U13" si="8">Q6*1.5</f>
        <v>0</v>
      </c>
      <c r="V6" s="24">
        <f t="shared" ref="V6:V13" si="9">Q6*2</f>
        <v>0</v>
      </c>
      <c r="W6" s="24" t="e">
        <f t="shared" ref="W6:W13" si="10">H6-(H6*0.07)</f>
        <v>#DIV/0!</v>
      </c>
      <c r="X6" s="25"/>
      <c r="Y6" s="3" t="e">
        <f t="shared" ref="Y6:Y13" si="11">(X6-H6)/H6</f>
        <v>#DIV/0!</v>
      </c>
      <c r="Z6" s="4">
        <f t="shared" ref="Z6:Z13" si="12">F6/F$16</f>
        <v>0</v>
      </c>
      <c r="AB6" s="26"/>
      <c r="AC6" s="7"/>
      <c r="AD6" s="7"/>
      <c r="AE6" s="7"/>
    </row>
    <row r="7" spans="1:31" x14ac:dyDescent="0.25">
      <c r="C7" s="20"/>
      <c r="E7" s="21"/>
      <c r="F7" s="50">
        <f t="shared" si="0"/>
        <v>0</v>
      </c>
      <c r="H7" s="54" t="e">
        <f t="shared" si="1"/>
        <v>#DIV/0!</v>
      </c>
      <c r="I7" s="50">
        <f t="shared" si="2"/>
        <v>0</v>
      </c>
      <c r="J7" s="21" t="e">
        <f t="shared" si="3"/>
        <v>#DIV/0!</v>
      </c>
      <c r="K7" s="23"/>
      <c r="L7">
        <f t="shared" si="4"/>
        <v>44508</v>
      </c>
      <c r="M7" s="3" t="e">
        <f t="shared" si="5"/>
        <v>#DIV/0!</v>
      </c>
      <c r="Q7" s="24"/>
      <c r="R7" s="25">
        <f t="shared" si="6"/>
        <v>0</v>
      </c>
      <c r="S7" s="25"/>
      <c r="T7" s="24">
        <f t="shared" si="7"/>
        <v>0</v>
      </c>
      <c r="U7" s="24">
        <f t="shared" si="8"/>
        <v>0</v>
      </c>
      <c r="V7" s="24">
        <f t="shared" si="9"/>
        <v>0</v>
      </c>
      <c r="W7" s="24" t="e">
        <f t="shared" si="10"/>
        <v>#DIV/0!</v>
      </c>
      <c r="X7" s="25"/>
      <c r="Y7" s="3" t="e">
        <f t="shared" si="11"/>
        <v>#DIV/0!</v>
      </c>
      <c r="Z7" s="4">
        <f t="shared" si="12"/>
        <v>0</v>
      </c>
      <c r="AB7" s="26"/>
      <c r="AC7" s="7"/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147.4</v>
      </c>
      <c r="F8" s="50">
        <f t="shared" si="0"/>
        <v>39337.12442</v>
      </c>
      <c r="G8" s="50">
        <v>40425.83</v>
      </c>
      <c r="H8" s="54">
        <f t="shared" si="1"/>
        <v>151.47948483418912</v>
      </c>
      <c r="I8" s="50">
        <f t="shared" si="2"/>
        <v>-1088.7055800000016</v>
      </c>
      <c r="J8" s="21">
        <f t="shared" si="3"/>
        <v>-4.0794848341891168</v>
      </c>
      <c r="K8" s="23">
        <v>45153</v>
      </c>
      <c r="L8">
        <f t="shared" si="4"/>
        <v>3</v>
      </c>
      <c r="M8" s="3">
        <f t="shared" si="5"/>
        <v>-2.693093945133598E-2</v>
      </c>
      <c r="N8">
        <v>110</v>
      </c>
      <c r="O8">
        <v>88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145.19999999999999</v>
      </c>
      <c r="Y8" s="3">
        <f t="shared" si="11"/>
        <v>-4.1454358265495275E-2</v>
      </c>
      <c r="Z8" s="4">
        <f t="shared" si="12"/>
        <v>7.8368318986533597E-2</v>
      </c>
      <c r="AB8" s="26">
        <v>45225</v>
      </c>
      <c r="AC8" s="7">
        <v>91</v>
      </c>
      <c r="AD8" t="s">
        <v>76</v>
      </c>
    </row>
    <row r="9" spans="1:31" x14ac:dyDescent="0.25">
      <c r="A9" t="s">
        <v>63</v>
      </c>
      <c r="B9" t="s">
        <v>32</v>
      </c>
      <c r="C9" s="20" t="s">
        <v>64</v>
      </c>
      <c r="D9" s="44">
        <v>115.8536</v>
      </c>
      <c r="E9" s="21">
        <v>426.02</v>
      </c>
      <c r="F9" s="50">
        <f t="shared" si="0"/>
        <v>49355.950671999999</v>
      </c>
      <c r="G9" s="50">
        <v>51225.83</v>
      </c>
      <c r="H9" s="54">
        <f t="shared" si="1"/>
        <v>442.16001919664131</v>
      </c>
      <c r="I9" s="50">
        <f t="shared" si="2"/>
        <v>-1869.8793280000027</v>
      </c>
      <c r="J9" s="21">
        <f t="shared" si="3"/>
        <v>-16.140019196641333</v>
      </c>
      <c r="K9" s="23">
        <v>45117</v>
      </c>
      <c r="L9">
        <f t="shared" si="4"/>
        <v>38</v>
      </c>
      <c r="M9" s="3">
        <f t="shared" si="5"/>
        <v>-3.6502665315525443E-2</v>
      </c>
      <c r="N9">
        <v>77</v>
      </c>
      <c r="O9">
        <v>88</v>
      </c>
      <c r="P9">
        <v>95</v>
      </c>
      <c r="Q9" s="24">
        <v>392.79</v>
      </c>
      <c r="R9" s="25">
        <f t="shared" si="6"/>
        <v>365.29470000000003</v>
      </c>
      <c r="S9" s="25">
        <v>416.87</v>
      </c>
      <c r="T9" s="24">
        <f t="shared" si="7"/>
        <v>490.98750000000001</v>
      </c>
      <c r="U9" s="24">
        <f t="shared" si="8"/>
        <v>589.18500000000006</v>
      </c>
      <c r="V9" s="24">
        <f t="shared" si="9"/>
        <v>785.58</v>
      </c>
      <c r="W9" s="24">
        <f t="shared" si="10"/>
        <v>411.20881785287639</v>
      </c>
      <c r="X9" s="25">
        <v>415</v>
      </c>
      <c r="Y9" s="3">
        <f t="shared" si="11"/>
        <v>-6.1425768991932465E-2</v>
      </c>
      <c r="Z9" s="4">
        <f t="shared" si="12"/>
        <v>9.8328053795929016E-2</v>
      </c>
      <c r="AB9" s="26">
        <v>45259</v>
      </c>
      <c r="AC9" s="7">
        <v>97</v>
      </c>
      <c r="AD9" t="s">
        <v>65</v>
      </c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20.149999999999999</v>
      </c>
      <c r="F10" s="50">
        <f t="shared" si="0"/>
        <v>40630.230289999992</v>
      </c>
      <c r="G10" s="50">
        <f>25318.9+15999</f>
        <v>41317.9</v>
      </c>
      <c r="H10" s="54">
        <f t="shared" si="1"/>
        <v>20.491040268725982</v>
      </c>
      <c r="I10" s="50">
        <f t="shared" si="2"/>
        <v>-687.66971000000922</v>
      </c>
      <c r="J10" s="21">
        <f t="shared" si="3"/>
        <v>-0.34104026872598325</v>
      </c>
      <c r="K10" s="23">
        <v>45135</v>
      </c>
      <c r="L10">
        <f t="shared" si="4"/>
        <v>20</v>
      </c>
      <c r="M10" s="3">
        <f t="shared" si="5"/>
        <v>-1.6643384828367587E-2</v>
      </c>
      <c r="N10">
        <v>144</v>
      </c>
      <c r="O10">
        <v>99</v>
      </c>
      <c r="P10">
        <v>98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18.12</v>
      </c>
      <c r="Y10" s="3">
        <f t="shared" si="11"/>
        <v>-0.1157110736024823</v>
      </c>
      <c r="Z10" s="29">
        <f t="shared" si="12"/>
        <v>8.0944474076609152E-2</v>
      </c>
      <c r="AA10" s="7"/>
      <c r="AB10" s="26">
        <v>45160</v>
      </c>
      <c r="AC10" s="7">
        <v>96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91.68</v>
      </c>
      <c r="F11" s="50">
        <f t="shared" si="0"/>
        <v>254724.79382399999</v>
      </c>
      <c r="G11" s="50">
        <v>254613.66</v>
      </c>
      <c r="H11" s="54">
        <f t="shared" si="1"/>
        <v>91.640000953062469</v>
      </c>
      <c r="I11" s="50">
        <f t="shared" si="2"/>
        <v>111.13382399998954</v>
      </c>
      <c r="J11" s="21">
        <f t="shared" si="3"/>
        <v>3.9999046937538196E-2</v>
      </c>
      <c r="K11" s="23"/>
      <c r="L11">
        <f t="shared" si="4"/>
        <v>44508</v>
      </c>
      <c r="M11" s="3">
        <f t="shared" si="5"/>
        <v>4.364802108417496E-4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0.50746856031064802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20.88</v>
      </c>
      <c r="F12" s="50">
        <f t="shared" si="0"/>
        <v>10675.772784000001</v>
      </c>
      <c r="G12" s="50">
        <v>24797.66</v>
      </c>
      <c r="H12" s="54">
        <f t="shared" si="1"/>
        <v>48.500015059893386</v>
      </c>
      <c r="I12" s="50">
        <f t="shared" si="2"/>
        <v>-14121.887215999999</v>
      </c>
      <c r="J12" s="21">
        <f t="shared" si="3"/>
        <v>-27.620015059893387</v>
      </c>
      <c r="K12" s="23"/>
      <c r="L12">
        <f t="shared" si="4"/>
        <v>44508</v>
      </c>
      <c r="M12" s="3">
        <f t="shared" si="5"/>
        <v>-0.56948466976319534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2.1268518716098514E-2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44508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394723.87199000001</v>
      </c>
      <c r="G14" s="50">
        <f>SUM(G6:G13)</f>
        <v>412380.87999999995</v>
      </c>
      <c r="H14" s="54"/>
      <c r="I14" s="50">
        <f>SUM(I6:I13)</f>
        <v>-17657.008010000023</v>
      </c>
      <c r="M14" s="3"/>
      <c r="Z14" s="4"/>
    </row>
    <row r="15" spans="1:31" x14ac:dyDescent="0.25">
      <c r="D15" s="44" t="s">
        <v>34</v>
      </c>
      <c r="F15" s="50">
        <v>107228</v>
      </c>
      <c r="G15" s="58">
        <f>F15/F16</f>
        <v>0.21362207411418163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501951.87199000001</v>
      </c>
      <c r="H16" s="60"/>
      <c r="M16" s="3"/>
      <c r="Z16" s="4"/>
    </row>
    <row r="17" spans="1:26" x14ac:dyDescent="0.25">
      <c r="F17" s="54"/>
      <c r="H17" s="60" t="s">
        <v>37</v>
      </c>
      <c r="I17" s="50">
        <v>500296.07</v>
      </c>
      <c r="K17" s="1">
        <v>45107</v>
      </c>
      <c r="L17" s="50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(F16-I17-F19)/I17</f>
        <v>3.3096442072791162E-3</v>
      </c>
      <c r="K18" s="7" t="s">
        <v>73</v>
      </c>
      <c r="L18" s="4">
        <f>(F16-L17)/L17</f>
        <v>-1.539645471468276E-2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 s="61"/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O25" t="s">
        <v>71</v>
      </c>
    </row>
    <row r="26" spans="1:26" x14ac:dyDescent="0.25">
      <c r="J26" s="3"/>
    </row>
    <row r="27" spans="1:26" x14ac:dyDescent="0.25">
      <c r="J27" s="3"/>
    </row>
    <row r="28" spans="1:26" x14ac:dyDescent="0.25">
      <c r="J28" s="3"/>
    </row>
    <row r="29" spans="1:26" x14ac:dyDescent="0.25">
      <c r="J29" s="3"/>
    </row>
    <row r="30" spans="1:26" x14ac:dyDescent="0.25">
      <c r="J30" s="3"/>
    </row>
    <row r="31" spans="1:26" x14ac:dyDescent="0.25">
      <c r="J31" s="9" t="s">
        <v>78</v>
      </c>
    </row>
    <row r="32" spans="1:26" x14ac:dyDescent="0.25">
      <c r="H32" s="50" t="s">
        <v>77</v>
      </c>
      <c r="I32" s="62">
        <v>3</v>
      </c>
      <c r="J32" s="3">
        <f>(J23+J24+J25)/3</f>
        <v>-5.9057045987541079E-2</v>
      </c>
    </row>
    <row r="33" spans="10:10" x14ac:dyDescent="0.25">
      <c r="J33" s="3"/>
    </row>
    <row r="34" spans="10:10" x14ac:dyDescent="0.25">
      <c r="J34" s="3"/>
    </row>
    <row r="35" spans="10:10" x14ac:dyDescent="0.25">
      <c r="J35" s="3"/>
    </row>
    <row r="36" spans="10:10" x14ac:dyDescent="0.25">
      <c r="J36" s="3"/>
    </row>
    <row r="37" spans="10:10" x14ac:dyDescent="0.25">
      <c r="J37" s="3"/>
    </row>
    <row r="38" spans="10:10" x14ac:dyDescent="0.25">
      <c r="J38" s="3"/>
    </row>
    <row r="39" spans="10:10" x14ac:dyDescent="0.25">
      <c r="J39" s="3"/>
    </row>
    <row r="40" spans="10:10" x14ac:dyDescent="0.25">
      <c r="J40" s="3"/>
    </row>
    <row r="41" spans="10:10" x14ac:dyDescent="0.25">
      <c r="J41" s="3"/>
    </row>
    <row r="42" spans="10:10" x14ac:dyDescent="0.25">
      <c r="J42" s="3"/>
    </row>
    <row r="43" spans="10:10" x14ac:dyDescent="0.25">
      <c r="J43" s="3"/>
    </row>
    <row r="44" spans="10:10" x14ac:dyDescent="0.25">
      <c r="J44" s="3"/>
    </row>
    <row r="45" spans="10:10" x14ac:dyDescent="0.25">
      <c r="J45" s="3"/>
    </row>
    <row r="46" spans="10:10" x14ac:dyDescent="0.25">
      <c r="J46" s="3"/>
    </row>
    <row r="47" spans="10:10" x14ac:dyDescent="0.25">
      <c r="J47" s="3"/>
    </row>
    <row r="48" spans="10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58B0-FEF7-4AD5-BEFC-42A923D2EFBF}">
  <dimension ref="A1:AE18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45163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50">
        <f t="shared" ref="F6:F13" si="0">E6*D6</f>
        <v>0</v>
      </c>
      <c r="H6" s="54" t="e">
        <f t="shared" ref="H6:H13" si="1">G6/D6</f>
        <v>#DIV/0!</v>
      </c>
      <c r="I6" s="50">
        <f t="shared" ref="I6:I13" si="2">F6-G6</f>
        <v>0</v>
      </c>
      <c r="J6" s="21" t="e">
        <f t="shared" ref="J6:J13" si="3">E6-H6</f>
        <v>#DIV/0!</v>
      </c>
      <c r="K6" s="23"/>
      <c r="L6">
        <f t="shared" ref="L6:L13" si="4">DAYS360(K6,$C$1)</f>
        <v>44515</v>
      </c>
      <c r="M6" s="3" t="e">
        <f t="shared" ref="M6:M13" si="5">(I6/G6)</f>
        <v>#DIV/0!</v>
      </c>
      <c r="Q6" s="24"/>
      <c r="R6" s="25">
        <f t="shared" ref="R6:R13" si="6">Q6*0.93</f>
        <v>0</v>
      </c>
      <c r="S6" s="25"/>
      <c r="T6" s="24">
        <f t="shared" ref="T6:T13" si="7">Q6*1.25</f>
        <v>0</v>
      </c>
      <c r="U6" s="24">
        <f t="shared" ref="U6:U13" si="8">Q6*1.5</f>
        <v>0</v>
      </c>
      <c r="V6" s="24">
        <f t="shared" ref="V6:V13" si="9">Q6*2</f>
        <v>0</v>
      </c>
      <c r="W6" s="24" t="e">
        <f t="shared" ref="W6:W13" si="10">H6-(H6*0.07)</f>
        <v>#DIV/0!</v>
      </c>
      <c r="X6" s="25"/>
      <c r="Y6" s="3" t="e">
        <f t="shared" ref="Y6:Y13" si="11">(X6-H6)/H6</f>
        <v>#DIV/0!</v>
      </c>
      <c r="Z6" s="4">
        <f t="shared" ref="Z6:Z13" si="12">F6/F$16</f>
        <v>0</v>
      </c>
      <c r="AB6" s="26"/>
      <c r="AC6" s="7"/>
      <c r="AD6" s="7"/>
      <c r="AE6" s="7"/>
    </row>
    <row r="7" spans="1:31" x14ac:dyDescent="0.25">
      <c r="C7" s="20"/>
      <c r="E7" s="21"/>
      <c r="F7" s="50">
        <f t="shared" si="0"/>
        <v>0</v>
      </c>
      <c r="H7" s="54" t="e">
        <f t="shared" si="1"/>
        <v>#DIV/0!</v>
      </c>
      <c r="I7" s="50">
        <f t="shared" si="2"/>
        <v>0</v>
      </c>
      <c r="J7" s="21" t="e">
        <f t="shared" si="3"/>
        <v>#DIV/0!</v>
      </c>
      <c r="K7" s="23"/>
      <c r="L7">
        <f t="shared" si="4"/>
        <v>44515</v>
      </c>
      <c r="M7" s="3" t="e">
        <f t="shared" si="5"/>
        <v>#DIV/0!</v>
      </c>
      <c r="Q7" s="24"/>
      <c r="R7" s="25">
        <f t="shared" si="6"/>
        <v>0</v>
      </c>
      <c r="S7" s="25"/>
      <c r="T7" s="24">
        <f t="shared" si="7"/>
        <v>0</v>
      </c>
      <c r="U7" s="24">
        <f t="shared" si="8"/>
        <v>0</v>
      </c>
      <c r="V7" s="24">
        <f t="shared" si="9"/>
        <v>0</v>
      </c>
      <c r="W7" s="24" t="e">
        <f t="shared" si="10"/>
        <v>#DIV/0!</v>
      </c>
      <c r="X7" s="25"/>
      <c r="Y7" s="3" t="e">
        <f t="shared" si="11"/>
        <v>#DIV/0!</v>
      </c>
      <c r="Z7" s="4">
        <f t="shared" si="12"/>
        <v>0</v>
      </c>
      <c r="AB7" s="26"/>
      <c r="AC7" s="7"/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153.97999999999999</v>
      </c>
      <c r="F8" s="50">
        <f t="shared" si="0"/>
        <v>41093.150733999995</v>
      </c>
      <c r="G8" s="50">
        <v>40425.83</v>
      </c>
      <c r="H8" s="54">
        <f t="shared" si="1"/>
        <v>151.47948483418912</v>
      </c>
      <c r="I8" s="50">
        <f t="shared" si="2"/>
        <v>667.32073399999354</v>
      </c>
      <c r="J8" s="21">
        <f t="shared" si="3"/>
        <v>2.5005151658108673</v>
      </c>
      <c r="K8" s="23">
        <v>45153</v>
      </c>
      <c r="L8">
        <f t="shared" si="4"/>
        <v>10</v>
      </c>
      <c r="M8" s="3">
        <f t="shared" si="5"/>
        <v>1.6507285911012675E-2</v>
      </c>
      <c r="N8">
        <v>91</v>
      </c>
      <c r="O8">
        <v>91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145.19999999999999</v>
      </c>
      <c r="Y8" s="3">
        <f t="shared" si="11"/>
        <v>-4.1454358265495275E-2</v>
      </c>
      <c r="Z8" s="4">
        <f t="shared" si="12"/>
        <v>8.0531285102875244E-2</v>
      </c>
      <c r="AB8" s="26">
        <v>45225</v>
      </c>
      <c r="AC8" s="7">
        <v>93</v>
      </c>
      <c r="AD8" t="s">
        <v>76</v>
      </c>
    </row>
    <row r="9" spans="1:31" x14ac:dyDescent="0.25">
      <c r="A9" t="s">
        <v>63</v>
      </c>
      <c r="B9" t="s">
        <v>32</v>
      </c>
      <c r="C9" s="20" t="s">
        <v>64</v>
      </c>
      <c r="D9" s="44">
        <v>115.8536</v>
      </c>
      <c r="E9" s="21">
        <v>442.24</v>
      </c>
      <c r="F9" s="50">
        <f t="shared" si="0"/>
        <v>51235.096063999998</v>
      </c>
      <c r="G9" s="50">
        <v>51225.83</v>
      </c>
      <c r="H9" s="54">
        <f t="shared" si="1"/>
        <v>442.16001919664131</v>
      </c>
      <c r="I9" s="50">
        <f t="shared" si="2"/>
        <v>9.2660639999958221</v>
      </c>
      <c r="J9" s="21">
        <f t="shared" si="3"/>
        <v>7.9980803358694175E-2</v>
      </c>
      <c r="K9" s="23">
        <v>45117</v>
      </c>
      <c r="L9">
        <f t="shared" si="4"/>
        <v>45</v>
      </c>
      <c r="M9" s="3">
        <f t="shared" si="5"/>
        <v>1.8088655664526707E-4</v>
      </c>
      <c r="N9">
        <v>89</v>
      </c>
      <c r="O9">
        <v>87</v>
      </c>
      <c r="P9">
        <v>95</v>
      </c>
      <c r="Q9" s="24">
        <v>392.79</v>
      </c>
      <c r="R9" s="25">
        <f t="shared" si="6"/>
        <v>365.29470000000003</v>
      </c>
      <c r="S9" s="25">
        <v>416.87</v>
      </c>
      <c r="T9" s="24">
        <f t="shared" si="7"/>
        <v>490.98750000000001</v>
      </c>
      <c r="U9" s="24">
        <f t="shared" si="8"/>
        <v>589.18500000000006</v>
      </c>
      <c r="V9" s="24">
        <f t="shared" si="9"/>
        <v>785.58</v>
      </c>
      <c r="W9" s="24">
        <f t="shared" si="10"/>
        <v>411.20881785287639</v>
      </c>
      <c r="X9" s="25">
        <v>415</v>
      </c>
      <c r="Y9" s="3">
        <f t="shared" si="11"/>
        <v>-6.1425768991932465E-2</v>
      </c>
      <c r="Z9" s="4">
        <f t="shared" si="12"/>
        <v>0.10040671145202204</v>
      </c>
      <c r="AB9" s="26">
        <v>45259</v>
      </c>
      <c r="AC9" s="7">
        <v>97</v>
      </c>
      <c r="AD9" t="s">
        <v>65</v>
      </c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22.62</v>
      </c>
      <c r="F10" s="50">
        <f t="shared" si="0"/>
        <v>45610.710132</v>
      </c>
      <c r="G10" s="50">
        <f>25318.9+15999</f>
        <v>41317.9</v>
      </c>
      <c r="H10" s="54">
        <f t="shared" si="1"/>
        <v>20.491040268725982</v>
      </c>
      <c r="I10" s="50">
        <f t="shared" si="2"/>
        <v>4292.8101319999987</v>
      </c>
      <c r="J10" s="21">
        <f t="shared" si="3"/>
        <v>2.1289597312740192</v>
      </c>
      <c r="K10" s="23">
        <v>45135</v>
      </c>
      <c r="L10">
        <f t="shared" si="4"/>
        <v>27</v>
      </c>
      <c r="M10" s="3">
        <f t="shared" si="5"/>
        <v>0.10389710348299402</v>
      </c>
      <c r="N10">
        <v>181</v>
      </c>
      <c r="O10">
        <v>99</v>
      </c>
      <c r="P10">
        <v>99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20.5</v>
      </c>
      <c r="Y10" s="3">
        <f t="shared" si="11"/>
        <v>4.3725116716952474E-4</v>
      </c>
      <c r="Z10" s="29">
        <f t="shared" si="12"/>
        <v>8.9384460324324108E-2</v>
      </c>
      <c r="AA10" s="7"/>
      <c r="AB10" s="26">
        <v>45245</v>
      </c>
      <c r="AC10" s="7">
        <v>97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91.77</v>
      </c>
      <c r="F11" s="50">
        <f t="shared" si="0"/>
        <v>254974.85088599997</v>
      </c>
      <c r="G11" s="50">
        <v>254613.66</v>
      </c>
      <c r="H11" s="54">
        <f t="shared" si="1"/>
        <v>91.640000953062469</v>
      </c>
      <c r="I11" s="50">
        <f t="shared" si="2"/>
        <v>361.19088599996758</v>
      </c>
      <c r="J11" s="21">
        <f t="shared" si="3"/>
        <v>0.1299990469375274</v>
      </c>
      <c r="K11" s="23"/>
      <c r="L11">
        <f t="shared" si="4"/>
        <v>44515</v>
      </c>
      <c r="M11" s="3">
        <f t="shared" si="5"/>
        <v>1.4185840853941911E-3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0.49968065344219098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19.82</v>
      </c>
      <c r="F12" s="50">
        <f t="shared" si="0"/>
        <v>10133.803476000001</v>
      </c>
      <c r="G12" s="50">
        <v>24797.66</v>
      </c>
      <c r="H12" s="54">
        <f t="shared" si="1"/>
        <v>48.500015059893386</v>
      </c>
      <c r="I12" s="50">
        <f t="shared" si="2"/>
        <v>-14663.856523999999</v>
      </c>
      <c r="J12" s="21">
        <f t="shared" si="3"/>
        <v>-28.680015059893385</v>
      </c>
      <c r="K12" s="23"/>
      <c r="L12">
        <f t="shared" si="4"/>
        <v>44515</v>
      </c>
      <c r="M12" s="3">
        <f t="shared" si="5"/>
        <v>-0.59134033307981471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1.9859470552279712E-2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44515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403047.61129199993</v>
      </c>
      <c r="G14" s="50">
        <f>SUM(G6:G13)</f>
        <v>412380.87999999995</v>
      </c>
      <c r="H14" s="54"/>
      <c r="I14" s="50">
        <f>SUM(I6:I13)</f>
        <v>-9333.2687080000433</v>
      </c>
      <c r="M14" s="3"/>
      <c r="Z14" s="4"/>
    </row>
    <row r="15" spans="1:31" x14ac:dyDescent="0.25">
      <c r="D15" s="44" t="s">
        <v>34</v>
      </c>
      <c r="F15" s="50">
        <v>107228</v>
      </c>
      <c r="G15" s="58">
        <f>F15/F16</f>
        <v>0.21013741912630798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510275.61129199993</v>
      </c>
      <c r="H16" s="60"/>
      <c r="M16" s="3"/>
      <c r="Z16" s="4"/>
    </row>
    <row r="17" spans="1:26" x14ac:dyDescent="0.25">
      <c r="F17" s="54"/>
      <c r="H17" s="60" t="s">
        <v>37</v>
      </c>
      <c r="I17" s="50">
        <v>501951.87</v>
      </c>
      <c r="K17" s="1">
        <v>45107</v>
      </c>
      <c r="L17" s="50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(F16-I17-F19)/I17</f>
        <v>1.6582747847916041E-2</v>
      </c>
      <c r="K18" s="7" t="s">
        <v>73</v>
      </c>
      <c r="L18" s="4">
        <f>(F16-L17)/L17</f>
        <v>9.3097363873340512E-4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 s="61"/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O25" t="s">
        <v>71</v>
      </c>
    </row>
    <row r="26" spans="1:26" x14ac:dyDescent="0.25">
      <c r="J26" s="3"/>
    </row>
    <row r="27" spans="1:26" x14ac:dyDescent="0.25">
      <c r="J27" s="3"/>
    </row>
    <row r="28" spans="1:26" x14ac:dyDescent="0.25">
      <c r="J28" s="3"/>
    </row>
    <row r="29" spans="1:26" x14ac:dyDescent="0.25">
      <c r="J29" s="3"/>
    </row>
    <row r="30" spans="1:26" x14ac:dyDescent="0.25">
      <c r="J30" s="3"/>
    </row>
    <row r="31" spans="1:26" x14ac:dyDescent="0.25">
      <c r="I31" s="50">
        <f>SUM(I23:I30)</f>
        <v>-8667.2899999999936</v>
      </c>
      <c r="J31" s="9" t="s">
        <v>78</v>
      </c>
    </row>
    <row r="32" spans="1:26" x14ac:dyDescent="0.25">
      <c r="H32" s="50" t="s">
        <v>77</v>
      </c>
      <c r="I32" s="62">
        <v>3</v>
      </c>
      <c r="J32" s="3">
        <f>(J23+J24+J25)/3</f>
        <v>-5.9057045987541079E-2</v>
      </c>
    </row>
    <row r="33" spans="10:10" x14ac:dyDescent="0.25">
      <c r="J33" s="3"/>
    </row>
    <row r="34" spans="10:10" x14ac:dyDescent="0.25">
      <c r="J34" s="3"/>
    </row>
    <row r="35" spans="10:10" x14ac:dyDescent="0.25">
      <c r="J35" s="3"/>
    </row>
    <row r="36" spans="10:10" x14ac:dyDescent="0.25">
      <c r="J36" s="3"/>
    </row>
    <row r="37" spans="10:10" x14ac:dyDescent="0.25">
      <c r="J37" s="3"/>
    </row>
    <row r="38" spans="10:10" x14ac:dyDescent="0.25">
      <c r="J38" s="3"/>
    </row>
    <row r="39" spans="10:10" x14ac:dyDescent="0.25">
      <c r="J39" s="3"/>
    </row>
    <row r="40" spans="10:10" x14ac:dyDescent="0.25">
      <c r="J40" s="3"/>
    </row>
    <row r="41" spans="10:10" x14ac:dyDescent="0.25">
      <c r="J41" s="3"/>
    </row>
    <row r="42" spans="10:10" x14ac:dyDescent="0.25">
      <c r="J42" s="3"/>
    </row>
    <row r="43" spans="10:10" x14ac:dyDescent="0.25">
      <c r="J43" s="3"/>
    </row>
    <row r="44" spans="10:10" x14ac:dyDescent="0.25">
      <c r="J44" s="3"/>
    </row>
    <row r="45" spans="10:10" x14ac:dyDescent="0.25">
      <c r="J45" s="3"/>
    </row>
    <row r="46" spans="10:10" x14ac:dyDescent="0.25">
      <c r="J46" s="3"/>
    </row>
    <row r="47" spans="10:10" x14ac:dyDescent="0.25">
      <c r="J47" s="3"/>
    </row>
    <row r="48" spans="10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F8BE-E35F-464E-936E-B528C093FE88}">
  <dimension ref="A1:AE186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45170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50">
        <f t="shared" ref="F6:F13" si="0">E6*D6</f>
        <v>0</v>
      </c>
      <c r="H6" s="54" t="e">
        <f t="shared" ref="H6:H13" si="1">G6/D6</f>
        <v>#DIV/0!</v>
      </c>
      <c r="I6" s="50">
        <f t="shared" ref="I6:I13" si="2">F6-G6</f>
        <v>0</v>
      </c>
      <c r="J6" s="21" t="e">
        <f t="shared" ref="J6:J13" si="3">E6-H6</f>
        <v>#DIV/0!</v>
      </c>
      <c r="K6" s="23"/>
      <c r="L6">
        <f t="shared" ref="L6:L13" si="4">DAYS360(K6,$C$1)</f>
        <v>44521</v>
      </c>
      <c r="M6" s="3" t="e">
        <f t="shared" ref="M6:M13" si="5">(I6/G6)</f>
        <v>#DIV/0!</v>
      </c>
      <c r="Q6" s="24"/>
      <c r="R6" s="25">
        <f t="shared" ref="R6:R13" si="6">Q6*0.93</f>
        <v>0</v>
      </c>
      <c r="S6" s="25"/>
      <c r="T6" s="24">
        <f t="shared" ref="T6:T13" si="7">Q6*1.25</f>
        <v>0</v>
      </c>
      <c r="U6" s="24">
        <f t="shared" ref="U6:U13" si="8">Q6*1.5</f>
        <v>0</v>
      </c>
      <c r="V6" s="24">
        <f t="shared" ref="V6:V13" si="9">Q6*2</f>
        <v>0</v>
      </c>
      <c r="W6" s="24" t="e">
        <f t="shared" ref="W6:W13" si="10">H6-(H6*0.07)</f>
        <v>#DIV/0!</v>
      </c>
      <c r="X6" s="25"/>
      <c r="Y6" s="3" t="e">
        <f t="shared" ref="Y6:Y13" si="11">(X6-H6)/H6</f>
        <v>#DIV/0!</v>
      </c>
      <c r="Z6" s="4">
        <f t="shared" ref="Z6:Z13" si="12">F6/F$16</f>
        <v>0</v>
      </c>
      <c r="AB6" s="26"/>
      <c r="AC6" s="7"/>
      <c r="AD6" s="7"/>
      <c r="AE6" s="7"/>
    </row>
    <row r="7" spans="1:31" x14ac:dyDescent="0.25">
      <c r="A7" t="s">
        <v>79</v>
      </c>
      <c r="B7" t="s">
        <v>32</v>
      </c>
      <c r="C7" s="20" t="s">
        <v>80</v>
      </c>
      <c r="D7" s="44">
        <v>507.0754</v>
      </c>
      <c r="E7" s="21">
        <v>83.12</v>
      </c>
      <c r="F7" s="50">
        <v>41156.14</v>
      </c>
      <c r="G7" s="50">
        <v>41151</v>
      </c>
      <c r="H7" s="54">
        <f t="shared" si="1"/>
        <v>81.153611474743201</v>
      </c>
      <c r="I7" s="50">
        <f t="shared" si="2"/>
        <v>5.1399999999994179</v>
      </c>
      <c r="J7" s="21">
        <f t="shared" si="3"/>
        <v>1.9663885252568036</v>
      </c>
      <c r="K7" s="23">
        <v>45167</v>
      </c>
      <c r="L7">
        <f t="shared" si="4"/>
        <v>2</v>
      </c>
      <c r="M7" s="3">
        <f t="shared" si="5"/>
        <v>1.2490583460910836E-4</v>
      </c>
      <c r="N7">
        <v>130</v>
      </c>
      <c r="O7">
        <v>93</v>
      </c>
      <c r="P7">
        <v>90</v>
      </c>
      <c r="Q7" s="24">
        <v>77.47</v>
      </c>
      <c r="R7" s="25">
        <f t="shared" si="6"/>
        <v>72.0471</v>
      </c>
      <c r="S7" s="25">
        <v>70.599999999999994</v>
      </c>
      <c r="T7" s="24">
        <f t="shared" si="7"/>
        <v>96.837500000000006</v>
      </c>
      <c r="U7" s="24">
        <f t="shared" si="8"/>
        <v>116.205</v>
      </c>
      <c r="V7" s="24">
        <f t="shared" si="9"/>
        <v>154.94</v>
      </c>
      <c r="W7" s="24">
        <f t="shared" si="10"/>
        <v>75.472858671511176</v>
      </c>
      <c r="X7" s="25">
        <v>75.75</v>
      </c>
      <c r="Y7" s="3">
        <f t="shared" si="11"/>
        <v>-6.6584978493839722E-2</v>
      </c>
      <c r="Z7" s="4">
        <f t="shared" si="12"/>
        <v>7.9378129310370846E-2</v>
      </c>
      <c r="AB7" s="26">
        <v>45244</v>
      </c>
      <c r="AC7" s="7">
        <v>89</v>
      </c>
      <c r="AD7" t="s">
        <v>81</v>
      </c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157.08000000000001</v>
      </c>
      <c r="F8" s="50">
        <f t="shared" si="0"/>
        <v>41920.457964000001</v>
      </c>
      <c r="G8" s="50">
        <v>40425.83</v>
      </c>
      <c r="H8" s="54">
        <f t="shared" si="1"/>
        <v>151.47948483418912</v>
      </c>
      <c r="I8" s="50">
        <f t="shared" si="2"/>
        <v>1494.6279639999993</v>
      </c>
      <c r="J8" s="21">
        <f t="shared" si="3"/>
        <v>5.60051516581089</v>
      </c>
      <c r="K8" s="23">
        <v>45153</v>
      </c>
      <c r="L8">
        <f t="shared" si="4"/>
        <v>16</v>
      </c>
      <c r="M8" s="3">
        <f t="shared" si="5"/>
        <v>3.6972103330964366E-2</v>
      </c>
      <c r="N8">
        <v>91</v>
      </c>
      <c r="O8">
        <v>91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145.19999999999999</v>
      </c>
      <c r="Y8" s="3">
        <f t="shared" si="11"/>
        <v>-4.1454358265495275E-2</v>
      </c>
      <c r="Z8" s="4">
        <f t="shared" si="12"/>
        <v>8.0852274606325034E-2</v>
      </c>
      <c r="AB8" s="26">
        <v>45225</v>
      </c>
      <c r="AC8" s="7">
        <v>93</v>
      </c>
      <c r="AD8" t="s">
        <v>76</v>
      </c>
    </row>
    <row r="9" spans="1:31" x14ac:dyDescent="0.25">
      <c r="A9" t="s">
        <v>63</v>
      </c>
      <c r="B9" t="s">
        <v>32</v>
      </c>
      <c r="C9" s="20" t="s">
        <v>64</v>
      </c>
      <c r="D9" s="44">
        <v>115.8536</v>
      </c>
      <c r="E9" s="21">
        <v>460.45</v>
      </c>
      <c r="F9" s="50">
        <f t="shared" si="0"/>
        <v>53344.790119999998</v>
      </c>
      <c r="G9" s="50">
        <v>51225.83</v>
      </c>
      <c r="H9" s="54">
        <f t="shared" si="1"/>
        <v>442.16001919664131</v>
      </c>
      <c r="I9" s="50">
        <f t="shared" si="2"/>
        <v>2118.9601199999961</v>
      </c>
      <c r="J9" s="21">
        <f t="shared" si="3"/>
        <v>18.289980803358674</v>
      </c>
      <c r="K9" s="23">
        <v>45117</v>
      </c>
      <c r="L9">
        <f t="shared" si="4"/>
        <v>51</v>
      </c>
      <c r="M9" s="3">
        <f t="shared" si="5"/>
        <v>4.136507148834867E-2</v>
      </c>
      <c r="N9">
        <v>89</v>
      </c>
      <c r="O9">
        <v>87</v>
      </c>
      <c r="P9">
        <v>95</v>
      </c>
      <c r="Q9" s="24">
        <v>392.79</v>
      </c>
      <c r="R9" s="25">
        <f t="shared" si="6"/>
        <v>365.29470000000003</v>
      </c>
      <c r="S9" s="25">
        <v>416.87</v>
      </c>
      <c r="T9" s="24">
        <f t="shared" si="7"/>
        <v>490.98750000000001</v>
      </c>
      <c r="U9" s="24">
        <f t="shared" si="8"/>
        <v>589.18500000000006</v>
      </c>
      <c r="V9" s="24">
        <f t="shared" si="9"/>
        <v>785.58</v>
      </c>
      <c r="W9" s="24">
        <f t="shared" si="10"/>
        <v>411.20881785287639</v>
      </c>
      <c r="X9" s="25">
        <v>415</v>
      </c>
      <c r="Y9" s="3">
        <f t="shared" si="11"/>
        <v>-6.1425768991932465E-2</v>
      </c>
      <c r="Z9" s="4">
        <f t="shared" si="12"/>
        <v>0.10288646234024749</v>
      </c>
      <c r="AB9" s="26">
        <v>45259</v>
      </c>
      <c r="AC9" s="7">
        <v>97</v>
      </c>
      <c r="AD9" t="s">
        <v>65</v>
      </c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26.07</v>
      </c>
      <c r="F10" s="50">
        <f t="shared" si="0"/>
        <v>52567.250801999995</v>
      </c>
      <c r="G10" s="50">
        <f>25318.9+15999</f>
        <v>41317.9</v>
      </c>
      <c r="H10" s="54">
        <f t="shared" si="1"/>
        <v>20.491040268725982</v>
      </c>
      <c r="I10" s="50">
        <f t="shared" si="2"/>
        <v>11249.350801999994</v>
      </c>
      <c r="J10" s="21">
        <f t="shared" si="3"/>
        <v>5.5789597312740185</v>
      </c>
      <c r="K10" s="23">
        <v>45135</v>
      </c>
      <c r="L10">
        <f t="shared" si="4"/>
        <v>33</v>
      </c>
      <c r="M10" s="3">
        <f t="shared" si="5"/>
        <v>0.27226337258185901</v>
      </c>
      <c r="N10">
        <v>181</v>
      </c>
      <c r="O10">
        <v>99</v>
      </c>
      <c r="P10">
        <v>99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20.5</v>
      </c>
      <c r="Y10" s="3">
        <f t="shared" si="11"/>
        <v>4.3725116716952474E-4</v>
      </c>
      <c r="Z10" s="29">
        <f t="shared" si="12"/>
        <v>0.10138681692821172</v>
      </c>
      <c r="AA10" s="7"/>
      <c r="AB10" s="26">
        <v>45245</v>
      </c>
      <c r="AC10" s="7">
        <v>97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91.54</v>
      </c>
      <c r="F11" s="50">
        <f t="shared" si="0"/>
        <v>254335.81617199999</v>
      </c>
      <c r="G11" s="50">
        <v>254613.66</v>
      </c>
      <c r="H11" s="54">
        <f t="shared" si="1"/>
        <v>91.640000953062469</v>
      </c>
      <c r="I11" s="50">
        <f t="shared" si="2"/>
        <v>-277.84382800001185</v>
      </c>
      <c r="J11" s="21">
        <f t="shared" si="3"/>
        <v>-0.10000095306246237</v>
      </c>
      <c r="K11" s="23"/>
      <c r="L11">
        <f t="shared" si="4"/>
        <v>44521</v>
      </c>
      <c r="M11" s="3">
        <f t="shared" si="5"/>
        <v>-1.0912369273510772E-3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0.49053923191921606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17.77</v>
      </c>
      <c r="F12" s="50">
        <f t="shared" si="0"/>
        <v>9085.6552860000011</v>
      </c>
      <c r="G12" s="50">
        <v>24797.66</v>
      </c>
      <c r="H12" s="54">
        <f t="shared" si="1"/>
        <v>48.500015059893386</v>
      </c>
      <c r="I12" s="50">
        <f t="shared" si="2"/>
        <v>-15712.004713999999</v>
      </c>
      <c r="J12" s="21">
        <f t="shared" si="3"/>
        <v>-30.730015059893386</v>
      </c>
      <c r="K12" s="23"/>
      <c r="L12">
        <f t="shared" si="4"/>
        <v>44521</v>
      </c>
      <c r="M12" s="3">
        <f t="shared" si="5"/>
        <v>-0.6336083611921447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1.7523565624996965E-2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44521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452410.11034399999</v>
      </c>
      <c r="G14" s="50">
        <f>SUM(G6:G13)</f>
        <v>453531.87999999995</v>
      </c>
      <c r="H14" s="54"/>
      <c r="I14" s="50">
        <f>SUM(I6:I13)</f>
        <v>-1121.7696560000222</v>
      </c>
      <c r="M14" s="3"/>
      <c r="Z14" s="4"/>
    </row>
    <row r="15" spans="1:31" x14ac:dyDescent="0.25">
      <c r="D15" s="44" t="s">
        <v>34</v>
      </c>
      <c r="F15" s="50">
        <v>66072</v>
      </c>
      <c r="G15" s="4">
        <f>F15/F16</f>
        <v>0.12743351927063187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518482.11034399999</v>
      </c>
      <c r="H16" s="60"/>
      <c r="M16" s="3"/>
      <c r="Z16" s="4"/>
    </row>
    <row r="17" spans="1:26" x14ac:dyDescent="0.25">
      <c r="F17" s="54"/>
      <c r="H17" s="60" t="s">
        <v>37</v>
      </c>
      <c r="I17" s="50">
        <v>510275.61</v>
      </c>
      <c r="K17" s="1">
        <v>45107</v>
      </c>
      <c r="L17" s="50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(F16-I17-F19)/I17</f>
        <v>1.6082485980468478E-2</v>
      </c>
      <c r="K18" s="7" t="s">
        <v>73</v>
      </c>
      <c r="L18" s="4">
        <f>(F16-L17)/L17</f>
        <v>1.7028429414614694E-2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 s="61"/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O25" t="s">
        <v>71</v>
      </c>
    </row>
    <row r="26" spans="1:26" x14ac:dyDescent="0.25">
      <c r="J26" s="3"/>
    </row>
    <row r="27" spans="1:26" x14ac:dyDescent="0.25">
      <c r="J27" s="3"/>
    </row>
    <row r="28" spans="1:26" x14ac:dyDescent="0.25">
      <c r="J28" s="3"/>
    </row>
    <row r="29" spans="1:26" x14ac:dyDescent="0.25">
      <c r="J29" s="3"/>
    </row>
    <row r="30" spans="1:26" x14ac:dyDescent="0.25">
      <c r="J30" s="3"/>
    </row>
    <row r="31" spans="1:26" x14ac:dyDescent="0.25">
      <c r="I31" s="50">
        <f>SUM(I23:I30)</f>
        <v>-8667.2899999999936</v>
      </c>
      <c r="J31" s="9" t="s">
        <v>78</v>
      </c>
    </row>
    <row r="32" spans="1:26" x14ac:dyDescent="0.25">
      <c r="H32" s="50" t="s">
        <v>77</v>
      </c>
      <c r="I32" s="62">
        <v>3</v>
      </c>
      <c r="J32" s="3">
        <f>(J23+J24+J25)/3</f>
        <v>-5.9057045987541079E-2</v>
      </c>
    </row>
    <row r="33" spans="10:10" x14ac:dyDescent="0.25">
      <c r="J33" s="3"/>
    </row>
    <row r="34" spans="10:10" x14ac:dyDescent="0.25">
      <c r="J34" s="3"/>
    </row>
    <row r="35" spans="10:10" x14ac:dyDescent="0.25">
      <c r="J35" s="3"/>
    </row>
    <row r="36" spans="10:10" x14ac:dyDescent="0.25">
      <c r="J36" s="3"/>
    </row>
    <row r="37" spans="10:10" x14ac:dyDescent="0.25">
      <c r="J37" s="3"/>
    </row>
    <row r="38" spans="10:10" x14ac:dyDescent="0.25">
      <c r="J38" s="3"/>
    </row>
    <row r="39" spans="10:10" x14ac:dyDescent="0.25">
      <c r="J39" s="3"/>
    </row>
    <row r="40" spans="10:10" x14ac:dyDescent="0.25">
      <c r="J40" s="3"/>
    </row>
    <row r="41" spans="10:10" x14ac:dyDescent="0.25">
      <c r="J41" s="3"/>
    </row>
    <row r="42" spans="10:10" x14ac:dyDescent="0.25">
      <c r="J42" s="3"/>
    </row>
    <row r="43" spans="10:10" x14ac:dyDescent="0.25">
      <c r="J43" s="3"/>
    </row>
    <row r="44" spans="10:10" x14ac:dyDescent="0.25">
      <c r="J44" s="3"/>
    </row>
    <row r="45" spans="10:10" x14ac:dyDescent="0.25">
      <c r="J45" s="3"/>
    </row>
    <row r="46" spans="10:10" x14ac:dyDescent="0.25">
      <c r="J46" s="3"/>
    </row>
    <row r="47" spans="10:10" x14ac:dyDescent="0.25">
      <c r="J47" s="3"/>
    </row>
    <row r="48" spans="10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5DA6-26DE-4F2F-9EE7-FE66F9D37B40}">
  <dimension ref="A1:AE186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45177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F6" s="50">
        <f t="shared" ref="F6:F13" si="0">E6*D6</f>
        <v>0</v>
      </c>
      <c r="H6" s="54" t="e">
        <f t="shared" ref="H6:H13" si="1">G6/D6</f>
        <v>#DIV/0!</v>
      </c>
      <c r="I6" s="50">
        <f t="shared" ref="I6:I13" si="2">F6-G6</f>
        <v>0</v>
      </c>
      <c r="J6" s="21" t="e">
        <f t="shared" ref="J6:J13" si="3">E6-H6</f>
        <v>#DIV/0!</v>
      </c>
      <c r="K6" s="23"/>
      <c r="L6">
        <f t="shared" ref="L6:L13" si="4">DAYS360(K6,$C$1)</f>
        <v>44528</v>
      </c>
      <c r="M6" s="3" t="e">
        <f t="shared" ref="M6:M13" si="5">(I6/G6)</f>
        <v>#DIV/0!</v>
      </c>
      <c r="Q6" s="24"/>
      <c r="R6" s="25">
        <f t="shared" ref="R6:R13" si="6">Q6*0.93</f>
        <v>0</v>
      </c>
      <c r="S6" s="25"/>
      <c r="T6" s="24">
        <f t="shared" ref="T6:T13" si="7">Q6*1.25</f>
        <v>0</v>
      </c>
      <c r="U6" s="24">
        <f t="shared" ref="U6:U13" si="8">Q6*1.5</f>
        <v>0</v>
      </c>
      <c r="V6" s="24">
        <f t="shared" ref="V6:V13" si="9">Q6*2</f>
        <v>0</v>
      </c>
      <c r="W6" s="24" t="e">
        <f t="shared" ref="W6:W13" si="10">H6-(H6*0.07)</f>
        <v>#DIV/0!</v>
      </c>
      <c r="X6" s="25"/>
      <c r="Y6" s="3" t="e">
        <f t="shared" ref="Y6:Y13" si="11">(X6-H6)/H6</f>
        <v>#DIV/0!</v>
      </c>
      <c r="Z6" s="4">
        <f t="shared" ref="Z6:Z13" si="12">F6/F$16</f>
        <v>0</v>
      </c>
      <c r="AB6" s="26"/>
      <c r="AC6" s="7"/>
      <c r="AD6" s="7"/>
      <c r="AE6" s="7"/>
    </row>
    <row r="7" spans="1:31" x14ac:dyDescent="0.25">
      <c r="A7" t="s">
        <v>79</v>
      </c>
      <c r="B7" t="s">
        <v>32</v>
      </c>
      <c r="C7" s="20" t="s">
        <v>80</v>
      </c>
      <c r="D7" s="44">
        <v>507.0754</v>
      </c>
      <c r="E7" s="21">
        <v>79.39</v>
      </c>
      <c r="F7" s="50">
        <f t="shared" si="0"/>
        <v>40256.716006000002</v>
      </c>
      <c r="G7" s="50">
        <v>41151</v>
      </c>
      <c r="H7" s="54">
        <f t="shared" si="1"/>
        <v>81.153611474743201</v>
      </c>
      <c r="I7" s="50">
        <f t="shared" si="2"/>
        <v>-894.28399399999762</v>
      </c>
      <c r="J7" s="21">
        <f t="shared" si="3"/>
        <v>-1.7636114747432003</v>
      </c>
      <c r="K7" s="23">
        <v>45167</v>
      </c>
      <c r="L7">
        <f t="shared" si="4"/>
        <v>9</v>
      </c>
      <c r="M7" s="3">
        <f t="shared" si="5"/>
        <v>-2.173176821948428E-2</v>
      </c>
      <c r="N7">
        <v>153</v>
      </c>
      <c r="O7">
        <v>93</v>
      </c>
      <c r="P7">
        <v>89</v>
      </c>
      <c r="Q7" s="24">
        <v>77.47</v>
      </c>
      <c r="R7" s="25">
        <f t="shared" si="6"/>
        <v>72.0471</v>
      </c>
      <c r="S7" s="25">
        <v>70.599999999999994</v>
      </c>
      <c r="T7" s="24">
        <f t="shared" si="7"/>
        <v>96.837500000000006</v>
      </c>
      <c r="U7" s="24">
        <f t="shared" si="8"/>
        <v>116.205</v>
      </c>
      <c r="V7" s="24">
        <f t="shared" si="9"/>
        <v>154.94</v>
      </c>
      <c r="W7" s="24">
        <f t="shared" si="10"/>
        <v>75.472858671511176</v>
      </c>
      <c r="X7" s="25">
        <v>75.75</v>
      </c>
      <c r="Y7" s="3">
        <f t="shared" si="11"/>
        <v>-6.6584978493839722E-2</v>
      </c>
      <c r="Z7" s="4">
        <f t="shared" si="12"/>
        <v>7.7169922453622794E-2</v>
      </c>
      <c r="AB7" s="26">
        <v>45244</v>
      </c>
      <c r="AC7" s="7">
        <v>86</v>
      </c>
      <c r="AD7" t="s">
        <v>81</v>
      </c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157.41999999999999</v>
      </c>
      <c r="F8" s="50">
        <f t="shared" si="0"/>
        <v>42011.19488599999</v>
      </c>
      <c r="G8" s="50">
        <v>40425.83</v>
      </c>
      <c r="H8" s="54">
        <f t="shared" si="1"/>
        <v>151.47948483418912</v>
      </c>
      <c r="I8" s="50">
        <f t="shared" si="2"/>
        <v>1585.3648859999885</v>
      </c>
      <c r="J8" s="21">
        <f t="shared" si="3"/>
        <v>5.940515165810865</v>
      </c>
      <c r="K8" s="23">
        <v>45153</v>
      </c>
      <c r="L8">
        <f t="shared" si="4"/>
        <v>23</v>
      </c>
      <c r="M8" s="3">
        <f t="shared" si="5"/>
        <v>3.9216631693152336E-2</v>
      </c>
      <c r="N8">
        <v>149</v>
      </c>
      <c r="O8">
        <v>91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148.75</v>
      </c>
      <c r="Y8" s="3">
        <f t="shared" si="11"/>
        <v>-1.8018841542647459E-2</v>
      </c>
      <c r="Z8" s="4">
        <f t="shared" si="12"/>
        <v>8.053316249277398E-2</v>
      </c>
      <c r="AB8" s="26">
        <v>45225</v>
      </c>
      <c r="AC8" s="7">
        <v>90</v>
      </c>
      <c r="AD8" t="s">
        <v>76</v>
      </c>
    </row>
    <row r="9" spans="1:31" x14ac:dyDescent="0.25">
      <c r="A9" t="s">
        <v>63</v>
      </c>
      <c r="B9" t="s">
        <v>32</v>
      </c>
      <c r="C9" s="20" t="s">
        <v>64</v>
      </c>
      <c r="D9" s="44">
        <v>115.8536</v>
      </c>
      <c r="E9" s="21">
        <v>459.14</v>
      </c>
      <c r="F9" s="50">
        <f t="shared" si="0"/>
        <v>53193.021904000001</v>
      </c>
      <c r="G9" s="50">
        <v>51225.83</v>
      </c>
      <c r="H9" s="54">
        <f t="shared" si="1"/>
        <v>442.16001919664131</v>
      </c>
      <c r="I9" s="50">
        <f t="shared" si="2"/>
        <v>1967.1919039999993</v>
      </c>
      <c r="J9" s="21">
        <f t="shared" si="3"/>
        <v>16.979980803358671</v>
      </c>
      <c r="K9" s="23">
        <v>45117</v>
      </c>
      <c r="L9">
        <f t="shared" si="4"/>
        <v>58</v>
      </c>
      <c r="M9" s="3">
        <f t="shared" si="5"/>
        <v>3.8402343192877483E-2</v>
      </c>
      <c r="N9">
        <v>69</v>
      </c>
      <c r="O9">
        <v>91</v>
      </c>
      <c r="P9">
        <v>95</v>
      </c>
      <c r="Q9" s="24">
        <v>392.79</v>
      </c>
      <c r="R9" s="25">
        <f t="shared" si="6"/>
        <v>365.29470000000003</v>
      </c>
      <c r="S9" s="25">
        <v>416.87</v>
      </c>
      <c r="T9" s="24">
        <f t="shared" si="7"/>
        <v>490.98750000000001</v>
      </c>
      <c r="U9" s="24">
        <f t="shared" si="8"/>
        <v>589.18500000000006</v>
      </c>
      <c r="V9" s="24">
        <f t="shared" si="9"/>
        <v>785.58</v>
      </c>
      <c r="W9" s="24">
        <f t="shared" si="10"/>
        <v>411.20881785287639</v>
      </c>
      <c r="X9" s="25">
        <v>441</v>
      </c>
      <c r="Y9" s="3">
        <f t="shared" si="11"/>
        <v>-2.6235280131137791E-3</v>
      </c>
      <c r="Z9" s="4">
        <f t="shared" si="12"/>
        <v>0.10196811321603405</v>
      </c>
      <c r="AB9" s="26">
        <v>45259</v>
      </c>
      <c r="AC9" s="7">
        <v>97</v>
      </c>
      <c r="AD9" t="s">
        <v>65</v>
      </c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26.69</v>
      </c>
      <c r="F10" s="50">
        <f t="shared" si="0"/>
        <v>53817.411733999994</v>
      </c>
      <c r="G10" s="50">
        <f>25318.9+15999</f>
        <v>41317.9</v>
      </c>
      <c r="H10" s="54">
        <f t="shared" si="1"/>
        <v>20.491040268725982</v>
      </c>
      <c r="I10" s="50">
        <f t="shared" si="2"/>
        <v>12499.511733999992</v>
      </c>
      <c r="J10" s="21">
        <f t="shared" si="3"/>
        <v>6.1989597312740194</v>
      </c>
      <c r="K10" s="23">
        <v>45135</v>
      </c>
      <c r="L10">
        <f t="shared" si="4"/>
        <v>40</v>
      </c>
      <c r="M10" s="3">
        <f t="shared" si="5"/>
        <v>0.30252049920252461</v>
      </c>
      <c r="N10">
        <v>186</v>
      </c>
      <c r="O10">
        <v>99</v>
      </c>
      <c r="P10">
        <v>99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23</v>
      </c>
      <c r="Y10" s="3">
        <f t="shared" si="11"/>
        <v>0.1224417939924341</v>
      </c>
      <c r="Z10" s="29">
        <f t="shared" si="12"/>
        <v>0.10316503436466298</v>
      </c>
      <c r="AA10" s="7"/>
      <c r="AB10" s="26">
        <v>45245</v>
      </c>
      <c r="AC10" s="7">
        <v>97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91.55</v>
      </c>
      <c r="F11" s="50">
        <f t="shared" si="0"/>
        <v>254363.60028999997</v>
      </c>
      <c r="G11" s="50">
        <v>254613.66</v>
      </c>
      <c r="H11" s="54">
        <f t="shared" si="1"/>
        <v>91.640000953062469</v>
      </c>
      <c r="I11" s="50">
        <f t="shared" si="2"/>
        <v>-250.05971000003046</v>
      </c>
      <c r="J11" s="21">
        <f t="shared" si="3"/>
        <v>-9.0000953062471467E-2</v>
      </c>
      <c r="K11" s="23"/>
      <c r="L11">
        <f t="shared" si="4"/>
        <v>44528</v>
      </c>
      <c r="M11" s="3">
        <f t="shared" si="5"/>
        <v>-9.8211427462309149E-4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0.48760110751403551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18.54</v>
      </c>
      <c r="F12" s="50">
        <f t="shared" si="0"/>
        <v>9479.349972</v>
      </c>
      <c r="G12" s="50">
        <v>24797.66</v>
      </c>
      <c r="H12" s="54">
        <f t="shared" si="1"/>
        <v>48.500015059893386</v>
      </c>
      <c r="I12" s="50">
        <f t="shared" si="2"/>
        <v>-15318.310028</v>
      </c>
      <c r="J12" s="21">
        <f t="shared" si="3"/>
        <v>-29.960015059893387</v>
      </c>
      <c r="K12" s="23"/>
      <c r="L12">
        <f t="shared" si="4"/>
        <v>44528</v>
      </c>
      <c r="M12" s="3">
        <f t="shared" si="5"/>
        <v>-0.61773207746214764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1.8171395355273463E-2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44528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453121.29479199997</v>
      </c>
      <c r="G14" s="50">
        <f>SUM(G6:G13)</f>
        <v>453531.87999999995</v>
      </c>
      <c r="H14" s="54"/>
      <c r="I14" s="50">
        <f>SUM(I6:I13)</f>
        <v>-410.58520800004771</v>
      </c>
      <c r="M14" s="3"/>
      <c r="Z14" s="4"/>
    </row>
    <row r="15" spans="1:31" x14ac:dyDescent="0.25">
      <c r="D15" s="44" t="s">
        <v>34</v>
      </c>
      <c r="F15" s="50">
        <v>68542</v>
      </c>
      <c r="G15" s="58">
        <f>F15/F16</f>
        <v>0.13139126460359721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521663.29479199997</v>
      </c>
      <c r="H16" s="60"/>
      <c r="M16" s="3"/>
      <c r="Z16" s="4"/>
    </row>
    <row r="17" spans="1:26" x14ac:dyDescent="0.25">
      <c r="F17" s="54"/>
      <c r="H17" s="60" t="s">
        <v>37</v>
      </c>
      <c r="I17" s="50">
        <v>518482.11</v>
      </c>
      <c r="K17" s="1">
        <v>45107</v>
      </c>
      <c r="L17" s="50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(F16-I17)/I17</f>
        <v>6.1355729168745777E-3</v>
      </c>
      <c r="K18" s="7" t="s">
        <v>73</v>
      </c>
      <c r="L18" s="4">
        <f>(F16-L17)/L17</f>
        <v>2.3268480822909277E-2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>
        <f>DAYS360(K23,L23)</f>
        <v>26</v>
      </c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M24">
        <f>DAYS360(K24,L24)</f>
        <v>34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M25">
        <f>DAYS360(K25,L25)</f>
        <v>32</v>
      </c>
      <c r="O25" t="s">
        <v>71</v>
      </c>
    </row>
    <row r="26" spans="1:26" x14ac:dyDescent="0.25">
      <c r="J26" s="3"/>
      <c r="M26" s="63"/>
    </row>
    <row r="27" spans="1:26" x14ac:dyDescent="0.25">
      <c r="J27" s="3"/>
      <c r="M27" s="63"/>
    </row>
    <row r="28" spans="1:26" x14ac:dyDescent="0.25">
      <c r="J28" s="3"/>
      <c r="M28" s="63"/>
    </row>
    <row r="29" spans="1:26" x14ac:dyDescent="0.25">
      <c r="J29" s="3"/>
      <c r="M29" s="63"/>
    </row>
    <row r="30" spans="1:26" x14ac:dyDescent="0.25">
      <c r="J30" s="3"/>
      <c r="M30" s="63"/>
    </row>
    <row r="31" spans="1:26" x14ac:dyDescent="0.25">
      <c r="I31" s="50">
        <f>SUM(I23:I30)</f>
        <v>-8667.2899999999936</v>
      </c>
      <c r="J31" s="9" t="s">
        <v>78</v>
      </c>
    </row>
    <row r="32" spans="1:26" x14ac:dyDescent="0.25">
      <c r="H32" s="50" t="s">
        <v>77</v>
      </c>
      <c r="I32" s="62">
        <v>3</v>
      </c>
      <c r="J32" s="3">
        <f>(J23+J24+J25)/3</f>
        <v>-5.9057045987541079E-2</v>
      </c>
    </row>
    <row r="33" spans="10:10" x14ac:dyDescent="0.25">
      <c r="J33" s="3"/>
    </row>
    <row r="34" spans="10:10" x14ac:dyDescent="0.25">
      <c r="J34" s="3"/>
    </row>
    <row r="35" spans="10:10" x14ac:dyDescent="0.25">
      <c r="J35" s="3"/>
    </row>
    <row r="36" spans="10:10" x14ac:dyDescent="0.25">
      <c r="J36" s="3"/>
    </row>
    <row r="37" spans="10:10" x14ac:dyDescent="0.25">
      <c r="J37" s="3"/>
    </row>
    <row r="38" spans="10:10" x14ac:dyDescent="0.25">
      <c r="J38" s="3"/>
    </row>
    <row r="39" spans="10:10" x14ac:dyDescent="0.25">
      <c r="J39" s="3"/>
    </row>
    <row r="40" spans="10:10" x14ac:dyDescent="0.25">
      <c r="J40" s="3"/>
    </row>
    <row r="41" spans="10:10" x14ac:dyDescent="0.25">
      <c r="J41" s="3"/>
    </row>
    <row r="42" spans="10:10" x14ac:dyDescent="0.25">
      <c r="J42" s="3"/>
    </row>
    <row r="43" spans="10:10" x14ac:dyDescent="0.25">
      <c r="J43" s="3"/>
    </row>
    <row r="44" spans="10:10" x14ac:dyDescent="0.25">
      <c r="J44" s="3"/>
    </row>
    <row r="45" spans="10:10" x14ac:dyDescent="0.25">
      <c r="J45" s="3"/>
    </row>
    <row r="46" spans="10:10" x14ac:dyDescent="0.25">
      <c r="J46" s="3"/>
    </row>
    <row r="47" spans="10:10" x14ac:dyDescent="0.25">
      <c r="J47" s="3"/>
    </row>
    <row r="48" spans="10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0292-C8FC-429F-A685-F30B2A95251D}">
  <dimension ref="A1:AE186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45184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79</v>
      </c>
      <c r="B7" t="s">
        <v>32</v>
      </c>
      <c r="C7" s="20" t="s">
        <v>80</v>
      </c>
      <c r="D7" s="44">
        <v>507.0754</v>
      </c>
      <c r="E7" s="21">
        <v>77.959999999999994</v>
      </c>
      <c r="F7" s="50">
        <f t="shared" ref="F7:F13" si="0">E7*D7</f>
        <v>39531.598183999995</v>
      </c>
      <c r="G7" s="50">
        <v>41151</v>
      </c>
      <c r="H7" s="54">
        <f t="shared" ref="H7:H13" si="1">G7/D7</f>
        <v>81.153611474743201</v>
      </c>
      <c r="I7" s="50">
        <f t="shared" ref="I7:I13" si="2">F7-G7</f>
        <v>-1619.4018160000051</v>
      </c>
      <c r="J7" s="21">
        <f t="shared" ref="J7:J13" si="3">E7-H7</f>
        <v>-3.1936114747432072</v>
      </c>
      <c r="K7" s="23">
        <v>45167</v>
      </c>
      <c r="L7">
        <f t="shared" ref="L7:L13" si="4">DAYS360(K7,$C$1)</f>
        <v>16</v>
      </c>
      <c r="M7" s="3">
        <f t="shared" ref="M7:M13" si="5">(I7/G7)</f>
        <v>-3.9352672255838377E-2</v>
      </c>
      <c r="N7">
        <v>153</v>
      </c>
      <c r="O7">
        <v>93</v>
      </c>
      <c r="P7">
        <v>89</v>
      </c>
      <c r="Q7" s="24">
        <v>77.47</v>
      </c>
      <c r="R7" s="25">
        <f t="shared" ref="R7:R13" si="6">Q7*0.93</f>
        <v>72.0471</v>
      </c>
      <c r="S7" s="25">
        <v>70.599999999999994</v>
      </c>
      <c r="T7" s="24">
        <f t="shared" ref="T7:T13" si="7">Q7*1.25</f>
        <v>96.837500000000006</v>
      </c>
      <c r="U7" s="24">
        <f t="shared" ref="U7:U13" si="8">Q7*1.5</f>
        <v>116.205</v>
      </c>
      <c r="V7" s="24">
        <f t="shared" ref="V7:V13" si="9">Q7*2</f>
        <v>154.94</v>
      </c>
      <c r="W7" s="24">
        <f t="shared" ref="W7:W13" si="10">H7-(H7*0.07)</f>
        <v>75.472858671511176</v>
      </c>
      <c r="X7" s="25">
        <v>75.75</v>
      </c>
      <c r="Y7" s="3">
        <f t="shared" ref="Y7:Y13" si="11">(X7-H7)/H7</f>
        <v>-6.6584978493839722E-2</v>
      </c>
      <c r="Z7" s="4">
        <f t="shared" ref="Z7:Z13" si="12">F7/F$16</f>
        <v>7.6022127565071942E-2</v>
      </c>
      <c r="AB7" s="26">
        <v>45244</v>
      </c>
      <c r="AC7" s="7">
        <v>86</v>
      </c>
      <c r="AD7" t="s">
        <v>81</v>
      </c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156.97</v>
      </c>
      <c r="F8" s="50">
        <f t="shared" si="0"/>
        <v>41891.101900999995</v>
      </c>
      <c r="G8" s="50">
        <v>40425.83</v>
      </c>
      <c r="H8" s="54">
        <f t="shared" si="1"/>
        <v>151.47948483418912</v>
      </c>
      <c r="I8" s="50">
        <f t="shared" si="2"/>
        <v>1465.2719009999928</v>
      </c>
      <c r="J8" s="21">
        <f t="shared" si="3"/>
        <v>5.4905151658108764</v>
      </c>
      <c r="K8" s="23">
        <v>45153</v>
      </c>
      <c r="L8">
        <f t="shared" si="4"/>
        <v>30</v>
      </c>
      <c r="M8" s="3">
        <f t="shared" si="5"/>
        <v>3.6245932390256246E-2</v>
      </c>
      <c r="N8">
        <v>149</v>
      </c>
      <c r="O8">
        <v>91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148.75</v>
      </c>
      <c r="Y8" s="3">
        <f t="shared" si="11"/>
        <v>-1.8018841542647459E-2</v>
      </c>
      <c r="Z8" s="4">
        <f t="shared" si="12"/>
        <v>8.0559624170423838E-2</v>
      </c>
      <c r="AB8" s="26">
        <v>45225</v>
      </c>
      <c r="AC8" s="7">
        <v>90</v>
      </c>
      <c r="AD8" t="s">
        <v>76</v>
      </c>
    </row>
    <row r="9" spans="1:31" x14ac:dyDescent="0.25">
      <c r="C9" s="20"/>
      <c r="E9" s="21"/>
      <c r="H9" s="54"/>
      <c r="J9" s="21"/>
      <c r="K9" s="23"/>
      <c r="M9" s="3"/>
      <c r="Q9" s="24"/>
      <c r="R9" s="25"/>
      <c r="S9" s="25"/>
      <c r="T9" s="24"/>
      <c r="U9" s="24"/>
      <c r="V9" s="24"/>
      <c r="W9" s="24"/>
      <c r="X9" s="25"/>
      <c r="Y9" s="3"/>
      <c r="Z9" s="4"/>
      <c r="AB9" s="26"/>
      <c r="AC9" s="7"/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28.15</v>
      </c>
      <c r="F10" s="50">
        <f t="shared" si="0"/>
        <v>56761.339089999994</v>
      </c>
      <c r="G10" s="50">
        <f>25318.9+15999</f>
        <v>41317.9</v>
      </c>
      <c r="H10" s="54">
        <f t="shared" si="1"/>
        <v>20.491040268725982</v>
      </c>
      <c r="I10" s="50">
        <f t="shared" si="2"/>
        <v>15443.439089999993</v>
      </c>
      <c r="J10" s="21">
        <f t="shared" si="3"/>
        <v>7.6589597312740167</v>
      </c>
      <c r="K10" s="23">
        <v>45135</v>
      </c>
      <c r="L10">
        <f t="shared" si="4"/>
        <v>47</v>
      </c>
      <c r="M10" s="3">
        <f t="shared" si="5"/>
        <v>0.37377115221247914</v>
      </c>
      <c r="N10">
        <v>186</v>
      </c>
      <c r="O10">
        <v>99</v>
      </c>
      <c r="P10">
        <v>99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26</v>
      </c>
      <c r="Y10" s="3">
        <f t="shared" si="11"/>
        <v>0.26884724538275157</v>
      </c>
      <c r="Z10" s="29">
        <f t="shared" si="12"/>
        <v>0.10915616770613598</v>
      </c>
      <c r="AA10" s="7"/>
      <c r="AB10" s="26">
        <v>45245</v>
      </c>
      <c r="AC10" s="7">
        <v>97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91.64</v>
      </c>
      <c r="F11" s="50">
        <f t="shared" si="0"/>
        <v>254613.65735199998</v>
      </c>
      <c r="G11" s="50">
        <v>254613.66</v>
      </c>
      <c r="H11" s="54">
        <f t="shared" si="1"/>
        <v>91.640000953062469</v>
      </c>
      <c r="I11" s="50">
        <f t="shared" si="2"/>
        <v>-2.6480000233277678E-3</v>
      </c>
      <c r="J11" s="21">
        <f t="shared" si="3"/>
        <v>-9.5306246805648698E-7</v>
      </c>
      <c r="K11" s="23"/>
      <c r="L11">
        <f t="shared" si="4"/>
        <v>44535</v>
      </c>
      <c r="M11" s="3">
        <f t="shared" si="5"/>
        <v>-1.0400070535601931E-8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0.48964051109012613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18.82</v>
      </c>
      <c r="F12" s="50">
        <f t="shared" si="0"/>
        <v>9622.5116760000001</v>
      </c>
      <c r="G12" s="50">
        <v>24797.66</v>
      </c>
      <c r="H12" s="54">
        <f t="shared" si="1"/>
        <v>48.500015059893386</v>
      </c>
      <c r="I12" s="50">
        <f t="shared" si="2"/>
        <v>-15175.148324</v>
      </c>
      <c r="J12" s="21">
        <f t="shared" si="3"/>
        <v>-29.680015059893385</v>
      </c>
      <c r="K12" s="23"/>
      <c r="L12">
        <f t="shared" si="4"/>
        <v>44535</v>
      </c>
      <c r="M12" s="3">
        <f t="shared" si="5"/>
        <v>-0.61195888337851234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1.8504787150885868E-2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44535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402420.20820299996</v>
      </c>
      <c r="G14" s="50">
        <f>SUM(G6:G13)</f>
        <v>402306.05</v>
      </c>
      <c r="H14" s="54"/>
      <c r="I14" s="50">
        <f>SUM(I6:I13)</f>
        <v>114.15820299995721</v>
      </c>
      <c r="M14" s="3"/>
      <c r="Z14" s="4"/>
    </row>
    <row r="15" spans="1:31" x14ac:dyDescent="0.25">
      <c r="D15" s="44" t="s">
        <v>34</v>
      </c>
      <c r="F15" s="50">
        <v>117581</v>
      </c>
      <c r="G15" s="58">
        <f>F15/F16</f>
        <v>0.22611678231735627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520001.20820299996</v>
      </c>
      <c r="H16" s="60"/>
      <c r="M16" s="3"/>
      <c r="Z16" s="4"/>
    </row>
    <row r="17" spans="1:26" x14ac:dyDescent="0.25">
      <c r="F17" s="54"/>
      <c r="H17" s="60" t="s">
        <v>37</v>
      </c>
      <c r="I17" s="50">
        <v>521663.29</v>
      </c>
      <c r="K17" s="1">
        <v>45107</v>
      </c>
      <c r="L17" s="50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(F16-I17)/I17</f>
        <v>-3.1861199146292637E-3</v>
      </c>
      <c r="K18" s="7" t="s">
        <v>73</v>
      </c>
      <c r="L18" s="4">
        <f>(F16-L17)/L17</f>
        <v>2.0008215368349531E-2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>
        <f>DAYS360(K23,L23)</f>
        <v>26</v>
      </c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M24">
        <f>DAYS360(K24,L24)</f>
        <v>34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M25">
        <f>DAYS360(K25,L25)</f>
        <v>32</v>
      </c>
      <c r="O25" t="s">
        <v>71</v>
      </c>
    </row>
    <row r="26" spans="1:26" x14ac:dyDescent="0.25">
      <c r="A26" t="s">
        <v>82</v>
      </c>
      <c r="B26" t="s">
        <v>32</v>
      </c>
      <c r="C26" s="20" t="s">
        <v>83</v>
      </c>
      <c r="D26" s="44">
        <v>1007.1459</v>
      </c>
      <c r="E26" s="50">
        <f>F26/D26</f>
        <v>20.954908320631599</v>
      </c>
      <c r="F26" s="50">
        <v>21104.65</v>
      </c>
      <c r="G26" s="50">
        <v>18099.32</v>
      </c>
      <c r="H26" s="50">
        <f>G26/D26</f>
        <v>17.970901733303982</v>
      </c>
      <c r="I26" s="50">
        <f>G26-F26</f>
        <v>-3005.3300000000017</v>
      </c>
      <c r="J26" s="3">
        <f>I26/F26</f>
        <v>-0.14240131914056861</v>
      </c>
      <c r="K26" s="61">
        <v>45181</v>
      </c>
      <c r="L26" s="61">
        <v>45183</v>
      </c>
      <c r="M26">
        <f>DAYS360(K26,L26)</f>
        <v>2</v>
      </c>
      <c r="O26" t="s">
        <v>84</v>
      </c>
    </row>
    <row r="27" spans="1:26" x14ac:dyDescent="0.25">
      <c r="A27" t="s">
        <v>63</v>
      </c>
      <c r="B27" t="s">
        <v>32</v>
      </c>
      <c r="C27" s="20" t="s">
        <v>64</v>
      </c>
      <c r="D27" s="44">
        <v>115.8536</v>
      </c>
      <c r="E27" s="50">
        <f>F27/D27</f>
        <v>442.16001919664131</v>
      </c>
      <c r="F27" s="50">
        <v>51225.83</v>
      </c>
      <c r="G27" s="50">
        <v>52055.28</v>
      </c>
      <c r="H27" s="50">
        <f>G27/D27</f>
        <v>449.31948597195077</v>
      </c>
      <c r="I27" s="50">
        <f>G27-F27</f>
        <v>829.44999999999709</v>
      </c>
      <c r="J27" s="3">
        <f>I27/F27</f>
        <v>1.6192026561599824E-2</v>
      </c>
      <c r="K27" s="61">
        <v>45117</v>
      </c>
      <c r="L27" s="61">
        <v>45184</v>
      </c>
      <c r="M27" s="63">
        <f>DAYS360(K27,L27)</f>
        <v>65</v>
      </c>
      <c r="O27" t="s">
        <v>86</v>
      </c>
    </row>
    <row r="28" spans="1:26" x14ac:dyDescent="0.25">
      <c r="J28" s="3"/>
      <c r="M28" s="63"/>
    </row>
    <row r="29" spans="1:26" x14ac:dyDescent="0.25">
      <c r="J29" s="3"/>
      <c r="M29" s="63"/>
    </row>
    <row r="30" spans="1:26" x14ac:dyDescent="0.25">
      <c r="J30" s="3"/>
      <c r="M30" s="63"/>
    </row>
    <row r="31" spans="1:26" x14ac:dyDescent="0.25">
      <c r="I31" s="50">
        <f>SUM(I23:I30)</f>
        <v>-10843.169999999998</v>
      </c>
      <c r="J31" s="9" t="s">
        <v>78</v>
      </c>
    </row>
    <row r="32" spans="1:26" x14ac:dyDescent="0.25">
      <c r="H32" s="50" t="s">
        <v>77</v>
      </c>
      <c r="I32" s="62">
        <v>4</v>
      </c>
      <c r="J32" s="3">
        <f>SUM(J23:J30)/I32</f>
        <v>-7.5845107635397993E-2</v>
      </c>
    </row>
    <row r="33" spans="8:10" x14ac:dyDescent="0.25">
      <c r="H33" s="50" t="s">
        <v>85</v>
      </c>
      <c r="I33" s="50">
        <v>1</v>
      </c>
      <c r="J33" s="3">
        <v>1.6199999999999999E-2</v>
      </c>
    </row>
    <row r="34" spans="8:10" x14ac:dyDescent="0.25">
      <c r="J34" s="3"/>
    </row>
    <row r="35" spans="8:10" x14ac:dyDescent="0.25">
      <c r="J35" s="3"/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B45A-E123-4E24-8523-E6B9BB8398C1}">
  <dimension ref="A1:AE186"/>
  <sheetViews>
    <sheetView zoomScale="90" zoomScaleNormal="90" workbookViewId="0">
      <selection activeCell="I17" sqref="I17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45191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79</v>
      </c>
      <c r="B7" t="s">
        <v>32</v>
      </c>
      <c r="C7" s="20" t="s">
        <v>80</v>
      </c>
      <c r="D7" s="44">
        <v>507.0754</v>
      </c>
      <c r="E7" s="21">
        <v>77.89</v>
      </c>
      <c r="F7" s="50">
        <f t="shared" ref="F7:F13" si="0">E7*D7</f>
        <v>39496.102906</v>
      </c>
      <c r="G7" s="50">
        <v>41151</v>
      </c>
      <c r="H7" s="54">
        <f t="shared" ref="H7:H13" si="1">G7/D7</f>
        <v>81.153611474743201</v>
      </c>
      <c r="I7" s="50">
        <f t="shared" ref="I7:I13" si="2">F7-G7</f>
        <v>-1654.8970939999999</v>
      </c>
      <c r="J7" s="21">
        <f t="shared" ref="J7:J13" si="3">E7-H7</f>
        <v>-3.2636114747432003</v>
      </c>
      <c r="K7" s="23">
        <v>45167</v>
      </c>
      <c r="L7">
        <f t="shared" ref="L7:L13" si="4">DAYS360(K7,$C$1)</f>
        <v>23</v>
      </c>
      <c r="M7" s="3">
        <f t="shared" ref="M7:M13" si="5">(I7/G7)</f>
        <v>-4.0215233991883551E-2</v>
      </c>
      <c r="N7">
        <v>169</v>
      </c>
      <c r="O7">
        <v>93</v>
      </c>
      <c r="P7">
        <v>89</v>
      </c>
      <c r="Q7" s="24">
        <v>77.47</v>
      </c>
      <c r="R7" s="25">
        <f t="shared" ref="R7:R13" si="6">Q7*0.93</f>
        <v>72.0471</v>
      </c>
      <c r="S7" s="25">
        <v>70.599999999999994</v>
      </c>
      <c r="T7" s="24">
        <f t="shared" ref="T7:T13" si="7">Q7*1.25</f>
        <v>96.837500000000006</v>
      </c>
      <c r="U7" s="24">
        <f t="shared" ref="U7:U13" si="8">Q7*1.5</f>
        <v>116.205</v>
      </c>
      <c r="V7" s="24">
        <f t="shared" ref="V7:V13" si="9">Q7*2</f>
        <v>154.94</v>
      </c>
      <c r="W7" s="24">
        <f t="shared" ref="W7:W13" si="10">H7-(H7*0.07)</f>
        <v>75.472858671511176</v>
      </c>
      <c r="X7" s="25">
        <v>75.75</v>
      </c>
      <c r="Y7" s="3">
        <f t="shared" ref="Y7:Y13" si="11">(X7-H7)/H7</f>
        <v>-6.6584978493839722E-2</v>
      </c>
      <c r="Z7" s="4">
        <f t="shared" ref="Z7:Z13" si="12">F7/F$16</f>
        <v>7.6583581114694738E-2</v>
      </c>
      <c r="AB7" s="26">
        <v>45244</v>
      </c>
      <c r="AC7" s="7">
        <v>83</v>
      </c>
      <c r="AD7" t="s">
        <v>81</v>
      </c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154.88999999999999</v>
      </c>
      <c r="F8" s="50">
        <f t="shared" si="0"/>
        <v>41336.005436999993</v>
      </c>
      <c r="G8" s="50">
        <v>40425.83</v>
      </c>
      <c r="H8" s="54">
        <f t="shared" si="1"/>
        <v>151.47948483418912</v>
      </c>
      <c r="I8" s="50">
        <f t="shared" si="2"/>
        <v>910.17543699999078</v>
      </c>
      <c r="J8" s="21">
        <f t="shared" si="3"/>
        <v>3.4105151658108639</v>
      </c>
      <c r="K8" s="23">
        <v>45153</v>
      </c>
      <c r="L8">
        <f t="shared" si="4"/>
        <v>37</v>
      </c>
      <c r="M8" s="3">
        <f t="shared" si="5"/>
        <v>2.2514700056869352E-2</v>
      </c>
      <c r="N8">
        <v>136</v>
      </c>
      <c r="O8">
        <v>91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148.75</v>
      </c>
      <c r="Y8" s="3">
        <f t="shared" si="11"/>
        <v>-1.8018841542647459E-2</v>
      </c>
      <c r="Z8" s="4">
        <f t="shared" si="12"/>
        <v>8.0151181823588075E-2</v>
      </c>
      <c r="AB8" s="26">
        <v>45225</v>
      </c>
      <c r="AC8" s="7">
        <v>93</v>
      </c>
      <c r="AD8" t="s">
        <v>76</v>
      </c>
    </row>
    <row r="9" spans="1:31" x14ac:dyDescent="0.25">
      <c r="C9" s="20"/>
      <c r="E9" s="21"/>
      <c r="H9" s="54"/>
      <c r="J9" s="21"/>
      <c r="K9" s="23"/>
      <c r="M9" s="3"/>
      <c r="Q9" s="24"/>
      <c r="R9" s="25"/>
      <c r="S9" s="25"/>
      <c r="T9" s="24"/>
      <c r="U9" s="24"/>
      <c r="V9" s="24"/>
      <c r="W9" s="24"/>
      <c r="X9" s="25"/>
      <c r="Y9" s="3"/>
      <c r="Z9" s="4"/>
      <c r="AB9" s="26"/>
      <c r="AC9" s="7"/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25.78</v>
      </c>
      <c r="F10" s="50">
        <f t="shared" si="0"/>
        <v>51982.498108</v>
      </c>
      <c r="G10" s="50">
        <f>25318.9+15999</f>
        <v>41317.9</v>
      </c>
      <c r="H10" s="54">
        <f t="shared" si="1"/>
        <v>20.491040268725982</v>
      </c>
      <c r="I10" s="50">
        <f t="shared" si="2"/>
        <v>10664.598107999998</v>
      </c>
      <c r="J10" s="21">
        <f t="shared" si="3"/>
        <v>5.2889597312740193</v>
      </c>
      <c r="K10" s="23">
        <v>45135</v>
      </c>
      <c r="L10">
        <f t="shared" si="4"/>
        <v>54</v>
      </c>
      <c r="M10" s="3">
        <f t="shared" si="5"/>
        <v>0.25811084561412845</v>
      </c>
      <c r="N10">
        <v>194</v>
      </c>
      <c r="O10">
        <v>99</v>
      </c>
      <c r="P10">
        <v>99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26</v>
      </c>
      <c r="Y10" s="3">
        <f t="shared" si="11"/>
        <v>0.26884724538275157</v>
      </c>
      <c r="Z10" s="29">
        <f t="shared" si="12"/>
        <v>0.10079490297747108</v>
      </c>
      <c r="AA10" s="7"/>
      <c r="AB10" s="26">
        <v>45245</v>
      </c>
      <c r="AC10" s="7">
        <v>96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91.73</v>
      </c>
      <c r="F11" s="50">
        <f t="shared" si="0"/>
        <v>254863.71441399999</v>
      </c>
      <c r="G11" s="50">
        <v>254613.66</v>
      </c>
      <c r="H11" s="54">
        <f t="shared" si="1"/>
        <v>91.640000953062469</v>
      </c>
      <c r="I11" s="50">
        <f t="shared" si="2"/>
        <v>250.05441399998381</v>
      </c>
      <c r="J11" s="21">
        <f t="shared" si="3"/>
        <v>8.9999046937535354E-2</v>
      </c>
      <c r="K11" s="23"/>
      <c r="L11">
        <f t="shared" si="4"/>
        <v>44542</v>
      </c>
      <c r="M11" s="3">
        <f t="shared" si="5"/>
        <v>9.8209347448202037E-4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0.49418485647736787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20.47</v>
      </c>
      <c r="F12" s="50">
        <f t="shared" si="0"/>
        <v>10466.143146</v>
      </c>
      <c r="G12" s="50">
        <v>24797.66</v>
      </c>
      <c r="H12" s="54">
        <f t="shared" si="1"/>
        <v>48.500015059893386</v>
      </c>
      <c r="I12" s="50">
        <f t="shared" si="2"/>
        <v>-14331.516854</v>
      </c>
      <c r="J12" s="21">
        <f t="shared" si="3"/>
        <v>-28.030015059893387</v>
      </c>
      <c r="K12" s="23"/>
      <c r="L12">
        <f t="shared" si="4"/>
        <v>44542</v>
      </c>
      <c r="M12" s="3">
        <f t="shared" si="5"/>
        <v>-0.57793827538566134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2.0294020513551309E-2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44542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398144.464011</v>
      </c>
      <c r="G14" s="50">
        <f>SUM(G6:G13)</f>
        <v>402306.05</v>
      </c>
      <c r="H14" s="54"/>
      <c r="I14" s="50">
        <f>SUM(I6:I13)</f>
        <v>-4161.5859890000265</v>
      </c>
      <c r="M14" s="3"/>
      <c r="Z14" s="4"/>
    </row>
    <row r="15" spans="1:31" x14ac:dyDescent="0.25">
      <c r="D15" s="44" t="s">
        <v>34</v>
      </c>
      <c r="F15" s="50">
        <v>117581</v>
      </c>
      <c r="G15" s="58">
        <f>F15/F16</f>
        <v>0.22799145709332688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515725.464011</v>
      </c>
      <c r="H16" s="60"/>
      <c r="M16" s="3"/>
      <c r="Z16" s="4"/>
    </row>
    <row r="17" spans="1:26" x14ac:dyDescent="0.25">
      <c r="F17" s="54"/>
      <c r="H17" s="60" t="s">
        <v>37</v>
      </c>
      <c r="I17" s="50">
        <v>520001.21</v>
      </c>
      <c r="K17" s="1">
        <v>45107</v>
      </c>
      <c r="L17" s="64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(F16-I17)/I17</f>
        <v>-8.2225693070983753E-3</v>
      </c>
      <c r="K18" s="7" t="s">
        <v>73</v>
      </c>
      <c r="L18" s="4">
        <f>(F16-L17)/L17</f>
        <v>1.1621130619594711E-2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>
        <f>DAYS360(K23,L23)</f>
        <v>26</v>
      </c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M24">
        <f>DAYS360(K24,L24)</f>
        <v>34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M25">
        <f>DAYS360(K25,L25)</f>
        <v>32</v>
      </c>
      <c r="O25" t="s">
        <v>71</v>
      </c>
    </row>
    <row r="26" spans="1:26" x14ac:dyDescent="0.25">
      <c r="A26" t="s">
        <v>82</v>
      </c>
      <c r="B26" t="s">
        <v>32</v>
      </c>
      <c r="C26" s="20" t="s">
        <v>83</v>
      </c>
      <c r="D26" s="44">
        <v>1007.1459</v>
      </c>
      <c r="E26" s="50">
        <f>F26/D26</f>
        <v>20.954908320631599</v>
      </c>
      <c r="F26" s="50">
        <v>21104.65</v>
      </c>
      <c r="G26" s="50">
        <v>18099.32</v>
      </c>
      <c r="H26" s="50">
        <f>G26/D26</f>
        <v>17.970901733303982</v>
      </c>
      <c r="I26" s="50">
        <f>G26-F26</f>
        <v>-3005.3300000000017</v>
      </c>
      <c r="J26" s="3">
        <f>I26/F26</f>
        <v>-0.14240131914056861</v>
      </c>
      <c r="K26" s="61">
        <v>45181</v>
      </c>
      <c r="L26" s="61">
        <v>45183</v>
      </c>
      <c r="M26">
        <f>DAYS360(K26,L26)</f>
        <v>2</v>
      </c>
      <c r="O26" t="s">
        <v>84</v>
      </c>
    </row>
    <row r="27" spans="1:26" x14ac:dyDescent="0.25">
      <c r="A27" t="s">
        <v>63</v>
      </c>
      <c r="B27" t="s">
        <v>32</v>
      </c>
      <c r="C27" s="20" t="s">
        <v>64</v>
      </c>
      <c r="D27" s="44">
        <v>115.8536</v>
      </c>
      <c r="E27" s="50">
        <f>F27/D27</f>
        <v>442.16001919664131</v>
      </c>
      <c r="F27" s="50">
        <v>51225.83</v>
      </c>
      <c r="G27" s="50">
        <v>52055.28</v>
      </c>
      <c r="H27" s="50">
        <f>G27/D27</f>
        <v>449.31948597195077</v>
      </c>
      <c r="I27" s="50">
        <f>G27-F27</f>
        <v>829.44999999999709</v>
      </c>
      <c r="J27" s="3">
        <f>I27/F27</f>
        <v>1.6192026561599824E-2</v>
      </c>
      <c r="K27" s="61">
        <v>45117</v>
      </c>
      <c r="L27" s="61">
        <v>45184</v>
      </c>
      <c r="M27" s="63">
        <f>DAYS360(K27,L27)</f>
        <v>65</v>
      </c>
      <c r="O27" t="s">
        <v>86</v>
      </c>
    </row>
    <row r="28" spans="1:26" x14ac:dyDescent="0.25">
      <c r="J28" s="3"/>
      <c r="M28" s="63"/>
    </row>
    <row r="29" spans="1:26" x14ac:dyDescent="0.25">
      <c r="J29" s="3"/>
      <c r="M29" s="63"/>
    </row>
    <row r="30" spans="1:26" x14ac:dyDescent="0.25">
      <c r="J30" s="3"/>
      <c r="M30" s="63"/>
    </row>
    <row r="31" spans="1:26" x14ac:dyDescent="0.25">
      <c r="I31" s="50">
        <f>SUM(I23:I30)</f>
        <v>-10843.169999999998</v>
      </c>
      <c r="J31" s="9" t="s">
        <v>78</v>
      </c>
    </row>
    <row r="32" spans="1:26" x14ac:dyDescent="0.25">
      <c r="H32" s="50" t="s">
        <v>77</v>
      </c>
      <c r="I32" s="62">
        <v>4</v>
      </c>
      <c r="J32" s="3">
        <f>SUM(J23:J30)/I32</f>
        <v>-7.5845107635397993E-2</v>
      </c>
    </row>
    <row r="33" spans="8:10" x14ac:dyDescent="0.25">
      <c r="H33" s="50" t="s">
        <v>85</v>
      </c>
      <c r="I33" s="62">
        <v>1</v>
      </c>
      <c r="J33" s="3">
        <v>1.6199999999999999E-2</v>
      </c>
    </row>
    <row r="34" spans="8:10" x14ac:dyDescent="0.25">
      <c r="J34" s="3"/>
    </row>
    <row r="35" spans="8:10" x14ac:dyDescent="0.25">
      <c r="J35" s="3"/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3D53-1ABA-4782-BC4F-65F89D142739}">
  <dimension ref="A1:AE186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45198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79</v>
      </c>
      <c r="B7" t="s">
        <v>32</v>
      </c>
      <c r="C7" s="20" t="s">
        <v>80</v>
      </c>
      <c r="D7" s="44">
        <v>507.0754</v>
      </c>
      <c r="E7" s="21">
        <v>81.58</v>
      </c>
      <c r="F7" s="50">
        <f t="shared" ref="F7:F13" si="0">E7*D7</f>
        <v>41367.211131999997</v>
      </c>
      <c r="G7" s="50">
        <v>41151</v>
      </c>
      <c r="H7" s="54">
        <f t="shared" ref="H7:H13" si="1">G7/D7</f>
        <v>81.153611474743201</v>
      </c>
      <c r="I7" s="50">
        <f t="shared" ref="I7:I13" si="2">F7-G7</f>
        <v>216.21113199999672</v>
      </c>
      <c r="J7" s="21">
        <f t="shared" ref="J7:J13" si="3">E7-H7</f>
        <v>0.42638852525679738</v>
      </c>
      <c r="K7" s="23">
        <v>45167</v>
      </c>
      <c r="L7">
        <f t="shared" ref="L7:L13" si="4">DAYS360(K7,$C$1)</f>
        <v>30</v>
      </c>
      <c r="M7" s="3">
        <f t="shared" ref="M7:M13" si="5">(I7/G7)</f>
        <v>5.2540918082184329E-3</v>
      </c>
      <c r="N7">
        <v>162</v>
      </c>
      <c r="O7">
        <v>94</v>
      </c>
      <c r="P7">
        <v>89</v>
      </c>
      <c r="Q7" s="24">
        <v>77.47</v>
      </c>
      <c r="R7" s="25">
        <f t="shared" ref="R7:R13" si="6">Q7*0.93</f>
        <v>72.0471</v>
      </c>
      <c r="S7" s="25">
        <v>70.599999999999994</v>
      </c>
      <c r="T7" s="24">
        <f t="shared" ref="T7:T13" si="7">Q7*1.25</f>
        <v>96.837500000000006</v>
      </c>
      <c r="U7" s="24">
        <f t="shared" ref="U7:U13" si="8">Q7*1.5</f>
        <v>116.205</v>
      </c>
      <c r="V7" s="24">
        <f t="shared" ref="V7:V13" si="9">Q7*2</f>
        <v>154.94</v>
      </c>
      <c r="W7" s="24">
        <f t="shared" ref="W7:W13" si="10">H7-(H7*0.07)</f>
        <v>75.472858671511176</v>
      </c>
      <c r="X7" s="25">
        <v>75.75</v>
      </c>
      <c r="Y7" s="3">
        <f t="shared" ref="Y7:Y13" si="11">(X7-H7)/H7</f>
        <v>-6.6584978493839722E-2</v>
      </c>
      <c r="Z7" s="4">
        <f t="shared" ref="Z7:Z13" si="12">F7/F$16</f>
        <v>7.9666538336496881E-2</v>
      </c>
      <c r="AB7" s="26">
        <v>45244</v>
      </c>
      <c r="AC7" s="7">
        <v>85</v>
      </c>
      <c r="AD7" t="s">
        <v>81</v>
      </c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154.61000000000001</v>
      </c>
      <c r="F8" s="50">
        <f t="shared" si="0"/>
        <v>41261.280913000002</v>
      </c>
      <c r="G8" s="50">
        <v>40425.83</v>
      </c>
      <c r="H8" s="54">
        <f t="shared" si="1"/>
        <v>151.47948483418912</v>
      </c>
      <c r="I8" s="50">
        <f t="shared" si="2"/>
        <v>835.45091300000058</v>
      </c>
      <c r="J8" s="21">
        <f t="shared" si="3"/>
        <v>3.1305151658108912</v>
      </c>
      <c r="K8" s="23">
        <v>45153</v>
      </c>
      <c r="L8">
        <f t="shared" si="4"/>
        <v>44</v>
      </c>
      <c r="M8" s="3">
        <f t="shared" si="5"/>
        <v>2.066626493506752E-2</v>
      </c>
      <c r="N8">
        <v>129</v>
      </c>
      <c r="O8">
        <v>90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148.75</v>
      </c>
      <c r="Y8" s="3">
        <f t="shared" si="11"/>
        <v>-1.8018841542647459E-2</v>
      </c>
      <c r="Z8" s="4">
        <f t="shared" si="12"/>
        <v>7.9462533917972561E-2</v>
      </c>
      <c r="AB8" s="26">
        <v>45225</v>
      </c>
      <c r="AC8" s="7">
        <v>93</v>
      </c>
      <c r="AD8" t="s">
        <v>76</v>
      </c>
    </row>
    <row r="9" spans="1:31" x14ac:dyDescent="0.25">
      <c r="C9" s="20"/>
      <c r="E9" s="21"/>
      <c r="H9" s="54"/>
      <c r="J9" s="21"/>
      <c r="K9" s="23"/>
      <c r="M9" s="3"/>
      <c r="Q9" s="24"/>
      <c r="R9" s="25"/>
      <c r="S9" s="25"/>
      <c r="T9" s="24"/>
      <c r="U9" s="24"/>
      <c r="V9" s="24"/>
      <c r="W9" s="24"/>
      <c r="X9" s="25"/>
      <c r="Y9" s="3"/>
      <c r="Z9" s="4"/>
      <c r="AB9" s="26"/>
      <c r="AC9" s="7"/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25.9</v>
      </c>
      <c r="F10" s="50">
        <f t="shared" si="0"/>
        <v>52224.464739999989</v>
      </c>
      <c r="G10" s="50">
        <f>25318.9+15999</f>
        <v>41317.9</v>
      </c>
      <c r="H10" s="54">
        <f t="shared" si="1"/>
        <v>20.491040268725982</v>
      </c>
      <c r="I10" s="50">
        <f t="shared" si="2"/>
        <v>10906.564739999987</v>
      </c>
      <c r="J10" s="21">
        <f t="shared" si="3"/>
        <v>5.4089597312740167</v>
      </c>
      <c r="K10" s="23">
        <v>45135</v>
      </c>
      <c r="L10">
        <f t="shared" si="4"/>
        <v>61</v>
      </c>
      <c r="M10" s="3">
        <f t="shared" si="5"/>
        <v>0.26396706366974088</v>
      </c>
      <c r="N10">
        <v>184</v>
      </c>
      <c r="O10">
        <v>99</v>
      </c>
      <c r="P10">
        <v>99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26</v>
      </c>
      <c r="Y10" s="3">
        <f t="shared" si="11"/>
        <v>0.26884724538275157</v>
      </c>
      <c r="Z10" s="29">
        <f t="shared" si="12"/>
        <v>0.10057584759669264</v>
      </c>
      <c r="AA10" s="7"/>
      <c r="AB10" s="26">
        <v>45245</v>
      </c>
      <c r="AC10" s="7">
        <v>97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91.82</v>
      </c>
      <c r="F11" s="50">
        <f t="shared" si="0"/>
        <v>255113.77147599997</v>
      </c>
      <c r="G11" s="50">
        <v>254613.66</v>
      </c>
      <c r="H11" s="54">
        <f t="shared" si="1"/>
        <v>91.640000953062469</v>
      </c>
      <c r="I11" s="50">
        <f t="shared" si="2"/>
        <v>500.11147599996184</v>
      </c>
      <c r="J11" s="21">
        <f t="shared" si="3"/>
        <v>0.17999904693752455</v>
      </c>
      <c r="K11" s="23"/>
      <c r="L11">
        <f t="shared" si="4"/>
        <v>44549</v>
      </c>
      <c r="M11" s="3">
        <f t="shared" si="5"/>
        <v>1.9641973490344619E-3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0.49130774106594804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20.440000000000001</v>
      </c>
      <c r="F12" s="50">
        <f t="shared" si="0"/>
        <v>10450.804392000002</v>
      </c>
      <c r="G12" s="50">
        <v>24797.66</v>
      </c>
      <c r="H12" s="54">
        <f t="shared" si="1"/>
        <v>48.500015059893386</v>
      </c>
      <c r="I12" s="50">
        <f t="shared" si="2"/>
        <v>-14346.855607999998</v>
      </c>
      <c r="J12" s="21">
        <f t="shared" si="3"/>
        <v>-28.060015059893384</v>
      </c>
      <c r="K12" s="23"/>
      <c r="L12">
        <f t="shared" si="4"/>
        <v>44549</v>
      </c>
      <c r="M12" s="3">
        <f t="shared" si="5"/>
        <v>-0.57855683189462226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2.0126554001568854E-2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44549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400417.53265299997</v>
      </c>
      <c r="G14" s="50">
        <f>SUM(G6:G13)</f>
        <v>402306.05</v>
      </c>
      <c r="H14" s="54"/>
      <c r="I14" s="50">
        <f>SUM(I6:I13)</f>
        <v>-1888.5173470000518</v>
      </c>
      <c r="M14" s="3"/>
      <c r="Z14" s="4"/>
    </row>
    <row r="15" spans="1:31" x14ac:dyDescent="0.25">
      <c r="D15" s="44" t="s">
        <v>34</v>
      </c>
      <c r="F15" s="50">
        <v>118837</v>
      </c>
      <c r="G15" s="58">
        <f>F15/F16</f>
        <v>0.22886078508132099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519254.53265299997</v>
      </c>
      <c r="H16" s="60"/>
      <c r="M16" s="3"/>
      <c r="Z16" s="4"/>
    </row>
    <row r="17" spans="1:26" x14ac:dyDescent="0.25">
      <c r="F17" s="54"/>
      <c r="H17" s="60" t="s">
        <v>37</v>
      </c>
      <c r="I17" s="50">
        <f>'09-22-23'!F16</f>
        <v>515725.464011</v>
      </c>
      <c r="K17" s="1">
        <v>45107</v>
      </c>
      <c r="L17" s="64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(F16-I17)/I17</f>
        <v>6.8429210660901109E-3</v>
      </c>
      <c r="K18" s="7" t="s">
        <v>73</v>
      </c>
      <c r="L18" s="4">
        <f>(F16-L17)/L17</f>
        <v>1.8543574165213433E-2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>
        <f>DAYS360(K23,L23)</f>
        <v>26</v>
      </c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M24">
        <f>DAYS360(K24,L24)</f>
        <v>34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M25">
        <f>DAYS360(K25,L25)</f>
        <v>32</v>
      </c>
      <c r="O25" t="s">
        <v>71</v>
      </c>
    </row>
    <row r="26" spans="1:26" x14ac:dyDescent="0.25">
      <c r="A26" t="s">
        <v>82</v>
      </c>
      <c r="B26" t="s">
        <v>32</v>
      </c>
      <c r="C26" s="20" t="s">
        <v>83</v>
      </c>
      <c r="D26" s="44">
        <v>1007.1459</v>
      </c>
      <c r="E26" s="50">
        <f>F26/D26</f>
        <v>20.954908320631599</v>
      </c>
      <c r="F26" s="50">
        <v>21104.65</v>
      </c>
      <c r="G26" s="50">
        <v>18099.32</v>
      </c>
      <c r="H26" s="50">
        <f>G26/D26</f>
        <v>17.970901733303982</v>
      </c>
      <c r="I26" s="50">
        <f>G26-F26</f>
        <v>-3005.3300000000017</v>
      </c>
      <c r="J26" s="3">
        <f>I26/F26</f>
        <v>-0.14240131914056861</v>
      </c>
      <c r="K26" s="61">
        <v>45181</v>
      </c>
      <c r="L26" s="61">
        <v>45183</v>
      </c>
      <c r="M26">
        <f>DAYS360(K26,L26)</f>
        <v>2</v>
      </c>
      <c r="O26" t="s">
        <v>84</v>
      </c>
    </row>
    <row r="27" spans="1:26" x14ac:dyDescent="0.25">
      <c r="A27" t="s">
        <v>63</v>
      </c>
      <c r="B27" t="s">
        <v>32</v>
      </c>
      <c r="C27" s="20" t="s">
        <v>64</v>
      </c>
      <c r="D27" s="44">
        <v>115.8536</v>
      </c>
      <c r="E27" s="50">
        <f>F27/D27</f>
        <v>442.16001919664131</v>
      </c>
      <c r="F27" s="50">
        <v>51225.83</v>
      </c>
      <c r="G27" s="50">
        <v>52055.28</v>
      </c>
      <c r="H27" s="50">
        <f>G27/D27</f>
        <v>449.31948597195077</v>
      </c>
      <c r="I27" s="50">
        <f>G27-F27</f>
        <v>829.44999999999709</v>
      </c>
      <c r="J27" s="3">
        <f>I27/F27</f>
        <v>1.6192026561599824E-2</v>
      </c>
      <c r="K27" s="61">
        <v>45117</v>
      </c>
      <c r="L27" s="61">
        <v>45184</v>
      </c>
      <c r="M27" s="63">
        <f>DAYS360(K27,L27)</f>
        <v>65</v>
      </c>
      <c r="O27" t="s">
        <v>86</v>
      </c>
    </row>
    <row r="28" spans="1:26" x14ac:dyDescent="0.25">
      <c r="J28" s="3"/>
      <c r="M28" s="63"/>
    </row>
    <row r="29" spans="1:26" x14ac:dyDescent="0.25">
      <c r="J29" s="3"/>
      <c r="M29" s="63"/>
    </row>
    <row r="30" spans="1:26" x14ac:dyDescent="0.25">
      <c r="J30" s="3"/>
      <c r="M30" s="63"/>
    </row>
    <row r="31" spans="1:26" x14ac:dyDescent="0.25">
      <c r="I31" s="50">
        <f>SUM(I23:I30)</f>
        <v>-10843.169999999998</v>
      </c>
      <c r="J31" s="9" t="s">
        <v>78</v>
      </c>
    </row>
    <row r="32" spans="1:26" x14ac:dyDescent="0.25">
      <c r="H32" s="50" t="s">
        <v>77</v>
      </c>
      <c r="I32" s="62">
        <v>4</v>
      </c>
      <c r="J32" s="3">
        <f>SUM(J23:J30)/I32</f>
        <v>-7.5845107635397993E-2</v>
      </c>
    </row>
    <row r="33" spans="8:10" x14ac:dyDescent="0.25">
      <c r="H33" s="50" t="s">
        <v>85</v>
      </c>
      <c r="I33" s="62">
        <v>1</v>
      </c>
      <c r="J33" s="3">
        <v>1.6199999999999999E-2</v>
      </c>
    </row>
    <row r="34" spans="8:10" x14ac:dyDescent="0.25">
      <c r="J34" s="3"/>
    </row>
    <row r="35" spans="8:10" x14ac:dyDescent="0.25">
      <c r="J35" s="3"/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E0D6-F551-4F95-BFF6-E48EFB98FE88}">
  <dimension ref="A1:AE186"/>
  <sheetViews>
    <sheetView workbookViewId="0">
      <selection activeCell="C2" sqref="C2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45205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79</v>
      </c>
      <c r="B7" t="s">
        <v>32</v>
      </c>
      <c r="C7" s="20" t="s">
        <v>80</v>
      </c>
      <c r="D7" s="44">
        <v>507.0754</v>
      </c>
      <c r="E7" s="21">
        <v>81.7</v>
      </c>
      <c r="F7" s="50">
        <f t="shared" ref="F7:F13" si="0">E7*D7</f>
        <v>41428.06018</v>
      </c>
      <c r="G7" s="50">
        <v>41151</v>
      </c>
      <c r="H7" s="54">
        <f t="shared" ref="H7:H13" si="1">G7/D7</f>
        <v>81.153611474743201</v>
      </c>
      <c r="I7" s="50">
        <f t="shared" ref="I7:I13" si="2">F7-G7</f>
        <v>277.0601800000004</v>
      </c>
      <c r="J7" s="21">
        <f t="shared" ref="J7:J13" si="3">E7-H7</f>
        <v>0.54638852525680193</v>
      </c>
      <c r="K7" s="23">
        <v>45167</v>
      </c>
      <c r="L7">
        <f t="shared" ref="L7:L13" si="4">DAYS360(K7,$C$1)</f>
        <v>37</v>
      </c>
      <c r="M7" s="3">
        <f t="shared" ref="M7:M13" si="5">(I7/G7)</f>
        <v>6.7327690700104588E-3</v>
      </c>
      <c r="N7">
        <v>136</v>
      </c>
      <c r="O7">
        <v>95</v>
      </c>
      <c r="P7">
        <v>89</v>
      </c>
      <c r="Q7" s="24">
        <v>77.47</v>
      </c>
      <c r="R7" s="25">
        <f t="shared" ref="R7:R13" si="6">Q7*0.93</f>
        <v>72.0471</v>
      </c>
      <c r="S7" s="25">
        <v>70.599999999999994</v>
      </c>
      <c r="T7" s="24">
        <f t="shared" ref="T7:T13" si="7">Q7*1.25</f>
        <v>96.837500000000006</v>
      </c>
      <c r="U7" s="24">
        <f t="shared" ref="U7:U13" si="8">Q7*1.5</f>
        <v>116.205</v>
      </c>
      <c r="V7" s="24">
        <f t="shared" ref="V7:V13" si="9">Q7*2</f>
        <v>154.94</v>
      </c>
      <c r="W7" s="24">
        <f t="shared" ref="W7:W13" si="10">H7-(H7*0.07)</f>
        <v>75.472858671511176</v>
      </c>
      <c r="X7" s="25">
        <v>75.75</v>
      </c>
      <c r="Y7" s="3">
        <f t="shared" ref="Y7:Y13" si="11">(X7-H7)/H7</f>
        <v>-6.6584978493839722E-2</v>
      </c>
      <c r="Z7" s="4">
        <f t="shared" ref="Z7:Z13" si="12">F7/F$16</f>
        <v>7.9983491042980998E-2</v>
      </c>
      <c r="AB7" s="26">
        <v>45244</v>
      </c>
      <c r="AC7" s="7">
        <v>87</v>
      </c>
      <c r="AD7" t="s">
        <v>81</v>
      </c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156.33000000000001</v>
      </c>
      <c r="F8" s="50">
        <f t="shared" si="0"/>
        <v>41720.302988999996</v>
      </c>
      <c r="G8" s="50">
        <v>40425.83</v>
      </c>
      <c r="H8" s="54">
        <f t="shared" si="1"/>
        <v>151.47948483418912</v>
      </c>
      <c r="I8" s="50">
        <f t="shared" si="2"/>
        <v>1294.4729889999944</v>
      </c>
      <c r="J8" s="21">
        <f t="shared" si="3"/>
        <v>4.85051516581089</v>
      </c>
      <c r="K8" s="23">
        <v>45153</v>
      </c>
      <c r="L8">
        <f t="shared" si="4"/>
        <v>51</v>
      </c>
      <c r="M8" s="3">
        <f t="shared" si="5"/>
        <v>3.2020937826137255E-2</v>
      </c>
      <c r="N8">
        <v>68</v>
      </c>
      <c r="O8">
        <v>93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148.75</v>
      </c>
      <c r="Y8" s="3">
        <f t="shared" si="11"/>
        <v>-1.8018841542647459E-2</v>
      </c>
      <c r="Z8" s="4">
        <f t="shared" si="12"/>
        <v>8.0547712490822557E-2</v>
      </c>
      <c r="AB8" s="26">
        <v>45225</v>
      </c>
      <c r="AC8" s="7">
        <v>94</v>
      </c>
      <c r="AD8" t="s">
        <v>76</v>
      </c>
    </row>
    <row r="9" spans="1:31" x14ac:dyDescent="0.25">
      <c r="C9" s="20"/>
      <c r="E9" s="21"/>
      <c r="H9" s="54"/>
      <c r="J9" s="21"/>
      <c r="K9" s="23"/>
      <c r="M9" s="3"/>
      <c r="Q9" s="24"/>
      <c r="R9" s="25"/>
      <c r="S9" s="25"/>
      <c r="T9" s="24"/>
      <c r="U9" s="24"/>
      <c r="V9" s="24"/>
      <c r="W9" s="24"/>
      <c r="X9" s="25"/>
      <c r="Y9" s="3"/>
      <c r="Z9" s="4"/>
      <c r="AB9" s="26"/>
      <c r="AC9" s="7"/>
    </row>
    <row r="10" spans="1:31" x14ac:dyDescent="0.25">
      <c r="A10" t="s">
        <v>67</v>
      </c>
      <c r="B10" t="s">
        <v>32</v>
      </c>
      <c r="C10" s="20" t="s">
        <v>70</v>
      </c>
      <c r="D10" s="44">
        <f>1211.7123+804.6763</f>
        <v>2016.3885999999998</v>
      </c>
      <c r="E10" s="21">
        <v>24.69</v>
      </c>
      <c r="F10" s="50">
        <f t="shared" si="0"/>
        <v>49784.634533999997</v>
      </c>
      <c r="G10" s="50">
        <f>25318.9+15999</f>
        <v>41317.9</v>
      </c>
      <c r="H10" s="54">
        <f t="shared" si="1"/>
        <v>20.491040268725982</v>
      </c>
      <c r="I10" s="50">
        <f t="shared" si="2"/>
        <v>8466.7345339999956</v>
      </c>
      <c r="J10" s="21">
        <f t="shared" si="3"/>
        <v>4.1989597312740194</v>
      </c>
      <c r="K10" s="23">
        <v>45135</v>
      </c>
      <c r="L10">
        <f t="shared" si="4"/>
        <v>68</v>
      </c>
      <c r="M10" s="3">
        <f t="shared" si="5"/>
        <v>0.20491686494231304</v>
      </c>
      <c r="N10">
        <v>186</v>
      </c>
      <c r="O10">
        <v>99</v>
      </c>
      <c r="P10">
        <v>99</v>
      </c>
      <c r="Q10" s="24">
        <v>19.48</v>
      </c>
      <c r="R10" s="25">
        <f t="shared" si="6"/>
        <v>18.116400000000002</v>
      </c>
      <c r="S10" s="25">
        <v>17.57</v>
      </c>
      <c r="T10" s="28">
        <f t="shared" si="7"/>
        <v>24.35</v>
      </c>
      <c r="U10" s="24">
        <f t="shared" si="8"/>
        <v>29.22</v>
      </c>
      <c r="V10" s="24">
        <f t="shared" si="9"/>
        <v>38.96</v>
      </c>
      <c r="W10" s="24">
        <f t="shared" si="10"/>
        <v>19.056667449915164</v>
      </c>
      <c r="X10" s="25">
        <v>26</v>
      </c>
      <c r="Y10" s="3">
        <f t="shared" si="11"/>
        <v>0.26884724538275157</v>
      </c>
      <c r="Z10" s="29">
        <f t="shared" si="12"/>
        <v>9.611719334738765E-2</v>
      </c>
      <c r="AA10" s="7"/>
      <c r="AB10" s="26">
        <v>45245</v>
      </c>
      <c r="AC10" s="7">
        <v>96</v>
      </c>
      <c r="AD10" t="s">
        <v>72</v>
      </c>
    </row>
    <row r="11" spans="1:31" x14ac:dyDescent="0.25">
      <c r="A11" s="20" t="s">
        <v>44</v>
      </c>
      <c r="B11" s="20" t="s">
        <v>32</v>
      </c>
      <c r="C11" s="20" t="s">
        <v>45</v>
      </c>
      <c r="D11" s="44">
        <v>2778.4117999999999</v>
      </c>
      <c r="E11" s="21">
        <v>91.53</v>
      </c>
      <c r="F11" s="50">
        <f t="shared" si="0"/>
        <v>254308.03205399998</v>
      </c>
      <c r="G11" s="50">
        <v>254613.66</v>
      </c>
      <c r="H11" s="54">
        <f t="shared" si="1"/>
        <v>91.640000953062469</v>
      </c>
      <c r="I11" s="50">
        <f t="shared" si="2"/>
        <v>-305.62794600002235</v>
      </c>
      <c r="J11" s="21">
        <f t="shared" si="3"/>
        <v>-0.11000095306246749</v>
      </c>
      <c r="K11" s="23"/>
      <c r="L11">
        <f t="shared" si="4"/>
        <v>44556</v>
      </c>
      <c r="M11" s="3">
        <f t="shared" si="5"/>
        <v>-1.200359580079177E-3</v>
      </c>
      <c r="Q11" s="24"/>
      <c r="R11" s="25">
        <f t="shared" si="6"/>
        <v>0</v>
      </c>
      <c r="S11" s="25"/>
      <c r="T11" s="28">
        <f t="shared" si="7"/>
        <v>0</v>
      </c>
      <c r="U11" s="28">
        <f t="shared" si="8"/>
        <v>0</v>
      </c>
      <c r="V11" s="24">
        <f t="shared" si="9"/>
        <v>0</v>
      </c>
      <c r="W11" s="24">
        <f t="shared" si="10"/>
        <v>85.225200886348091</v>
      </c>
      <c r="X11" s="25"/>
      <c r="Y11" s="3">
        <f t="shared" si="11"/>
        <v>-1</v>
      </c>
      <c r="Z11" s="4">
        <f t="shared" si="12"/>
        <v>0.49098229836425888</v>
      </c>
      <c r="AB11" s="26"/>
      <c r="AC11" s="7"/>
    </row>
    <row r="12" spans="1:31" x14ac:dyDescent="0.25">
      <c r="A12" t="s">
        <v>42</v>
      </c>
      <c r="B12" t="s">
        <v>32</v>
      </c>
      <c r="C12" s="20" t="s">
        <v>43</v>
      </c>
      <c r="D12" s="44">
        <v>511.29180000000002</v>
      </c>
      <c r="E12" s="21">
        <v>19.36</v>
      </c>
      <c r="F12" s="50">
        <f t="shared" si="0"/>
        <v>9898.6092480000007</v>
      </c>
      <c r="G12" s="50">
        <v>24797.66</v>
      </c>
      <c r="H12" s="54">
        <f t="shared" si="1"/>
        <v>48.500015059893386</v>
      </c>
      <c r="I12" s="50">
        <f t="shared" si="2"/>
        <v>-14899.050751999999</v>
      </c>
      <c r="J12" s="21">
        <f t="shared" si="3"/>
        <v>-29.140015059893386</v>
      </c>
      <c r="K12" s="23"/>
      <c r="L12">
        <f t="shared" si="4"/>
        <v>44556</v>
      </c>
      <c r="M12" s="3">
        <f t="shared" si="5"/>
        <v>-0.60082486621721565</v>
      </c>
      <c r="P12" s="27"/>
      <c r="Q12" s="24"/>
      <c r="R12" s="25">
        <f t="shared" si="6"/>
        <v>0</v>
      </c>
      <c r="S12" s="25"/>
      <c r="T12" s="24">
        <f t="shared" si="7"/>
        <v>0</v>
      </c>
      <c r="U12" s="24">
        <f t="shared" si="8"/>
        <v>0</v>
      </c>
      <c r="V12" s="24">
        <f t="shared" si="9"/>
        <v>0</v>
      </c>
      <c r="W12" s="24">
        <f t="shared" si="10"/>
        <v>45.105014005700852</v>
      </c>
      <c r="X12" s="25"/>
      <c r="Y12" s="3">
        <f t="shared" si="11"/>
        <v>-1</v>
      </c>
      <c r="Z12" s="4">
        <f t="shared" si="12"/>
        <v>1.911084710907111E-2</v>
      </c>
      <c r="AB12" s="26"/>
      <c r="AC12" s="7"/>
    </row>
    <row r="13" spans="1:31" x14ac:dyDescent="0.25">
      <c r="A13" s="31"/>
      <c r="B13" s="31"/>
      <c r="C13" s="31"/>
      <c r="D13" s="47"/>
      <c r="E13" s="32"/>
      <c r="F13" s="53">
        <f t="shared" si="0"/>
        <v>0</v>
      </c>
      <c r="G13" s="53"/>
      <c r="H13" s="59" t="e">
        <f t="shared" si="1"/>
        <v>#DIV/0!</v>
      </c>
      <c r="I13" s="53">
        <f t="shared" si="2"/>
        <v>0</v>
      </c>
      <c r="J13" s="32" t="e">
        <f t="shared" si="3"/>
        <v>#DIV/0!</v>
      </c>
      <c r="K13" s="34"/>
      <c r="L13" s="31">
        <f t="shared" si="4"/>
        <v>44556</v>
      </c>
      <c r="M13" s="35" t="e">
        <f t="shared" si="5"/>
        <v>#DIV/0!</v>
      </c>
      <c r="N13" s="31"/>
      <c r="O13" s="31"/>
      <c r="P13" s="31"/>
      <c r="Q13" s="36"/>
      <c r="R13" s="37">
        <f t="shared" si="6"/>
        <v>0</v>
      </c>
      <c r="S13" s="37"/>
      <c r="T13" s="36">
        <f t="shared" si="7"/>
        <v>0</v>
      </c>
      <c r="U13" s="36">
        <f t="shared" si="8"/>
        <v>0</v>
      </c>
      <c r="V13" s="36">
        <f t="shared" si="9"/>
        <v>0</v>
      </c>
      <c r="W13" s="36" t="e">
        <f t="shared" si="10"/>
        <v>#DIV/0!</v>
      </c>
      <c r="X13" s="37"/>
      <c r="Y13" s="35" t="e">
        <f t="shared" si="11"/>
        <v>#DIV/0!</v>
      </c>
      <c r="Z13" s="38">
        <f t="shared" si="12"/>
        <v>0</v>
      </c>
      <c r="AB13" s="39"/>
      <c r="AC13" s="7"/>
    </row>
    <row r="14" spans="1:31" x14ac:dyDescent="0.25">
      <c r="A14" t="s">
        <v>33</v>
      </c>
      <c r="F14" s="50">
        <f>SUM(F6:F13)</f>
        <v>397139.63900499995</v>
      </c>
      <c r="G14" s="50">
        <f>SUM(G6:G13)</f>
        <v>402306.05</v>
      </c>
      <c r="H14" s="54"/>
      <c r="I14" s="50">
        <f>SUM(I6:I13)</f>
        <v>-5166.4109950000311</v>
      </c>
      <c r="M14" s="3"/>
      <c r="Z14" s="4"/>
    </row>
    <row r="15" spans="1:31" x14ac:dyDescent="0.25">
      <c r="D15" s="44" t="s">
        <v>34</v>
      </c>
      <c r="F15" s="50">
        <v>120818</v>
      </c>
      <c r="G15" s="58">
        <f>F15/F16</f>
        <v>0.23325845764547884</v>
      </c>
      <c r="H15" s="54"/>
      <c r="M15" s="3"/>
      <c r="Z15" s="4"/>
    </row>
    <row r="16" spans="1:31" x14ac:dyDescent="0.25">
      <c r="D16" s="44" t="s">
        <v>35</v>
      </c>
      <c r="F16" s="50">
        <f>SUM(F14:F15)</f>
        <v>517957.63900499995</v>
      </c>
      <c r="H16" s="60"/>
      <c r="M16" s="3"/>
      <c r="Z16" s="4"/>
    </row>
    <row r="17" spans="1:26" x14ac:dyDescent="0.25">
      <c r="F17" s="54"/>
      <c r="H17" s="60" t="s">
        <v>37</v>
      </c>
      <c r="I17" s="50">
        <v>519254.53</v>
      </c>
      <c r="K17" s="1">
        <v>45107</v>
      </c>
      <c r="L17" s="64">
        <v>509801</v>
      </c>
      <c r="M17" s="3"/>
      <c r="Z17" s="4"/>
    </row>
    <row r="18" spans="1:26" x14ac:dyDescent="0.25">
      <c r="F18" s="55"/>
      <c r="G18" s="58"/>
      <c r="H18" s="54" t="s">
        <v>39</v>
      </c>
      <c r="I18" s="4">
        <f>(F16-I17)/I17</f>
        <v>-2.4976016964167488E-3</v>
      </c>
      <c r="K18" s="7" t="s">
        <v>73</v>
      </c>
      <c r="L18" s="4">
        <f>(F16-L17)/L17</f>
        <v>1.599965281551026E-2</v>
      </c>
      <c r="Z18" s="4"/>
    </row>
    <row r="20" spans="1:26" x14ac:dyDescent="0.25">
      <c r="D20" s="7"/>
      <c r="E20" s="7"/>
      <c r="F20" s="56"/>
      <c r="I20" s="51"/>
      <c r="J20" s="7"/>
      <c r="K20" s="7"/>
      <c r="L20" s="7"/>
      <c r="M20" s="9" t="s">
        <v>46</v>
      </c>
    </row>
    <row r="21" spans="1:26" x14ac:dyDescent="0.25">
      <c r="A21" s="49" t="s">
        <v>54</v>
      </c>
      <c r="D21" s="19" t="s">
        <v>17</v>
      </c>
      <c r="E21" s="19" t="s">
        <v>47</v>
      </c>
      <c r="F21" s="57" t="s">
        <v>48</v>
      </c>
      <c r="G21" s="57" t="s">
        <v>50</v>
      </c>
      <c r="H21" s="57" t="s">
        <v>49</v>
      </c>
      <c r="I21" s="57" t="s">
        <v>51</v>
      </c>
      <c r="J21" s="19" t="s">
        <v>12</v>
      </c>
      <c r="K21" s="19" t="s">
        <v>22</v>
      </c>
      <c r="L21" s="19" t="s">
        <v>52</v>
      </c>
      <c r="M21" s="19" t="s">
        <v>53</v>
      </c>
      <c r="N21" s="1"/>
      <c r="P21" s="7" t="s">
        <v>55</v>
      </c>
    </row>
    <row r="22" spans="1:26" x14ac:dyDescent="0.25">
      <c r="J22" s="3"/>
    </row>
    <row r="23" spans="1:26" x14ac:dyDescent="0.25">
      <c r="A23" t="s">
        <v>60</v>
      </c>
      <c r="B23" t="s">
        <v>32</v>
      </c>
      <c r="C23" s="20" t="s">
        <v>61</v>
      </c>
      <c r="D23" s="44">
        <v>665.97389999999996</v>
      </c>
      <c r="E23" s="50">
        <f>F23/D23</f>
        <v>76.621621357834002</v>
      </c>
      <c r="F23" s="50">
        <v>51028</v>
      </c>
      <c r="G23" s="50">
        <v>45324.79</v>
      </c>
      <c r="H23" s="50">
        <f>G23/D23</f>
        <v>68.057907374448163</v>
      </c>
      <c r="I23" s="50">
        <f>G23-F23</f>
        <v>-5703.2099999999991</v>
      </c>
      <c r="J23" s="3">
        <f>I23/F23</f>
        <v>-0.11176628517676568</v>
      </c>
      <c r="K23" s="61">
        <v>45106</v>
      </c>
      <c r="L23" s="61">
        <v>45132</v>
      </c>
      <c r="M23">
        <f>DAYS360(K23,L23)</f>
        <v>26</v>
      </c>
      <c r="O23" t="s">
        <v>66</v>
      </c>
    </row>
    <row r="24" spans="1:26" x14ac:dyDescent="0.25">
      <c r="A24" t="s">
        <v>40</v>
      </c>
      <c r="B24" t="s">
        <v>32</v>
      </c>
      <c r="C24" s="20" t="s">
        <v>41</v>
      </c>
      <c r="D24" s="44">
        <v>123.3931</v>
      </c>
      <c r="E24" s="50">
        <f>F24/D24</f>
        <v>413.24004340599271</v>
      </c>
      <c r="F24" s="50">
        <v>50990.97</v>
      </c>
      <c r="G24" s="50">
        <v>48894.94</v>
      </c>
      <c r="H24" s="50">
        <f>G24/D24</f>
        <v>396.25343718570974</v>
      </c>
      <c r="I24" s="50">
        <f>G24-F24</f>
        <v>-2096.0299999999988</v>
      </c>
      <c r="J24" s="3">
        <f>I24/F24</f>
        <v>-4.1105905614268544E-2</v>
      </c>
      <c r="K24" s="61">
        <v>45104</v>
      </c>
      <c r="L24" s="61">
        <v>45138</v>
      </c>
      <c r="M24">
        <f>DAYS360(K24,L24)</f>
        <v>34</v>
      </c>
      <c r="O24" t="s">
        <v>69</v>
      </c>
    </row>
    <row r="25" spans="1:26" x14ac:dyDescent="0.25">
      <c r="A25" t="s">
        <v>56</v>
      </c>
      <c r="B25" t="s">
        <v>32</v>
      </c>
      <c r="C25" s="20" t="s">
        <v>57</v>
      </c>
      <c r="D25" s="44">
        <v>278.20080000000002</v>
      </c>
      <c r="E25" s="50">
        <f>F25/D25</f>
        <v>128.41001895034088</v>
      </c>
      <c r="F25" s="50">
        <v>35723.769999999997</v>
      </c>
      <c r="G25" s="50">
        <v>34855.72</v>
      </c>
      <c r="H25" s="50">
        <f>G25/D25</f>
        <v>125.28979068356381</v>
      </c>
      <c r="I25" s="50">
        <f>G25-F25</f>
        <v>-868.04999999999563</v>
      </c>
      <c r="J25" s="3">
        <f>I25/F25</f>
        <v>-2.4298947171588994E-2</v>
      </c>
      <c r="K25" s="61">
        <v>45106</v>
      </c>
      <c r="L25" s="61">
        <v>45138</v>
      </c>
      <c r="M25">
        <f>DAYS360(K25,L25)</f>
        <v>32</v>
      </c>
      <c r="O25" t="s">
        <v>71</v>
      </c>
    </row>
    <row r="26" spans="1:26" x14ac:dyDescent="0.25">
      <c r="A26" t="s">
        <v>82</v>
      </c>
      <c r="B26" t="s">
        <v>32</v>
      </c>
      <c r="C26" s="20" t="s">
        <v>83</v>
      </c>
      <c r="D26" s="44">
        <v>1007.1459</v>
      </c>
      <c r="E26" s="50">
        <f>F26/D26</f>
        <v>20.954908320631599</v>
      </c>
      <c r="F26" s="50">
        <v>21104.65</v>
      </c>
      <c r="G26" s="50">
        <v>18099.32</v>
      </c>
      <c r="H26" s="50">
        <f>G26/D26</f>
        <v>17.970901733303982</v>
      </c>
      <c r="I26" s="50">
        <f>G26-F26</f>
        <v>-3005.3300000000017</v>
      </c>
      <c r="J26" s="3">
        <f>I26/F26</f>
        <v>-0.14240131914056861</v>
      </c>
      <c r="K26" s="61">
        <v>45181</v>
      </c>
      <c r="L26" s="61">
        <v>45183</v>
      </c>
      <c r="M26">
        <f>DAYS360(K26,L26)</f>
        <v>2</v>
      </c>
      <c r="O26" t="s">
        <v>84</v>
      </c>
    </row>
    <row r="27" spans="1:26" x14ac:dyDescent="0.25">
      <c r="A27" t="s">
        <v>63</v>
      </c>
      <c r="B27" t="s">
        <v>32</v>
      </c>
      <c r="C27" s="20" t="s">
        <v>64</v>
      </c>
      <c r="D27" s="44">
        <v>115.8536</v>
      </c>
      <c r="E27" s="50">
        <f>F27/D27</f>
        <v>442.16001919664131</v>
      </c>
      <c r="F27" s="50">
        <v>51225.83</v>
      </c>
      <c r="G27" s="50">
        <v>52055.28</v>
      </c>
      <c r="H27" s="50">
        <f>G27/D27</f>
        <v>449.31948597195077</v>
      </c>
      <c r="I27" s="50">
        <f>G27-F27</f>
        <v>829.44999999999709</v>
      </c>
      <c r="J27" s="3">
        <f>I27/F27</f>
        <v>1.6192026561599824E-2</v>
      </c>
      <c r="K27" s="61">
        <v>45117</v>
      </c>
      <c r="L27" s="61">
        <v>45184</v>
      </c>
      <c r="M27" s="63">
        <f>DAYS360(K27,L27)</f>
        <v>65</v>
      </c>
      <c r="O27" t="s">
        <v>86</v>
      </c>
    </row>
    <row r="28" spans="1:26" x14ac:dyDescent="0.25">
      <c r="J28" s="3"/>
      <c r="M28" s="63"/>
    </row>
    <row r="29" spans="1:26" x14ac:dyDescent="0.25">
      <c r="J29" s="3"/>
      <c r="M29" s="63"/>
    </row>
    <row r="30" spans="1:26" x14ac:dyDescent="0.25">
      <c r="J30" s="3"/>
      <c r="M30" s="63"/>
    </row>
    <row r="31" spans="1:26" x14ac:dyDescent="0.25">
      <c r="I31" s="50">
        <f>SUM(I23:I30)</f>
        <v>-10843.169999999998</v>
      </c>
      <c r="J31" s="9" t="s">
        <v>78</v>
      </c>
    </row>
    <row r="32" spans="1:26" x14ac:dyDescent="0.25">
      <c r="H32" s="50" t="s">
        <v>77</v>
      </c>
      <c r="I32" s="62">
        <v>4</v>
      </c>
      <c r="J32" s="3">
        <f>SUM(J23:J30)/I32</f>
        <v>-7.5845107635397993E-2</v>
      </c>
    </row>
    <row r="33" spans="8:10" x14ac:dyDescent="0.25">
      <c r="H33" s="50" t="s">
        <v>85</v>
      </c>
      <c r="I33" s="62">
        <v>1</v>
      </c>
      <c r="J33" s="3">
        <v>1.6199999999999999E-2</v>
      </c>
    </row>
    <row r="34" spans="8:10" x14ac:dyDescent="0.25">
      <c r="J34" s="3"/>
    </row>
    <row r="35" spans="8:10" x14ac:dyDescent="0.25">
      <c r="J35" s="3"/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2DAA-54BD-4C2D-935C-366A20FB1745}">
  <dimension ref="A1:AE18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45212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25.8</v>
      </c>
      <c r="F7" s="50">
        <f t="shared" ref="F7:F14" si="0">E7*D7</f>
        <v>52022.825879999997</v>
      </c>
      <c r="G7" s="50">
        <f>25318.9+15999</f>
        <v>41317.9</v>
      </c>
      <c r="H7" s="54">
        <f t="shared" ref="H7:H14" si="1">G7/D7</f>
        <v>20.491040268725982</v>
      </c>
      <c r="I7" s="50">
        <f t="shared" ref="I7:I14" si="2">F7-G7</f>
        <v>10704.925879999995</v>
      </c>
      <c r="J7" s="21">
        <f t="shared" ref="J7:J14" si="3">E7-H7</f>
        <v>5.3089597312740189</v>
      </c>
      <c r="K7" s="23">
        <v>45135</v>
      </c>
      <c r="L7">
        <f t="shared" ref="L7:L14" si="4">DAYS360(K7,$C$1)</f>
        <v>75</v>
      </c>
      <c r="M7" s="3">
        <f t="shared" ref="M7:M14" si="5">(I7/G7)</f>
        <v>0.25908688195673052</v>
      </c>
      <c r="N7">
        <v>171</v>
      </c>
      <c r="O7">
        <v>99</v>
      </c>
      <c r="P7">
        <v>99</v>
      </c>
      <c r="Q7" s="24">
        <v>19.48</v>
      </c>
      <c r="R7" s="25">
        <f t="shared" ref="R7:R14" si="6">Q7*0.93</f>
        <v>18.116400000000002</v>
      </c>
      <c r="S7" s="25">
        <v>17.57</v>
      </c>
      <c r="T7" s="28">
        <f t="shared" ref="T7:T14" si="7">Q7*1.25</f>
        <v>24.35</v>
      </c>
      <c r="U7" s="24">
        <f t="shared" ref="U7:U14" si="8">Q7*1.5</f>
        <v>29.22</v>
      </c>
      <c r="V7" s="24">
        <f t="shared" ref="V7:V14" si="9">Q7*2</f>
        <v>38.96</v>
      </c>
      <c r="W7" s="24">
        <f t="shared" ref="W7:W14" si="10">H7-(H7*0.07)</f>
        <v>19.056667449915164</v>
      </c>
      <c r="X7" s="25">
        <v>26</v>
      </c>
      <c r="Y7" s="3">
        <f t="shared" ref="Y7:Y14" si="11">(X7-H7)/H7</f>
        <v>0.26884724538275157</v>
      </c>
      <c r="Z7" s="29">
        <f t="shared" ref="Z7:Z14" si="12">F7/F$17</f>
        <v>0.10075956722522678</v>
      </c>
      <c r="AA7" s="7"/>
      <c r="AB7" s="26">
        <v>45245</v>
      </c>
      <c r="AC7" s="7">
        <v>97</v>
      </c>
      <c r="AD7" t="s">
        <v>72</v>
      </c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159.43</v>
      </c>
      <c r="F8" s="50">
        <f t="shared" si="0"/>
        <v>42547.610218999995</v>
      </c>
      <c r="G8" s="50">
        <v>40425.83</v>
      </c>
      <c r="H8" s="54">
        <f t="shared" si="1"/>
        <v>151.47948483418912</v>
      </c>
      <c r="I8" s="50">
        <f t="shared" si="2"/>
        <v>2121.7802189999929</v>
      </c>
      <c r="J8" s="21">
        <f t="shared" si="3"/>
        <v>7.9505151658108844</v>
      </c>
      <c r="K8" s="23">
        <v>45153</v>
      </c>
      <c r="L8">
        <f t="shared" si="4"/>
        <v>58</v>
      </c>
      <c r="M8" s="3">
        <f t="shared" si="5"/>
        <v>5.2485755246088769E-2</v>
      </c>
      <c r="N8">
        <v>51</v>
      </c>
      <c r="O8">
        <v>94</v>
      </c>
      <c r="P8" s="27">
        <v>94</v>
      </c>
      <c r="Q8" s="24">
        <v>150.07</v>
      </c>
      <c r="R8" s="25">
        <f t="shared" si="6"/>
        <v>139.5651</v>
      </c>
      <c r="S8" s="25">
        <v>138.38</v>
      </c>
      <c r="T8" s="28">
        <f t="shared" si="7"/>
        <v>187.58749999999998</v>
      </c>
      <c r="U8" s="24">
        <f t="shared" si="8"/>
        <v>225.10499999999999</v>
      </c>
      <c r="V8" s="24">
        <f t="shared" si="9"/>
        <v>300.14</v>
      </c>
      <c r="W8" s="24">
        <f t="shared" si="10"/>
        <v>140.87592089579587</v>
      </c>
      <c r="X8" s="25">
        <v>150</v>
      </c>
      <c r="Y8" s="3">
        <f t="shared" si="11"/>
        <v>-9.7668990346024779E-3</v>
      </c>
      <c r="Z8" s="4">
        <f t="shared" si="12"/>
        <v>8.2407649327297092E-2</v>
      </c>
      <c r="AB8" s="26">
        <v>45225</v>
      </c>
      <c r="AC8" s="7">
        <v>95</v>
      </c>
      <c r="AD8" t="s">
        <v>76</v>
      </c>
    </row>
    <row r="9" spans="1:31" x14ac:dyDescent="0.25">
      <c r="A9" t="s">
        <v>79</v>
      </c>
      <c r="B9" t="s">
        <v>32</v>
      </c>
      <c r="C9" s="20" t="s">
        <v>80</v>
      </c>
      <c r="D9" s="44">
        <v>507.0754</v>
      </c>
      <c r="E9" s="21">
        <v>79.680000000000007</v>
      </c>
      <c r="F9" s="50">
        <f t="shared" si="0"/>
        <v>40403.767872000004</v>
      </c>
      <c r="G9" s="50">
        <v>41151</v>
      </c>
      <c r="H9" s="54">
        <f t="shared" si="1"/>
        <v>81.153611474743201</v>
      </c>
      <c r="I9" s="50">
        <f t="shared" si="2"/>
        <v>-747.23212799999601</v>
      </c>
      <c r="J9" s="21">
        <f t="shared" si="3"/>
        <v>-1.4736114747431941</v>
      </c>
      <c r="K9" s="23">
        <v>45167</v>
      </c>
      <c r="L9">
        <f t="shared" si="4"/>
        <v>44</v>
      </c>
      <c r="M9" s="3">
        <f t="shared" si="5"/>
        <v>-1.8158298170153728E-2</v>
      </c>
      <c r="N9">
        <v>136</v>
      </c>
      <c r="O9">
        <v>95</v>
      </c>
      <c r="P9">
        <v>89</v>
      </c>
      <c r="Q9" s="24">
        <v>77.47</v>
      </c>
      <c r="R9" s="25">
        <f t="shared" si="6"/>
        <v>72.0471</v>
      </c>
      <c r="S9" s="25">
        <v>70.599999999999994</v>
      </c>
      <c r="T9" s="24">
        <f t="shared" si="7"/>
        <v>96.837500000000006</v>
      </c>
      <c r="U9" s="24">
        <f t="shared" si="8"/>
        <v>116.205</v>
      </c>
      <c r="V9" s="24">
        <f t="shared" si="9"/>
        <v>154.94</v>
      </c>
      <c r="W9" s="24">
        <f t="shared" si="10"/>
        <v>75.472858671511176</v>
      </c>
      <c r="X9" s="25">
        <v>75.75</v>
      </c>
      <c r="Y9" s="3">
        <f t="shared" si="11"/>
        <v>-6.6584978493839722E-2</v>
      </c>
      <c r="Z9" s="4">
        <f t="shared" si="12"/>
        <v>7.8255383020558858E-2</v>
      </c>
      <c r="AB9" s="26">
        <v>45244</v>
      </c>
      <c r="AC9" s="7">
        <v>87</v>
      </c>
      <c r="AD9" t="s">
        <v>81</v>
      </c>
    </row>
    <row r="10" spans="1:31" x14ac:dyDescent="0.25">
      <c r="A10" t="s">
        <v>87</v>
      </c>
      <c r="B10" t="s">
        <v>32</v>
      </c>
      <c r="C10" s="20" t="s">
        <v>88</v>
      </c>
      <c r="D10" s="44">
        <v>239.91579999999999</v>
      </c>
      <c r="E10" s="21">
        <v>160.1</v>
      </c>
      <c r="F10" s="50">
        <f t="shared" si="0"/>
        <v>38410.51958</v>
      </c>
      <c r="G10" s="50">
        <v>41719.17</v>
      </c>
      <c r="H10" s="54">
        <f t="shared" si="1"/>
        <v>173.89088171766929</v>
      </c>
      <c r="I10" s="50">
        <f t="shared" si="2"/>
        <v>-3308.6504199999981</v>
      </c>
      <c r="J10" s="21">
        <f t="shared" si="3"/>
        <v>-13.790881717669293</v>
      </c>
      <c r="K10" s="23">
        <v>45208</v>
      </c>
      <c r="L10">
        <f t="shared" si="4"/>
        <v>4</v>
      </c>
      <c r="M10" s="3">
        <f t="shared" si="5"/>
        <v>-7.9307676063545801E-2</v>
      </c>
      <c r="N10">
        <v>29</v>
      </c>
      <c r="O10">
        <v>97</v>
      </c>
      <c r="P10" s="27">
        <v>74</v>
      </c>
      <c r="Q10" s="24">
        <v>167.35</v>
      </c>
      <c r="R10" s="25">
        <f t="shared" si="6"/>
        <v>155.63550000000001</v>
      </c>
      <c r="S10" s="25">
        <v>147</v>
      </c>
      <c r="T10" s="28">
        <f t="shared" si="7"/>
        <v>209.1875</v>
      </c>
      <c r="U10" s="24">
        <f t="shared" si="8"/>
        <v>251.02499999999998</v>
      </c>
      <c r="V10" s="24">
        <f t="shared" si="9"/>
        <v>334.7</v>
      </c>
      <c r="W10" s="24">
        <f t="shared" si="10"/>
        <v>161.71851999743242</v>
      </c>
      <c r="X10" s="25">
        <v>161.69999999999999</v>
      </c>
      <c r="Y10" s="3">
        <f t="shared" si="11"/>
        <v>-7.010650355699799E-2</v>
      </c>
      <c r="Z10" s="4">
        <f t="shared" si="12"/>
        <v>7.4394792368724344E-2</v>
      </c>
      <c r="AB10" s="26">
        <v>45239</v>
      </c>
      <c r="AC10" s="7">
        <v>95</v>
      </c>
      <c r="AD10" t="s">
        <v>89</v>
      </c>
    </row>
    <row r="11" spans="1:31" x14ac:dyDescent="0.25">
      <c r="A11" t="s">
        <v>90</v>
      </c>
      <c r="B11" t="s">
        <v>32</v>
      </c>
      <c r="C11" s="20" t="s">
        <v>91</v>
      </c>
      <c r="D11" s="44">
        <v>306.1703</v>
      </c>
      <c r="E11" s="21">
        <v>168.52</v>
      </c>
      <c r="F11" s="50">
        <f t="shared" si="0"/>
        <v>51595.818956000003</v>
      </c>
      <c r="G11" s="50">
        <v>52148.98</v>
      </c>
      <c r="H11" s="54">
        <f t="shared" si="1"/>
        <v>170.32671033081917</v>
      </c>
      <c r="I11" s="50">
        <f t="shared" si="2"/>
        <v>-553.1610440000004</v>
      </c>
      <c r="J11" s="21">
        <f t="shared" si="3"/>
        <v>-1.8067103308191577</v>
      </c>
      <c r="K11" s="23">
        <v>45208</v>
      </c>
      <c r="L11">
        <f t="shared" si="4"/>
        <v>4</v>
      </c>
      <c r="M11" s="3">
        <f t="shared" si="5"/>
        <v>-1.0607322405922425E-2</v>
      </c>
      <c r="N11">
        <v>20</v>
      </c>
      <c r="O11">
        <v>96</v>
      </c>
      <c r="P11">
        <v>99</v>
      </c>
      <c r="Q11" s="24">
        <v>167.5</v>
      </c>
      <c r="R11" s="25">
        <f t="shared" si="6"/>
        <v>155.77500000000001</v>
      </c>
      <c r="S11" s="25">
        <v>149.63</v>
      </c>
      <c r="T11" s="28">
        <f t="shared" si="7"/>
        <v>209.375</v>
      </c>
      <c r="U11" s="24">
        <f t="shared" si="8"/>
        <v>251.25</v>
      </c>
      <c r="V11" s="24">
        <f t="shared" si="9"/>
        <v>335</v>
      </c>
      <c r="W11" s="24">
        <f t="shared" si="10"/>
        <v>158.40384060766183</v>
      </c>
      <c r="X11" s="25">
        <v>158.4</v>
      </c>
      <c r="Y11" s="3">
        <f t="shared" si="11"/>
        <v>-7.0022548475540694E-2</v>
      </c>
      <c r="Z11" s="4">
        <f t="shared" si="12"/>
        <v>9.9932525784539566E-2</v>
      </c>
      <c r="AB11" s="26">
        <v>45265</v>
      </c>
      <c r="AC11" s="7">
        <v>99</v>
      </c>
      <c r="AD11" t="s">
        <v>92</v>
      </c>
    </row>
    <row r="12" spans="1:31" x14ac:dyDescent="0.25">
      <c r="A12" s="20" t="s">
        <v>44</v>
      </c>
      <c r="B12" s="20" t="s">
        <v>32</v>
      </c>
      <c r="C12" s="20" t="s">
        <v>45</v>
      </c>
      <c r="D12" s="44">
        <v>2778.4117999999999</v>
      </c>
      <c r="E12" s="21">
        <v>91.62</v>
      </c>
      <c r="F12" s="50">
        <f t="shared" si="0"/>
        <v>254558.08911599999</v>
      </c>
      <c r="G12" s="50">
        <v>254613.66</v>
      </c>
      <c r="H12" s="54">
        <f t="shared" si="1"/>
        <v>91.640000953062469</v>
      </c>
      <c r="I12" s="50">
        <f t="shared" si="2"/>
        <v>-55.570884000015212</v>
      </c>
      <c r="J12" s="21">
        <f t="shared" si="3"/>
        <v>-2.0000953062464077E-2</v>
      </c>
      <c r="K12" s="23"/>
      <c r="L12">
        <f t="shared" si="4"/>
        <v>44563</v>
      </c>
      <c r="M12" s="3">
        <f t="shared" si="5"/>
        <v>-2.1825570552662106E-4</v>
      </c>
      <c r="Q12" s="24"/>
      <c r="R12" s="25">
        <f t="shared" si="6"/>
        <v>0</v>
      </c>
      <c r="S12" s="25"/>
      <c r="T12" s="28">
        <f t="shared" si="7"/>
        <v>0</v>
      </c>
      <c r="U12" s="28">
        <f t="shared" si="8"/>
        <v>0</v>
      </c>
      <c r="V12" s="24">
        <f t="shared" si="9"/>
        <v>0</v>
      </c>
      <c r="W12" s="24">
        <f t="shared" si="10"/>
        <v>85.225200886348091</v>
      </c>
      <c r="X12" s="25"/>
      <c r="Y12" s="3">
        <f t="shared" si="11"/>
        <v>-1</v>
      </c>
      <c r="Z12" s="4">
        <f t="shared" si="12"/>
        <v>0.49303670954310086</v>
      </c>
      <c r="AB12" s="26"/>
      <c r="AC12" s="7"/>
    </row>
    <row r="13" spans="1:31" x14ac:dyDescent="0.25">
      <c r="A13" t="s">
        <v>42</v>
      </c>
      <c r="B13" t="s">
        <v>32</v>
      </c>
      <c r="C13" s="20" t="s">
        <v>43</v>
      </c>
      <c r="D13" s="44">
        <v>511.29180000000002</v>
      </c>
      <c r="E13" s="21">
        <v>19.3</v>
      </c>
      <c r="F13" s="50">
        <f t="shared" si="0"/>
        <v>9867.93174</v>
      </c>
      <c r="G13" s="50">
        <v>24797.66</v>
      </c>
      <c r="H13" s="54">
        <f t="shared" si="1"/>
        <v>48.500015059893386</v>
      </c>
      <c r="I13" s="50">
        <f t="shared" si="2"/>
        <v>-14929.72826</v>
      </c>
      <c r="J13" s="21">
        <f t="shared" si="3"/>
        <v>-29.200015059893385</v>
      </c>
      <c r="K13" s="23"/>
      <c r="L13">
        <f t="shared" si="4"/>
        <v>44563</v>
      </c>
      <c r="M13" s="3">
        <f t="shared" si="5"/>
        <v>-0.60206197923513749</v>
      </c>
      <c r="P13" s="27"/>
      <c r="Q13" s="24"/>
      <c r="R13" s="25">
        <f t="shared" si="6"/>
        <v>0</v>
      </c>
      <c r="S13" s="25"/>
      <c r="T13" s="24">
        <f t="shared" si="7"/>
        <v>0</v>
      </c>
      <c r="U13" s="24">
        <f t="shared" si="8"/>
        <v>0</v>
      </c>
      <c r="V13" s="24">
        <f t="shared" si="9"/>
        <v>0</v>
      </c>
      <c r="W13" s="24">
        <f t="shared" si="10"/>
        <v>45.105014005700852</v>
      </c>
      <c r="X13" s="25"/>
      <c r="Y13" s="3">
        <f t="shared" si="11"/>
        <v>-1</v>
      </c>
      <c r="Z13" s="4">
        <f t="shared" si="12"/>
        <v>1.9112543671195106E-2</v>
      </c>
      <c r="AB13" s="26"/>
      <c r="AC13" s="7"/>
    </row>
    <row r="14" spans="1:31" x14ac:dyDescent="0.25">
      <c r="A14" s="31"/>
      <c r="B14" s="31"/>
      <c r="C14" s="31"/>
      <c r="D14" s="47"/>
      <c r="E14" s="32"/>
      <c r="F14" s="53">
        <f t="shared" si="0"/>
        <v>0</v>
      </c>
      <c r="G14" s="53"/>
      <c r="H14" s="59" t="e">
        <f t="shared" si="1"/>
        <v>#DIV/0!</v>
      </c>
      <c r="I14" s="53">
        <f t="shared" si="2"/>
        <v>0</v>
      </c>
      <c r="J14" s="32" t="e">
        <f t="shared" si="3"/>
        <v>#DIV/0!</v>
      </c>
      <c r="K14" s="34"/>
      <c r="L14" s="31">
        <f t="shared" si="4"/>
        <v>44563</v>
      </c>
      <c r="M14" s="35" t="e">
        <f t="shared" si="5"/>
        <v>#DIV/0!</v>
      </c>
      <c r="N14" s="31"/>
      <c r="O14" s="31"/>
      <c r="P14" s="31"/>
      <c r="Q14" s="36"/>
      <c r="R14" s="37">
        <f t="shared" si="6"/>
        <v>0</v>
      </c>
      <c r="S14" s="37"/>
      <c r="T14" s="36">
        <f t="shared" si="7"/>
        <v>0</v>
      </c>
      <c r="U14" s="36">
        <f t="shared" si="8"/>
        <v>0</v>
      </c>
      <c r="V14" s="36">
        <f t="shared" si="9"/>
        <v>0</v>
      </c>
      <c r="W14" s="36" t="e">
        <f t="shared" si="10"/>
        <v>#DIV/0!</v>
      </c>
      <c r="X14" s="37"/>
      <c r="Y14" s="35" t="e">
        <f t="shared" si="11"/>
        <v>#DIV/0!</v>
      </c>
      <c r="Z14" s="38">
        <f t="shared" si="12"/>
        <v>0</v>
      </c>
      <c r="AB14" s="39"/>
      <c r="AC14" s="7"/>
    </row>
    <row r="15" spans="1:31" x14ac:dyDescent="0.25">
      <c r="A15" t="s">
        <v>33</v>
      </c>
      <c r="F15" s="50">
        <f>SUM(F6:F14)</f>
        <v>489406.56336299994</v>
      </c>
      <c r="G15" s="50">
        <f>SUM(G6:G14)</f>
        <v>496174.2</v>
      </c>
      <c r="H15" s="54"/>
      <c r="I15" s="50">
        <f>SUM(I6:I14)</f>
        <v>-6767.6366370000214</v>
      </c>
      <c r="M15" s="3"/>
      <c r="Z15" s="4"/>
    </row>
    <row r="16" spans="1:31" x14ac:dyDescent="0.25">
      <c r="D16" s="44" t="s">
        <v>34</v>
      </c>
      <c r="F16" s="50">
        <v>26900</v>
      </c>
      <c r="G16" s="4">
        <f>F16/F17</f>
        <v>5.2100829059357513E-2</v>
      </c>
      <c r="H16" s="54"/>
      <c r="M16" s="3"/>
      <c r="Z16" s="4"/>
    </row>
    <row r="17" spans="1:26" x14ac:dyDescent="0.25">
      <c r="D17" s="44" t="s">
        <v>35</v>
      </c>
      <c r="F17" s="50">
        <f>SUM(F15:F16)</f>
        <v>516306.56336299994</v>
      </c>
      <c r="H17" s="60"/>
      <c r="M17" s="3"/>
      <c r="Z17" s="4"/>
    </row>
    <row r="18" spans="1:26" x14ac:dyDescent="0.25">
      <c r="F18" s="54"/>
      <c r="H18" s="60" t="s">
        <v>37</v>
      </c>
      <c r="I18" s="50">
        <f>'10-06-23'!F16</f>
        <v>517957.63900499995</v>
      </c>
      <c r="K18" s="1">
        <v>45107</v>
      </c>
      <c r="L18" s="64">
        <v>509801</v>
      </c>
      <c r="M18" s="3"/>
      <c r="Z18" s="4"/>
    </row>
    <row r="19" spans="1:26" x14ac:dyDescent="0.25">
      <c r="F19" s="55"/>
      <c r="G19" s="58"/>
      <c r="H19" s="54" t="s">
        <v>39</v>
      </c>
      <c r="I19" s="4">
        <f>(F17-I18)/I18</f>
        <v>-3.1876653951310343E-3</v>
      </c>
      <c r="K19" s="7" t="s">
        <v>73</v>
      </c>
      <c r="L19" s="4">
        <f>(F17-L18)/L18</f>
        <v>1.2760985880765114E-2</v>
      </c>
      <c r="Z19" s="4"/>
    </row>
    <row r="21" spans="1:26" x14ac:dyDescent="0.25">
      <c r="D21" s="7"/>
      <c r="E21" s="7"/>
      <c r="F21" s="56"/>
      <c r="I21" s="51"/>
      <c r="J21" s="7"/>
      <c r="K21" s="7"/>
      <c r="L21" s="7"/>
      <c r="M21" s="9" t="s">
        <v>46</v>
      </c>
    </row>
    <row r="22" spans="1:26" x14ac:dyDescent="0.25">
      <c r="A22" s="49" t="s">
        <v>54</v>
      </c>
      <c r="D22" s="19" t="s">
        <v>17</v>
      </c>
      <c r="E22" s="19" t="s">
        <v>47</v>
      </c>
      <c r="F22" s="57" t="s">
        <v>48</v>
      </c>
      <c r="G22" s="57" t="s">
        <v>50</v>
      </c>
      <c r="H22" s="57" t="s">
        <v>49</v>
      </c>
      <c r="I22" s="57" t="s">
        <v>51</v>
      </c>
      <c r="J22" s="19" t="s">
        <v>12</v>
      </c>
      <c r="K22" s="19" t="s">
        <v>22</v>
      </c>
      <c r="L22" s="19" t="s">
        <v>52</v>
      </c>
      <c r="M22" s="19" t="s">
        <v>53</v>
      </c>
      <c r="N22" s="1"/>
      <c r="P22" s="7" t="s">
        <v>55</v>
      </c>
    </row>
    <row r="23" spans="1:26" x14ac:dyDescent="0.25">
      <c r="J23" s="3"/>
    </row>
    <row r="24" spans="1:26" x14ac:dyDescent="0.25">
      <c r="A24" t="s">
        <v>60</v>
      </c>
      <c r="B24" t="s">
        <v>32</v>
      </c>
      <c r="C24" s="20" t="s">
        <v>61</v>
      </c>
      <c r="D24" s="44">
        <v>665.97389999999996</v>
      </c>
      <c r="E24" s="50">
        <f>F24/D24</f>
        <v>76.621621357834002</v>
      </c>
      <c r="F24" s="50">
        <v>51028</v>
      </c>
      <c r="G24" s="50">
        <v>45324.79</v>
      </c>
      <c r="H24" s="50">
        <f>G24/D24</f>
        <v>68.057907374448163</v>
      </c>
      <c r="I24" s="50">
        <f>G24-F24</f>
        <v>-5703.2099999999991</v>
      </c>
      <c r="J24" s="3">
        <f>I24/F24</f>
        <v>-0.11176628517676568</v>
      </c>
      <c r="K24" s="61">
        <v>45106</v>
      </c>
      <c r="L24" s="61">
        <v>45132</v>
      </c>
      <c r="M24">
        <f>DAYS360(K24,L24)</f>
        <v>26</v>
      </c>
      <c r="O24" t="s">
        <v>66</v>
      </c>
    </row>
    <row r="25" spans="1:26" x14ac:dyDescent="0.25">
      <c r="A25" t="s">
        <v>40</v>
      </c>
      <c r="B25" t="s">
        <v>32</v>
      </c>
      <c r="C25" s="20" t="s">
        <v>41</v>
      </c>
      <c r="D25" s="44">
        <v>123.3931</v>
      </c>
      <c r="E25" s="50">
        <f>F25/D25</f>
        <v>413.24004340599271</v>
      </c>
      <c r="F25" s="50">
        <v>50990.97</v>
      </c>
      <c r="G25" s="50">
        <v>48894.94</v>
      </c>
      <c r="H25" s="50">
        <f>G25/D25</f>
        <v>396.25343718570974</v>
      </c>
      <c r="I25" s="50">
        <f>G25-F25</f>
        <v>-2096.0299999999988</v>
      </c>
      <c r="J25" s="3">
        <f>I25/F25</f>
        <v>-4.1105905614268544E-2</v>
      </c>
      <c r="K25" s="61">
        <v>45104</v>
      </c>
      <c r="L25" s="61">
        <v>45138</v>
      </c>
      <c r="M25">
        <f>DAYS360(K25,L25)</f>
        <v>34</v>
      </c>
      <c r="O25" t="s">
        <v>69</v>
      </c>
    </row>
    <row r="26" spans="1:26" x14ac:dyDescent="0.25">
      <c r="A26" t="s">
        <v>56</v>
      </c>
      <c r="B26" t="s">
        <v>32</v>
      </c>
      <c r="C26" s="20" t="s">
        <v>57</v>
      </c>
      <c r="D26" s="44">
        <v>278.20080000000002</v>
      </c>
      <c r="E26" s="50">
        <f>F26/D26</f>
        <v>128.41001895034088</v>
      </c>
      <c r="F26" s="50">
        <v>35723.769999999997</v>
      </c>
      <c r="G26" s="50">
        <v>34855.72</v>
      </c>
      <c r="H26" s="50">
        <f>G26/D26</f>
        <v>125.28979068356381</v>
      </c>
      <c r="I26" s="50">
        <f>G26-F26</f>
        <v>-868.04999999999563</v>
      </c>
      <c r="J26" s="3">
        <f>I26/F26</f>
        <v>-2.4298947171588994E-2</v>
      </c>
      <c r="K26" s="61">
        <v>45106</v>
      </c>
      <c r="L26" s="61">
        <v>45138</v>
      </c>
      <c r="M26">
        <f>DAYS360(K26,L26)</f>
        <v>32</v>
      </c>
      <c r="O26" t="s">
        <v>71</v>
      </c>
    </row>
    <row r="27" spans="1:26" x14ac:dyDescent="0.25">
      <c r="A27" t="s">
        <v>82</v>
      </c>
      <c r="B27" t="s">
        <v>32</v>
      </c>
      <c r="C27" s="20" t="s">
        <v>83</v>
      </c>
      <c r="D27" s="44">
        <v>1007.1459</v>
      </c>
      <c r="E27" s="50">
        <f>F27/D27</f>
        <v>20.954908320631599</v>
      </c>
      <c r="F27" s="50">
        <v>21104.65</v>
      </c>
      <c r="G27" s="50">
        <v>18099.32</v>
      </c>
      <c r="H27" s="50">
        <f>G27/D27</f>
        <v>17.970901733303982</v>
      </c>
      <c r="I27" s="50">
        <f>G27-F27</f>
        <v>-3005.3300000000017</v>
      </c>
      <c r="J27" s="3">
        <f>I27/F27</f>
        <v>-0.14240131914056861</v>
      </c>
      <c r="K27" s="61">
        <v>45181</v>
      </c>
      <c r="L27" s="61">
        <v>45183</v>
      </c>
      <c r="M27">
        <f>DAYS360(K27,L27)</f>
        <v>2</v>
      </c>
      <c r="O27" t="s">
        <v>84</v>
      </c>
    </row>
    <row r="28" spans="1:26" x14ac:dyDescent="0.25">
      <c r="A28" t="s">
        <v>63</v>
      </c>
      <c r="B28" t="s">
        <v>32</v>
      </c>
      <c r="C28" s="20" t="s">
        <v>64</v>
      </c>
      <c r="D28" s="44">
        <v>115.8536</v>
      </c>
      <c r="E28" s="50">
        <f>F28/D28</f>
        <v>442.16001919664131</v>
      </c>
      <c r="F28" s="50">
        <v>51225.83</v>
      </c>
      <c r="G28" s="50">
        <v>52055.28</v>
      </c>
      <c r="H28" s="50">
        <f>G28/D28</f>
        <v>449.31948597195077</v>
      </c>
      <c r="I28" s="50">
        <f>G28-F28</f>
        <v>829.44999999999709</v>
      </c>
      <c r="J28" s="3">
        <f>I28/F28</f>
        <v>1.6192026561599824E-2</v>
      </c>
      <c r="K28" s="61">
        <v>45117</v>
      </c>
      <c r="L28" s="61">
        <v>45184</v>
      </c>
      <c r="M28" s="63">
        <f>DAYS360(K28,L28)</f>
        <v>65</v>
      </c>
      <c r="O28" t="s">
        <v>86</v>
      </c>
    </row>
    <row r="29" spans="1:26" x14ac:dyDescent="0.25">
      <c r="J29" s="3"/>
      <c r="M29" s="63"/>
    </row>
    <row r="30" spans="1:26" x14ac:dyDescent="0.25">
      <c r="J30" s="3"/>
      <c r="M30" s="63"/>
    </row>
    <row r="31" spans="1:26" x14ac:dyDescent="0.25">
      <c r="J31" s="3"/>
      <c r="M31" s="63"/>
    </row>
    <row r="32" spans="1:26" x14ac:dyDescent="0.25">
      <c r="I32" s="50">
        <f>SUM(I24:I31)</f>
        <v>-10843.169999999998</v>
      </c>
      <c r="J32" s="9" t="s">
        <v>78</v>
      </c>
    </row>
    <row r="33" spans="8:10" x14ac:dyDescent="0.25">
      <c r="H33" s="50" t="s">
        <v>77</v>
      </c>
      <c r="I33" s="62">
        <v>4</v>
      </c>
      <c r="J33" s="3">
        <f>SUM(J24:J31)/I33</f>
        <v>-7.5845107635397993E-2</v>
      </c>
    </row>
    <row r="34" spans="8:10" x14ac:dyDescent="0.25">
      <c r="H34" s="50" t="s">
        <v>85</v>
      </c>
      <c r="I34" s="62">
        <v>1</v>
      </c>
      <c r="J34" s="3">
        <v>1.6199999999999999E-2</v>
      </c>
    </row>
    <row r="35" spans="8:10" x14ac:dyDescent="0.25">
      <c r="J35" s="3"/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</sheetData>
  <sortState xmlns:xlrd2="http://schemas.microsoft.com/office/spreadsheetml/2017/richdata2" ref="A7:AD11">
    <sortCondition descending="1" ref="L7:L11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5091-E7EC-4F25-B39B-2EDBAEC1FDD8}">
  <dimension ref="A1:AE18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45216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25.07</v>
      </c>
      <c r="F7" s="50">
        <f t="shared" ref="F7:F13" si="0">E7*D7</f>
        <v>50550.862201999997</v>
      </c>
      <c r="G7" s="50">
        <f>25318.9+15999</f>
        <v>41317.9</v>
      </c>
      <c r="H7" s="54">
        <f t="shared" ref="H7:H13" si="1">G7/D7</f>
        <v>20.491040268725982</v>
      </c>
      <c r="I7" s="50">
        <f t="shared" ref="I7:I13" si="2">F7-G7</f>
        <v>9232.9622019999952</v>
      </c>
      <c r="J7" s="21">
        <f t="shared" ref="J7:J13" si="3">E7-H7</f>
        <v>4.5789597312740185</v>
      </c>
      <c r="K7" s="23">
        <v>45135</v>
      </c>
      <c r="L7">
        <f>DAYS360(K7,$C$1)</f>
        <v>79</v>
      </c>
      <c r="M7" s="3">
        <f t="shared" ref="M7:M13" si="4">(I7/G7)</f>
        <v>0.22346155545175322</v>
      </c>
      <c r="N7">
        <v>154</v>
      </c>
      <c r="O7">
        <v>99</v>
      </c>
      <c r="P7">
        <v>99</v>
      </c>
      <c r="Q7" s="24">
        <v>19.48</v>
      </c>
      <c r="R7" s="25">
        <f t="shared" ref="R7:R13" si="5">Q7*0.93</f>
        <v>18.116400000000002</v>
      </c>
      <c r="S7" s="25">
        <v>23.61</v>
      </c>
      <c r="T7" s="28">
        <f t="shared" ref="T7:T13" si="6">Q7*1.25</f>
        <v>24.35</v>
      </c>
      <c r="U7" s="24">
        <f t="shared" ref="U7:U13" si="7">Q7*1.5</f>
        <v>29.22</v>
      </c>
      <c r="V7" s="24">
        <f t="shared" ref="V7:V13" si="8">Q7*2</f>
        <v>38.96</v>
      </c>
      <c r="W7" s="24">
        <f t="shared" ref="W7:W13" si="9">H7-(H7*0.07)</f>
        <v>19.056667449915164</v>
      </c>
      <c r="X7" s="25">
        <v>26</v>
      </c>
      <c r="Y7" s="3">
        <f t="shared" ref="Y7:Y13" si="10">(X7-H7)/H7</f>
        <v>0.26884724538275157</v>
      </c>
      <c r="Z7" s="29">
        <f t="shared" ref="Z7:Z13" si="11">F7/F$17</f>
        <v>9.9444743184409184E-2</v>
      </c>
      <c r="AA7" s="7"/>
      <c r="AB7" s="26">
        <v>45245</v>
      </c>
      <c r="AC7" s="7">
        <v>97</v>
      </c>
      <c r="AD7" t="s">
        <v>72</v>
      </c>
    </row>
    <row r="8" spans="1:31" x14ac:dyDescent="0.25">
      <c r="A8" t="s">
        <v>74</v>
      </c>
      <c r="B8" t="s">
        <v>32</v>
      </c>
      <c r="C8" s="20" t="s">
        <v>75</v>
      </c>
      <c r="D8" s="44">
        <v>266.87329999999997</v>
      </c>
      <c r="E8" s="21">
        <v>153.86000000000001</v>
      </c>
      <c r="F8" s="50">
        <f t="shared" si="0"/>
        <v>41061.125937999997</v>
      </c>
      <c r="G8" s="50">
        <v>40425.83</v>
      </c>
      <c r="H8" s="54">
        <f t="shared" si="1"/>
        <v>151.47948483418912</v>
      </c>
      <c r="I8" s="50">
        <f t="shared" si="2"/>
        <v>635.29593799999566</v>
      </c>
      <c r="J8" s="21">
        <f t="shared" si="3"/>
        <v>2.3805151658108912</v>
      </c>
      <c r="K8" s="23">
        <v>45153</v>
      </c>
      <c r="L8">
        <f>DAYS360(K8,$C$1)</f>
        <v>62</v>
      </c>
      <c r="M8" s="3">
        <f t="shared" si="4"/>
        <v>1.5715099430240409E-2</v>
      </c>
      <c r="N8">
        <v>80</v>
      </c>
      <c r="O8">
        <v>93</v>
      </c>
      <c r="P8" s="27">
        <v>94</v>
      </c>
      <c r="Q8" s="24">
        <v>150.07</v>
      </c>
      <c r="R8" s="25">
        <f t="shared" si="5"/>
        <v>139.5651</v>
      </c>
      <c r="S8" s="25">
        <v>152.49</v>
      </c>
      <c r="T8" s="28">
        <f t="shared" si="6"/>
        <v>187.58749999999998</v>
      </c>
      <c r="U8" s="24">
        <f t="shared" si="7"/>
        <v>225.10499999999999</v>
      </c>
      <c r="V8" s="24">
        <f t="shared" si="8"/>
        <v>300.14</v>
      </c>
      <c r="W8" s="24">
        <f t="shared" si="9"/>
        <v>140.87592089579587</v>
      </c>
      <c r="X8" s="25">
        <v>150</v>
      </c>
      <c r="Y8" s="3">
        <f t="shared" si="10"/>
        <v>-9.7668990346024779E-3</v>
      </c>
      <c r="Z8" s="4">
        <f t="shared" si="11"/>
        <v>8.0776329935783764E-2</v>
      </c>
      <c r="AB8" s="26">
        <v>45225</v>
      </c>
      <c r="AC8" s="7">
        <v>94</v>
      </c>
      <c r="AD8" t="s">
        <v>76</v>
      </c>
    </row>
    <row r="9" spans="1:31" x14ac:dyDescent="0.25">
      <c r="C9" s="20"/>
      <c r="E9" s="21"/>
      <c r="F9" s="50">
        <f t="shared" si="0"/>
        <v>0</v>
      </c>
      <c r="H9" s="54" t="e">
        <f t="shared" si="1"/>
        <v>#DIV/0!</v>
      </c>
      <c r="I9" s="50">
        <f t="shared" si="2"/>
        <v>0</v>
      </c>
      <c r="J9" s="21" t="e">
        <f t="shared" si="3"/>
        <v>#DIV/0!</v>
      </c>
      <c r="K9" s="23"/>
      <c r="M9" s="3" t="e">
        <f t="shared" si="4"/>
        <v>#DIV/0!</v>
      </c>
      <c r="Q9" s="24"/>
      <c r="R9" s="25">
        <f t="shared" si="5"/>
        <v>0</v>
      </c>
      <c r="S9" s="25"/>
      <c r="T9" s="24">
        <f t="shared" si="6"/>
        <v>0</v>
      </c>
      <c r="U9" s="24">
        <f t="shared" si="7"/>
        <v>0</v>
      </c>
      <c r="V9" s="24">
        <f t="shared" si="8"/>
        <v>0</v>
      </c>
      <c r="W9" s="24" t="e">
        <f t="shared" si="9"/>
        <v>#DIV/0!</v>
      </c>
      <c r="X9" s="25"/>
      <c r="Y9" s="3" t="e">
        <f t="shared" si="10"/>
        <v>#DIV/0!</v>
      </c>
      <c r="Z9" s="4">
        <f t="shared" si="11"/>
        <v>0</v>
      </c>
      <c r="AB9" s="26"/>
      <c r="AC9" s="7"/>
    </row>
    <row r="10" spans="1:31" x14ac:dyDescent="0.25">
      <c r="C10" s="20"/>
      <c r="E10" s="21"/>
      <c r="F10" s="50">
        <f t="shared" si="0"/>
        <v>0</v>
      </c>
      <c r="H10" s="54" t="e">
        <f t="shared" si="1"/>
        <v>#DIV/0!</v>
      </c>
      <c r="I10" s="50">
        <f t="shared" si="2"/>
        <v>0</v>
      </c>
      <c r="J10" s="21" t="e">
        <f t="shared" si="3"/>
        <v>#DIV/0!</v>
      </c>
      <c r="K10" s="23"/>
      <c r="M10" s="3" t="e">
        <f t="shared" si="4"/>
        <v>#DIV/0!</v>
      </c>
      <c r="P10" s="27"/>
      <c r="Q10" s="24"/>
      <c r="R10" s="25">
        <f t="shared" si="5"/>
        <v>0</v>
      </c>
      <c r="S10" s="25"/>
      <c r="T10" s="28">
        <f t="shared" si="6"/>
        <v>0</v>
      </c>
      <c r="U10" s="24">
        <f t="shared" si="7"/>
        <v>0</v>
      </c>
      <c r="V10" s="24">
        <f t="shared" si="8"/>
        <v>0</v>
      </c>
      <c r="W10" s="24" t="e">
        <f t="shared" si="9"/>
        <v>#DIV/0!</v>
      </c>
      <c r="X10" s="25"/>
      <c r="Y10" s="3" t="e">
        <f t="shared" si="10"/>
        <v>#DIV/0!</v>
      </c>
      <c r="Z10" s="4">
        <f t="shared" si="11"/>
        <v>0</v>
      </c>
      <c r="AB10" s="26"/>
      <c r="AC10" s="7"/>
    </row>
    <row r="11" spans="1:31" x14ac:dyDescent="0.25">
      <c r="C11" s="20"/>
      <c r="E11" s="21"/>
      <c r="F11" s="50">
        <f t="shared" si="0"/>
        <v>0</v>
      </c>
      <c r="H11" s="54" t="e">
        <f t="shared" si="1"/>
        <v>#DIV/0!</v>
      </c>
      <c r="I11" s="50">
        <f t="shared" si="2"/>
        <v>0</v>
      </c>
      <c r="J11" s="21" t="e">
        <f t="shared" si="3"/>
        <v>#DIV/0!</v>
      </c>
      <c r="K11" s="23"/>
      <c r="M11" s="3" t="e">
        <f t="shared" si="4"/>
        <v>#DIV/0!</v>
      </c>
      <c r="Q11" s="24"/>
      <c r="R11" s="25">
        <f t="shared" si="5"/>
        <v>0</v>
      </c>
      <c r="S11" s="25"/>
      <c r="T11" s="28">
        <f t="shared" si="6"/>
        <v>0</v>
      </c>
      <c r="U11" s="24">
        <f t="shared" si="7"/>
        <v>0</v>
      </c>
      <c r="V11" s="24">
        <f t="shared" si="8"/>
        <v>0</v>
      </c>
      <c r="W11" s="24" t="e">
        <f t="shared" si="9"/>
        <v>#DIV/0!</v>
      </c>
      <c r="X11" s="25"/>
      <c r="Y11" s="3" t="e">
        <f t="shared" si="10"/>
        <v>#DIV/0!</v>
      </c>
      <c r="Z11" s="4">
        <f t="shared" si="11"/>
        <v>0</v>
      </c>
      <c r="AB11" s="26"/>
      <c r="AC11" s="7"/>
    </row>
    <row r="12" spans="1:31" x14ac:dyDescent="0.25">
      <c r="A12" s="20" t="s">
        <v>44</v>
      </c>
      <c r="B12" s="20" t="s">
        <v>32</v>
      </c>
      <c r="C12" s="20" t="s">
        <v>45</v>
      </c>
      <c r="D12" s="44">
        <v>2778.4117999999999</v>
      </c>
      <c r="E12" s="21">
        <v>91.71</v>
      </c>
      <c r="F12" s="50">
        <f t="shared" si="0"/>
        <v>254808.14617799997</v>
      </c>
      <c r="G12" s="50">
        <v>254613.66</v>
      </c>
      <c r="H12" s="54">
        <f t="shared" si="1"/>
        <v>91.640000953062469</v>
      </c>
      <c r="I12" s="50">
        <f t="shared" si="2"/>
        <v>194.48617799996282</v>
      </c>
      <c r="J12" s="21">
        <f t="shared" si="3"/>
        <v>6.9999046937525122E-2</v>
      </c>
      <c r="K12" s="23"/>
      <c r="M12" s="3">
        <f t="shared" si="4"/>
        <v>7.638481690258206E-4</v>
      </c>
      <c r="Q12" s="24"/>
      <c r="R12" s="25">
        <f t="shared" si="5"/>
        <v>0</v>
      </c>
      <c r="S12" s="25"/>
      <c r="T12" s="28">
        <f t="shared" si="6"/>
        <v>0</v>
      </c>
      <c r="U12" s="28">
        <f t="shared" si="7"/>
        <v>0</v>
      </c>
      <c r="V12" s="24">
        <f t="shared" si="8"/>
        <v>0</v>
      </c>
      <c r="W12" s="24">
        <f t="shared" si="9"/>
        <v>85.225200886348091</v>
      </c>
      <c r="X12" s="25"/>
      <c r="Y12" s="3">
        <f t="shared" si="10"/>
        <v>-1</v>
      </c>
      <c r="Z12" s="4">
        <f t="shared" si="11"/>
        <v>0.50126406463081208</v>
      </c>
      <c r="AB12" s="26"/>
      <c r="AC12" s="7"/>
    </row>
    <row r="13" spans="1:31" x14ac:dyDescent="0.25">
      <c r="A13" t="s">
        <v>42</v>
      </c>
      <c r="B13" t="s">
        <v>32</v>
      </c>
      <c r="C13" s="20" t="s">
        <v>43</v>
      </c>
      <c r="D13" s="44">
        <v>511.29180000000002</v>
      </c>
      <c r="E13" s="21">
        <v>21.08</v>
      </c>
      <c r="F13" s="50">
        <f t="shared" si="0"/>
        <v>10778.031144</v>
      </c>
      <c r="G13" s="50">
        <v>24797.66</v>
      </c>
      <c r="H13" s="54">
        <f t="shared" si="1"/>
        <v>48.500015059893386</v>
      </c>
      <c r="I13" s="50">
        <f t="shared" si="2"/>
        <v>-14019.628855999999</v>
      </c>
      <c r="J13" s="21">
        <f t="shared" si="3"/>
        <v>-27.420015059893387</v>
      </c>
      <c r="K13" s="23"/>
      <c r="M13" s="3">
        <f t="shared" si="4"/>
        <v>-0.5653609597034559</v>
      </c>
      <c r="P13" s="27"/>
      <c r="Q13" s="24"/>
      <c r="R13" s="25">
        <f t="shared" si="5"/>
        <v>0</v>
      </c>
      <c r="S13" s="25"/>
      <c r="T13" s="24">
        <f t="shared" si="6"/>
        <v>0</v>
      </c>
      <c r="U13" s="24">
        <f t="shared" si="7"/>
        <v>0</v>
      </c>
      <c r="V13" s="24">
        <f t="shared" si="8"/>
        <v>0</v>
      </c>
      <c r="W13" s="24">
        <f t="shared" si="9"/>
        <v>45.105014005700852</v>
      </c>
      <c r="X13" s="25"/>
      <c r="Y13" s="3">
        <f t="shared" si="10"/>
        <v>-1</v>
      </c>
      <c r="Z13" s="4">
        <f t="shared" si="11"/>
        <v>2.1202774640434095E-2</v>
      </c>
      <c r="AB13" s="26"/>
      <c r="AC13" s="7"/>
    </row>
    <row r="14" spans="1:31" x14ac:dyDescent="0.25">
      <c r="A14" s="31"/>
      <c r="B14" s="31"/>
      <c r="C14" s="31"/>
      <c r="D14" s="47"/>
      <c r="E14" s="32"/>
      <c r="F14" s="53">
        <f t="shared" ref="F14" si="12">E14*D14</f>
        <v>0</v>
      </c>
      <c r="G14" s="53"/>
      <c r="H14" s="59" t="e">
        <f t="shared" ref="H14" si="13">G14/D14</f>
        <v>#DIV/0!</v>
      </c>
      <c r="I14" s="53">
        <f t="shared" ref="I14" si="14">F14-G14</f>
        <v>0</v>
      </c>
      <c r="J14" s="32" t="e">
        <f t="shared" ref="J14" si="15">E14-H14</f>
        <v>#DIV/0!</v>
      </c>
      <c r="K14" s="34"/>
      <c r="L14" s="31">
        <f t="shared" ref="L14" si="16">DAYS360(K14,$C$1)</f>
        <v>44567</v>
      </c>
      <c r="M14" s="35" t="e">
        <f t="shared" ref="M14" si="17">(I14/G14)</f>
        <v>#DIV/0!</v>
      </c>
      <c r="N14" s="31"/>
      <c r="O14" s="31"/>
      <c r="P14" s="31"/>
      <c r="Q14" s="36"/>
      <c r="R14" s="37">
        <f t="shared" ref="R14" si="18">Q14*0.93</f>
        <v>0</v>
      </c>
      <c r="S14" s="37"/>
      <c r="T14" s="36">
        <f t="shared" ref="T14" si="19">Q14*1.25</f>
        <v>0</v>
      </c>
      <c r="U14" s="36">
        <f t="shared" ref="U14" si="20">Q14*1.5</f>
        <v>0</v>
      </c>
      <c r="V14" s="36">
        <f t="shared" ref="V14" si="21">Q14*2</f>
        <v>0</v>
      </c>
      <c r="W14" s="36" t="e">
        <f t="shared" ref="W14" si="22">H14-(H14*0.07)</f>
        <v>#DIV/0!</v>
      </c>
      <c r="X14" s="37"/>
      <c r="Y14" s="35" t="e">
        <f t="shared" ref="Y14" si="23">(X14-H14)/H14</f>
        <v>#DIV/0!</v>
      </c>
      <c r="Z14" s="38">
        <f t="shared" ref="Z14" si="24">F14/F$17</f>
        <v>0</v>
      </c>
      <c r="AB14" s="39"/>
      <c r="AC14" s="7"/>
    </row>
    <row r="15" spans="1:31" x14ac:dyDescent="0.25">
      <c r="A15" t="s">
        <v>33</v>
      </c>
      <c r="F15" s="50">
        <f>SUM(F6:F14)</f>
        <v>357198.16546199995</v>
      </c>
      <c r="G15" s="50">
        <f>SUM(G6:G14)</f>
        <v>361155.05</v>
      </c>
      <c r="H15" s="54"/>
      <c r="I15" s="50">
        <f>SUM(I6:I14)</f>
        <v>-3956.8845380000457</v>
      </c>
      <c r="M15" s="3"/>
      <c r="Z15" s="4"/>
    </row>
    <row r="16" spans="1:31" x14ac:dyDescent="0.25">
      <c r="D16" s="44" t="s">
        <v>34</v>
      </c>
      <c r="F16" s="50">
        <v>151133</v>
      </c>
      <c r="G16" s="4">
        <f>F16/F17</f>
        <v>0.29731208760856093</v>
      </c>
      <c r="H16" s="54"/>
      <c r="M16" s="3"/>
      <c r="Z16" s="4"/>
    </row>
    <row r="17" spans="1:26" x14ac:dyDescent="0.25">
      <c r="D17" s="44" t="s">
        <v>35</v>
      </c>
      <c r="F17" s="50">
        <f>SUM(F15:F16)</f>
        <v>508331.16546199995</v>
      </c>
      <c r="H17" s="60"/>
      <c r="M17" s="3"/>
      <c r="Z17" s="4"/>
    </row>
    <row r="18" spans="1:26" x14ac:dyDescent="0.25">
      <c r="F18" s="54"/>
      <c r="H18" s="60" t="s">
        <v>37</v>
      </c>
      <c r="I18" s="50">
        <f>'10-13-23'!F17</f>
        <v>516306.56336299994</v>
      </c>
      <c r="K18" s="1">
        <v>45107</v>
      </c>
      <c r="L18" s="64">
        <v>509801</v>
      </c>
      <c r="M18" s="3"/>
      <c r="Z18" s="4"/>
    </row>
    <row r="19" spans="1:26" x14ac:dyDescent="0.25">
      <c r="F19" s="55"/>
      <c r="G19" s="58"/>
      <c r="H19" s="54" t="s">
        <v>39</v>
      </c>
      <c r="I19" s="4">
        <f>(F17-I18)/I18</f>
        <v>-1.5447020175478037E-2</v>
      </c>
      <c r="K19" s="7" t="s">
        <v>73</v>
      </c>
      <c r="L19" s="4">
        <f>(F17-L18)/L18</f>
        <v>-2.8831535010720921E-3</v>
      </c>
      <c r="Z19" s="4"/>
    </row>
    <row r="21" spans="1:26" x14ac:dyDescent="0.25">
      <c r="D21" s="7"/>
      <c r="E21" s="7"/>
      <c r="F21" s="56"/>
      <c r="I21" s="51"/>
      <c r="J21" s="7"/>
      <c r="K21" s="7"/>
      <c r="L21" s="7"/>
      <c r="M21" s="9" t="s">
        <v>46</v>
      </c>
    </row>
    <row r="22" spans="1:26" x14ac:dyDescent="0.25">
      <c r="A22" s="49" t="s">
        <v>54</v>
      </c>
      <c r="D22" s="19" t="s">
        <v>17</v>
      </c>
      <c r="E22" s="19" t="s">
        <v>47</v>
      </c>
      <c r="F22" s="57" t="s">
        <v>48</v>
      </c>
      <c r="G22" s="57" t="s">
        <v>50</v>
      </c>
      <c r="H22" s="57" t="s">
        <v>49</v>
      </c>
      <c r="I22" s="57" t="s">
        <v>51</v>
      </c>
      <c r="J22" s="19" t="s">
        <v>12</v>
      </c>
      <c r="K22" s="19" t="s">
        <v>22</v>
      </c>
      <c r="L22" s="19" t="s">
        <v>52</v>
      </c>
      <c r="M22" s="19" t="s">
        <v>53</v>
      </c>
      <c r="N22" s="1"/>
      <c r="P22" s="7" t="s">
        <v>55</v>
      </c>
    </row>
    <row r="23" spans="1:26" x14ac:dyDescent="0.25">
      <c r="J23" s="3"/>
    </row>
    <row r="24" spans="1:26" x14ac:dyDescent="0.25">
      <c r="A24" t="s">
        <v>60</v>
      </c>
      <c r="B24" t="s">
        <v>32</v>
      </c>
      <c r="C24" s="20" t="s">
        <v>61</v>
      </c>
      <c r="D24" s="44">
        <v>665.97389999999996</v>
      </c>
      <c r="E24" s="50">
        <f t="shared" ref="E24:E31" si="25">F24/D24</f>
        <v>76.621621357834002</v>
      </c>
      <c r="F24" s="50">
        <v>51028</v>
      </c>
      <c r="G24" s="50">
        <v>45324.79</v>
      </c>
      <c r="H24" s="50">
        <f t="shared" ref="H24:H31" si="26">G24/D24</f>
        <v>68.057907374448163</v>
      </c>
      <c r="I24" s="50">
        <f t="shared" ref="I24:I31" si="27">G24-F24</f>
        <v>-5703.2099999999991</v>
      </c>
      <c r="J24" s="3">
        <f t="shared" ref="J24:J31" si="28">I24/F24</f>
        <v>-0.11176628517676568</v>
      </c>
      <c r="K24" s="61">
        <v>45106</v>
      </c>
      <c r="L24" s="61">
        <v>45132</v>
      </c>
      <c r="M24">
        <f t="shared" ref="M24:M31" si="29">DAYS360(K24,L24)</f>
        <v>26</v>
      </c>
      <c r="O24" t="s">
        <v>66</v>
      </c>
    </row>
    <row r="25" spans="1:26" x14ac:dyDescent="0.25">
      <c r="A25" t="s">
        <v>40</v>
      </c>
      <c r="B25" t="s">
        <v>32</v>
      </c>
      <c r="C25" s="20" t="s">
        <v>41</v>
      </c>
      <c r="D25" s="44">
        <v>123.3931</v>
      </c>
      <c r="E25" s="50">
        <f t="shared" si="25"/>
        <v>413.24004340599271</v>
      </c>
      <c r="F25" s="50">
        <v>50990.97</v>
      </c>
      <c r="G25" s="50">
        <v>48894.94</v>
      </c>
      <c r="H25" s="50">
        <f t="shared" si="26"/>
        <v>396.25343718570974</v>
      </c>
      <c r="I25" s="50">
        <f t="shared" si="27"/>
        <v>-2096.0299999999988</v>
      </c>
      <c r="J25" s="3">
        <f t="shared" si="28"/>
        <v>-4.1105905614268544E-2</v>
      </c>
      <c r="K25" s="61">
        <v>45104</v>
      </c>
      <c r="L25" s="61">
        <v>45138</v>
      </c>
      <c r="M25">
        <f t="shared" si="29"/>
        <v>34</v>
      </c>
      <c r="O25" t="s">
        <v>69</v>
      </c>
    </row>
    <row r="26" spans="1:26" x14ac:dyDescent="0.25">
      <c r="A26" t="s">
        <v>56</v>
      </c>
      <c r="B26" t="s">
        <v>32</v>
      </c>
      <c r="C26" s="20" t="s">
        <v>57</v>
      </c>
      <c r="D26" s="44">
        <v>278.20080000000002</v>
      </c>
      <c r="E26" s="50">
        <f t="shared" si="25"/>
        <v>128.41001895034088</v>
      </c>
      <c r="F26" s="50">
        <v>35723.769999999997</v>
      </c>
      <c r="G26" s="50">
        <v>34855.72</v>
      </c>
      <c r="H26" s="50">
        <f t="shared" si="26"/>
        <v>125.28979068356381</v>
      </c>
      <c r="I26" s="50">
        <f t="shared" si="27"/>
        <v>-868.04999999999563</v>
      </c>
      <c r="J26" s="3">
        <f t="shared" si="28"/>
        <v>-2.4298947171588994E-2</v>
      </c>
      <c r="K26" s="61">
        <v>45106</v>
      </c>
      <c r="L26" s="61">
        <v>45138</v>
      </c>
      <c r="M26">
        <f t="shared" si="29"/>
        <v>32</v>
      </c>
      <c r="O26" t="s">
        <v>71</v>
      </c>
    </row>
    <row r="27" spans="1:26" x14ac:dyDescent="0.25">
      <c r="A27" t="s">
        <v>82</v>
      </c>
      <c r="B27" t="s">
        <v>32</v>
      </c>
      <c r="C27" s="20" t="s">
        <v>83</v>
      </c>
      <c r="D27" s="44">
        <v>1007.1459</v>
      </c>
      <c r="E27" s="50">
        <f t="shared" si="25"/>
        <v>20.954908320631599</v>
      </c>
      <c r="F27" s="50">
        <v>21104.65</v>
      </c>
      <c r="G27" s="50">
        <v>18099.32</v>
      </c>
      <c r="H27" s="50">
        <f t="shared" si="26"/>
        <v>17.970901733303982</v>
      </c>
      <c r="I27" s="50">
        <f t="shared" si="27"/>
        <v>-3005.3300000000017</v>
      </c>
      <c r="J27" s="3">
        <f t="shared" si="28"/>
        <v>-0.14240131914056861</v>
      </c>
      <c r="K27" s="61">
        <v>45181</v>
      </c>
      <c r="L27" s="61">
        <v>45183</v>
      </c>
      <c r="M27">
        <f t="shared" si="29"/>
        <v>2</v>
      </c>
      <c r="O27" t="s">
        <v>84</v>
      </c>
    </row>
    <row r="28" spans="1:26" x14ac:dyDescent="0.25">
      <c r="A28" t="s">
        <v>63</v>
      </c>
      <c r="B28" t="s">
        <v>32</v>
      </c>
      <c r="C28" s="20" t="s">
        <v>64</v>
      </c>
      <c r="D28" s="44">
        <v>115.8536</v>
      </c>
      <c r="E28" s="50">
        <f t="shared" si="25"/>
        <v>442.16001919664131</v>
      </c>
      <c r="F28" s="50">
        <v>51225.83</v>
      </c>
      <c r="G28" s="50">
        <v>52055.28</v>
      </c>
      <c r="H28" s="50">
        <f t="shared" si="26"/>
        <v>449.31948597195077</v>
      </c>
      <c r="I28" s="50">
        <f t="shared" si="27"/>
        <v>829.44999999999709</v>
      </c>
      <c r="J28" s="3">
        <f t="shared" si="28"/>
        <v>1.6192026561599824E-2</v>
      </c>
      <c r="K28" s="61">
        <v>45117</v>
      </c>
      <c r="L28" s="61">
        <v>45184</v>
      </c>
      <c r="M28" s="63">
        <f t="shared" si="29"/>
        <v>65</v>
      </c>
      <c r="O28" t="s">
        <v>86</v>
      </c>
    </row>
    <row r="29" spans="1:26" x14ac:dyDescent="0.25">
      <c r="A29" t="s">
        <v>79</v>
      </c>
      <c r="B29" t="s">
        <v>32</v>
      </c>
      <c r="C29" s="20" t="s">
        <v>80</v>
      </c>
      <c r="D29" s="44">
        <v>507.0754</v>
      </c>
      <c r="E29" s="50">
        <f t="shared" si="25"/>
        <v>81.153611474743201</v>
      </c>
      <c r="F29" s="50">
        <v>41151</v>
      </c>
      <c r="G29" s="50">
        <v>38871.01</v>
      </c>
      <c r="H29" s="50">
        <f t="shared" si="26"/>
        <v>76.657258466886788</v>
      </c>
      <c r="I29" s="50">
        <f t="shared" si="27"/>
        <v>-2279.989999999998</v>
      </c>
      <c r="J29" s="3">
        <f t="shared" si="28"/>
        <v>-5.5405457947558939E-2</v>
      </c>
      <c r="K29" s="61">
        <v>45167</v>
      </c>
      <c r="L29" s="61">
        <v>45216</v>
      </c>
      <c r="M29" s="63">
        <f t="shared" si="29"/>
        <v>48</v>
      </c>
      <c r="O29" t="s">
        <v>95</v>
      </c>
    </row>
    <row r="30" spans="1:26" x14ac:dyDescent="0.25">
      <c r="A30" t="s">
        <v>90</v>
      </c>
      <c r="B30" t="s">
        <v>32</v>
      </c>
      <c r="C30" s="20" t="s">
        <v>91</v>
      </c>
      <c r="D30" s="44">
        <v>306.1703</v>
      </c>
      <c r="E30" s="50">
        <f t="shared" si="25"/>
        <v>170.32671033081917</v>
      </c>
      <c r="F30" s="50">
        <v>52148.98</v>
      </c>
      <c r="G30" s="50">
        <v>49351.519999999997</v>
      </c>
      <c r="H30" s="50">
        <f t="shared" si="26"/>
        <v>161.18976922320681</v>
      </c>
      <c r="I30" s="50">
        <f t="shared" si="27"/>
        <v>-2797.4600000000064</v>
      </c>
      <c r="J30" s="3">
        <f t="shared" si="28"/>
        <v>-5.3643618724661654E-2</v>
      </c>
      <c r="K30" s="61">
        <v>45208</v>
      </c>
      <c r="L30" s="61">
        <v>45219</v>
      </c>
      <c r="M30" s="63">
        <f t="shared" si="29"/>
        <v>11</v>
      </c>
      <c r="O30" t="s">
        <v>93</v>
      </c>
    </row>
    <row r="31" spans="1:26" x14ac:dyDescent="0.25">
      <c r="A31" t="s">
        <v>87</v>
      </c>
      <c r="B31" t="s">
        <v>32</v>
      </c>
      <c r="C31" s="20" t="s">
        <v>88</v>
      </c>
      <c r="D31" s="44">
        <v>239.91579999999999</v>
      </c>
      <c r="E31" s="50">
        <f t="shared" si="25"/>
        <v>173.89088171766929</v>
      </c>
      <c r="F31" s="50">
        <v>41719.17</v>
      </c>
      <c r="G31" s="50">
        <v>36026.28</v>
      </c>
      <c r="H31" s="50">
        <f t="shared" si="26"/>
        <v>150.16218189881616</v>
      </c>
      <c r="I31" s="50">
        <f t="shared" si="27"/>
        <v>-5692.8899999999994</v>
      </c>
      <c r="J31" s="3">
        <f t="shared" si="28"/>
        <v>-0.13645741274335035</v>
      </c>
      <c r="K31" s="61">
        <v>45208</v>
      </c>
      <c r="L31" s="61">
        <v>45219</v>
      </c>
      <c r="M31" s="63">
        <f t="shared" si="29"/>
        <v>11</v>
      </c>
      <c r="O31" t="s">
        <v>94</v>
      </c>
    </row>
    <row r="32" spans="1:26" x14ac:dyDescent="0.25">
      <c r="I32" s="50">
        <f>SUM(I24:I31)</f>
        <v>-21613.510000000002</v>
      </c>
      <c r="J32" s="9" t="s">
        <v>78</v>
      </c>
    </row>
    <row r="33" spans="8:10" x14ac:dyDescent="0.25">
      <c r="H33" s="50" t="s">
        <v>77</v>
      </c>
      <c r="I33" s="62">
        <v>7</v>
      </c>
      <c r="J33" s="3">
        <v>-8.0799999999999997E-2</v>
      </c>
    </row>
    <row r="34" spans="8:10" x14ac:dyDescent="0.25">
      <c r="H34" s="50" t="s">
        <v>85</v>
      </c>
      <c r="I34" s="62">
        <v>1</v>
      </c>
      <c r="J34" s="3">
        <v>1.6199999999999999E-2</v>
      </c>
    </row>
    <row r="35" spans="8:10" x14ac:dyDescent="0.25">
      <c r="J35" s="3"/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</sheetData>
  <sortState xmlns:xlrd2="http://schemas.microsoft.com/office/spreadsheetml/2017/richdata2" ref="A7:AD13">
    <sortCondition descending="1" ref="L7:L1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313A-F562-4867-9CFE-B34230161D2A}">
  <dimension ref="A1:AE18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45222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26.01</v>
      </c>
      <c r="F7" s="50">
        <f t="shared" ref="F7:F14" si="0">E7*D7</f>
        <v>52446.267485999997</v>
      </c>
      <c r="G7" s="50">
        <f>25318.9+15999</f>
        <v>41317.9</v>
      </c>
      <c r="H7" s="54">
        <f t="shared" ref="H7:H14" si="1">G7/D7</f>
        <v>20.491040268725982</v>
      </c>
      <c r="I7" s="50">
        <f t="shared" ref="I7:I14" si="2">F7-G7</f>
        <v>11128.367485999996</v>
      </c>
      <c r="J7" s="21">
        <f t="shared" ref="J7:J14" si="3">E7-H7</f>
        <v>5.5189597312740197</v>
      </c>
      <c r="K7" s="23">
        <v>45135</v>
      </c>
      <c r="L7">
        <f>DAYS360(K7,$C$1)</f>
        <v>85</v>
      </c>
      <c r="M7" s="3">
        <f t="shared" ref="M7:M14" si="4">(I7/G7)</f>
        <v>0.26933526355405274</v>
      </c>
      <c r="N7">
        <v>153</v>
      </c>
      <c r="O7">
        <v>99</v>
      </c>
      <c r="P7">
        <v>99</v>
      </c>
      <c r="Q7" s="24">
        <v>19.48</v>
      </c>
      <c r="R7" s="25">
        <f t="shared" ref="R7:R14" si="5">Q7*0.93</f>
        <v>18.116400000000002</v>
      </c>
      <c r="S7" s="25">
        <v>23.61</v>
      </c>
      <c r="T7" s="28">
        <f t="shared" ref="T7:T14" si="6">Q7*1.25</f>
        <v>24.35</v>
      </c>
      <c r="U7" s="24">
        <f t="shared" ref="U7:U14" si="7">Q7*1.5</f>
        <v>29.22</v>
      </c>
      <c r="V7" s="24">
        <f t="shared" ref="V7:V14" si="8">Q7*2</f>
        <v>38.96</v>
      </c>
      <c r="W7" s="24">
        <f t="shared" ref="W7:W14" si="9">H7-(H7*0.07)</f>
        <v>19.056667449915164</v>
      </c>
      <c r="X7" s="25">
        <v>26</v>
      </c>
      <c r="Y7" s="3">
        <f t="shared" ref="Y7:Y14" si="10">(X7-H7)/H7</f>
        <v>0.26884724538275157</v>
      </c>
      <c r="Z7" s="29">
        <f t="shared" ref="Z7:Z14" si="11">F7/F$17</f>
        <v>0.102653027113369</v>
      </c>
      <c r="AA7" s="7"/>
      <c r="AB7" s="26">
        <v>45245</v>
      </c>
      <c r="AC7" s="7">
        <v>98</v>
      </c>
      <c r="AD7" t="s">
        <v>72</v>
      </c>
    </row>
    <row r="8" spans="1:31" x14ac:dyDescent="0.25">
      <c r="C8" s="20"/>
      <c r="E8" s="21"/>
      <c r="F8" s="50">
        <f t="shared" si="0"/>
        <v>0</v>
      </c>
      <c r="H8" s="54" t="e">
        <f t="shared" si="1"/>
        <v>#DIV/0!</v>
      </c>
      <c r="I8" s="50">
        <f t="shared" si="2"/>
        <v>0</v>
      </c>
      <c r="J8" s="21" t="e">
        <f t="shared" si="3"/>
        <v>#DIV/0!</v>
      </c>
      <c r="K8" s="23"/>
      <c r="L8">
        <f>DAYS360(K8,$C$1)</f>
        <v>44573</v>
      </c>
      <c r="M8" s="3" t="e">
        <f t="shared" si="4"/>
        <v>#DIV/0!</v>
      </c>
      <c r="P8" s="27"/>
      <c r="Q8" s="24"/>
      <c r="R8" s="25">
        <f t="shared" si="5"/>
        <v>0</v>
      </c>
      <c r="S8" s="25"/>
      <c r="T8" s="28">
        <f t="shared" si="6"/>
        <v>0</v>
      </c>
      <c r="U8" s="24">
        <f t="shared" si="7"/>
        <v>0</v>
      </c>
      <c r="V8" s="24">
        <f t="shared" si="8"/>
        <v>0</v>
      </c>
      <c r="W8" s="24" t="e">
        <f t="shared" si="9"/>
        <v>#DIV/0!</v>
      </c>
      <c r="X8" s="25"/>
      <c r="Y8" s="3" t="e">
        <f t="shared" si="10"/>
        <v>#DIV/0!</v>
      </c>
      <c r="Z8" s="4">
        <f t="shared" si="11"/>
        <v>0</v>
      </c>
      <c r="AB8" s="26"/>
      <c r="AC8" s="7"/>
    </row>
    <row r="9" spans="1:31" x14ac:dyDescent="0.25">
      <c r="C9" s="20"/>
      <c r="E9" s="21"/>
      <c r="F9" s="50">
        <f t="shared" si="0"/>
        <v>0</v>
      </c>
      <c r="H9" s="54" t="e">
        <f t="shared" si="1"/>
        <v>#DIV/0!</v>
      </c>
      <c r="I9" s="50">
        <f t="shared" si="2"/>
        <v>0</v>
      </c>
      <c r="J9" s="21" t="e">
        <f t="shared" si="3"/>
        <v>#DIV/0!</v>
      </c>
      <c r="K9" s="23"/>
      <c r="M9" s="3" t="e">
        <f t="shared" si="4"/>
        <v>#DIV/0!</v>
      </c>
      <c r="Q9" s="24"/>
      <c r="R9" s="25">
        <f t="shared" si="5"/>
        <v>0</v>
      </c>
      <c r="S9" s="25"/>
      <c r="T9" s="24">
        <f t="shared" si="6"/>
        <v>0</v>
      </c>
      <c r="U9" s="24">
        <f t="shared" si="7"/>
        <v>0</v>
      </c>
      <c r="V9" s="24">
        <f t="shared" si="8"/>
        <v>0</v>
      </c>
      <c r="W9" s="24" t="e">
        <f t="shared" si="9"/>
        <v>#DIV/0!</v>
      </c>
      <c r="X9" s="25"/>
      <c r="Y9" s="3" t="e">
        <f t="shared" si="10"/>
        <v>#DIV/0!</v>
      </c>
      <c r="Z9" s="4">
        <f t="shared" si="11"/>
        <v>0</v>
      </c>
      <c r="AB9" s="26"/>
      <c r="AC9" s="7"/>
    </row>
    <row r="10" spans="1:31" x14ac:dyDescent="0.25">
      <c r="C10" s="20"/>
      <c r="E10" s="21"/>
      <c r="F10" s="50">
        <f t="shared" si="0"/>
        <v>0</v>
      </c>
      <c r="H10" s="54" t="e">
        <f t="shared" si="1"/>
        <v>#DIV/0!</v>
      </c>
      <c r="I10" s="50">
        <f t="shared" si="2"/>
        <v>0</v>
      </c>
      <c r="J10" s="21" t="e">
        <f t="shared" si="3"/>
        <v>#DIV/0!</v>
      </c>
      <c r="K10" s="23"/>
      <c r="M10" s="3" t="e">
        <f t="shared" si="4"/>
        <v>#DIV/0!</v>
      </c>
      <c r="P10" s="27"/>
      <c r="Q10" s="24"/>
      <c r="R10" s="25">
        <f t="shared" si="5"/>
        <v>0</v>
      </c>
      <c r="S10" s="25"/>
      <c r="T10" s="28">
        <f t="shared" si="6"/>
        <v>0</v>
      </c>
      <c r="U10" s="24">
        <f t="shared" si="7"/>
        <v>0</v>
      </c>
      <c r="V10" s="24">
        <f t="shared" si="8"/>
        <v>0</v>
      </c>
      <c r="W10" s="24" t="e">
        <f t="shared" si="9"/>
        <v>#DIV/0!</v>
      </c>
      <c r="X10" s="25"/>
      <c r="Y10" s="3" t="e">
        <f t="shared" si="10"/>
        <v>#DIV/0!</v>
      </c>
      <c r="Z10" s="4">
        <f t="shared" si="11"/>
        <v>0</v>
      </c>
      <c r="AB10" s="26"/>
      <c r="AC10" s="7"/>
    </row>
    <row r="11" spans="1:31" x14ac:dyDescent="0.25">
      <c r="C11" s="20"/>
      <c r="E11" s="21"/>
      <c r="F11" s="50">
        <f t="shared" si="0"/>
        <v>0</v>
      </c>
      <c r="H11" s="54" t="e">
        <f t="shared" si="1"/>
        <v>#DIV/0!</v>
      </c>
      <c r="I11" s="50">
        <f t="shared" si="2"/>
        <v>0</v>
      </c>
      <c r="J11" s="21" t="e">
        <f t="shared" si="3"/>
        <v>#DIV/0!</v>
      </c>
      <c r="K11" s="23"/>
      <c r="M11" s="3" t="e">
        <f t="shared" si="4"/>
        <v>#DIV/0!</v>
      </c>
      <c r="Q11" s="24"/>
      <c r="R11" s="25">
        <f t="shared" si="5"/>
        <v>0</v>
      </c>
      <c r="S11" s="25"/>
      <c r="T11" s="28">
        <f t="shared" si="6"/>
        <v>0</v>
      </c>
      <c r="U11" s="24">
        <f t="shared" si="7"/>
        <v>0</v>
      </c>
      <c r="V11" s="24">
        <f t="shared" si="8"/>
        <v>0</v>
      </c>
      <c r="W11" s="24" t="e">
        <f t="shared" si="9"/>
        <v>#DIV/0!</v>
      </c>
      <c r="X11" s="25"/>
      <c r="Y11" s="3" t="e">
        <f t="shared" si="10"/>
        <v>#DIV/0!</v>
      </c>
      <c r="Z11" s="4">
        <f t="shared" si="11"/>
        <v>0</v>
      </c>
      <c r="AB11" s="26"/>
      <c r="AC11" s="7"/>
    </row>
    <row r="12" spans="1:31" x14ac:dyDescent="0.25">
      <c r="A12" s="20" t="s">
        <v>44</v>
      </c>
      <c r="B12" s="20" t="s">
        <v>32</v>
      </c>
      <c r="C12" s="20" t="s">
        <v>45</v>
      </c>
      <c r="D12" s="44">
        <v>2778.4117999999999</v>
      </c>
      <c r="E12" s="21">
        <v>91.81</v>
      </c>
      <c r="F12" s="50">
        <f t="shared" si="0"/>
        <v>255085.98735799998</v>
      </c>
      <c r="G12" s="50">
        <v>254613.66</v>
      </c>
      <c r="H12" s="54">
        <f t="shared" si="1"/>
        <v>91.640000953062469</v>
      </c>
      <c r="I12" s="50">
        <f t="shared" si="2"/>
        <v>472.32735799998045</v>
      </c>
      <c r="J12" s="21">
        <f t="shared" si="3"/>
        <v>0.16999904693753365</v>
      </c>
      <c r="K12" s="23"/>
      <c r="M12" s="3">
        <f t="shared" si="4"/>
        <v>1.8550746963064764E-3</v>
      </c>
      <c r="Q12" s="24"/>
      <c r="R12" s="25">
        <f t="shared" si="5"/>
        <v>0</v>
      </c>
      <c r="S12" s="25"/>
      <c r="T12" s="28">
        <f t="shared" si="6"/>
        <v>0</v>
      </c>
      <c r="U12" s="28">
        <f t="shared" si="7"/>
        <v>0</v>
      </c>
      <c r="V12" s="24">
        <f t="shared" si="8"/>
        <v>0</v>
      </c>
      <c r="W12" s="24">
        <f t="shared" si="9"/>
        <v>85.225200886348091</v>
      </c>
      <c r="X12" s="25"/>
      <c r="Y12" s="3">
        <f t="shared" si="10"/>
        <v>-1</v>
      </c>
      <c r="Z12" s="4">
        <f t="shared" si="11"/>
        <v>0.49927954898775567</v>
      </c>
      <c r="AB12" s="26"/>
      <c r="AC12" s="7"/>
    </row>
    <row r="13" spans="1:31" x14ac:dyDescent="0.25">
      <c r="A13" t="s">
        <v>42</v>
      </c>
      <c r="B13" t="s">
        <v>32</v>
      </c>
      <c r="C13" s="20" t="s">
        <v>43</v>
      </c>
      <c r="D13" s="44">
        <v>511.29180000000002</v>
      </c>
      <c r="E13" s="21">
        <v>22.75</v>
      </c>
      <c r="F13" s="50">
        <f t="shared" si="0"/>
        <v>11631.88845</v>
      </c>
      <c r="G13" s="50">
        <v>24797.66</v>
      </c>
      <c r="H13" s="54">
        <f t="shared" si="1"/>
        <v>48.500015059893386</v>
      </c>
      <c r="I13" s="50">
        <f t="shared" si="2"/>
        <v>-13165.771549999999</v>
      </c>
      <c r="J13" s="21">
        <f t="shared" si="3"/>
        <v>-25.750015059893386</v>
      </c>
      <c r="K13" s="23"/>
      <c r="M13" s="3">
        <f t="shared" si="4"/>
        <v>-0.53092798070463099</v>
      </c>
      <c r="P13" s="27"/>
      <c r="Q13" s="24"/>
      <c r="R13" s="25">
        <f t="shared" si="5"/>
        <v>0</v>
      </c>
      <c r="S13" s="25"/>
      <c r="T13" s="24">
        <f t="shared" si="6"/>
        <v>0</v>
      </c>
      <c r="U13" s="24">
        <f t="shared" si="7"/>
        <v>0</v>
      </c>
      <c r="V13" s="24">
        <f t="shared" si="8"/>
        <v>0</v>
      </c>
      <c r="W13" s="24">
        <f t="shared" si="9"/>
        <v>45.105014005700852</v>
      </c>
      <c r="X13" s="25"/>
      <c r="Y13" s="3">
        <f t="shared" si="10"/>
        <v>-1</v>
      </c>
      <c r="Z13" s="4">
        <f t="shared" si="11"/>
        <v>2.2767083677714014E-2</v>
      </c>
      <c r="AB13" s="26"/>
      <c r="AC13" s="7"/>
    </row>
    <row r="14" spans="1:31" x14ac:dyDescent="0.25">
      <c r="A14" s="31"/>
      <c r="B14" s="31"/>
      <c r="C14" s="31"/>
      <c r="D14" s="47"/>
      <c r="E14" s="32"/>
      <c r="F14" s="53">
        <f t="shared" si="0"/>
        <v>0</v>
      </c>
      <c r="G14" s="53"/>
      <c r="H14" s="59" t="e">
        <f t="shared" si="1"/>
        <v>#DIV/0!</v>
      </c>
      <c r="I14" s="53">
        <f t="shared" si="2"/>
        <v>0</v>
      </c>
      <c r="J14" s="32" t="e">
        <f t="shared" si="3"/>
        <v>#DIV/0!</v>
      </c>
      <c r="K14" s="34"/>
      <c r="L14" s="31">
        <f t="shared" ref="L14" si="12">DAYS360(K14,$C$1)</f>
        <v>44573</v>
      </c>
      <c r="M14" s="35" t="e">
        <f t="shared" si="4"/>
        <v>#DIV/0!</v>
      </c>
      <c r="N14" s="31"/>
      <c r="O14" s="31"/>
      <c r="P14" s="31"/>
      <c r="Q14" s="36"/>
      <c r="R14" s="37">
        <f t="shared" si="5"/>
        <v>0</v>
      </c>
      <c r="S14" s="37"/>
      <c r="T14" s="36">
        <f t="shared" si="6"/>
        <v>0</v>
      </c>
      <c r="U14" s="36">
        <f t="shared" si="7"/>
        <v>0</v>
      </c>
      <c r="V14" s="36">
        <f t="shared" si="8"/>
        <v>0</v>
      </c>
      <c r="W14" s="36" t="e">
        <f t="shared" si="9"/>
        <v>#DIV/0!</v>
      </c>
      <c r="X14" s="37"/>
      <c r="Y14" s="35" t="e">
        <f t="shared" si="10"/>
        <v>#DIV/0!</v>
      </c>
      <c r="Z14" s="38">
        <f t="shared" si="11"/>
        <v>0</v>
      </c>
      <c r="AB14" s="39"/>
      <c r="AC14" s="7"/>
    </row>
    <row r="15" spans="1:31" x14ac:dyDescent="0.25">
      <c r="A15" t="s">
        <v>33</v>
      </c>
      <c r="F15" s="50">
        <f>SUM(F6:F14)</f>
        <v>319164.14329400001</v>
      </c>
      <c r="G15" s="50">
        <f>SUM(G6:G14)</f>
        <v>320729.21999999997</v>
      </c>
      <c r="H15" s="54"/>
      <c r="I15" s="50">
        <f>SUM(I6:I14)</f>
        <v>-1565.0767060000235</v>
      </c>
      <c r="M15" s="3"/>
      <c r="Z15" s="4"/>
    </row>
    <row r="16" spans="1:31" x14ac:dyDescent="0.25">
      <c r="D16" s="44" t="s">
        <v>34</v>
      </c>
      <c r="F16" s="50">
        <v>191744</v>
      </c>
      <c r="G16" s="4">
        <f>F16/F17</f>
        <v>0.37530034022116121</v>
      </c>
      <c r="H16" s="54"/>
      <c r="M16" s="3"/>
      <c r="Z16" s="4"/>
    </row>
    <row r="17" spans="1:26" x14ac:dyDescent="0.25">
      <c r="D17" s="44" t="s">
        <v>35</v>
      </c>
      <c r="F17" s="50">
        <f>SUM(F15:F16)</f>
        <v>510908.14329400001</v>
      </c>
      <c r="H17" s="60"/>
      <c r="M17" s="3"/>
      <c r="Z17" s="4"/>
    </row>
    <row r="18" spans="1:26" x14ac:dyDescent="0.25">
      <c r="F18" s="54"/>
      <c r="H18" s="60" t="s">
        <v>37</v>
      </c>
      <c r="I18" s="50">
        <f>'10-20-23'!F17</f>
        <v>508331.16546199995</v>
      </c>
      <c r="K18" s="1">
        <v>45107</v>
      </c>
      <c r="L18" s="64">
        <v>509801</v>
      </c>
      <c r="M18" s="3"/>
      <c r="Z18" s="4"/>
    </row>
    <row r="19" spans="1:26" x14ac:dyDescent="0.25">
      <c r="F19" s="55"/>
      <c r="G19" s="58"/>
      <c r="H19" s="54" t="s">
        <v>39</v>
      </c>
      <c r="I19" s="4">
        <f>(F17-I18)/I18</f>
        <v>5.0694862072010868E-3</v>
      </c>
      <c r="K19" s="7" t="s">
        <v>73</v>
      </c>
      <c r="L19" s="4">
        <f>(F17-L18)/L18</f>
        <v>2.1717165992220662E-3</v>
      </c>
      <c r="Z19" s="4"/>
    </row>
    <row r="21" spans="1:26" x14ac:dyDescent="0.25">
      <c r="D21" s="7"/>
      <c r="E21" s="7"/>
      <c r="F21" s="56"/>
      <c r="I21" s="51"/>
      <c r="J21" s="7"/>
      <c r="K21" s="7"/>
      <c r="L21" s="7"/>
      <c r="M21" s="9" t="s">
        <v>46</v>
      </c>
    </row>
    <row r="22" spans="1:26" x14ac:dyDescent="0.25">
      <c r="A22" s="49" t="s">
        <v>54</v>
      </c>
      <c r="D22" s="19" t="s">
        <v>17</v>
      </c>
      <c r="E22" s="19" t="s">
        <v>47</v>
      </c>
      <c r="F22" s="57" t="s">
        <v>48</v>
      </c>
      <c r="G22" s="57" t="s">
        <v>50</v>
      </c>
      <c r="H22" s="57" t="s">
        <v>49</v>
      </c>
      <c r="I22" s="57" t="s">
        <v>51</v>
      </c>
      <c r="J22" s="19" t="s">
        <v>12</v>
      </c>
      <c r="K22" s="19" t="s">
        <v>22</v>
      </c>
      <c r="L22" s="19" t="s">
        <v>52</v>
      </c>
      <c r="M22" s="19" t="s">
        <v>53</v>
      </c>
      <c r="N22" s="1"/>
      <c r="P22" s="7" t="s">
        <v>55</v>
      </c>
    </row>
    <row r="23" spans="1:26" x14ac:dyDescent="0.25">
      <c r="J23" s="3"/>
    </row>
    <row r="24" spans="1:26" x14ac:dyDescent="0.25">
      <c r="A24" t="s">
        <v>60</v>
      </c>
      <c r="B24" t="s">
        <v>32</v>
      </c>
      <c r="C24" s="20" t="s">
        <v>61</v>
      </c>
      <c r="D24" s="44">
        <v>665.97389999999996</v>
      </c>
      <c r="E24" s="50">
        <f t="shared" ref="E24:E32" si="13">F24/D24</f>
        <v>76.621621357834002</v>
      </c>
      <c r="F24" s="50">
        <v>51028</v>
      </c>
      <c r="G24" s="50">
        <v>45324.79</v>
      </c>
      <c r="H24" s="50">
        <f t="shared" ref="H24:H32" si="14">G24/D24</f>
        <v>68.057907374448163</v>
      </c>
      <c r="I24" s="50">
        <f t="shared" ref="I24:I32" si="15">G24-F24</f>
        <v>-5703.2099999999991</v>
      </c>
      <c r="J24" s="3">
        <f t="shared" ref="J24:J32" si="16">I24/F24</f>
        <v>-0.11176628517676568</v>
      </c>
      <c r="K24" s="61">
        <v>45106</v>
      </c>
      <c r="L24" s="61">
        <v>45132</v>
      </c>
      <c r="M24">
        <f t="shared" ref="M24:M32" si="17">DAYS360(K24,L24)</f>
        <v>26</v>
      </c>
      <c r="O24" t="s">
        <v>66</v>
      </c>
    </row>
    <row r="25" spans="1:26" x14ac:dyDescent="0.25">
      <c r="A25" t="s">
        <v>40</v>
      </c>
      <c r="B25" t="s">
        <v>32</v>
      </c>
      <c r="C25" s="20" t="s">
        <v>41</v>
      </c>
      <c r="D25" s="44">
        <v>123.3931</v>
      </c>
      <c r="E25" s="50">
        <f t="shared" si="13"/>
        <v>413.24004340599271</v>
      </c>
      <c r="F25" s="50">
        <v>50990.97</v>
      </c>
      <c r="G25" s="50">
        <v>48894.94</v>
      </c>
      <c r="H25" s="50">
        <f t="shared" si="14"/>
        <v>396.25343718570974</v>
      </c>
      <c r="I25" s="50">
        <f t="shared" si="15"/>
        <v>-2096.0299999999988</v>
      </c>
      <c r="J25" s="3">
        <f t="shared" si="16"/>
        <v>-4.1105905614268544E-2</v>
      </c>
      <c r="K25" s="61">
        <v>45104</v>
      </c>
      <c r="L25" s="61">
        <v>45138</v>
      </c>
      <c r="M25">
        <f t="shared" si="17"/>
        <v>34</v>
      </c>
      <c r="O25" t="s">
        <v>69</v>
      </c>
    </row>
    <row r="26" spans="1:26" x14ac:dyDescent="0.25">
      <c r="A26" t="s">
        <v>56</v>
      </c>
      <c r="B26" t="s">
        <v>32</v>
      </c>
      <c r="C26" s="20" t="s">
        <v>57</v>
      </c>
      <c r="D26" s="44">
        <v>278.20080000000002</v>
      </c>
      <c r="E26" s="50">
        <f t="shared" si="13"/>
        <v>128.41001895034088</v>
      </c>
      <c r="F26" s="50">
        <v>35723.769999999997</v>
      </c>
      <c r="G26" s="50">
        <v>34855.72</v>
      </c>
      <c r="H26" s="50">
        <f t="shared" si="14"/>
        <v>125.28979068356381</v>
      </c>
      <c r="I26" s="50">
        <f t="shared" si="15"/>
        <v>-868.04999999999563</v>
      </c>
      <c r="J26" s="3">
        <f t="shared" si="16"/>
        <v>-2.4298947171588994E-2</v>
      </c>
      <c r="K26" s="61">
        <v>45106</v>
      </c>
      <c r="L26" s="61">
        <v>45138</v>
      </c>
      <c r="M26">
        <f t="shared" si="17"/>
        <v>32</v>
      </c>
      <c r="O26" t="s">
        <v>71</v>
      </c>
    </row>
    <row r="27" spans="1:26" x14ac:dyDescent="0.25">
      <c r="A27" t="s">
        <v>82</v>
      </c>
      <c r="B27" t="s">
        <v>32</v>
      </c>
      <c r="C27" s="20" t="s">
        <v>83</v>
      </c>
      <c r="D27" s="44">
        <v>1007.1459</v>
      </c>
      <c r="E27" s="50">
        <f t="shared" si="13"/>
        <v>20.954908320631599</v>
      </c>
      <c r="F27" s="50">
        <v>21104.65</v>
      </c>
      <c r="G27" s="50">
        <v>18099.32</v>
      </c>
      <c r="H27" s="50">
        <f t="shared" si="14"/>
        <v>17.970901733303982</v>
      </c>
      <c r="I27" s="50">
        <f t="shared" si="15"/>
        <v>-3005.3300000000017</v>
      </c>
      <c r="J27" s="3">
        <f t="shared" si="16"/>
        <v>-0.14240131914056861</v>
      </c>
      <c r="K27" s="61">
        <v>45181</v>
      </c>
      <c r="L27" s="61">
        <v>45183</v>
      </c>
      <c r="M27">
        <f t="shared" si="17"/>
        <v>2</v>
      </c>
      <c r="O27" t="s">
        <v>84</v>
      </c>
    </row>
    <row r="28" spans="1:26" x14ac:dyDescent="0.25">
      <c r="A28" t="s">
        <v>63</v>
      </c>
      <c r="B28" t="s">
        <v>32</v>
      </c>
      <c r="C28" s="20" t="s">
        <v>64</v>
      </c>
      <c r="D28" s="44">
        <v>115.8536</v>
      </c>
      <c r="E28" s="50">
        <f t="shared" si="13"/>
        <v>442.16001919664131</v>
      </c>
      <c r="F28" s="50">
        <v>51225.83</v>
      </c>
      <c r="G28" s="50">
        <v>52055.28</v>
      </c>
      <c r="H28" s="50">
        <f t="shared" si="14"/>
        <v>449.31948597195077</v>
      </c>
      <c r="I28" s="50">
        <f t="shared" si="15"/>
        <v>829.44999999999709</v>
      </c>
      <c r="J28" s="3">
        <f t="shared" si="16"/>
        <v>1.6192026561599824E-2</v>
      </c>
      <c r="K28" s="61">
        <v>45117</v>
      </c>
      <c r="L28" s="61">
        <v>45184</v>
      </c>
      <c r="M28" s="63">
        <f t="shared" si="17"/>
        <v>65</v>
      </c>
      <c r="O28" t="s">
        <v>86</v>
      </c>
    </row>
    <row r="29" spans="1:26" x14ac:dyDescent="0.25">
      <c r="A29" t="s">
        <v>79</v>
      </c>
      <c r="B29" t="s">
        <v>32</v>
      </c>
      <c r="C29" s="20" t="s">
        <v>80</v>
      </c>
      <c r="D29" s="44">
        <v>507.0754</v>
      </c>
      <c r="E29" s="50">
        <f t="shared" si="13"/>
        <v>81.153611474743201</v>
      </c>
      <c r="F29" s="50">
        <v>41151</v>
      </c>
      <c r="G29" s="50">
        <v>38871.01</v>
      </c>
      <c r="H29" s="50">
        <f t="shared" si="14"/>
        <v>76.657258466886788</v>
      </c>
      <c r="I29" s="50">
        <f t="shared" si="15"/>
        <v>-2279.989999999998</v>
      </c>
      <c r="J29" s="3">
        <f t="shared" si="16"/>
        <v>-5.5405457947558939E-2</v>
      </c>
      <c r="K29" s="61">
        <v>45167</v>
      </c>
      <c r="L29" s="61">
        <v>45216</v>
      </c>
      <c r="M29" s="63">
        <f t="shared" si="17"/>
        <v>48</v>
      </c>
      <c r="O29" t="s">
        <v>95</v>
      </c>
    </row>
    <row r="30" spans="1:26" x14ac:dyDescent="0.25">
      <c r="A30" t="s">
        <v>90</v>
      </c>
      <c r="B30" t="s">
        <v>32</v>
      </c>
      <c r="C30" s="20" t="s">
        <v>91</v>
      </c>
      <c r="D30" s="44">
        <v>306.1703</v>
      </c>
      <c r="E30" s="50">
        <f t="shared" si="13"/>
        <v>170.32671033081917</v>
      </c>
      <c r="F30" s="50">
        <v>52148.98</v>
      </c>
      <c r="G30" s="50">
        <v>49351.519999999997</v>
      </c>
      <c r="H30" s="50">
        <f t="shared" si="14"/>
        <v>161.18976922320681</v>
      </c>
      <c r="I30" s="50">
        <f t="shared" si="15"/>
        <v>-2797.4600000000064</v>
      </c>
      <c r="J30" s="3">
        <f t="shared" si="16"/>
        <v>-5.3643618724661654E-2</v>
      </c>
      <c r="K30" s="61">
        <v>45208</v>
      </c>
      <c r="L30" s="61">
        <v>45219</v>
      </c>
      <c r="M30" s="63">
        <f t="shared" si="17"/>
        <v>11</v>
      </c>
      <c r="O30" t="s">
        <v>93</v>
      </c>
    </row>
    <row r="31" spans="1:26" x14ac:dyDescent="0.25">
      <c r="A31" t="s">
        <v>87</v>
      </c>
      <c r="B31" t="s">
        <v>32</v>
      </c>
      <c r="C31" s="20" t="s">
        <v>88</v>
      </c>
      <c r="D31" s="44">
        <v>239.91579999999999</v>
      </c>
      <c r="E31" s="50">
        <f t="shared" si="13"/>
        <v>173.89088171766929</v>
      </c>
      <c r="F31" s="50">
        <v>41719.17</v>
      </c>
      <c r="G31" s="50">
        <v>36026.28</v>
      </c>
      <c r="H31" s="50">
        <f t="shared" si="14"/>
        <v>150.16218189881616</v>
      </c>
      <c r="I31" s="50">
        <f t="shared" si="15"/>
        <v>-5692.8899999999994</v>
      </c>
      <c r="J31" s="3">
        <f t="shared" si="16"/>
        <v>-0.13645741274335035</v>
      </c>
      <c r="K31" s="61">
        <v>45208</v>
      </c>
      <c r="L31" s="61">
        <v>45219</v>
      </c>
      <c r="M31" s="63">
        <f t="shared" si="17"/>
        <v>11</v>
      </c>
      <c r="O31" t="s">
        <v>94</v>
      </c>
    </row>
    <row r="32" spans="1:26" x14ac:dyDescent="0.25">
      <c r="A32" t="s">
        <v>74</v>
      </c>
      <c r="B32" t="s">
        <v>32</v>
      </c>
      <c r="C32" s="20" t="s">
        <v>75</v>
      </c>
      <c r="D32" s="44">
        <v>266.87329999999997</v>
      </c>
      <c r="E32" s="50">
        <f t="shared" si="13"/>
        <v>151.47948483418912</v>
      </c>
      <c r="F32" s="50">
        <v>40425.83</v>
      </c>
      <c r="G32" s="50">
        <v>40616.769999999997</v>
      </c>
      <c r="H32" s="50">
        <f t="shared" si="14"/>
        <v>152.19495543390815</v>
      </c>
      <c r="I32" s="50">
        <f t="shared" si="15"/>
        <v>190.93999999999505</v>
      </c>
      <c r="J32" s="3">
        <f t="shared" si="16"/>
        <v>4.7232178040622803E-3</v>
      </c>
      <c r="K32" s="61">
        <v>45153</v>
      </c>
      <c r="L32" s="61">
        <v>45224</v>
      </c>
      <c r="M32" s="63">
        <f t="shared" si="17"/>
        <v>70</v>
      </c>
      <c r="O32" t="s">
        <v>96</v>
      </c>
    </row>
    <row r="33" spans="8:10" x14ac:dyDescent="0.25">
      <c r="I33" s="50">
        <f>SUM(I24:I32)</f>
        <v>-21422.570000000007</v>
      </c>
      <c r="J33" s="9" t="s">
        <v>78</v>
      </c>
    </row>
    <row r="34" spans="8:10" x14ac:dyDescent="0.25">
      <c r="H34" s="50" t="s">
        <v>77</v>
      </c>
      <c r="I34" s="62">
        <v>7</v>
      </c>
      <c r="J34" s="3">
        <v>-8.0799999999999997E-2</v>
      </c>
    </row>
    <row r="35" spans="8:10" x14ac:dyDescent="0.25">
      <c r="H35" s="50" t="s">
        <v>85</v>
      </c>
      <c r="I35" s="62">
        <v>1</v>
      </c>
      <c r="J35" s="3">
        <v>1.0500000000000001E-2</v>
      </c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3293-8DC6-4C3A-BD3D-54B34214D67F}">
  <dimension ref="A1:AE188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45233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26.64</v>
      </c>
      <c r="F7" s="50">
        <f t="shared" ref="F7:F14" si="0">E7*D7</f>
        <v>53716.592303999998</v>
      </c>
      <c r="G7" s="50">
        <f>25318.9+15999</f>
        <v>41317.9</v>
      </c>
      <c r="H7" s="54">
        <f t="shared" ref="H7:H14" si="1">G7/D7</f>
        <v>20.491040268725982</v>
      </c>
      <c r="I7" s="50">
        <f t="shared" ref="I7:I14" si="2">F7-G7</f>
        <v>12398.692303999997</v>
      </c>
      <c r="J7" s="21">
        <f t="shared" ref="J7:J14" si="3">E7-H7</f>
        <v>6.1489597312740187</v>
      </c>
      <c r="K7" s="23">
        <v>45135</v>
      </c>
      <c r="L7">
        <f>DAYS360(K7,$C$1)</f>
        <v>95</v>
      </c>
      <c r="M7" s="3">
        <f t="shared" ref="M7:M14" si="4">(I7/G7)</f>
        <v>0.3000804083460194</v>
      </c>
      <c r="N7">
        <v>159</v>
      </c>
      <c r="O7">
        <v>99</v>
      </c>
      <c r="P7">
        <v>99</v>
      </c>
      <c r="Q7" s="24">
        <v>19.48</v>
      </c>
      <c r="R7" s="25">
        <f t="shared" ref="R7:R14" si="5">Q7*0.93</f>
        <v>18.116400000000002</v>
      </c>
      <c r="S7" s="25">
        <v>23.61</v>
      </c>
      <c r="T7" s="28">
        <f t="shared" ref="T7:T14" si="6">Q7*1.25</f>
        <v>24.35</v>
      </c>
      <c r="U7" s="24">
        <f t="shared" ref="U7:U14" si="7">Q7*1.5</f>
        <v>29.22</v>
      </c>
      <c r="V7" s="24">
        <f t="shared" ref="V7:V14" si="8">Q7*2</f>
        <v>38.96</v>
      </c>
      <c r="W7" s="24">
        <f t="shared" ref="W7:W14" si="9">H7-(H7*0.07)</f>
        <v>19.056667449915164</v>
      </c>
      <c r="X7" s="25">
        <v>26</v>
      </c>
      <c r="Y7" s="3">
        <f t="shared" ref="Y7:Y14" si="10">(X7-H7)/H7</f>
        <v>0.26884724538275157</v>
      </c>
      <c r="Z7" s="29">
        <f t="shared" ref="Z7:Z14" si="11">F7/F$17</f>
        <v>0.10536985484006399</v>
      </c>
      <c r="AA7" s="7"/>
      <c r="AB7" s="26">
        <v>45245</v>
      </c>
      <c r="AC7" s="7">
        <v>98</v>
      </c>
      <c r="AD7" t="s">
        <v>72</v>
      </c>
    </row>
    <row r="8" spans="1:31" x14ac:dyDescent="0.25">
      <c r="A8" t="s">
        <v>97</v>
      </c>
      <c r="B8" t="s">
        <v>32</v>
      </c>
      <c r="C8" s="20" t="s">
        <v>98</v>
      </c>
      <c r="D8" s="44">
        <v>1166.9349999999999</v>
      </c>
      <c r="E8" s="21">
        <v>34.82</v>
      </c>
      <c r="F8" s="50">
        <f t="shared" si="0"/>
        <v>40632.676699999996</v>
      </c>
      <c r="G8" s="50">
        <v>40941.919999999998</v>
      </c>
      <c r="H8" s="54">
        <f t="shared" si="1"/>
        <v>35.085004734625322</v>
      </c>
      <c r="I8" s="50">
        <f t="shared" si="2"/>
        <v>-309.24330000000191</v>
      </c>
      <c r="J8" s="21">
        <f t="shared" si="3"/>
        <v>-0.2650047346253217</v>
      </c>
      <c r="K8" s="23">
        <v>45233</v>
      </c>
      <c r="L8">
        <f>DAYS360(K8,$C$1)</f>
        <v>0</v>
      </c>
      <c r="M8" s="3">
        <f t="shared" si="4"/>
        <v>-7.5532192921094546E-3</v>
      </c>
      <c r="N8">
        <v>58</v>
      </c>
      <c r="O8">
        <v>87</v>
      </c>
      <c r="P8" s="27">
        <v>69</v>
      </c>
      <c r="Q8" s="24">
        <v>34.200000000000003</v>
      </c>
      <c r="R8" s="25">
        <f t="shared" si="5"/>
        <v>31.806000000000004</v>
      </c>
      <c r="S8" s="25">
        <v>31.07</v>
      </c>
      <c r="T8" s="28">
        <f t="shared" si="6"/>
        <v>42.75</v>
      </c>
      <c r="U8" s="24">
        <f t="shared" si="7"/>
        <v>51.300000000000004</v>
      </c>
      <c r="V8" s="24">
        <f t="shared" si="8"/>
        <v>68.400000000000006</v>
      </c>
      <c r="W8" s="24">
        <f t="shared" si="9"/>
        <v>32.62905440320155</v>
      </c>
      <c r="X8" s="25">
        <v>32.75</v>
      </c>
      <c r="Y8" s="3">
        <f t="shared" si="10"/>
        <v>-6.655278379714484E-2</v>
      </c>
      <c r="Z8" s="4">
        <f t="shared" si="11"/>
        <v>7.970459520983858E-2</v>
      </c>
      <c r="AB8" s="26">
        <v>45343</v>
      </c>
      <c r="AC8" s="7"/>
    </row>
    <row r="9" spans="1:31" x14ac:dyDescent="0.25">
      <c r="C9" s="20"/>
      <c r="E9" s="21"/>
      <c r="F9" s="50">
        <f t="shared" si="0"/>
        <v>0</v>
      </c>
      <c r="H9" s="54" t="e">
        <f t="shared" si="1"/>
        <v>#DIV/0!</v>
      </c>
      <c r="I9" s="50">
        <f t="shared" si="2"/>
        <v>0</v>
      </c>
      <c r="J9" s="21" t="e">
        <f t="shared" si="3"/>
        <v>#DIV/0!</v>
      </c>
      <c r="K9" s="23"/>
      <c r="M9" s="3" t="e">
        <f t="shared" si="4"/>
        <v>#DIV/0!</v>
      </c>
      <c r="Q9" s="24"/>
      <c r="R9" s="25">
        <f t="shared" si="5"/>
        <v>0</v>
      </c>
      <c r="S9" s="25"/>
      <c r="T9" s="24">
        <f t="shared" si="6"/>
        <v>0</v>
      </c>
      <c r="U9" s="24">
        <f t="shared" si="7"/>
        <v>0</v>
      </c>
      <c r="V9" s="24">
        <f t="shared" si="8"/>
        <v>0</v>
      </c>
      <c r="W9" s="24" t="e">
        <f t="shared" si="9"/>
        <v>#DIV/0!</v>
      </c>
      <c r="X9" s="25"/>
      <c r="Y9" s="3" t="e">
        <f t="shared" si="10"/>
        <v>#DIV/0!</v>
      </c>
      <c r="Z9" s="4">
        <f t="shared" si="11"/>
        <v>0</v>
      </c>
      <c r="AB9" s="26"/>
      <c r="AC9" s="7"/>
    </row>
    <row r="10" spans="1:31" x14ac:dyDescent="0.25">
      <c r="C10" s="20"/>
      <c r="E10" s="21"/>
      <c r="F10" s="50">
        <f t="shared" si="0"/>
        <v>0</v>
      </c>
      <c r="H10" s="54" t="e">
        <f t="shared" si="1"/>
        <v>#DIV/0!</v>
      </c>
      <c r="I10" s="50">
        <f t="shared" si="2"/>
        <v>0</v>
      </c>
      <c r="J10" s="21" t="e">
        <f t="shared" si="3"/>
        <v>#DIV/0!</v>
      </c>
      <c r="K10" s="23"/>
      <c r="M10" s="3" t="e">
        <f t="shared" si="4"/>
        <v>#DIV/0!</v>
      </c>
      <c r="P10" s="27"/>
      <c r="Q10" s="24"/>
      <c r="R10" s="25">
        <f t="shared" si="5"/>
        <v>0</v>
      </c>
      <c r="S10" s="25"/>
      <c r="T10" s="28">
        <f t="shared" si="6"/>
        <v>0</v>
      </c>
      <c r="U10" s="24">
        <f t="shared" si="7"/>
        <v>0</v>
      </c>
      <c r="V10" s="24">
        <f t="shared" si="8"/>
        <v>0</v>
      </c>
      <c r="W10" s="24" t="e">
        <f t="shared" si="9"/>
        <v>#DIV/0!</v>
      </c>
      <c r="X10" s="25"/>
      <c r="Y10" s="3" t="e">
        <f t="shared" si="10"/>
        <v>#DIV/0!</v>
      </c>
      <c r="Z10" s="4">
        <f t="shared" si="11"/>
        <v>0</v>
      </c>
      <c r="AB10" s="26"/>
      <c r="AC10" s="7"/>
    </row>
    <row r="11" spans="1:31" x14ac:dyDescent="0.25">
      <c r="C11" s="20"/>
      <c r="E11" s="21"/>
      <c r="F11" s="50">
        <f t="shared" si="0"/>
        <v>0</v>
      </c>
      <c r="H11" s="54" t="e">
        <f t="shared" si="1"/>
        <v>#DIV/0!</v>
      </c>
      <c r="I11" s="50">
        <f t="shared" si="2"/>
        <v>0</v>
      </c>
      <c r="J11" s="21" t="e">
        <f t="shared" si="3"/>
        <v>#DIV/0!</v>
      </c>
      <c r="K11" s="23"/>
      <c r="M11" s="3" t="e">
        <f t="shared" si="4"/>
        <v>#DIV/0!</v>
      </c>
      <c r="Q11" s="24"/>
      <c r="R11" s="25">
        <f t="shared" si="5"/>
        <v>0</v>
      </c>
      <c r="S11" s="25"/>
      <c r="T11" s="28">
        <f t="shared" si="6"/>
        <v>0</v>
      </c>
      <c r="U11" s="24">
        <f t="shared" si="7"/>
        <v>0</v>
      </c>
      <c r="V11" s="24">
        <f t="shared" si="8"/>
        <v>0</v>
      </c>
      <c r="W11" s="24" t="e">
        <f t="shared" si="9"/>
        <v>#DIV/0!</v>
      </c>
      <c r="X11" s="25"/>
      <c r="Y11" s="3" t="e">
        <f t="shared" si="10"/>
        <v>#DIV/0!</v>
      </c>
      <c r="Z11" s="4">
        <f t="shared" si="11"/>
        <v>0</v>
      </c>
      <c r="AB11" s="26"/>
      <c r="AC11" s="7"/>
    </row>
    <row r="12" spans="1:31" x14ac:dyDescent="0.25">
      <c r="A12" s="20" t="s">
        <v>44</v>
      </c>
      <c r="B12" s="20" t="s">
        <v>32</v>
      </c>
      <c r="C12" s="20" t="s">
        <v>45</v>
      </c>
      <c r="D12" s="44">
        <v>2778.4117999999999</v>
      </c>
      <c r="E12" s="21">
        <v>91.48</v>
      </c>
      <c r="F12" s="50">
        <f t="shared" si="0"/>
        <v>254169.11146399999</v>
      </c>
      <c r="G12" s="50">
        <v>254613.66</v>
      </c>
      <c r="H12" s="54">
        <f t="shared" si="1"/>
        <v>91.640000953062469</v>
      </c>
      <c r="I12" s="50">
        <f t="shared" si="2"/>
        <v>-444.54853600001661</v>
      </c>
      <c r="J12" s="21">
        <f t="shared" si="3"/>
        <v>-0.16000095306246465</v>
      </c>
      <c r="K12" s="23"/>
      <c r="M12" s="3">
        <f t="shared" si="4"/>
        <v>-1.7459728437194478E-3</v>
      </c>
      <c r="Q12" s="24"/>
      <c r="R12" s="25">
        <f t="shared" si="5"/>
        <v>0</v>
      </c>
      <c r="S12" s="25"/>
      <c r="T12" s="28">
        <f t="shared" si="6"/>
        <v>0</v>
      </c>
      <c r="U12" s="28">
        <f t="shared" si="7"/>
        <v>0</v>
      </c>
      <c r="V12" s="24">
        <f t="shared" si="8"/>
        <v>0</v>
      </c>
      <c r="W12" s="24">
        <f t="shared" si="9"/>
        <v>85.225200886348091</v>
      </c>
      <c r="X12" s="25"/>
      <c r="Y12" s="3">
        <f t="shared" si="10"/>
        <v>-1</v>
      </c>
      <c r="Z12" s="4">
        <f t="shared" si="11"/>
        <v>0.49857523031660039</v>
      </c>
      <c r="AB12" s="26"/>
      <c r="AC12" s="7"/>
    </row>
    <row r="13" spans="1:31" x14ac:dyDescent="0.25">
      <c r="A13" t="s">
        <v>42</v>
      </c>
      <c r="B13" t="s">
        <v>32</v>
      </c>
      <c r="C13" s="20" t="s">
        <v>43</v>
      </c>
      <c r="D13" s="44">
        <v>511.29180000000002</v>
      </c>
      <c r="E13" s="21">
        <v>18.82</v>
      </c>
      <c r="F13" s="50">
        <f t="shared" si="0"/>
        <v>9622.5116760000001</v>
      </c>
      <c r="G13" s="50">
        <v>24797.66</v>
      </c>
      <c r="H13" s="54">
        <f t="shared" si="1"/>
        <v>48.500015059893386</v>
      </c>
      <c r="I13" s="50">
        <f t="shared" si="2"/>
        <v>-15175.148324</v>
      </c>
      <c r="J13" s="21">
        <f t="shared" si="3"/>
        <v>-29.680015059893385</v>
      </c>
      <c r="K13" s="23"/>
      <c r="M13" s="3">
        <f t="shared" si="4"/>
        <v>-0.61195888337851234</v>
      </c>
      <c r="P13" s="27"/>
      <c r="Q13" s="24"/>
      <c r="R13" s="25">
        <f t="shared" si="5"/>
        <v>0</v>
      </c>
      <c r="S13" s="25"/>
      <c r="T13" s="24">
        <f t="shared" si="6"/>
        <v>0</v>
      </c>
      <c r="U13" s="24">
        <f t="shared" si="7"/>
        <v>0</v>
      </c>
      <c r="V13" s="24">
        <f t="shared" si="8"/>
        <v>0</v>
      </c>
      <c r="W13" s="24">
        <f t="shared" si="9"/>
        <v>45.105014005700852</v>
      </c>
      <c r="X13" s="25"/>
      <c r="Y13" s="3">
        <f t="shared" si="10"/>
        <v>-1</v>
      </c>
      <c r="Z13" s="4">
        <f t="shared" si="11"/>
        <v>1.8875409161452694E-2</v>
      </c>
      <c r="AB13" s="26"/>
      <c r="AC13" s="7"/>
    </row>
    <row r="14" spans="1:31" x14ac:dyDescent="0.25">
      <c r="A14" s="31"/>
      <c r="B14" s="31"/>
      <c r="C14" s="31"/>
      <c r="D14" s="47"/>
      <c r="E14" s="32"/>
      <c r="F14" s="53">
        <f t="shared" si="0"/>
        <v>0</v>
      </c>
      <c r="G14" s="53"/>
      <c r="H14" s="59" t="e">
        <f t="shared" si="1"/>
        <v>#DIV/0!</v>
      </c>
      <c r="I14" s="53">
        <f t="shared" si="2"/>
        <v>0</v>
      </c>
      <c r="J14" s="32" t="e">
        <f t="shared" si="3"/>
        <v>#DIV/0!</v>
      </c>
      <c r="K14" s="34"/>
      <c r="L14" s="31">
        <f t="shared" ref="L14" si="12">DAYS360(K14,$C$1)</f>
        <v>44583</v>
      </c>
      <c r="M14" s="35" t="e">
        <f t="shared" si="4"/>
        <v>#DIV/0!</v>
      </c>
      <c r="N14" s="31"/>
      <c r="O14" s="31"/>
      <c r="P14" s="31"/>
      <c r="Q14" s="36"/>
      <c r="R14" s="37">
        <f t="shared" si="5"/>
        <v>0</v>
      </c>
      <c r="S14" s="37"/>
      <c r="T14" s="36">
        <f t="shared" si="6"/>
        <v>0</v>
      </c>
      <c r="U14" s="36">
        <f t="shared" si="7"/>
        <v>0</v>
      </c>
      <c r="V14" s="36">
        <f t="shared" si="8"/>
        <v>0</v>
      </c>
      <c r="W14" s="36" t="e">
        <f t="shared" si="9"/>
        <v>#DIV/0!</v>
      </c>
      <c r="X14" s="37"/>
      <c r="Y14" s="35" t="e">
        <f t="shared" si="10"/>
        <v>#DIV/0!</v>
      </c>
      <c r="Z14" s="38">
        <f t="shared" si="11"/>
        <v>0</v>
      </c>
      <c r="AB14" s="39"/>
      <c r="AC14" s="7"/>
    </row>
    <row r="15" spans="1:31" x14ac:dyDescent="0.25">
      <c r="A15" t="s">
        <v>33</v>
      </c>
      <c r="F15" s="50">
        <f>SUM(F6:F14)</f>
        <v>358140.89214399998</v>
      </c>
      <c r="G15" s="50">
        <f>SUM(G6:G14)</f>
        <v>361671.13999999996</v>
      </c>
      <c r="H15" s="54"/>
      <c r="I15" s="50">
        <f>SUM(I6:I14)</f>
        <v>-3530.2478560000218</v>
      </c>
      <c r="M15" s="3"/>
      <c r="Z15" s="4"/>
    </row>
    <row r="16" spans="1:31" x14ac:dyDescent="0.25">
      <c r="D16" s="44" t="s">
        <v>34</v>
      </c>
      <c r="F16" s="50">
        <v>151650</v>
      </c>
      <c r="G16" s="4">
        <f>F16/F17</f>
        <v>0.29747491047204433</v>
      </c>
      <c r="H16" s="54"/>
      <c r="M16" s="3"/>
      <c r="Z16" s="4"/>
    </row>
    <row r="17" spans="1:26" x14ac:dyDescent="0.25">
      <c r="D17" s="44" t="s">
        <v>35</v>
      </c>
      <c r="F17" s="50">
        <f>SUM(F15:F16)</f>
        <v>509790.89214399998</v>
      </c>
      <c r="H17" s="60"/>
      <c r="M17" s="3"/>
      <c r="Z17" s="4"/>
    </row>
    <row r="18" spans="1:26" x14ac:dyDescent="0.25">
      <c r="F18" s="54"/>
      <c r="H18" s="60" t="s">
        <v>37</v>
      </c>
      <c r="I18" s="50">
        <f>'10-27-23'!F17</f>
        <v>510908.14329400001</v>
      </c>
      <c r="K18" s="1">
        <v>45107</v>
      </c>
      <c r="L18" s="64">
        <v>509801</v>
      </c>
      <c r="M18" s="3"/>
      <c r="Z18" s="4"/>
    </row>
    <row r="19" spans="1:26" x14ac:dyDescent="0.25">
      <c r="F19" s="55"/>
      <c r="G19" s="58"/>
      <c r="H19" s="54" t="s">
        <v>39</v>
      </c>
      <c r="I19" s="4">
        <f>(F17-I18)/I18</f>
        <v>-2.1867945631023301E-3</v>
      </c>
      <c r="K19" s="7" t="s">
        <v>73</v>
      </c>
      <c r="L19" s="4">
        <f>(F17-L18)/L18</f>
        <v>-1.9827061932041931E-5</v>
      </c>
      <c r="Z19" s="4"/>
    </row>
    <row r="21" spans="1:26" x14ac:dyDescent="0.25">
      <c r="D21" s="7"/>
      <c r="E21" s="7"/>
      <c r="F21" s="56"/>
      <c r="I21" s="51"/>
      <c r="J21" s="7"/>
      <c r="K21" s="7"/>
      <c r="L21" s="7"/>
      <c r="M21" s="9" t="s">
        <v>46</v>
      </c>
    </row>
    <row r="22" spans="1:26" x14ac:dyDescent="0.25">
      <c r="A22" s="49" t="s">
        <v>54</v>
      </c>
      <c r="D22" s="19" t="s">
        <v>17</v>
      </c>
      <c r="E22" s="19" t="s">
        <v>47</v>
      </c>
      <c r="F22" s="57" t="s">
        <v>48</v>
      </c>
      <c r="G22" s="57" t="s">
        <v>50</v>
      </c>
      <c r="H22" s="57" t="s">
        <v>49</v>
      </c>
      <c r="I22" s="57" t="s">
        <v>51</v>
      </c>
      <c r="J22" s="19" t="s">
        <v>12</v>
      </c>
      <c r="K22" s="19" t="s">
        <v>22</v>
      </c>
      <c r="L22" s="19" t="s">
        <v>52</v>
      </c>
      <c r="M22" s="19" t="s">
        <v>53</v>
      </c>
      <c r="N22" s="1"/>
      <c r="P22" s="7" t="s">
        <v>55</v>
      </c>
    </row>
    <row r="23" spans="1:26" x14ac:dyDescent="0.25">
      <c r="J23" s="3"/>
    </row>
    <row r="24" spans="1:26" x14ac:dyDescent="0.25">
      <c r="A24" t="s">
        <v>60</v>
      </c>
      <c r="B24" t="s">
        <v>32</v>
      </c>
      <c r="C24" s="20" t="s">
        <v>61</v>
      </c>
      <c r="D24" s="44">
        <v>665.97389999999996</v>
      </c>
      <c r="E24" s="50">
        <f t="shared" ref="E24:E32" si="13">F24/D24</f>
        <v>76.621621357834002</v>
      </c>
      <c r="F24" s="50">
        <v>51028</v>
      </c>
      <c r="G24" s="50">
        <v>45324.79</v>
      </c>
      <c r="H24" s="50">
        <f t="shared" ref="H24:H32" si="14">G24/D24</f>
        <v>68.057907374448163</v>
      </c>
      <c r="I24" s="50">
        <f t="shared" ref="I24:I32" si="15">G24-F24</f>
        <v>-5703.2099999999991</v>
      </c>
      <c r="J24" s="3">
        <f t="shared" ref="J24:J32" si="16">I24/F24</f>
        <v>-0.11176628517676568</v>
      </c>
      <c r="K24" s="61">
        <v>45106</v>
      </c>
      <c r="L24" s="61">
        <v>45132</v>
      </c>
      <c r="M24">
        <f t="shared" ref="M24:M32" si="17">DAYS360(K24,L24)</f>
        <v>26</v>
      </c>
      <c r="O24" t="s">
        <v>66</v>
      </c>
    </row>
    <row r="25" spans="1:26" x14ac:dyDescent="0.25">
      <c r="A25" t="s">
        <v>40</v>
      </c>
      <c r="B25" t="s">
        <v>32</v>
      </c>
      <c r="C25" s="20" t="s">
        <v>41</v>
      </c>
      <c r="D25" s="44">
        <v>123.3931</v>
      </c>
      <c r="E25" s="50">
        <f t="shared" si="13"/>
        <v>413.24004340599271</v>
      </c>
      <c r="F25" s="50">
        <v>50990.97</v>
      </c>
      <c r="G25" s="50">
        <v>48894.94</v>
      </c>
      <c r="H25" s="50">
        <f t="shared" si="14"/>
        <v>396.25343718570974</v>
      </c>
      <c r="I25" s="50">
        <f t="shared" si="15"/>
        <v>-2096.0299999999988</v>
      </c>
      <c r="J25" s="3">
        <f t="shared" si="16"/>
        <v>-4.1105905614268544E-2</v>
      </c>
      <c r="K25" s="61">
        <v>45104</v>
      </c>
      <c r="L25" s="61">
        <v>45138</v>
      </c>
      <c r="M25">
        <f t="shared" si="17"/>
        <v>34</v>
      </c>
      <c r="O25" t="s">
        <v>69</v>
      </c>
    </row>
    <row r="26" spans="1:26" x14ac:dyDescent="0.25">
      <c r="A26" t="s">
        <v>56</v>
      </c>
      <c r="B26" t="s">
        <v>32</v>
      </c>
      <c r="C26" s="20" t="s">
        <v>57</v>
      </c>
      <c r="D26" s="44">
        <v>278.20080000000002</v>
      </c>
      <c r="E26" s="50">
        <f t="shared" si="13"/>
        <v>128.41001895034088</v>
      </c>
      <c r="F26" s="50">
        <v>35723.769999999997</v>
      </c>
      <c r="G26" s="50">
        <v>34855.72</v>
      </c>
      <c r="H26" s="50">
        <f t="shared" si="14"/>
        <v>125.28979068356381</v>
      </c>
      <c r="I26" s="50">
        <f t="shared" si="15"/>
        <v>-868.04999999999563</v>
      </c>
      <c r="J26" s="3">
        <f t="shared" si="16"/>
        <v>-2.4298947171588994E-2</v>
      </c>
      <c r="K26" s="61">
        <v>45106</v>
      </c>
      <c r="L26" s="61">
        <v>45138</v>
      </c>
      <c r="M26">
        <f t="shared" si="17"/>
        <v>32</v>
      </c>
      <c r="O26" t="s">
        <v>71</v>
      </c>
    </row>
    <row r="27" spans="1:26" x14ac:dyDescent="0.25">
      <c r="A27" t="s">
        <v>82</v>
      </c>
      <c r="B27" t="s">
        <v>32</v>
      </c>
      <c r="C27" s="20" t="s">
        <v>83</v>
      </c>
      <c r="D27" s="44">
        <v>1007.1459</v>
      </c>
      <c r="E27" s="50">
        <f t="shared" si="13"/>
        <v>20.954908320631599</v>
      </c>
      <c r="F27" s="50">
        <v>21104.65</v>
      </c>
      <c r="G27" s="50">
        <v>18099.32</v>
      </c>
      <c r="H27" s="50">
        <f t="shared" si="14"/>
        <v>17.970901733303982</v>
      </c>
      <c r="I27" s="50">
        <f t="shared" si="15"/>
        <v>-3005.3300000000017</v>
      </c>
      <c r="J27" s="3">
        <f t="shared" si="16"/>
        <v>-0.14240131914056861</v>
      </c>
      <c r="K27" s="61">
        <v>45181</v>
      </c>
      <c r="L27" s="61">
        <v>45183</v>
      </c>
      <c r="M27">
        <f t="shared" si="17"/>
        <v>2</v>
      </c>
      <c r="O27" t="s">
        <v>84</v>
      </c>
    </row>
    <row r="28" spans="1:26" x14ac:dyDescent="0.25">
      <c r="A28" t="s">
        <v>63</v>
      </c>
      <c r="B28" t="s">
        <v>32</v>
      </c>
      <c r="C28" s="20" t="s">
        <v>64</v>
      </c>
      <c r="D28" s="44">
        <v>115.8536</v>
      </c>
      <c r="E28" s="50">
        <f t="shared" si="13"/>
        <v>442.16001919664131</v>
      </c>
      <c r="F28" s="50">
        <v>51225.83</v>
      </c>
      <c r="G28" s="50">
        <v>52055.28</v>
      </c>
      <c r="H28" s="50">
        <f t="shared" si="14"/>
        <v>449.31948597195077</v>
      </c>
      <c r="I28" s="50">
        <f t="shared" si="15"/>
        <v>829.44999999999709</v>
      </c>
      <c r="J28" s="3">
        <f t="shared" si="16"/>
        <v>1.6192026561599824E-2</v>
      </c>
      <c r="K28" s="61">
        <v>45117</v>
      </c>
      <c r="L28" s="61">
        <v>45184</v>
      </c>
      <c r="M28" s="63">
        <f t="shared" si="17"/>
        <v>65</v>
      </c>
      <c r="O28" t="s">
        <v>86</v>
      </c>
    </row>
    <row r="29" spans="1:26" x14ac:dyDescent="0.25">
      <c r="A29" t="s">
        <v>79</v>
      </c>
      <c r="B29" t="s">
        <v>32</v>
      </c>
      <c r="C29" s="20" t="s">
        <v>80</v>
      </c>
      <c r="D29" s="44">
        <v>507.0754</v>
      </c>
      <c r="E29" s="50">
        <f t="shared" si="13"/>
        <v>81.153611474743201</v>
      </c>
      <c r="F29" s="50">
        <v>41151</v>
      </c>
      <c r="G29" s="50">
        <v>38871.01</v>
      </c>
      <c r="H29" s="50">
        <f t="shared" si="14"/>
        <v>76.657258466886788</v>
      </c>
      <c r="I29" s="50">
        <f t="shared" si="15"/>
        <v>-2279.989999999998</v>
      </c>
      <c r="J29" s="3">
        <f t="shared" si="16"/>
        <v>-5.5405457947558939E-2</v>
      </c>
      <c r="K29" s="61">
        <v>45167</v>
      </c>
      <c r="L29" s="61">
        <v>45216</v>
      </c>
      <c r="M29" s="63">
        <f t="shared" si="17"/>
        <v>48</v>
      </c>
      <c r="O29" t="s">
        <v>95</v>
      </c>
    </row>
    <row r="30" spans="1:26" x14ac:dyDescent="0.25">
      <c r="A30" t="s">
        <v>90</v>
      </c>
      <c r="B30" t="s">
        <v>32</v>
      </c>
      <c r="C30" s="20" t="s">
        <v>91</v>
      </c>
      <c r="D30" s="44">
        <v>306.1703</v>
      </c>
      <c r="E30" s="50">
        <f t="shared" si="13"/>
        <v>170.32671033081917</v>
      </c>
      <c r="F30" s="50">
        <v>52148.98</v>
      </c>
      <c r="G30" s="50">
        <v>49351.519999999997</v>
      </c>
      <c r="H30" s="50">
        <f t="shared" si="14"/>
        <v>161.18976922320681</v>
      </c>
      <c r="I30" s="50">
        <f t="shared" si="15"/>
        <v>-2797.4600000000064</v>
      </c>
      <c r="J30" s="3">
        <f t="shared" si="16"/>
        <v>-5.3643618724661654E-2</v>
      </c>
      <c r="K30" s="61">
        <v>45208</v>
      </c>
      <c r="L30" s="61">
        <v>45219</v>
      </c>
      <c r="M30" s="63">
        <f t="shared" si="17"/>
        <v>11</v>
      </c>
      <c r="O30" t="s">
        <v>93</v>
      </c>
    </row>
    <row r="31" spans="1:26" x14ac:dyDescent="0.25">
      <c r="A31" t="s">
        <v>87</v>
      </c>
      <c r="B31" t="s">
        <v>32</v>
      </c>
      <c r="C31" s="20" t="s">
        <v>88</v>
      </c>
      <c r="D31" s="44">
        <v>239.91579999999999</v>
      </c>
      <c r="E31" s="50">
        <f t="shared" si="13"/>
        <v>173.89088171766929</v>
      </c>
      <c r="F31" s="50">
        <v>41719.17</v>
      </c>
      <c r="G31" s="50">
        <v>36026.28</v>
      </c>
      <c r="H31" s="50">
        <f t="shared" si="14"/>
        <v>150.16218189881616</v>
      </c>
      <c r="I31" s="50">
        <f t="shared" si="15"/>
        <v>-5692.8899999999994</v>
      </c>
      <c r="J31" s="3">
        <f t="shared" si="16"/>
        <v>-0.13645741274335035</v>
      </c>
      <c r="K31" s="61">
        <v>45208</v>
      </c>
      <c r="L31" s="61">
        <v>45219</v>
      </c>
      <c r="M31" s="63">
        <f t="shared" si="17"/>
        <v>11</v>
      </c>
      <c r="O31" t="s">
        <v>94</v>
      </c>
    </row>
    <row r="32" spans="1:26" x14ac:dyDescent="0.25">
      <c r="A32" t="s">
        <v>74</v>
      </c>
      <c r="B32" t="s">
        <v>32</v>
      </c>
      <c r="C32" s="20" t="s">
        <v>75</v>
      </c>
      <c r="D32" s="44">
        <v>266.87329999999997</v>
      </c>
      <c r="E32" s="50">
        <f t="shared" si="13"/>
        <v>151.47948483418912</v>
      </c>
      <c r="F32" s="50">
        <v>40425.83</v>
      </c>
      <c r="G32" s="50">
        <v>40616.769999999997</v>
      </c>
      <c r="H32" s="50">
        <f t="shared" si="14"/>
        <v>152.19495543390815</v>
      </c>
      <c r="I32" s="50">
        <f t="shared" si="15"/>
        <v>190.93999999999505</v>
      </c>
      <c r="J32" s="3">
        <f t="shared" si="16"/>
        <v>4.7232178040622803E-3</v>
      </c>
      <c r="K32" s="61">
        <v>45153</v>
      </c>
      <c r="L32" s="61">
        <v>45224</v>
      </c>
      <c r="M32" s="63">
        <f t="shared" si="17"/>
        <v>70</v>
      </c>
      <c r="O32" t="s">
        <v>96</v>
      </c>
    </row>
    <row r="33" spans="8:10" x14ac:dyDescent="0.25">
      <c r="I33" s="50">
        <f>SUM(I24:I32)</f>
        <v>-21422.570000000007</v>
      </c>
      <c r="J33" s="9" t="s">
        <v>78</v>
      </c>
    </row>
    <row r="34" spans="8:10" x14ac:dyDescent="0.25">
      <c r="H34" s="50" t="s">
        <v>77</v>
      </c>
      <c r="I34" s="62">
        <v>7</v>
      </c>
      <c r="J34" s="3">
        <v>-8.0799999999999997E-2</v>
      </c>
    </row>
    <row r="35" spans="8:10" x14ac:dyDescent="0.25">
      <c r="H35" s="50" t="s">
        <v>85</v>
      </c>
      <c r="I35" s="62">
        <v>2</v>
      </c>
      <c r="J35" s="3">
        <v>1.0500000000000001E-2</v>
      </c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2987-3EBB-4C0D-9E0D-81A64A23943E}">
  <dimension ref="A1:AE188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45240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25.78</v>
      </c>
      <c r="F7" s="50">
        <f t="shared" ref="F7:F14" si="0">E7*D7</f>
        <v>51982.498108</v>
      </c>
      <c r="G7" s="50">
        <f>25318.9+15999</f>
        <v>41317.9</v>
      </c>
      <c r="H7" s="54">
        <f t="shared" ref="H7:H14" si="1">G7/D7</f>
        <v>20.491040268725982</v>
      </c>
      <c r="I7" s="50">
        <f t="shared" ref="I7:I14" si="2">F7-G7</f>
        <v>10664.598107999998</v>
      </c>
      <c r="J7" s="21">
        <f t="shared" ref="J7:J14" si="3">E7-H7</f>
        <v>5.2889597312740193</v>
      </c>
      <c r="K7" s="23">
        <v>45135</v>
      </c>
      <c r="L7">
        <f>DAYS360(K7,$C$1)</f>
        <v>102</v>
      </c>
      <c r="M7" s="3">
        <f t="shared" ref="M7:M14" si="4">(I7/G7)</f>
        <v>0.25811084561412845</v>
      </c>
      <c r="N7">
        <v>159</v>
      </c>
      <c r="O7">
        <v>99</v>
      </c>
      <c r="P7">
        <v>99</v>
      </c>
      <c r="Q7" s="24">
        <v>19.48</v>
      </c>
      <c r="R7" s="25">
        <f t="shared" ref="R7:R14" si="5">Q7*0.93</f>
        <v>18.116400000000002</v>
      </c>
      <c r="S7" s="25">
        <v>23.61</v>
      </c>
      <c r="T7" s="28">
        <f t="shared" ref="T7:T14" si="6">Q7*1.25</f>
        <v>24.35</v>
      </c>
      <c r="U7" s="24">
        <f t="shared" ref="U7:U14" si="7">Q7*1.5</f>
        <v>29.22</v>
      </c>
      <c r="V7" s="24">
        <f t="shared" ref="V7:V14" si="8">Q7*2</f>
        <v>38.96</v>
      </c>
      <c r="W7" s="24">
        <f t="shared" ref="W7:W14" si="9">H7-(H7*0.07)</f>
        <v>19.056667449915164</v>
      </c>
      <c r="X7" s="25">
        <v>26</v>
      </c>
      <c r="Y7" s="3">
        <f t="shared" ref="Y7:Y14" si="10">(X7-H7)/H7</f>
        <v>0.26884724538275157</v>
      </c>
      <c r="Z7" s="29">
        <f t="shared" ref="Z7:Z14" si="11">F7/F$17</f>
        <v>0.10271524016349602</v>
      </c>
      <c r="AA7" s="7"/>
      <c r="AB7" s="26">
        <v>45251</v>
      </c>
      <c r="AC7" s="7">
        <v>97</v>
      </c>
      <c r="AD7" t="s">
        <v>72</v>
      </c>
    </row>
    <row r="8" spans="1:31" x14ac:dyDescent="0.25">
      <c r="A8" t="s">
        <v>97</v>
      </c>
      <c r="B8" t="s">
        <v>32</v>
      </c>
      <c r="C8" s="20" t="s">
        <v>98</v>
      </c>
      <c r="D8" s="44">
        <v>1166.9349999999999</v>
      </c>
      <c r="E8" s="21">
        <v>34.65</v>
      </c>
      <c r="F8" s="50">
        <f t="shared" si="0"/>
        <v>40434.297749999998</v>
      </c>
      <c r="G8" s="50">
        <v>40941.919999999998</v>
      </c>
      <c r="H8" s="54">
        <f t="shared" si="1"/>
        <v>35.085004734625322</v>
      </c>
      <c r="I8" s="50">
        <f t="shared" si="2"/>
        <v>-507.62225000000035</v>
      </c>
      <c r="J8" s="21">
        <f t="shared" si="3"/>
        <v>-0.43500473462532341</v>
      </c>
      <c r="K8" s="23">
        <v>45233</v>
      </c>
      <c r="L8">
        <f>DAYS360(K8,$C$1)</f>
        <v>7</v>
      </c>
      <c r="M8" s="3">
        <f t="shared" si="4"/>
        <v>-1.2398594154841795E-2</v>
      </c>
      <c r="N8">
        <v>55</v>
      </c>
      <c r="O8">
        <v>86</v>
      </c>
      <c r="P8" s="27">
        <v>68</v>
      </c>
      <c r="Q8" s="24">
        <v>34.200000000000003</v>
      </c>
      <c r="R8" s="25">
        <f t="shared" si="5"/>
        <v>31.806000000000004</v>
      </c>
      <c r="S8" s="25">
        <v>31.07</v>
      </c>
      <c r="T8" s="28">
        <f t="shared" si="6"/>
        <v>42.75</v>
      </c>
      <c r="U8" s="24">
        <f t="shared" si="7"/>
        <v>51.300000000000004</v>
      </c>
      <c r="V8" s="24">
        <f t="shared" si="8"/>
        <v>68.400000000000006</v>
      </c>
      <c r="W8" s="24">
        <f t="shared" si="9"/>
        <v>32.62905440320155</v>
      </c>
      <c r="X8" s="25">
        <v>32.75</v>
      </c>
      <c r="Y8" s="3">
        <f t="shared" si="10"/>
        <v>-6.655278379714484E-2</v>
      </c>
      <c r="Z8" s="4">
        <f t="shared" si="11"/>
        <v>7.9896479688312344E-2</v>
      </c>
      <c r="AB8" s="26">
        <v>45343</v>
      </c>
      <c r="AC8" s="7">
        <v>92</v>
      </c>
      <c r="AD8" t="s">
        <v>101</v>
      </c>
    </row>
    <row r="9" spans="1:31" x14ac:dyDescent="0.25">
      <c r="A9" t="s">
        <v>99</v>
      </c>
      <c r="B9" t="s">
        <v>32</v>
      </c>
      <c r="C9" s="20" t="s">
        <v>100</v>
      </c>
      <c r="D9" s="44">
        <v>267.84309999999999</v>
      </c>
      <c r="E9" s="21">
        <v>217.94</v>
      </c>
      <c r="F9" s="50">
        <f t="shared" si="0"/>
        <v>58373.725213999998</v>
      </c>
      <c r="G9" s="50">
        <v>61166.239999999998</v>
      </c>
      <c r="H9" s="54">
        <f t="shared" si="1"/>
        <v>228.36593513142583</v>
      </c>
      <c r="I9" s="50">
        <f t="shared" si="2"/>
        <v>-2792.5147859999997</v>
      </c>
      <c r="J9" s="21">
        <f t="shared" si="3"/>
        <v>-10.425935131425831</v>
      </c>
      <c r="K9" s="23">
        <v>45238</v>
      </c>
      <c r="L9">
        <f>DAYS360(K9,$C$1)</f>
        <v>2</v>
      </c>
      <c r="M9" s="3">
        <f t="shared" si="4"/>
        <v>-4.5654511148633621E-2</v>
      </c>
      <c r="N9">
        <v>74</v>
      </c>
      <c r="O9">
        <v>88</v>
      </c>
      <c r="P9">
        <v>99</v>
      </c>
      <c r="Q9" s="24">
        <v>223.3</v>
      </c>
      <c r="R9" s="25">
        <f t="shared" si="5"/>
        <v>207.66900000000001</v>
      </c>
      <c r="S9" s="25">
        <v>199.29</v>
      </c>
      <c r="T9" s="24">
        <f t="shared" si="6"/>
        <v>279.125</v>
      </c>
      <c r="U9" s="24">
        <f t="shared" si="7"/>
        <v>334.95000000000005</v>
      </c>
      <c r="V9" s="24">
        <f t="shared" si="8"/>
        <v>446.6</v>
      </c>
      <c r="W9" s="24">
        <f t="shared" si="9"/>
        <v>212.38031967222602</v>
      </c>
      <c r="X9" s="25">
        <v>212</v>
      </c>
      <c r="Y9" s="3">
        <f t="shared" si="10"/>
        <v>-7.1665395813115235E-2</v>
      </c>
      <c r="Z9" s="4">
        <f t="shared" si="11"/>
        <v>0.11534403737459437</v>
      </c>
      <c r="AB9" s="26">
        <v>45349</v>
      </c>
      <c r="AC9" s="7">
        <v>99</v>
      </c>
      <c r="AD9" t="s">
        <v>102</v>
      </c>
    </row>
    <row r="10" spans="1:31" x14ac:dyDescent="0.25">
      <c r="C10" s="20"/>
      <c r="E10" s="21"/>
      <c r="F10" s="50">
        <f t="shared" si="0"/>
        <v>0</v>
      </c>
      <c r="H10" s="54" t="e">
        <f t="shared" si="1"/>
        <v>#DIV/0!</v>
      </c>
      <c r="I10" s="50">
        <f t="shared" si="2"/>
        <v>0</v>
      </c>
      <c r="J10" s="21" t="e">
        <f t="shared" si="3"/>
        <v>#DIV/0!</v>
      </c>
      <c r="K10" s="23"/>
      <c r="M10" s="3" t="e">
        <f t="shared" si="4"/>
        <v>#DIV/0!</v>
      </c>
      <c r="P10" s="27"/>
      <c r="Q10" s="24"/>
      <c r="R10" s="25">
        <f t="shared" si="5"/>
        <v>0</v>
      </c>
      <c r="S10" s="25"/>
      <c r="T10" s="28">
        <f t="shared" si="6"/>
        <v>0</v>
      </c>
      <c r="U10" s="24">
        <f t="shared" si="7"/>
        <v>0</v>
      </c>
      <c r="V10" s="24">
        <f t="shared" si="8"/>
        <v>0</v>
      </c>
      <c r="W10" s="24" t="e">
        <f t="shared" si="9"/>
        <v>#DIV/0!</v>
      </c>
      <c r="X10" s="25"/>
      <c r="Y10" s="3" t="e">
        <f t="shared" si="10"/>
        <v>#DIV/0!</v>
      </c>
      <c r="Z10" s="4">
        <f t="shared" si="11"/>
        <v>0</v>
      </c>
      <c r="AB10" s="26"/>
      <c r="AC10" s="7"/>
    </row>
    <row r="11" spans="1:31" x14ac:dyDescent="0.25">
      <c r="C11" s="20"/>
      <c r="E11" s="21"/>
      <c r="F11" s="50">
        <f t="shared" si="0"/>
        <v>0</v>
      </c>
      <c r="H11" s="54" t="e">
        <f t="shared" si="1"/>
        <v>#DIV/0!</v>
      </c>
      <c r="I11" s="50">
        <f t="shared" si="2"/>
        <v>0</v>
      </c>
      <c r="J11" s="21" t="e">
        <f t="shared" si="3"/>
        <v>#DIV/0!</v>
      </c>
      <c r="K11" s="23"/>
      <c r="M11" s="3" t="e">
        <f t="shared" si="4"/>
        <v>#DIV/0!</v>
      </c>
      <c r="Q11" s="24"/>
      <c r="R11" s="25">
        <f t="shared" si="5"/>
        <v>0</v>
      </c>
      <c r="S11" s="25"/>
      <c r="T11" s="28">
        <f t="shared" si="6"/>
        <v>0</v>
      </c>
      <c r="U11" s="24">
        <f t="shared" si="7"/>
        <v>0</v>
      </c>
      <c r="V11" s="24">
        <f t="shared" si="8"/>
        <v>0</v>
      </c>
      <c r="W11" s="24" t="e">
        <f t="shared" si="9"/>
        <v>#DIV/0!</v>
      </c>
      <c r="X11" s="25"/>
      <c r="Y11" s="3" t="e">
        <f t="shared" si="10"/>
        <v>#DIV/0!</v>
      </c>
      <c r="Z11" s="4">
        <f t="shared" si="11"/>
        <v>0</v>
      </c>
      <c r="AB11" s="26"/>
      <c r="AC11" s="7"/>
    </row>
    <row r="12" spans="1:31" x14ac:dyDescent="0.25">
      <c r="A12" s="20" t="s">
        <v>44</v>
      </c>
      <c r="B12" s="20" t="s">
        <v>32</v>
      </c>
      <c r="C12" s="20" t="s">
        <v>45</v>
      </c>
      <c r="D12" s="44">
        <v>2778.4117999999999</v>
      </c>
      <c r="E12" s="21">
        <v>91.58</v>
      </c>
      <c r="F12" s="50">
        <f t="shared" si="0"/>
        <v>254446.95264399998</v>
      </c>
      <c r="G12" s="50">
        <v>254613.66</v>
      </c>
      <c r="H12" s="54">
        <f t="shared" si="1"/>
        <v>91.640000953062469</v>
      </c>
      <c r="I12" s="50">
        <f t="shared" si="2"/>
        <v>-166.70735600002808</v>
      </c>
      <c r="J12" s="21">
        <f t="shared" si="3"/>
        <v>-6.000095306247033E-2</v>
      </c>
      <c r="K12" s="23"/>
      <c r="M12" s="3">
        <f t="shared" si="4"/>
        <v>-6.5474631643890622E-4</v>
      </c>
      <c r="Q12" s="24"/>
      <c r="R12" s="25">
        <f t="shared" si="5"/>
        <v>0</v>
      </c>
      <c r="S12" s="25"/>
      <c r="T12" s="28">
        <f t="shared" si="6"/>
        <v>0</v>
      </c>
      <c r="U12" s="28">
        <f t="shared" si="7"/>
        <v>0</v>
      </c>
      <c r="V12" s="24">
        <f t="shared" si="8"/>
        <v>0</v>
      </c>
      <c r="W12" s="24">
        <f t="shared" si="9"/>
        <v>85.225200886348091</v>
      </c>
      <c r="X12" s="25"/>
      <c r="Y12" s="3">
        <f t="shared" si="10"/>
        <v>-1</v>
      </c>
      <c r="Z12" s="4">
        <f t="shared" si="11"/>
        <v>0.50277652673402295</v>
      </c>
      <c r="AB12" s="26"/>
      <c r="AC12" s="7"/>
    </row>
    <row r="13" spans="1:31" x14ac:dyDescent="0.25">
      <c r="A13" t="s">
        <v>42</v>
      </c>
      <c r="B13" t="s">
        <v>32</v>
      </c>
      <c r="C13" s="20" t="s">
        <v>43</v>
      </c>
      <c r="D13" s="44">
        <v>511.29180000000002</v>
      </c>
      <c r="E13" s="21">
        <v>17.28</v>
      </c>
      <c r="F13" s="50">
        <f t="shared" si="0"/>
        <v>8835.1223040000004</v>
      </c>
      <c r="G13" s="50">
        <v>24797.66</v>
      </c>
      <c r="H13" s="54">
        <f t="shared" si="1"/>
        <v>48.500015059893386</v>
      </c>
      <c r="I13" s="50">
        <f t="shared" si="2"/>
        <v>-15962.537695999999</v>
      </c>
      <c r="J13" s="21">
        <f t="shared" si="3"/>
        <v>-31.220015059893385</v>
      </c>
      <c r="K13" s="23"/>
      <c r="M13" s="3">
        <f t="shared" si="4"/>
        <v>-0.64371145083850656</v>
      </c>
      <c r="P13" s="27"/>
      <c r="Q13" s="24"/>
      <c r="R13" s="25">
        <f t="shared" si="5"/>
        <v>0</v>
      </c>
      <c r="S13" s="25"/>
      <c r="T13" s="24">
        <f t="shared" si="6"/>
        <v>0</v>
      </c>
      <c r="U13" s="24">
        <f t="shared" si="7"/>
        <v>0</v>
      </c>
      <c r="V13" s="24">
        <f t="shared" si="8"/>
        <v>0</v>
      </c>
      <c r="W13" s="24">
        <f t="shared" si="9"/>
        <v>45.105014005700852</v>
      </c>
      <c r="X13" s="25"/>
      <c r="Y13" s="3">
        <f t="shared" si="10"/>
        <v>-1</v>
      </c>
      <c r="Z13" s="4">
        <f t="shared" si="11"/>
        <v>1.7457831815696399E-2</v>
      </c>
      <c r="AB13" s="26"/>
      <c r="AC13" s="7"/>
    </row>
    <row r="14" spans="1:31" x14ac:dyDescent="0.25">
      <c r="A14" s="31"/>
      <c r="B14" s="31"/>
      <c r="C14" s="31"/>
      <c r="D14" s="47"/>
      <c r="E14" s="32"/>
      <c r="F14" s="53">
        <f t="shared" si="0"/>
        <v>0</v>
      </c>
      <c r="G14" s="53"/>
      <c r="H14" s="59" t="e">
        <f t="shared" si="1"/>
        <v>#DIV/0!</v>
      </c>
      <c r="I14" s="53">
        <f t="shared" si="2"/>
        <v>0</v>
      </c>
      <c r="J14" s="32" t="e">
        <f t="shared" si="3"/>
        <v>#DIV/0!</v>
      </c>
      <c r="K14" s="34"/>
      <c r="L14" s="31">
        <f t="shared" ref="L14" si="12">DAYS360(K14,$C$1)</f>
        <v>44590</v>
      </c>
      <c r="M14" s="35" t="e">
        <f t="shared" si="4"/>
        <v>#DIV/0!</v>
      </c>
      <c r="N14" s="31"/>
      <c r="O14" s="31"/>
      <c r="P14" s="31"/>
      <c r="Q14" s="36"/>
      <c r="R14" s="37">
        <f t="shared" si="5"/>
        <v>0</v>
      </c>
      <c r="S14" s="37"/>
      <c r="T14" s="36">
        <f t="shared" si="6"/>
        <v>0</v>
      </c>
      <c r="U14" s="36">
        <f t="shared" si="7"/>
        <v>0</v>
      </c>
      <c r="V14" s="36">
        <f t="shared" si="8"/>
        <v>0</v>
      </c>
      <c r="W14" s="36" t="e">
        <f t="shared" si="9"/>
        <v>#DIV/0!</v>
      </c>
      <c r="X14" s="37"/>
      <c r="Y14" s="35" t="e">
        <f t="shared" si="10"/>
        <v>#DIV/0!</v>
      </c>
      <c r="Z14" s="38">
        <f t="shared" si="11"/>
        <v>0</v>
      </c>
      <c r="AB14" s="39"/>
      <c r="AC14" s="7"/>
    </row>
    <row r="15" spans="1:31" x14ac:dyDescent="0.25">
      <c r="A15" t="s">
        <v>33</v>
      </c>
      <c r="F15" s="50">
        <f>SUM(F6:F14)</f>
        <v>414072.59602</v>
      </c>
      <c r="G15" s="50">
        <f>SUM(G6:G14)</f>
        <v>422837.37999999995</v>
      </c>
      <c r="H15" s="54"/>
      <c r="I15" s="50">
        <f>SUM(I6:I14)</f>
        <v>-8764.7839800000293</v>
      </c>
      <c r="M15" s="3"/>
      <c r="Z15" s="4"/>
    </row>
    <row r="16" spans="1:31" x14ac:dyDescent="0.25">
      <c r="D16" s="44" t="s">
        <v>34</v>
      </c>
      <c r="F16" s="50">
        <v>92011</v>
      </c>
      <c r="G16" s="4">
        <f>F16/F17</f>
        <v>0.18180988422387792</v>
      </c>
      <c r="H16" s="54"/>
      <c r="M16" s="3"/>
      <c r="Z16" s="4"/>
    </row>
    <row r="17" spans="1:26" x14ac:dyDescent="0.25">
      <c r="D17" s="44" t="s">
        <v>35</v>
      </c>
      <c r="F17" s="50">
        <f>SUM(F15:F16)</f>
        <v>506083.59602</v>
      </c>
      <c r="H17" s="60"/>
      <c r="M17" s="3"/>
      <c r="Z17" s="4"/>
    </row>
    <row r="18" spans="1:26" x14ac:dyDescent="0.25">
      <c r="F18" s="54"/>
      <c r="H18" s="60" t="s">
        <v>37</v>
      </c>
      <c r="I18" s="50">
        <f>'11-03-23'!F17</f>
        <v>509790.89214399998</v>
      </c>
      <c r="K18" s="1">
        <v>45107</v>
      </c>
      <c r="L18" s="64">
        <v>509801</v>
      </c>
      <c r="M18" s="3"/>
      <c r="Z18" s="4"/>
    </row>
    <row r="19" spans="1:26" x14ac:dyDescent="0.25">
      <c r="F19" s="55"/>
      <c r="G19" s="58"/>
      <c r="H19" s="54" t="s">
        <v>39</v>
      </c>
      <c r="I19" s="4">
        <f>(F17-I18)/I18</f>
        <v>-7.2721897961111294E-3</v>
      </c>
      <c r="K19" s="7" t="s">
        <v>73</v>
      </c>
      <c r="L19" s="4">
        <f>(F17-L18)/L18</f>
        <v>-7.291872671885702E-3</v>
      </c>
      <c r="Z19" s="4"/>
    </row>
    <row r="21" spans="1:26" x14ac:dyDescent="0.25">
      <c r="D21" s="7"/>
      <c r="E21" s="7"/>
      <c r="F21" s="56"/>
      <c r="I21" s="51"/>
      <c r="J21" s="7"/>
      <c r="K21" s="7"/>
      <c r="L21" s="7"/>
      <c r="M21" s="9" t="s">
        <v>46</v>
      </c>
    </row>
    <row r="22" spans="1:26" x14ac:dyDescent="0.25">
      <c r="A22" s="49" t="s">
        <v>54</v>
      </c>
      <c r="D22" s="19" t="s">
        <v>17</v>
      </c>
      <c r="E22" s="19" t="s">
        <v>47</v>
      </c>
      <c r="F22" s="57" t="s">
        <v>48</v>
      </c>
      <c r="G22" s="57" t="s">
        <v>50</v>
      </c>
      <c r="H22" s="57" t="s">
        <v>49</v>
      </c>
      <c r="I22" s="57" t="s">
        <v>51</v>
      </c>
      <c r="J22" s="19" t="s">
        <v>12</v>
      </c>
      <c r="K22" s="19" t="s">
        <v>22</v>
      </c>
      <c r="L22" s="19" t="s">
        <v>52</v>
      </c>
      <c r="M22" s="19" t="s">
        <v>53</v>
      </c>
      <c r="N22" s="1"/>
      <c r="P22" s="7" t="s">
        <v>55</v>
      </c>
    </row>
    <row r="23" spans="1:26" x14ac:dyDescent="0.25">
      <c r="J23" s="3"/>
    </row>
    <row r="24" spans="1:26" x14ac:dyDescent="0.25">
      <c r="A24" t="s">
        <v>60</v>
      </c>
      <c r="B24" t="s">
        <v>32</v>
      </c>
      <c r="C24" s="20" t="s">
        <v>61</v>
      </c>
      <c r="D24" s="44">
        <v>665.97389999999996</v>
      </c>
      <c r="E24" s="50">
        <f t="shared" ref="E24:E32" si="13">F24/D24</f>
        <v>76.621621357834002</v>
      </c>
      <c r="F24" s="50">
        <v>51028</v>
      </c>
      <c r="G24" s="50">
        <v>45324.79</v>
      </c>
      <c r="H24" s="50">
        <f t="shared" ref="H24:H32" si="14">G24/D24</f>
        <v>68.057907374448163</v>
      </c>
      <c r="I24" s="50">
        <f t="shared" ref="I24:I32" si="15">G24-F24</f>
        <v>-5703.2099999999991</v>
      </c>
      <c r="J24" s="3">
        <f t="shared" ref="J24:J32" si="16">I24/F24</f>
        <v>-0.11176628517676568</v>
      </c>
      <c r="K24" s="61">
        <v>45106</v>
      </c>
      <c r="L24" s="61">
        <v>45132</v>
      </c>
      <c r="M24">
        <f t="shared" ref="M24:M32" si="17">DAYS360(K24,L24)</f>
        <v>26</v>
      </c>
      <c r="O24" t="s">
        <v>66</v>
      </c>
    </row>
    <row r="25" spans="1:26" x14ac:dyDescent="0.25">
      <c r="A25" t="s">
        <v>40</v>
      </c>
      <c r="B25" t="s">
        <v>32</v>
      </c>
      <c r="C25" s="20" t="s">
        <v>41</v>
      </c>
      <c r="D25" s="44">
        <v>123.3931</v>
      </c>
      <c r="E25" s="50">
        <f t="shared" si="13"/>
        <v>413.24004340599271</v>
      </c>
      <c r="F25" s="50">
        <v>50990.97</v>
      </c>
      <c r="G25" s="50">
        <v>48894.94</v>
      </c>
      <c r="H25" s="50">
        <f t="shared" si="14"/>
        <v>396.25343718570974</v>
      </c>
      <c r="I25" s="50">
        <f t="shared" si="15"/>
        <v>-2096.0299999999988</v>
      </c>
      <c r="J25" s="3">
        <f t="shared" si="16"/>
        <v>-4.1105905614268544E-2</v>
      </c>
      <c r="K25" s="61">
        <v>45104</v>
      </c>
      <c r="L25" s="61">
        <v>45138</v>
      </c>
      <c r="M25">
        <f t="shared" si="17"/>
        <v>34</v>
      </c>
      <c r="O25" t="s">
        <v>69</v>
      </c>
    </row>
    <row r="26" spans="1:26" x14ac:dyDescent="0.25">
      <c r="A26" t="s">
        <v>56</v>
      </c>
      <c r="B26" t="s">
        <v>32</v>
      </c>
      <c r="C26" s="20" t="s">
        <v>57</v>
      </c>
      <c r="D26" s="44">
        <v>278.20080000000002</v>
      </c>
      <c r="E26" s="50">
        <f t="shared" si="13"/>
        <v>128.41001895034088</v>
      </c>
      <c r="F26" s="50">
        <v>35723.769999999997</v>
      </c>
      <c r="G26" s="50">
        <v>34855.72</v>
      </c>
      <c r="H26" s="50">
        <f t="shared" si="14"/>
        <v>125.28979068356381</v>
      </c>
      <c r="I26" s="50">
        <f t="shared" si="15"/>
        <v>-868.04999999999563</v>
      </c>
      <c r="J26" s="3">
        <f t="shared" si="16"/>
        <v>-2.4298947171588994E-2</v>
      </c>
      <c r="K26" s="61">
        <v>45106</v>
      </c>
      <c r="L26" s="61">
        <v>45138</v>
      </c>
      <c r="M26">
        <f t="shared" si="17"/>
        <v>32</v>
      </c>
      <c r="O26" t="s">
        <v>71</v>
      </c>
    </row>
    <row r="27" spans="1:26" x14ac:dyDescent="0.25">
      <c r="A27" t="s">
        <v>82</v>
      </c>
      <c r="B27" t="s">
        <v>32</v>
      </c>
      <c r="C27" s="20" t="s">
        <v>83</v>
      </c>
      <c r="D27" s="44">
        <v>1007.1459</v>
      </c>
      <c r="E27" s="50">
        <f t="shared" si="13"/>
        <v>20.954908320631599</v>
      </c>
      <c r="F27" s="50">
        <v>21104.65</v>
      </c>
      <c r="G27" s="50">
        <v>18099.32</v>
      </c>
      <c r="H27" s="50">
        <f t="shared" si="14"/>
        <v>17.970901733303982</v>
      </c>
      <c r="I27" s="50">
        <f t="shared" si="15"/>
        <v>-3005.3300000000017</v>
      </c>
      <c r="J27" s="3">
        <f t="shared" si="16"/>
        <v>-0.14240131914056861</v>
      </c>
      <c r="K27" s="61">
        <v>45181</v>
      </c>
      <c r="L27" s="61">
        <v>45183</v>
      </c>
      <c r="M27">
        <f t="shared" si="17"/>
        <v>2</v>
      </c>
      <c r="O27" t="s">
        <v>84</v>
      </c>
    </row>
    <row r="28" spans="1:26" x14ac:dyDescent="0.25">
      <c r="A28" t="s">
        <v>63</v>
      </c>
      <c r="B28" t="s">
        <v>32</v>
      </c>
      <c r="C28" s="20" t="s">
        <v>64</v>
      </c>
      <c r="D28" s="44">
        <v>115.8536</v>
      </c>
      <c r="E28" s="50">
        <f t="shared" si="13"/>
        <v>442.16001919664131</v>
      </c>
      <c r="F28" s="50">
        <v>51225.83</v>
      </c>
      <c r="G28" s="50">
        <v>52055.28</v>
      </c>
      <c r="H28" s="50">
        <f t="shared" si="14"/>
        <v>449.31948597195077</v>
      </c>
      <c r="I28" s="50">
        <f t="shared" si="15"/>
        <v>829.44999999999709</v>
      </c>
      <c r="J28" s="3">
        <f t="shared" si="16"/>
        <v>1.6192026561599824E-2</v>
      </c>
      <c r="K28" s="61">
        <v>45117</v>
      </c>
      <c r="L28" s="61">
        <v>45184</v>
      </c>
      <c r="M28" s="63">
        <f t="shared" si="17"/>
        <v>65</v>
      </c>
      <c r="O28" t="s">
        <v>86</v>
      </c>
    </row>
    <row r="29" spans="1:26" x14ac:dyDescent="0.25">
      <c r="A29" t="s">
        <v>79</v>
      </c>
      <c r="B29" t="s">
        <v>32</v>
      </c>
      <c r="C29" s="20" t="s">
        <v>80</v>
      </c>
      <c r="D29" s="44">
        <v>507.0754</v>
      </c>
      <c r="E29" s="50">
        <f t="shared" si="13"/>
        <v>81.153611474743201</v>
      </c>
      <c r="F29" s="50">
        <v>41151</v>
      </c>
      <c r="G29" s="50">
        <v>38871.01</v>
      </c>
      <c r="H29" s="50">
        <f t="shared" si="14"/>
        <v>76.657258466886788</v>
      </c>
      <c r="I29" s="50">
        <f t="shared" si="15"/>
        <v>-2279.989999999998</v>
      </c>
      <c r="J29" s="3">
        <f t="shared" si="16"/>
        <v>-5.5405457947558939E-2</v>
      </c>
      <c r="K29" s="61">
        <v>45167</v>
      </c>
      <c r="L29" s="61">
        <v>45216</v>
      </c>
      <c r="M29" s="63">
        <f t="shared" si="17"/>
        <v>48</v>
      </c>
      <c r="O29" t="s">
        <v>95</v>
      </c>
    </row>
    <row r="30" spans="1:26" x14ac:dyDescent="0.25">
      <c r="A30" t="s">
        <v>90</v>
      </c>
      <c r="B30" t="s">
        <v>32</v>
      </c>
      <c r="C30" s="20" t="s">
        <v>91</v>
      </c>
      <c r="D30" s="44">
        <v>306.1703</v>
      </c>
      <c r="E30" s="50">
        <f t="shared" si="13"/>
        <v>170.32671033081917</v>
      </c>
      <c r="F30" s="50">
        <v>52148.98</v>
      </c>
      <c r="G30" s="50">
        <v>49351.519999999997</v>
      </c>
      <c r="H30" s="50">
        <f t="shared" si="14"/>
        <v>161.18976922320681</v>
      </c>
      <c r="I30" s="50">
        <f t="shared" si="15"/>
        <v>-2797.4600000000064</v>
      </c>
      <c r="J30" s="3">
        <f t="shared" si="16"/>
        <v>-5.3643618724661654E-2</v>
      </c>
      <c r="K30" s="61">
        <v>45208</v>
      </c>
      <c r="L30" s="61">
        <v>45219</v>
      </c>
      <c r="M30" s="63">
        <f t="shared" si="17"/>
        <v>11</v>
      </c>
      <c r="O30" t="s">
        <v>93</v>
      </c>
    </row>
    <row r="31" spans="1:26" x14ac:dyDescent="0.25">
      <c r="A31" t="s">
        <v>87</v>
      </c>
      <c r="B31" t="s">
        <v>32</v>
      </c>
      <c r="C31" s="20" t="s">
        <v>88</v>
      </c>
      <c r="D31" s="44">
        <v>239.91579999999999</v>
      </c>
      <c r="E31" s="50">
        <f t="shared" si="13"/>
        <v>173.89088171766929</v>
      </c>
      <c r="F31" s="50">
        <v>41719.17</v>
      </c>
      <c r="G31" s="50">
        <v>36026.28</v>
      </c>
      <c r="H31" s="50">
        <f t="shared" si="14"/>
        <v>150.16218189881616</v>
      </c>
      <c r="I31" s="50">
        <f t="shared" si="15"/>
        <v>-5692.8899999999994</v>
      </c>
      <c r="J31" s="3">
        <f t="shared" si="16"/>
        <v>-0.13645741274335035</v>
      </c>
      <c r="K31" s="61">
        <v>45208</v>
      </c>
      <c r="L31" s="61">
        <v>45219</v>
      </c>
      <c r="M31" s="63">
        <f t="shared" si="17"/>
        <v>11</v>
      </c>
      <c r="O31" t="s">
        <v>94</v>
      </c>
    </row>
    <row r="32" spans="1:26" x14ac:dyDescent="0.25">
      <c r="A32" t="s">
        <v>74</v>
      </c>
      <c r="B32" t="s">
        <v>32</v>
      </c>
      <c r="C32" s="20" t="s">
        <v>75</v>
      </c>
      <c r="D32" s="44">
        <v>266.87329999999997</v>
      </c>
      <c r="E32" s="50">
        <f t="shared" si="13"/>
        <v>151.47948483418912</v>
      </c>
      <c r="F32" s="50">
        <v>40425.83</v>
      </c>
      <c r="G32" s="50">
        <v>40616.769999999997</v>
      </c>
      <c r="H32" s="50">
        <f t="shared" si="14"/>
        <v>152.19495543390815</v>
      </c>
      <c r="I32" s="50">
        <f t="shared" si="15"/>
        <v>190.93999999999505</v>
      </c>
      <c r="J32" s="3">
        <f t="shared" si="16"/>
        <v>4.7232178040622803E-3</v>
      </c>
      <c r="K32" s="61">
        <v>45153</v>
      </c>
      <c r="L32" s="61">
        <v>45224</v>
      </c>
      <c r="M32" s="63">
        <f t="shared" si="17"/>
        <v>70</v>
      </c>
      <c r="O32" t="s">
        <v>96</v>
      </c>
    </row>
    <row r="33" spans="8:10" x14ac:dyDescent="0.25">
      <c r="I33" s="50">
        <f>SUM(I24:I32)</f>
        <v>-21422.570000000007</v>
      </c>
      <c r="J33" s="9" t="s">
        <v>78</v>
      </c>
    </row>
    <row r="34" spans="8:10" x14ac:dyDescent="0.25">
      <c r="H34" s="50" t="s">
        <v>77</v>
      </c>
      <c r="I34" s="62">
        <v>7</v>
      </c>
      <c r="J34" s="3">
        <v>-8.0799999999999997E-2</v>
      </c>
    </row>
    <row r="35" spans="8:10" x14ac:dyDescent="0.25">
      <c r="H35" s="50" t="s">
        <v>85</v>
      </c>
      <c r="I35" s="62">
        <v>2</v>
      </c>
      <c r="J35" s="3">
        <v>1.0500000000000001E-2</v>
      </c>
    </row>
    <row r="36" spans="8:10" x14ac:dyDescent="0.25">
      <c r="J36" s="3"/>
    </row>
    <row r="37" spans="8:10" x14ac:dyDescent="0.25">
      <c r="J37" s="3"/>
    </row>
    <row r="38" spans="8:10" x14ac:dyDescent="0.25">
      <c r="J38" s="3"/>
    </row>
    <row r="39" spans="8:10" x14ac:dyDescent="0.25">
      <c r="J39" s="3"/>
    </row>
    <row r="40" spans="8:10" x14ac:dyDescent="0.25">
      <c r="J40" s="3"/>
    </row>
    <row r="41" spans="8:10" x14ac:dyDescent="0.25">
      <c r="J41" s="3"/>
    </row>
    <row r="42" spans="8:10" x14ac:dyDescent="0.25">
      <c r="J42" s="3"/>
    </row>
    <row r="43" spans="8:10" x14ac:dyDescent="0.25">
      <c r="J43" s="3"/>
    </row>
    <row r="44" spans="8:10" x14ac:dyDescent="0.25">
      <c r="J44" s="3"/>
    </row>
    <row r="45" spans="8:10" x14ac:dyDescent="0.25">
      <c r="J45" s="3"/>
    </row>
    <row r="46" spans="8:10" x14ac:dyDescent="0.25">
      <c r="J46" s="3"/>
    </row>
    <row r="47" spans="8:10" x14ac:dyDescent="0.25">
      <c r="J47" s="3"/>
    </row>
    <row r="48" spans="8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4C29-4DBD-459F-835E-3E1758F48CF2}">
  <dimension ref="A1:AE189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45247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26.65</v>
      </c>
      <c r="F7" s="50">
        <f t="shared" ref="F7:F15" si="0">E7*D7</f>
        <v>53736.756189999993</v>
      </c>
      <c r="G7" s="50">
        <f>25318.9+15999</f>
        <v>41317.9</v>
      </c>
      <c r="H7" s="54">
        <f t="shared" ref="H7:H15" si="1">G7/D7</f>
        <v>20.491040268725982</v>
      </c>
      <c r="I7" s="50">
        <f t="shared" ref="I7:I15" si="2">F7-G7</f>
        <v>12418.856189999991</v>
      </c>
      <c r="J7" s="21">
        <f t="shared" ref="J7:J15" si="3">E7-H7</f>
        <v>6.1589597312740167</v>
      </c>
      <c r="K7" s="23">
        <v>45135</v>
      </c>
      <c r="L7">
        <f t="shared" ref="L7:L12" si="4">DAYS360(K7,$C$1)</f>
        <v>109</v>
      </c>
      <c r="M7" s="3">
        <f t="shared" ref="M7:M15" si="5">(I7/G7)</f>
        <v>0.30056842651732035</v>
      </c>
      <c r="N7">
        <v>138</v>
      </c>
      <c r="O7">
        <v>99</v>
      </c>
      <c r="P7">
        <v>99</v>
      </c>
      <c r="Q7" s="24">
        <v>19.48</v>
      </c>
      <c r="R7" s="25">
        <f t="shared" ref="R7:R15" si="6">Q7*0.93</f>
        <v>18.116400000000002</v>
      </c>
      <c r="S7" s="25">
        <v>23.61</v>
      </c>
      <c r="T7" s="28">
        <f t="shared" ref="T7:T15" si="7">Q7*1.25</f>
        <v>24.35</v>
      </c>
      <c r="U7" s="24">
        <f t="shared" ref="U7:U15" si="8">Q7*1.5</f>
        <v>29.22</v>
      </c>
      <c r="V7" s="24">
        <f t="shared" ref="V7:V15" si="9">Q7*2</f>
        <v>38.96</v>
      </c>
      <c r="W7" s="24">
        <f t="shared" ref="W7:W15" si="10">H7-(H7*0.07)</f>
        <v>19.056667449915164</v>
      </c>
      <c r="X7" s="25">
        <v>26</v>
      </c>
      <c r="Y7" s="3">
        <f t="shared" ref="Y7:Y15" si="11">(X7-H7)/H7</f>
        <v>0.26884724538275157</v>
      </c>
      <c r="Z7" s="29">
        <f t="shared" ref="Z7:Z15" si="12">F7/F$18</f>
        <v>0.10569577413472096</v>
      </c>
      <c r="AA7" s="7"/>
      <c r="AB7" s="30">
        <v>45251</v>
      </c>
      <c r="AC7" s="7">
        <v>98</v>
      </c>
      <c r="AD7" t="s">
        <v>72</v>
      </c>
    </row>
    <row r="8" spans="1:31" x14ac:dyDescent="0.25">
      <c r="A8" t="s">
        <v>97</v>
      </c>
      <c r="B8" t="s">
        <v>32</v>
      </c>
      <c r="C8" s="20" t="s">
        <v>98</v>
      </c>
      <c r="D8" s="44">
        <v>1166.9349999999999</v>
      </c>
      <c r="E8" s="21">
        <v>34.299999999999997</v>
      </c>
      <c r="F8" s="50">
        <f t="shared" si="0"/>
        <v>40025.870499999997</v>
      </c>
      <c r="G8" s="50">
        <v>40941.919999999998</v>
      </c>
      <c r="H8" s="54">
        <f t="shared" si="1"/>
        <v>35.085004734625322</v>
      </c>
      <c r="I8" s="50">
        <f t="shared" si="2"/>
        <v>-916.04950000000099</v>
      </c>
      <c r="J8" s="21">
        <f t="shared" si="3"/>
        <v>-0.78500473462532483</v>
      </c>
      <c r="K8" s="23">
        <v>45233</v>
      </c>
      <c r="L8">
        <f t="shared" si="4"/>
        <v>14</v>
      </c>
      <c r="M8" s="3">
        <f t="shared" si="5"/>
        <v>-2.2374365931055532E-2</v>
      </c>
      <c r="N8">
        <v>52</v>
      </c>
      <c r="O8">
        <v>74</v>
      </c>
      <c r="P8" s="27">
        <v>69</v>
      </c>
      <c r="Q8" s="24">
        <v>34.200000000000003</v>
      </c>
      <c r="R8" s="25">
        <f t="shared" si="6"/>
        <v>31.806000000000004</v>
      </c>
      <c r="S8" s="25">
        <v>31.07</v>
      </c>
      <c r="T8" s="28">
        <f t="shared" si="7"/>
        <v>42.75</v>
      </c>
      <c r="U8" s="24">
        <f t="shared" si="8"/>
        <v>51.300000000000004</v>
      </c>
      <c r="V8" s="24">
        <f t="shared" si="9"/>
        <v>68.400000000000006</v>
      </c>
      <c r="W8" s="24">
        <f t="shared" si="10"/>
        <v>32.62905440320155</v>
      </c>
      <c r="X8" s="25">
        <v>32.75</v>
      </c>
      <c r="Y8" s="3">
        <f t="shared" si="11"/>
        <v>-6.655278379714484E-2</v>
      </c>
      <c r="Z8" s="4">
        <f t="shared" si="12"/>
        <v>7.8727591091567725E-2</v>
      </c>
      <c r="AB8" s="26">
        <v>45343</v>
      </c>
      <c r="AC8" s="7">
        <v>90</v>
      </c>
      <c r="AD8" t="s">
        <v>101</v>
      </c>
    </row>
    <row r="9" spans="1:31" x14ac:dyDescent="0.25">
      <c r="A9" t="s">
        <v>99</v>
      </c>
      <c r="B9" t="s">
        <v>32</v>
      </c>
      <c r="C9" s="20" t="s">
        <v>100</v>
      </c>
      <c r="D9" s="44">
        <v>267.84309999999999</v>
      </c>
      <c r="E9" s="21">
        <v>223.48</v>
      </c>
      <c r="F9" s="50">
        <f t="shared" si="0"/>
        <v>59857.575987999997</v>
      </c>
      <c r="G9" s="50">
        <v>61166.239999999998</v>
      </c>
      <c r="H9" s="54">
        <f t="shared" si="1"/>
        <v>228.36593513142583</v>
      </c>
      <c r="I9" s="50">
        <f t="shared" si="2"/>
        <v>-1308.6640120000011</v>
      </c>
      <c r="J9" s="21">
        <f t="shared" si="3"/>
        <v>-4.885935131425839</v>
      </c>
      <c r="K9" s="23">
        <v>45238</v>
      </c>
      <c r="L9">
        <f t="shared" si="4"/>
        <v>9</v>
      </c>
      <c r="M9" s="3">
        <f t="shared" si="5"/>
        <v>-2.1395201209032974E-2</v>
      </c>
      <c r="N9">
        <v>55</v>
      </c>
      <c r="O9">
        <v>88</v>
      </c>
      <c r="P9">
        <v>99</v>
      </c>
      <c r="Q9" s="24">
        <v>223.3</v>
      </c>
      <c r="R9" s="25">
        <f t="shared" si="6"/>
        <v>207.66900000000001</v>
      </c>
      <c r="S9" s="25">
        <v>199.29</v>
      </c>
      <c r="T9" s="24">
        <f t="shared" si="7"/>
        <v>279.125</v>
      </c>
      <c r="U9" s="24">
        <f t="shared" si="8"/>
        <v>334.95000000000005</v>
      </c>
      <c r="V9" s="24">
        <f t="shared" si="9"/>
        <v>446.6</v>
      </c>
      <c r="W9" s="24">
        <f t="shared" si="10"/>
        <v>212.38031967222602</v>
      </c>
      <c r="X9" s="25">
        <v>212</v>
      </c>
      <c r="Y9" s="3">
        <f t="shared" si="11"/>
        <v>-7.1665395813115235E-2</v>
      </c>
      <c r="Z9" s="4">
        <f t="shared" si="12"/>
        <v>0.11773492262000167</v>
      </c>
      <c r="AB9" s="26">
        <v>45349</v>
      </c>
      <c r="AC9" s="7">
        <v>99</v>
      </c>
      <c r="AD9" t="s">
        <v>102</v>
      </c>
    </row>
    <row r="10" spans="1:31" x14ac:dyDescent="0.25">
      <c r="A10" t="s">
        <v>103</v>
      </c>
      <c r="B10" t="s">
        <v>32</v>
      </c>
      <c r="C10" s="20" t="s">
        <v>104</v>
      </c>
      <c r="D10" s="44">
        <v>1160.2601999999999</v>
      </c>
      <c r="E10" s="21">
        <v>18.22</v>
      </c>
      <c r="F10" s="50">
        <f t="shared" si="0"/>
        <v>21139.940843999997</v>
      </c>
      <c r="G10" s="50">
        <v>20288.830000000002</v>
      </c>
      <c r="H10" s="54">
        <f t="shared" si="1"/>
        <v>17.486448298407549</v>
      </c>
      <c r="I10" s="50">
        <f t="shared" si="2"/>
        <v>851.11084399999527</v>
      </c>
      <c r="J10" s="21">
        <f t="shared" si="3"/>
        <v>0.7335517015924502</v>
      </c>
      <c r="K10" s="23">
        <v>45243</v>
      </c>
      <c r="L10">
        <f t="shared" si="4"/>
        <v>4</v>
      </c>
      <c r="M10" s="3">
        <f t="shared" si="5"/>
        <v>4.1949725242904357E-2</v>
      </c>
      <c r="N10">
        <v>51</v>
      </c>
      <c r="O10">
        <v>96</v>
      </c>
      <c r="P10" s="27">
        <v>74</v>
      </c>
      <c r="Q10" s="24">
        <v>17.32</v>
      </c>
      <c r="R10" s="25">
        <f t="shared" si="6"/>
        <v>16.107600000000001</v>
      </c>
      <c r="S10" s="25">
        <v>17.149999999999999</v>
      </c>
      <c r="T10" s="28">
        <f t="shared" si="7"/>
        <v>21.65</v>
      </c>
      <c r="U10" s="24">
        <f t="shared" si="8"/>
        <v>25.98</v>
      </c>
      <c r="V10" s="24">
        <f t="shared" si="9"/>
        <v>34.64</v>
      </c>
      <c r="W10" s="24">
        <f t="shared" si="10"/>
        <v>16.26239691751902</v>
      </c>
      <c r="X10" s="25">
        <v>16.5</v>
      </c>
      <c r="Y10" s="3">
        <f t="shared" si="11"/>
        <v>-5.641215880856619E-2</v>
      </c>
      <c r="Z10" s="4">
        <f t="shared" si="12"/>
        <v>4.1580522738821207E-2</v>
      </c>
      <c r="AB10" s="26">
        <v>45350</v>
      </c>
      <c r="AC10" s="7">
        <v>88</v>
      </c>
      <c r="AD10" t="s">
        <v>105</v>
      </c>
    </row>
    <row r="11" spans="1:31" x14ac:dyDescent="0.25">
      <c r="A11" t="s">
        <v>106</v>
      </c>
      <c r="B11" t="s">
        <v>32</v>
      </c>
      <c r="C11" s="20" t="s">
        <v>107</v>
      </c>
      <c r="D11" s="44">
        <v>247.90379999999999</v>
      </c>
      <c r="E11" s="21">
        <v>200.56</v>
      </c>
      <c r="F11" s="50">
        <f t="shared" si="0"/>
        <v>49719.586127999995</v>
      </c>
      <c r="G11" s="50">
        <v>50927.29</v>
      </c>
      <c r="H11" s="54">
        <f t="shared" si="1"/>
        <v>205.43166341137169</v>
      </c>
      <c r="I11" s="50">
        <f t="shared" si="2"/>
        <v>-1207.7038720000055</v>
      </c>
      <c r="J11" s="21">
        <f t="shared" si="3"/>
        <v>-4.871663411371685</v>
      </c>
      <c r="K11" s="23">
        <v>45244</v>
      </c>
      <c r="L11">
        <f t="shared" si="4"/>
        <v>3</v>
      </c>
      <c r="M11" s="3">
        <f t="shared" si="5"/>
        <v>-2.3714277197942508E-2</v>
      </c>
      <c r="N11">
        <v>115</v>
      </c>
      <c r="O11">
        <v>97</v>
      </c>
      <c r="P11">
        <v>83</v>
      </c>
      <c r="Q11" s="24">
        <v>201.91</v>
      </c>
      <c r="R11" s="25">
        <f t="shared" si="6"/>
        <v>187.77630000000002</v>
      </c>
      <c r="S11" s="25">
        <v>182.26</v>
      </c>
      <c r="T11" s="28">
        <f t="shared" si="7"/>
        <v>252.38749999999999</v>
      </c>
      <c r="U11" s="24">
        <f t="shared" si="8"/>
        <v>302.86500000000001</v>
      </c>
      <c r="V11" s="24">
        <f t="shared" si="9"/>
        <v>403.82</v>
      </c>
      <c r="W11" s="24">
        <f t="shared" si="10"/>
        <v>191.05144697257566</v>
      </c>
      <c r="X11" s="25">
        <v>190</v>
      </c>
      <c r="Y11" s="3">
        <f t="shared" si="11"/>
        <v>-7.5118232287639974E-2</v>
      </c>
      <c r="Z11" s="4">
        <f t="shared" si="12"/>
        <v>9.7794331441889995E-2</v>
      </c>
      <c r="AB11" s="26">
        <v>45348</v>
      </c>
      <c r="AC11" s="7">
        <v>92</v>
      </c>
      <c r="AD11" t="s">
        <v>108</v>
      </c>
    </row>
    <row r="12" spans="1:31" x14ac:dyDescent="0.25">
      <c r="A12" t="s">
        <v>109</v>
      </c>
      <c r="B12" t="s">
        <v>32</v>
      </c>
      <c r="C12" s="20" t="s">
        <v>110</v>
      </c>
      <c r="D12" s="44">
        <v>1006.8806</v>
      </c>
      <c r="E12" s="21">
        <v>20.49</v>
      </c>
      <c r="F12" s="50">
        <f t="shared" si="0"/>
        <v>20630.983493999996</v>
      </c>
      <c r="G12" s="50">
        <v>20479.95</v>
      </c>
      <c r="H12" s="54">
        <f t="shared" si="1"/>
        <v>20.339998605594349</v>
      </c>
      <c r="I12" s="50">
        <f t="shared" si="2"/>
        <v>151.0334939999957</v>
      </c>
      <c r="J12" s="21">
        <f t="shared" si="3"/>
        <v>0.15000139440564908</v>
      </c>
      <c r="K12" s="23">
        <v>45245</v>
      </c>
      <c r="L12">
        <f t="shared" si="4"/>
        <v>2</v>
      </c>
      <c r="M12" s="3">
        <f t="shared" si="5"/>
        <v>7.3747003288580143E-3</v>
      </c>
      <c r="N12">
        <v>51</v>
      </c>
      <c r="O12">
        <v>99</v>
      </c>
      <c r="P12" s="27">
        <v>84</v>
      </c>
      <c r="Q12" s="24">
        <v>19.170000000000002</v>
      </c>
      <c r="R12" s="25">
        <f t="shared" si="6"/>
        <v>17.828100000000003</v>
      </c>
      <c r="S12" s="25">
        <v>18.059999999999999</v>
      </c>
      <c r="T12" s="28">
        <f t="shared" si="7"/>
        <v>23.962500000000002</v>
      </c>
      <c r="U12" s="24">
        <f t="shared" si="8"/>
        <v>28.755000000000003</v>
      </c>
      <c r="V12" s="24">
        <f t="shared" si="9"/>
        <v>38.340000000000003</v>
      </c>
      <c r="W12" s="24">
        <f t="shared" si="10"/>
        <v>18.916198703202745</v>
      </c>
      <c r="X12" s="25">
        <v>18.75</v>
      </c>
      <c r="Y12" s="3">
        <f t="shared" si="11"/>
        <v>-7.8171028249580776E-2</v>
      </c>
      <c r="Z12" s="4">
        <f t="shared" si="12"/>
        <v>4.0579445544663799E-2</v>
      </c>
      <c r="AB12" s="26">
        <v>45336</v>
      </c>
      <c r="AC12" s="7">
        <v>98</v>
      </c>
    </row>
    <row r="13" spans="1:31" x14ac:dyDescent="0.25">
      <c r="A13" s="20" t="s">
        <v>44</v>
      </c>
      <c r="B13" s="20" t="s">
        <v>32</v>
      </c>
      <c r="C13" s="20" t="s">
        <v>45</v>
      </c>
      <c r="D13" s="44">
        <v>2223.7800000000002</v>
      </c>
      <c r="E13" s="21">
        <v>91.68</v>
      </c>
      <c r="F13" s="50">
        <f t="shared" si="0"/>
        <v>203876.15040000004</v>
      </c>
      <c r="G13" s="50">
        <v>203698.25</v>
      </c>
      <c r="H13" s="54">
        <f t="shared" si="1"/>
        <v>91.600000899369533</v>
      </c>
      <c r="I13" s="50">
        <f t="shared" si="2"/>
        <v>177.90040000004228</v>
      </c>
      <c r="J13" s="21">
        <f t="shared" si="3"/>
        <v>7.9999100630473663E-2</v>
      </c>
      <c r="K13" s="23"/>
      <c r="M13" s="3">
        <f t="shared" si="5"/>
        <v>8.7335261839530912E-4</v>
      </c>
      <c r="Q13" s="24"/>
      <c r="R13" s="25">
        <f t="shared" si="6"/>
        <v>0</v>
      </c>
      <c r="S13" s="25"/>
      <c r="T13" s="28">
        <f t="shared" si="7"/>
        <v>0</v>
      </c>
      <c r="U13" s="28">
        <f t="shared" si="8"/>
        <v>0</v>
      </c>
      <c r="V13" s="24">
        <f t="shared" si="9"/>
        <v>0</v>
      </c>
      <c r="W13" s="24">
        <f t="shared" si="10"/>
        <v>85.188000836413664</v>
      </c>
      <c r="X13" s="25"/>
      <c r="Y13" s="3">
        <f t="shared" si="11"/>
        <v>-1</v>
      </c>
      <c r="Z13" s="4">
        <f t="shared" si="12"/>
        <v>0.40100759837351113</v>
      </c>
      <c r="AB13" s="26"/>
      <c r="AC13" s="7"/>
    </row>
    <row r="14" spans="1:31" x14ac:dyDescent="0.25">
      <c r="A14" t="s">
        <v>42</v>
      </c>
      <c r="B14" t="s">
        <v>32</v>
      </c>
      <c r="C14" s="20" t="s">
        <v>43</v>
      </c>
      <c r="D14" s="44">
        <v>511.29180000000002</v>
      </c>
      <c r="E14" s="21">
        <v>16.28</v>
      </c>
      <c r="F14" s="50">
        <f t="shared" si="0"/>
        <v>8323.8305040000014</v>
      </c>
      <c r="G14" s="50">
        <v>24797.66</v>
      </c>
      <c r="H14" s="54">
        <f t="shared" si="1"/>
        <v>48.500015059893386</v>
      </c>
      <c r="I14" s="50">
        <f t="shared" si="2"/>
        <v>-16473.829495999998</v>
      </c>
      <c r="J14" s="21">
        <f t="shared" si="3"/>
        <v>-32.220015059893385</v>
      </c>
      <c r="K14" s="23"/>
      <c r="M14" s="3">
        <f t="shared" si="5"/>
        <v>-0.66433000113720397</v>
      </c>
      <c r="P14" s="27"/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>
        <f t="shared" si="10"/>
        <v>45.105014005700852</v>
      </c>
      <c r="X14" s="25"/>
      <c r="Y14" s="3">
        <f t="shared" si="11"/>
        <v>-1</v>
      </c>
      <c r="Z14" s="4">
        <f t="shared" si="12"/>
        <v>1.6372289123216702E-2</v>
      </c>
      <c r="AB14" s="26"/>
      <c r="AC14" s="7"/>
    </row>
    <row r="15" spans="1:31" x14ac:dyDescent="0.25">
      <c r="A15" s="31"/>
      <c r="B15" s="31"/>
      <c r="C15" s="31"/>
      <c r="D15" s="47"/>
      <c r="E15" s="32"/>
      <c r="F15" s="53">
        <f t="shared" si="0"/>
        <v>0</v>
      </c>
      <c r="G15" s="53"/>
      <c r="H15" s="59" t="e">
        <f t="shared" si="1"/>
        <v>#DIV/0!</v>
      </c>
      <c r="I15" s="53">
        <f t="shared" si="2"/>
        <v>0</v>
      </c>
      <c r="J15" s="32" t="e">
        <f t="shared" si="3"/>
        <v>#DIV/0!</v>
      </c>
      <c r="K15" s="34"/>
      <c r="L15" s="31">
        <f t="shared" ref="L15" si="13">DAYS360(K15,$C$1)</f>
        <v>44597</v>
      </c>
      <c r="M15" s="35" t="e">
        <f t="shared" si="5"/>
        <v>#DIV/0!</v>
      </c>
      <c r="N15" s="31"/>
      <c r="O15" s="31"/>
      <c r="P15" s="31"/>
      <c r="Q15" s="36"/>
      <c r="R15" s="37">
        <f t="shared" si="6"/>
        <v>0</v>
      </c>
      <c r="S15" s="37"/>
      <c r="T15" s="36">
        <f t="shared" si="7"/>
        <v>0</v>
      </c>
      <c r="U15" s="36">
        <f t="shared" si="8"/>
        <v>0</v>
      </c>
      <c r="V15" s="36">
        <f t="shared" si="9"/>
        <v>0</v>
      </c>
      <c r="W15" s="36" t="e">
        <f t="shared" si="10"/>
        <v>#DIV/0!</v>
      </c>
      <c r="X15" s="37"/>
      <c r="Y15" s="35" t="e">
        <f t="shared" si="11"/>
        <v>#DIV/0!</v>
      </c>
      <c r="Z15" s="38">
        <f t="shared" si="12"/>
        <v>0</v>
      </c>
      <c r="AB15" s="39"/>
      <c r="AC15" s="7"/>
    </row>
    <row r="16" spans="1:31" x14ac:dyDescent="0.25">
      <c r="A16" t="s">
        <v>33</v>
      </c>
      <c r="F16" s="50">
        <f>SUM(F6:F15)</f>
        <v>457310.69404799998</v>
      </c>
      <c r="G16" s="50">
        <f>SUM(G6:G15)</f>
        <v>463618.04</v>
      </c>
      <c r="H16" s="54"/>
      <c r="I16" s="50">
        <f>SUM(I6:I15)</f>
        <v>-6307.3459519999815</v>
      </c>
      <c r="M16" s="3"/>
      <c r="Z16" s="4"/>
    </row>
    <row r="17" spans="1:26" x14ac:dyDescent="0.25">
      <c r="D17" s="44" t="s">
        <v>34</v>
      </c>
      <c r="F17" s="50">
        <v>51099</v>
      </c>
      <c r="G17" s="4">
        <f>F17/F18</f>
        <v>0.10050752493160692</v>
      </c>
      <c r="H17" s="54"/>
      <c r="M17" s="3"/>
      <c r="Z17" s="4"/>
    </row>
    <row r="18" spans="1:26" x14ac:dyDescent="0.25">
      <c r="D18" s="44" t="s">
        <v>35</v>
      </c>
      <c r="F18" s="50">
        <f>SUM(F16:F17)</f>
        <v>508409.69404799998</v>
      </c>
      <c r="H18" s="60"/>
      <c r="M18" s="3"/>
      <c r="Z18" s="4"/>
    </row>
    <row r="19" spans="1:26" x14ac:dyDescent="0.25">
      <c r="F19" s="54"/>
      <c r="H19" s="60" t="s">
        <v>37</v>
      </c>
      <c r="I19" s="50">
        <f>'11-10-23'!F17</f>
        <v>506083.59602</v>
      </c>
      <c r="K19" s="1">
        <v>45107</v>
      </c>
      <c r="L19" s="64">
        <v>509801</v>
      </c>
      <c r="M19" s="3"/>
      <c r="Z19" s="4"/>
    </row>
    <row r="20" spans="1:26" x14ac:dyDescent="0.25">
      <c r="F20" s="55"/>
      <c r="G20" s="58"/>
      <c r="H20" s="54" t="s">
        <v>39</v>
      </c>
      <c r="I20" s="4">
        <f>(F18-I19)/I19</f>
        <v>4.5962723279180401E-3</v>
      </c>
      <c r="K20" s="7" t="s">
        <v>73</v>
      </c>
      <c r="L20" s="4">
        <f>(F18-L19)/L19</f>
        <v>-2.7291157765481516E-3</v>
      </c>
      <c r="Z20" s="4"/>
    </row>
    <row r="22" spans="1:26" x14ac:dyDescent="0.25">
      <c r="D22" s="7"/>
      <c r="E22" s="7"/>
      <c r="F22" s="56"/>
      <c r="I22" s="51"/>
      <c r="J22" s="7"/>
      <c r="K22" s="7"/>
      <c r="L22" s="7"/>
      <c r="M22" s="9" t="s">
        <v>46</v>
      </c>
    </row>
    <row r="23" spans="1:26" x14ac:dyDescent="0.25">
      <c r="A23" s="49" t="s">
        <v>54</v>
      </c>
      <c r="D23" s="19" t="s">
        <v>17</v>
      </c>
      <c r="E23" s="19" t="s">
        <v>47</v>
      </c>
      <c r="F23" s="57" t="s">
        <v>48</v>
      </c>
      <c r="G23" s="57" t="s">
        <v>50</v>
      </c>
      <c r="H23" s="57" t="s">
        <v>49</v>
      </c>
      <c r="I23" s="57" t="s">
        <v>51</v>
      </c>
      <c r="J23" s="19" t="s">
        <v>12</v>
      </c>
      <c r="K23" s="19" t="s">
        <v>22</v>
      </c>
      <c r="L23" s="19" t="s">
        <v>52</v>
      </c>
      <c r="M23" s="19" t="s">
        <v>53</v>
      </c>
      <c r="N23" s="1"/>
      <c r="P23" s="7" t="s">
        <v>55</v>
      </c>
    </row>
    <row r="24" spans="1:26" x14ac:dyDescent="0.25">
      <c r="J24" s="3"/>
    </row>
    <row r="25" spans="1:26" x14ac:dyDescent="0.25">
      <c r="A25" t="s">
        <v>60</v>
      </c>
      <c r="B25" t="s">
        <v>32</v>
      </c>
      <c r="C25" s="20" t="s">
        <v>61</v>
      </c>
      <c r="D25" s="44">
        <v>665.97389999999996</v>
      </c>
      <c r="E25" s="50">
        <f t="shared" ref="E25:E33" si="14">F25/D25</f>
        <v>76.621621357834002</v>
      </c>
      <c r="F25" s="50">
        <v>51028</v>
      </c>
      <c r="G25" s="50">
        <v>45324.79</v>
      </c>
      <c r="H25" s="50">
        <f t="shared" ref="H25:H33" si="15">G25/D25</f>
        <v>68.057907374448163</v>
      </c>
      <c r="I25" s="50">
        <f t="shared" ref="I25:I33" si="16">G25-F25</f>
        <v>-5703.2099999999991</v>
      </c>
      <c r="J25" s="3">
        <f t="shared" ref="J25:J33" si="17">I25/F25</f>
        <v>-0.11176628517676568</v>
      </c>
      <c r="K25" s="61">
        <v>45106</v>
      </c>
      <c r="L25" s="61">
        <v>45132</v>
      </c>
      <c r="M25">
        <f t="shared" ref="M25:M33" si="18">DAYS360(K25,L25)</f>
        <v>26</v>
      </c>
      <c r="O25" t="s">
        <v>66</v>
      </c>
    </row>
    <row r="26" spans="1:26" x14ac:dyDescent="0.25">
      <c r="A26" t="s">
        <v>40</v>
      </c>
      <c r="B26" t="s">
        <v>32</v>
      </c>
      <c r="C26" s="20" t="s">
        <v>41</v>
      </c>
      <c r="D26" s="44">
        <v>123.3931</v>
      </c>
      <c r="E26" s="50">
        <f t="shared" si="14"/>
        <v>413.24004340599271</v>
      </c>
      <c r="F26" s="50">
        <v>50990.97</v>
      </c>
      <c r="G26" s="50">
        <v>48894.94</v>
      </c>
      <c r="H26" s="50">
        <f t="shared" si="15"/>
        <v>396.25343718570974</v>
      </c>
      <c r="I26" s="50">
        <f t="shared" si="16"/>
        <v>-2096.0299999999988</v>
      </c>
      <c r="J26" s="3">
        <f t="shared" si="17"/>
        <v>-4.1105905614268544E-2</v>
      </c>
      <c r="K26" s="61">
        <v>45104</v>
      </c>
      <c r="L26" s="61">
        <v>45138</v>
      </c>
      <c r="M26">
        <f t="shared" si="18"/>
        <v>34</v>
      </c>
      <c r="O26" t="s">
        <v>69</v>
      </c>
    </row>
    <row r="27" spans="1:26" x14ac:dyDescent="0.25">
      <c r="A27" t="s">
        <v>56</v>
      </c>
      <c r="B27" t="s">
        <v>32</v>
      </c>
      <c r="C27" s="20" t="s">
        <v>57</v>
      </c>
      <c r="D27" s="44">
        <v>278.20080000000002</v>
      </c>
      <c r="E27" s="50">
        <f t="shared" si="14"/>
        <v>128.41001895034088</v>
      </c>
      <c r="F27" s="50">
        <v>35723.769999999997</v>
      </c>
      <c r="G27" s="50">
        <v>34855.72</v>
      </c>
      <c r="H27" s="50">
        <f t="shared" si="15"/>
        <v>125.28979068356381</v>
      </c>
      <c r="I27" s="50">
        <f t="shared" si="16"/>
        <v>-868.04999999999563</v>
      </c>
      <c r="J27" s="3">
        <f t="shared" si="17"/>
        <v>-2.4298947171588994E-2</v>
      </c>
      <c r="K27" s="61">
        <v>45106</v>
      </c>
      <c r="L27" s="61">
        <v>45138</v>
      </c>
      <c r="M27">
        <f t="shared" si="18"/>
        <v>32</v>
      </c>
      <c r="O27" t="s">
        <v>71</v>
      </c>
    </row>
    <row r="28" spans="1:26" x14ac:dyDescent="0.25">
      <c r="A28" t="s">
        <v>82</v>
      </c>
      <c r="B28" t="s">
        <v>32</v>
      </c>
      <c r="C28" s="20" t="s">
        <v>83</v>
      </c>
      <c r="D28" s="44">
        <v>1007.1459</v>
      </c>
      <c r="E28" s="50">
        <f t="shared" si="14"/>
        <v>20.954908320631599</v>
      </c>
      <c r="F28" s="50">
        <v>21104.65</v>
      </c>
      <c r="G28" s="50">
        <v>18099.32</v>
      </c>
      <c r="H28" s="50">
        <f t="shared" si="15"/>
        <v>17.970901733303982</v>
      </c>
      <c r="I28" s="50">
        <f t="shared" si="16"/>
        <v>-3005.3300000000017</v>
      </c>
      <c r="J28" s="3">
        <f t="shared" si="17"/>
        <v>-0.14240131914056861</v>
      </c>
      <c r="K28" s="61">
        <v>45181</v>
      </c>
      <c r="L28" s="61">
        <v>45183</v>
      </c>
      <c r="M28">
        <f t="shared" si="18"/>
        <v>2</v>
      </c>
      <c r="O28" t="s">
        <v>84</v>
      </c>
    </row>
    <row r="29" spans="1:26" x14ac:dyDescent="0.25">
      <c r="A29" t="s">
        <v>63</v>
      </c>
      <c r="B29" t="s">
        <v>32</v>
      </c>
      <c r="C29" s="20" t="s">
        <v>64</v>
      </c>
      <c r="D29" s="44">
        <v>115.8536</v>
      </c>
      <c r="E29" s="50">
        <f t="shared" si="14"/>
        <v>442.16001919664131</v>
      </c>
      <c r="F29" s="50">
        <v>51225.83</v>
      </c>
      <c r="G29" s="50">
        <v>52055.28</v>
      </c>
      <c r="H29" s="50">
        <f t="shared" si="15"/>
        <v>449.31948597195077</v>
      </c>
      <c r="I29" s="50">
        <f t="shared" si="16"/>
        <v>829.44999999999709</v>
      </c>
      <c r="J29" s="3">
        <f t="shared" si="17"/>
        <v>1.6192026561599824E-2</v>
      </c>
      <c r="K29" s="61">
        <v>45117</v>
      </c>
      <c r="L29" s="61">
        <v>45184</v>
      </c>
      <c r="M29" s="63">
        <f t="shared" si="18"/>
        <v>65</v>
      </c>
      <c r="O29" t="s">
        <v>86</v>
      </c>
    </row>
    <row r="30" spans="1:26" x14ac:dyDescent="0.25">
      <c r="A30" t="s">
        <v>79</v>
      </c>
      <c r="B30" t="s">
        <v>32</v>
      </c>
      <c r="C30" s="20" t="s">
        <v>80</v>
      </c>
      <c r="D30" s="44">
        <v>507.0754</v>
      </c>
      <c r="E30" s="50">
        <f t="shared" si="14"/>
        <v>81.153611474743201</v>
      </c>
      <c r="F30" s="50">
        <v>41151</v>
      </c>
      <c r="G30" s="50">
        <v>38871.01</v>
      </c>
      <c r="H30" s="50">
        <f t="shared" si="15"/>
        <v>76.657258466886788</v>
      </c>
      <c r="I30" s="50">
        <f t="shared" si="16"/>
        <v>-2279.989999999998</v>
      </c>
      <c r="J30" s="3">
        <f t="shared" si="17"/>
        <v>-5.5405457947558939E-2</v>
      </c>
      <c r="K30" s="61">
        <v>45167</v>
      </c>
      <c r="L30" s="61">
        <v>45216</v>
      </c>
      <c r="M30" s="63">
        <f t="shared" si="18"/>
        <v>48</v>
      </c>
      <c r="O30" t="s">
        <v>95</v>
      </c>
    </row>
    <row r="31" spans="1:26" x14ac:dyDescent="0.25">
      <c r="A31" t="s">
        <v>90</v>
      </c>
      <c r="B31" t="s">
        <v>32</v>
      </c>
      <c r="C31" s="20" t="s">
        <v>91</v>
      </c>
      <c r="D31" s="44">
        <v>306.1703</v>
      </c>
      <c r="E31" s="50">
        <f t="shared" si="14"/>
        <v>170.32671033081917</v>
      </c>
      <c r="F31" s="50">
        <v>52148.98</v>
      </c>
      <c r="G31" s="50">
        <v>49351.519999999997</v>
      </c>
      <c r="H31" s="50">
        <f t="shared" si="15"/>
        <v>161.18976922320681</v>
      </c>
      <c r="I31" s="50">
        <f t="shared" si="16"/>
        <v>-2797.4600000000064</v>
      </c>
      <c r="J31" s="3">
        <f t="shared" si="17"/>
        <v>-5.3643618724661654E-2</v>
      </c>
      <c r="K31" s="61">
        <v>45208</v>
      </c>
      <c r="L31" s="61">
        <v>45219</v>
      </c>
      <c r="M31" s="63">
        <f t="shared" si="18"/>
        <v>11</v>
      </c>
      <c r="O31" t="s">
        <v>93</v>
      </c>
    </row>
    <row r="32" spans="1:26" x14ac:dyDescent="0.25">
      <c r="A32" t="s">
        <v>87</v>
      </c>
      <c r="B32" t="s">
        <v>32</v>
      </c>
      <c r="C32" s="20" t="s">
        <v>88</v>
      </c>
      <c r="D32" s="44">
        <v>239.91579999999999</v>
      </c>
      <c r="E32" s="50">
        <f t="shared" si="14"/>
        <v>173.89088171766929</v>
      </c>
      <c r="F32" s="50">
        <v>41719.17</v>
      </c>
      <c r="G32" s="50">
        <v>36026.28</v>
      </c>
      <c r="H32" s="50">
        <f t="shared" si="15"/>
        <v>150.16218189881616</v>
      </c>
      <c r="I32" s="50">
        <f t="shared" si="16"/>
        <v>-5692.8899999999994</v>
      </c>
      <c r="J32" s="3">
        <f t="shared" si="17"/>
        <v>-0.13645741274335035</v>
      </c>
      <c r="K32" s="61">
        <v>45208</v>
      </c>
      <c r="L32" s="61">
        <v>45219</v>
      </c>
      <c r="M32" s="63">
        <f t="shared" si="18"/>
        <v>11</v>
      </c>
      <c r="O32" t="s">
        <v>94</v>
      </c>
    </row>
    <row r="33" spans="1:15" x14ac:dyDescent="0.25">
      <c r="A33" t="s">
        <v>74</v>
      </c>
      <c r="B33" t="s">
        <v>32</v>
      </c>
      <c r="C33" s="20" t="s">
        <v>75</v>
      </c>
      <c r="D33" s="44">
        <v>266.87329999999997</v>
      </c>
      <c r="E33" s="50">
        <f t="shared" si="14"/>
        <v>151.47948483418912</v>
      </c>
      <c r="F33" s="50">
        <v>40425.83</v>
      </c>
      <c r="G33" s="50">
        <v>40616.769999999997</v>
      </c>
      <c r="H33" s="50">
        <f t="shared" si="15"/>
        <v>152.19495543390815</v>
      </c>
      <c r="I33" s="50">
        <f t="shared" si="16"/>
        <v>190.93999999999505</v>
      </c>
      <c r="J33" s="3">
        <f t="shared" si="17"/>
        <v>4.7232178040622803E-3</v>
      </c>
      <c r="K33" s="61">
        <v>45153</v>
      </c>
      <c r="L33" s="61">
        <v>45224</v>
      </c>
      <c r="M33" s="63">
        <f t="shared" si="18"/>
        <v>70</v>
      </c>
      <c r="O33" t="s">
        <v>96</v>
      </c>
    </row>
    <row r="34" spans="1:15" x14ac:dyDescent="0.25">
      <c r="I34" s="50">
        <f>SUM(I25:I33)</f>
        <v>-21422.570000000007</v>
      </c>
      <c r="J34" s="9" t="s">
        <v>78</v>
      </c>
    </row>
    <row r="35" spans="1:15" x14ac:dyDescent="0.25">
      <c r="H35" s="50" t="s">
        <v>77</v>
      </c>
      <c r="I35" s="62">
        <v>7</v>
      </c>
      <c r="J35" s="3">
        <v>-8.0799999999999997E-2</v>
      </c>
    </row>
    <row r="36" spans="1:15" x14ac:dyDescent="0.25">
      <c r="H36" s="50" t="s">
        <v>85</v>
      </c>
      <c r="I36" s="62">
        <v>2</v>
      </c>
      <c r="J36" s="3">
        <v>1.0500000000000001E-2</v>
      </c>
    </row>
    <row r="37" spans="1:15" x14ac:dyDescent="0.25">
      <c r="J37" s="3"/>
    </row>
    <row r="38" spans="1:15" x14ac:dyDescent="0.25">
      <c r="J38" s="3"/>
    </row>
    <row r="39" spans="1:15" x14ac:dyDescent="0.25">
      <c r="J39" s="3"/>
    </row>
    <row r="40" spans="1:15" x14ac:dyDescent="0.25">
      <c r="J40" s="3"/>
    </row>
    <row r="41" spans="1:15" x14ac:dyDescent="0.25">
      <c r="J41" s="3"/>
    </row>
    <row r="42" spans="1:15" x14ac:dyDescent="0.25">
      <c r="J42" s="3"/>
    </row>
    <row r="43" spans="1:15" x14ac:dyDescent="0.25">
      <c r="J43" s="3"/>
    </row>
    <row r="44" spans="1:15" x14ac:dyDescent="0.25">
      <c r="J44" s="3"/>
    </row>
    <row r="45" spans="1:15" x14ac:dyDescent="0.25">
      <c r="J45" s="3"/>
    </row>
    <row r="46" spans="1:15" x14ac:dyDescent="0.25">
      <c r="J46" s="3"/>
    </row>
    <row r="47" spans="1:15" x14ac:dyDescent="0.25">
      <c r="J47" s="3"/>
    </row>
    <row r="48" spans="1:15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  <row r="189" spans="10:10" x14ac:dyDescent="0.25">
      <c r="J189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1035-C8D2-456F-A822-82ACD68154EB}">
  <dimension ref="A1:AE189"/>
  <sheetViews>
    <sheetView topLeftCell="B1" workbookViewId="0">
      <selection activeCell="B1"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45254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25.16</v>
      </c>
      <c r="F7" s="50">
        <f t="shared" ref="F7:F15" si="0">E7*D7</f>
        <v>50732.337175999994</v>
      </c>
      <c r="G7" s="50">
        <f>25318.9+15999</f>
        <v>41317.9</v>
      </c>
      <c r="H7" s="54">
        <f t="shared" ref="H7:H15" si="1">G7/D7</f>
        <v>20.491040268725982</v>
      </c>
      <c r="I7" s="50">
        <f t="shared" ref="I7:I15" si="2">F7-G7</f>
        <v>9414.4371759999922</v>
      </c>
      <c r="J7" s="21">
        <f t="shared" ref="J7:J15" si="3">E7-H7</f>
        <v>4.6689597312740183</v>
      </c>
      <c r="K7" s="23">
        <v>45135</v>
      </c>
      <c r="L7">
        <f t="shared" ref="L7:L12" si="4">DAYS360(K7,$C$1)</f>
        <v>116</v>
      </c>
      <c r="M7" s="3">
        <f t="shared" ref="M7:M15" si="5">(I7/G7)</f>
        <v>0.22785371899346268</v>
      </c>
      <c r="N7">
        <v>90</v>
      </c>
      <c r="O7">
        <v>98</v>
      </c>
      <c r="P7">
        <v>98</v>
      </c>
      <c r="Q7" s="24">
        <v>19.48</v>
      </c>
      <c r="R7" s="25">
        <f t="shared" ref="R7:R15" si="6">Q7*0.93</f>
        <v>18.116400000000002</v>
      </c>
      <c r="S7" s="25">
        <v>23.61</v>
      </c>
      <c r="T7" s="28">
        <f t="shared" ref="T7:T15" si="7">Q7*1.25</f>
        <v>24.35</v>
      </c>
      <c r="U7" s="24">
        <f t="shared" ref="U7:U15" si="8">Q7*1.5</f>
        <v>29.22</v>
      </c>
      <c r="V7" s="24">
        <f t="shared" ref="V7:V15" si="9">Q7*2</f>
        <v>38.96</v>
      </c>
      <c r="W7" s="24">
        <f t="shared" ref="W7:W15" si="10">H7-(H7*0.07)</f>
        <v>19.056667449915164</v>
      </c>
      <c r="X7" s="25">
        <v>26</v>
      </c>
      <c r="Y7" s="3">
        <f t="shared" ref="Y7:Y15" si="11">(X7-H7)/H7</f>
        <v>0.26884724538275157</v>
      </c>
      <c r="Z7" s="29">
        <f t="shared" ref="Z7:Z15" si="12">F7/F$18</f>
        <v>0.10084377005635715</v>
      </c>
      <c r="AA7" s="7"/>
      <c r="AB7" s="26">
        <v>45350</v>
      </c>
      <c r="AC7" s="7">
        <v>98</v>
      </c>
      <c r="AD7" t="s">
        <v>72</v>
      </c>
    </row>
    <row r="8" spans="1:31" x14ac:dyDescent="0.25">
      <c r="A8" t="s">
        <v>97</v>
      </c>
      <c r="B8" t="s">
        <v>32</v>
      </c>
      <c r="C8" s="20" t="s">
        <v>98</v>
      </c>
      <c r="D8" s="44">
        <v>1166.9349999999999</v>
      </c>
      <c r="E8" s="21">
        <v>34</v>
      </c>
      <c r="F8" s="50">
        <f t="shared" si="0"/>
        <v>39675.79</v>
      </c>
      <c r="G8" s="50">
        <v>40941.919999999998</v>
      </c>
      <c r="H8" s="54">
        <f t="shared" si="1"/>
        <v>35.085004734625322</v>
      </c>
      <c r="I8" s="50">
        <f t="shared" si="2"/>
        <v>-1266.1299999999974</v>
      </c>
      <c r="J8" s="21">
        <f t="shared" si="3"/>
        <v>-1.085004734625322</v>
      </c>
      <c r="K8" s="23">
        <v>45233</v>
      </c>
      <c r="L8">
        <f t="shared" si="4"/>
        <v>21</v>
      </c>
      <c r="M8" s="3">
        <f t="shared" si="5"/>
        <v>-3.0925027453524344E-2</v>
      </c>
      <c r="N8">
        <v>24</v>
      </c>
      <c r="O8">
        <v>81</v>
      </c>
      <c r="P8" s="27">
        <v>69</v>
      </c>
      <c r="Q8" s="24">
        <v>34.200000000000003</v>
      </c>
      <c r="R8" s="25">
        <f t="shared" si="6"/>
        <v>31.806000000000004</v>
      </c>
      <c r="S8" s="25">
        <v>31.07</v>
      </c>
      <c r="T8" s="28">
        <f t="shared" si="7"/>
        <v>42.75</v>
      </c>
      <c r="U8" s="24">
        <f t="shared" si="8"/>
        <v>51.300000000000004</v>
      </c>
      <c r="V8" s="24">
        <f t="shared" si="9"/>
        <v>68.400000000000006</v>
      </c>
      <c r="W8" s="24">
        <f t="shared" si="10"/>
        <v>32.62905440320155</v>
      </c>
      <c r="X8" s="25">
        <v>32.75</v>
      </c>
      <c r="Y8" s="3">
        <f t="shared" si="11"/>
        <v>-6.655278379714484E-2</v>
      </c>
      <c r="Z8" s="4">
        <f t="shared" si="12"/>
        <v>7.8865994871947259E-2</v>
      </c>
      <c r="AB8" s="26">
        <v>45343</v>
      </c>
      <c r="AC8" s="7">
        <v>91</v>
      </c>
      <c r="AD8" t="s">
        <v>101</v>
      </c>
    </row>
    <row r="9" spans="1:31" x14ac:dyDescent="0.25">
      <c r="A9" t="s">
        <v>99</v>
      </c>
      <c r="B9" t="s">
        <v>32</v>
      </c>
      <c r="C9" s="20" t="s">
        <v>100</v>
      </c>
      <c r="D9" s="44">
        <v>267.84309999999999</v>
      </c>
      <c r="E9" s="21">
        <v>228.42</v>
      </c>
      <c r="F9" s="50">
        <f t="shared" si="0"/>
        <v>61180.720901999994</v>
      </c>
      <c r="G9" s="50">
        <v>61166.239999999998</v>
      </c>
      <c r="H9" s="54">
        <f t="shared" si="1"/>
        <v>228.36593513142583</v>
      </c>
      <c r="I9" s="50">
        <f t="shared" si="2"/>
        <v>14.480901999995694</v>
      </c>
      <c r="J9" s="21">
        <f t="shared" si="3"/>
        <v>5.4064868574158709E-2</v>
      </c>
      <c r="K9" s="23">
        <v>45238</v>
      </c>
      <c r="L9">
        <f t="shared" si="4"/>
        <v>16</v>
      </c>
      <c r="M9" s="3">
        <f t="shared" si="5"/>
        <v>2.3674664324626943E-4</v>
      </c>
      <c r="N9">
        <v>52</v>
      </c>
      <c r="O9">
        <v>89</v>
      </c>
      <c r="P9">
        <v>99</v>
      </c>
      <c r="Q9" s="24">
        <v>223.3</v>
      </c>
      <c r="R9" s="25">
        <f t="shared" si="6"/>
        <v>207.66900000000001</v>
      </c>
      <c r="S9" s="25">
        <v>199.29</v>
      </c>
      <c r="T9" s="24">
        <f t="shared" si="7"/>
        <v>279.125</v>
      </c>
      <c r="U9" s="24">
        <f t="shared" si="8"/>
        <v>334.95000000000005</v>
      </c>
      <c r="V9" s="24">
        <f t="shared" si="9"/>
        <v>446.6</v>
      </c>
      <c r="W9" s="24">
        <f t="shared" si="10"/>
        <v>212.38031967222602</v>
      </c>
      <c r="X9" s="25">
        <v>212</v>
      </c>
      <c r="Y9" s="3">
        <f t="shared" si="11"/>
        <v>-7.1665395813115235E-2</v>
      </c>
      <c r="Z9" s="4">
        <f t="shared" si="12"/>
        <v>0.12161266154799105</v>
      </c>
      <c r="AB9" s="26">
        <v>45349</v>
      </c>
      <c r="AC9" s="7">
        <v>99</v>
      </c>
      <c r="AD9" t="s">
        <v>102</v>
      </c>
    </row>
    <row r="10" spans="1:31" x14ac:dyDescent="0.25">
      <c r="A10" t="s">
        <v>103</v>
      </c>
      <c r="B10" t="s">
        <v>32</v>
      </c>
      <c r="C10" s="20" t="s">
        <v>104</v>
      </c>
      <c r="D10" s="44">
        <v>1160.2601999999999</v>
      </c>
      <c r="E10" s="21">
        <v>18.079999999999998</v>
      </c>
      <c r="F10" s="50">
        <f t="shared" si="0"/>
        <v>20977.504415999996</v>
      </c>
      <c r="G10" s="50">
        <v>20288.830000000002</v>
      </c>
      <c r="H10" s="54">
        <f t="shared" si="1"/>
        <v>17.486448298407549</v>
      </c>
      <c r="I10" s="50">
        <f t="shared" si="2"/>
        <v>688.67441599999438</v>
      </c>
      <c r="J10" s="21">
        <f t="shared" si="3"/>
        <v>0.59355170159244963</v>
      </c>
      <c r="K10" s="23">
        <v>45243</v>
      </c>
      <c r="L10">
        <f t="shared" si="4"/>
        <v>11</v>
      </c>
      <c r="M10" s="3">
        <f t="shared" si="5"/>
        <v>3.3943525378249725E-2</v>
      </c>
      <c r="N10">
        <v>73</v>
      </c>
      <c r="O10">
        <v>94</v>
      </c>
      <c r="P10" s="27">
        <v>74</v>
      </c>
      <c r="Q10" s="24">
        <v>17.32</v>
      </c>
      <c r="R10" s="25">
        <f t="shared" si="6"/>
        <v>16.107600000000001</v>
      </c>
      <c r="S10" s="25">
        <v>17.149999999999999</v>
      </c>
      <c r="T10" s="28">
        <f t="shared" si="7"/>
        <v>21.65</v>
      </c>
      <c r="U10" s="24">
        <f t="shared" si="8"/>
        <v>25.98</v>
      </c>
      <c r="V10" s="24">
        <f t="shared" si="9"/>
        <v>34.64</v>
      </c>
      <c r="W10" s="24">
        <f t="shared" si="10"/>
        <v>16.26239691751902</v>
      </c>
      <c r="X10" s="25">
        <v>16.5</v>
      </c>
      <c r="Y10" s="3">
        <f t="shared" si="11"/>
        <v>-5.641215880856619E-2</v>
      </c>
      <c r="Z10" s="4">
        <f t="shared" si="12"/>
        <v>4.1698268785536639E-2</v>
      </c>
      <c r="AB10" s="26">
        <v>45350</v>
      </c>
      <c r="AC10" s="7">
        <v>84</v>
      </c>
      <c r="AD10" t="s">
        <v>105</v>
      </c>
    </row>
    <row r="11" spans="1:31" x14ac:dyDescent="0.25">
      <c r="A11" t="s">
        <v>106</v>
      </c>
      <c r="B11" t="s">
        <v>32</v>
      </c>
      <c r="C11" s="20" t="s">
        <v>107</v>
      </c>
      <c r="D11" s="44">
        <v>247.90379999999999</v>
      </c>
      <c r="E11" s="21">
        <v>193.21</v>
      </c>
      <c r="F11" s="50">
        <f t="shared" si="0"/>
        <v>47897.493197999996</v>
      </c>
      <c r="G11" s="50">
        <v>50927.29</v>
      </c>
      <c r="H11" s="54">
        <f t="shared" si="1"/>
        <v>205.43166341137169</v>
      </c>
      <c r="I11" s="50">
        <f t="shared" si="2"/>
        <v>-3029.7968020000044</v>
      </c>
      <c r="J11" s="21">
        <f t="shared" si="3"/>
        <v>-12.221663411371679</v>
      </c>
      <c r="K11" s="23">
        <v>45244</v>
      </c>
      <c r="L11">
        <f t="shared" si="4"/>
        <v>10</v>
      </c>
      <c r="M11" s="3">
        <f t="shared" si="5"/>
        <v>-5.9492598212078522E-2</v>
      </c>
      <c r="N11">
        <v>141</v>
      </c>
      <c r="O11">
        <v>94</v>
      </c>
      <c r="P11">
        <v>83</v>
      </c>
      <c r="Q11" s="24">
        <v>201.91</v>
      </c>
      <c r="R11" s="25">
        <f t="shared" si="6"/>
        <v>187.77630000000002</v>
      </c>
      <c r="S11" s="25">
        <v>182.26</v>
      </c>
      <c r="T11" s="28">
        <f t="shared" si="7"/>
        <v>252.38749999999999</v>
      </c>
      <c r="U11" s="24">
        <f t="shared" si="8"/>
        <v>302.86500000000001</v>
      </c>
      <c r="V11" s="24">
        <f t="shared" si="9"/>
        <v>403.82</v>
      </c>
      <c r="W11" s="24">
        <f t="shared" si="10"/>
        <v>191.05144697257566</v>
      </c>
      <c r="X11" s="25">
        <v>190</v>
      </c>
      <c r="Y11" s="3">
        <f t="shared" si="11"/>
        <v>-7.5118232287639974E-2</v>
      </c>
      <c r="Z11" s="4">
        <f t="shared" si="12"/>
        <v>9.520877726524403E-2</v>
      </c>
      <c r="AB11" s="26">
        <v>45348</v>
      </c>
      <c r="AC11" s="7">
        <v>89</v>
      </c>
      <c r="AD11" t="s">
        <v>108</v>
      </c>
    </row>
    <row r="12" spans="1:31" x14ac:dyDescent="0.25">
      <c r="A12" t="s">
        <v>109</v>
      </c>
      <c r="B12" t="s">
        <v>32</v>
      </c>
      <c r="C12" s="20" t="s">
        <v>110</v>
      </c>
      <c r="D12" s="44">
        <v>1006.8806</v>
      </c>
      <c r="E12" s="21">
        <v>19.2</v>
      </c>
      <c r="F12" s="50">
        <f t="shared" si="0"/>
        <v>19332.107519999998</v>
      </c>
      <c r="G12" s="50">
        <v>20479.95</v>
      </c>
      <c r="H12" s="54">
        <f t="shared" si="1"/>
        <v>20.339998605594349</v>
      </c>
      <c r="I12" s="50">
        <f t="shared" si="2"/>
        <v>-1147.842480000003</v>
      </c>
      <c r="J12" s="21">
        <f t="shared" si="3"/>
        <v>-1.1399986055943501</v>
      </c>
      <c r="K12" s="23">
        <v>45245</v>
      </c>
      <c r="L12">
        <f t="shared" si="4"/>
        <v>9</v>
      </c>
      <c r="M12" s="3">
        <f t="shared" si="5"/>
        <v>-5.604713292757077E-2</v>
      </c>
      <c r="N12">
        <v>73</v>
      </c>
      <c r="O12">
        <v>98</v>
      </c>
      <c r="P12" s="27">
        <v>84</v>
      </c>
      <c r="Q12" s="24">
        <v>19.170000000000002</v>
      </c>
      <c r="R12" s="25">
        <f t="shared" si="6"/>
        <v>17.828100000000003</v>
      </c>
      <c r="S12" s="25">
        <v>18.059999999999999</v>
      </c>
      <c r="T12" s="28">
        <f t="shared" si="7"/>
        <v>23.962500000000002</v>
      </c>
      <c r="U12" s="24">
        <f t="shared" si="8"/>
        <v>28.755000000000003</v>
      </c>
      <c r="V12" s="24">
        <f t="shared" si="9"/>
        <v>38.340000000000003</v>
      </c>
      <c r="W12" s="24">
        <f t="shared" si="10"/>
        <v>18.916198703202745</v>
      </c>
      <c r="X12" s="25">
        <v>18.75</v>
      </c>
      <c r="Y12" s="3">
        <f t="shared" si="11"/>
        <v>-7.8171028249580776E-2</v>
      </c>
      <c r="Z12" s="4">
        <f t="shared" si="12"/>
        <v>3.8427612721416586E-2</v>
      </c>
      <c r="AB12" s="26">
        <v>45336</v>
      </c>
      <c r="AC12" s="7">
        <v>97</v>
      </c>
    </row>
    <row r="13" spans="1:31" x14ac:dyDescent="0.25">
      <c r="A13" s="20" t="s">
        <v>44</v>
      </c>
      <c r="B13" s="20" t="s">
        <v>32</v>
      </c>
      <c r="C13" s="20" t="s">
        <v>45</v>
      </c>
      <c r="D13" s="44">
        <v>2223.7800000000002</v>
      </c>
      <c r="E13" s="21">
        <v>91.76</v>
      </c>
      <c r="F13" s="50">
        <f t="shared" si="0"/>
        <v>204054.05280000003</v>
      </c>
      <c r="G13" s="50">
        <v>203698.25</v>
      </c>
      <c r="H13" s="54">
        <f t="shared" si="1"/>
        <v>91.600000899369533</v>
      </c>
      <c r="I13" s="50">
        <f t="shared" si="2"/>
        <v>355.80280000003404</v>
      </c>
      <c r="J13" s="21">
        <f t="shared" si="3"/>
        <v>0.15999910063047196</v>
      </c>
      <c r="K13" s="23"/>
      <c r="M13" s="3">
        <f t="shared" si="5"/>
        <v>1.7467150552350551E-3</v>
      </c>
      <c r="Q13" s="24"/>
      <c r="R13" s="25">
        <f t="shared" si="6"/>
        <v>0</v>
      </c>
      <c r="S13" s="25"/>
      <c r="T13" s="28">
        <f t="shared" si="7"/>
        <v>0</v>
      </c>
      <c r="U13" s="28">
        <f t="shared" si="8"/>
        <v>0</v>
      </c>
      <c r="V13" s="24">
        <f t="shared" si="9"/>
        <v>0</v>
      </c>
      <c r="W13" s="24">
        <f t="shared" si="10"/>
        <v>85.188000836413664</v>
      </c>
      <c r="X13" s="25"/>
      <c r="Y13" s="3">
        <f t="shared" si="11"/>
        <v>-1</v>
      </c>
      <c r="Z13" s="4">
        <f t="shared" si="12"/>
        <v>0.40561072335862397</v>
      </c>
      <c r="AB13" s="26"/>
      <c r="AC13" s="7"/>
    </row>
    <row r="14" spans="1:31" x14ac:dyDescent="0.25">
      <c r="A14" t="s">
        <v>42</v>
      </c>
      <c r="B14" t="s">
        <v>32</v>
      </c>
      <c r="C14" s="20" t="s">
        <v>43</v>
      </c>
      <c r="D14" s="44">
        <v>511.29180000000002</v>
      </c>
      <c r="E14" s="21">
        <v>15.9</v>
      </c>
      <c r="F14" s="50">
        <f t="shared" si="0"/>
        <v>8129.5396200000005</v>
      </c>
      <c r="G14" s="50">
        <v>24797.66</v>
      </c>
      <c r="H14" s="54">
        <f t="shared" si="1"/>
        <v>48.500015059893386</v>
      </c>
      <c r="I14" s="50">
        <f t="shared" si="2"/>
        <v>-16668.12038</v>
      </c>
      <c r="J14" s="21">
        <f t="shared" si="3"/>
        <v>-32.600015059893387</v>
      </c>
      <c r="K14" s="23"/>
      <c r="M14" s="3">
        <f t="shared" si="5"/>
        <v>-0.67216505025070916</v>
      </c>
      <c r="P14" s="27"/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>
        <f t="shared" si="10"/>
        <v>45.105014005700852</v>
      </c>
      <c r="X14" s="25"/>
      <c r="Y14" s="3">
        <f t="shared" si="11"/>
        <v>-1</v>
      </c>
      <c r="Z14" s="4">
        <f t="shared" si="12"/>
        <v>1.6159583211379336E-2</v>
      </c>
      <c r="AB14" s="26"/>
      <c r="AC14" s="7"/>
    </row>
    <row r="15" spans="1:31" x14ac:dyDescent="0.25">
      <c r="A15" s="31"/>
      <c r="B15" s="31"/>
      <c r="C15" s="31"/>
      <c r="D15" s="47"/>
      <c r="E15" s="32"/>
      <c r="F15" s="53">
        <f t="shared" si="0"/>
        <v>0</v>
      </c>
      <c r="G15" s="53"/>
      <c r="H15" s="59" t="e">
        <f t="shared" si="1"/>
        <v>#DIV/0!</v>
      </c>
      <c r="I15" s="53">
        <f t="shared" si="2"/>
        <v>0</v>
      </c>
      <c r="J15" s="32" t="e">
        <f t="shared" si="3"/>
        <v>#DIV/0!</v>
      </c>
      <c r="K15" s="34"/>
      <c r="L15" s="31">
        <f t="shared" ref="L15" si="13">DAYS360(K15,$C$1)</f>
        <v>44604</v>
      </c>
      <c r="M15" s="35" t="e">
        <f t="shared" si="5"/>
        <v>#DIV/0!</v>
      </c>
      <c r="N15" s="31"/>
      <c r="O15" s="31"/>
      <c r="P15" s="31"/>
      <c r="Q15" s="36"/>
      <c r="R15" s="37">
        <f t="shared" si="6"/>
        <v>0</v>
      </c>
      <c r="S15" s="37"/>
      <c r="T15" s="36">
        <f t="shared" si="7"/>
        <v>0</v>
      </c>
      <c r="U15" s="36">
        <f t="shared" si="8"/>
        <v>0</v>
      </c>
      <c r="V15" s="36">
        <f t="shared" si="9"/>
        <v>0</v>
      </c>
      <c r="W15" s="36" t="e">
        <f t="shared" si="10"/>
        <v>#DIV/0!</v>
      </c>
      <c r="X15" s="37"/>
      <c r="Y15" s="35" t="e">
        <f t="shared" si="11"/>
        <v>#DIV/0!</v>
      </c>
      <c r="Z15" s="38">
        <f t="shared" si="12"/>
        <v>0</v>
      </c>
      <c r="AB15" s="39"/>
      <c r="AC15" s="7"/>
    </row>
    <row r="16" spans="1:31" x14ac:dyDescent="0.25">
      <c r="A16" t="s">
        <v>33</v>
      </c>
      <c r="F16" s="50">
        <f>SUM(F6:F15)</f>
        <v>451979.54563200002</v>
      </c>
      <c r="G16" s="50">
        <f>SUM(G6:G15)</f>
        <v>463618.04</v>
      </c>
      <c r="H16" s="54"/>
      <c r="I16" s="50">
        <f>SUM(I6:I15)</f>
        <v>-11638.494367999989</v>
      </c>
      <c r="M16" s="3"/>
      <c r="Z16" s="4"/>
    </row>
    <row r="17" spans="1:26" x14ac:dyDescent="0.25">
      <c r="D17" s="44" t="s">
        <v>34</v>
      </c>
      <c r="F17" s="50">
        <v>51099</v>
      </c>
      <c r="G17" s="4">
        <f>F17/F18</f>
        <v>0.10157260818150396</v>
      </c>
      <c r="H17" s="54"/>
      <c r="M17" s="3"/>
      <c r="Z17" s="4"/>
    </row>
    <row r="18" spans="1:26" x14ac:dyDescent="0.25">
      <c r="D18" s="44" t="s">
        <v>35</v>
      </c>
      <c r="F18" s="50">
        <f>SUM(F16:F17)</f>
        <v>503078.54563200002</v>
      </c>
      <c r="H18" s="60"/>
      <c r="M18" s="3"/>
      <c r="Z18" s="4"/>
    </row>
    <row r="19" spans="1:26" x14ac:dyDescent="0.25">
      <c r="F19" s="54"/>
      <c r="H19" s="60" t="s">
        <v>37</v>
      </c>
      <c r="I19" s="50">
        <f>'11-17-23'!F18</f>
        <v>508409.69404799998</v>
      </c>
      <c r="K19" s="1">
        <v>45107</v>
      </c>
      <c r="L19" s="64">
        <v>509801</v>
      </c>
      <c r="M19" s="3"/>
      <c r="Z19" s="4"/>
    </row>
    <row r="20" spans="1:26" x14ac:dyDescent="0.25">
      <c r="F20" s="55"/>
      <c r="G20" s="58"/>
      <c r="H20" s="54" t="s">
        <v>39</v>
      </c>
      <c r="I20" s="4">
        <f>(F18-I19)/I19</f>
        <v>-1.0485929907340886E-2</v>
      </c>
      <c r="K20" s="7" t="s">
        <v>73</v>
      </c>
      <c r="L20" s="4">
        <f>(F18-L19)/L19</f>
        <v>-1.3186428367147136E-2</v>
      </c>
      <c r="Z20" s="4"/>
    </row>
    <row r="22" spans="1:26" x14ac:dyDescent="0.25">
      <c r="D22" s="7"/>
      <c r="E22" s="7"/>
      <c r="F22" s="56"/>
      <c r="I22" s="51"/>
      <c r="J22" s="7"/>
      <c r="K22" s="7"/>
      <c r="L22" s="7"/>
      <c r="M22" s="9" t="s">
        <v>46</v>
      </c>
    </row>
    <row r="23" spans="1:26" x14ac:dyDescent="0.25">
      <c r="A23" s="49" t="s">
        <v>54</v>
      </c>
      <c r="D23" s="19" t="s">
        <v>17</v>
      </c>
      <c r="E23" s="19" t="s">
        <v>47</v>
      </c>
      <c r="F23" s="57" t="s">
        <v>48</v>
      </c>
      <c r="G23" s="57" t="s">
        <v>50</v>
      </c>
      <c r="H23" s="57" t="s">
        <v>49</v>
      </c>
      <c r="I23" s="57" t="s">
        <v>51</v>
      </c>
      <c r="J23" s="19" t="s">
        <v>12</v>
      </c>
      <c r="K23" s="19" t="s">
        <v>22</v>
      </c>
      <c r="L23" s="19" t="s">
        <v>52</v>
      </c>
      <c r="M23" s="19" t="s">
        <v>53</v>
      </c>
      <c r="N23" s="1"/>
      <c r="P23" s="7" t="s">
        <v>55</v>
      </c>
    </row>
    <row r="24" spans="1:26" x14ac:dyDescent="0.25">
      <c r="J24" s="3"/>
    </row>
    <row r="25" spans="1:26" x14ac:dyDescent="0.25">
      <c r="A25" t="s">
        <v>60</v>
      </c>
      <c r="B25" t="s">
        <v>32</v>
      </c>
      <c r="C25" s="20" t="s">
        <v>61</v>
      </c>
      <c r="D25" s="44">
        <v>665.97389999999996</v>
      </c>
      <c r="E25" s="50">
        <f t="shared" ref="E25:E33" si="14">F25/D25</f>
        <v>76.621621357834002</v>
      </c>
      <c r="F25" s="50">
        <v>51028</v>
      </c>
      <c r="G25" s="50">
        <v>45324.79</v>
      </c>
      <c r="H25" s="50">
        <f t="shared" ref="H25:H33" si="15">G25/D25</f>
        <v>68.057907374448163</v>
      </c>
      <c r="I25" s="50">
        <f t="shared" ref="I25:I33" si="16">G25-F25</f>
        <v>-5703.2099999999991</v>
      </c>
      <c r="J25" s="3">
        <f t="shared" ref="J25:J33" si="17">I25/F25</f>
        <v>-0.11176628517676568</v>
      </c>
      <c r="K25" s="61">
        <v>45106</v>
      </c>
      <c r="L25" s="61">
        <v>45132</v>
      </c>
      <c r="M25">
        <f t="shared" ref="M25:M33" si="18">DAYS360(K25,L25)</f>
        <v>26</v>
      </c>
      <c r="O25" t="s">
        <v>66</v>
      </c>
    </row>
    <row r="26" spans="1:26" x14ac:dyDescent="0.25">
      <c r="A26" t="s">
        <v>40</v>
      </c>
      <c r="B26" t="s">
        <v>32</v>
      </c>
      <c r="C26" s="20" t="s">
        <v>41</v>
      </c>
      <c r="D26" s="44">
        <v>123.3931</v>
      </c>
      <c r="E26" s="50">
        <f t="shared" si="14"/>
        <v>413.24004340599271</v>
      </c>
      <c r="F26" s="50">
        <v>50990.97</v>
      </c>
      <c r="G26" s="50">
        <v>48894.94</v>
      </c>
      <c r="H26" s="50">
        <f t="shared" si="15"/>
        <v>396.25343718570974</v>
      </c>
      <c r="I26" s="50">
        <f t="shared" si="16"/>
        <v>-2096.0299999999988</v>
      </c>
      <c r="J26" s="3">
        <f t="shared" si="17"/>
        <v>-4.1105905614268544E-2</v>
      </c>
      <c r="K26" s="61">
        <v>45104</v>
      </c>
      <c r="L26" s="61">
        <v>45138</v>
      </c>
      <c r="M26">
        <f t="shared" si="18"/>
        <v>34</v>
      </c>
      <c r="O26" t="s">
        <v>69</v>
      </c>
    </row>
    <row r="27" spans="1:26" x14ac:dyDescent="0.25">
      <c r="A27" t="s">
        <v>56</v>
      </c>
      <c r="B27" t="s">
        <v>32</v>
      </c>
      <c r="C27" s="20" t="s">
        <v>57</v>
      </c>
      <c r="D27" s="44">
        <v>278.20080000000002</v>
      </c>
      <c r="E27" s="50">
        <f t="shared" si="14"/>
        <v>128.41001895034088</v>
      </c>
      <c r="F27" s="50">
        <v>35723.769999999997</v>
      </c>
      <c r="G27" s="50">
        <v>34855.72</v>
      </c>
      <c r="H27" s="50">
        <f t="shared" si="15"/>
        <v>125.28979068356381</v>
      </c>
      <c r="I27" s="50">
        <f t="shared" si="16"/>
        <v>-868.04999999999563</v>
      </c>
      <c r="J27" s="3">
        <f t="shared" si="17"/>
        <v>-2.4298947171588994E-2</v>
      </c>
      <c r="K27" s="61">
        <v>45106</v>
      </c>
      <c r="L27" s="61">
        <v>45138</v>
      </c>
      <c r="M27">
        <f t="shared" si="18"/>
        <v>32</v>
      </c>
      <c r="O27" t="s">
        <v>71</v>
      </c>
    </row>
    <row r="28" spans="1:26" x14ac:dyDescent="0.25">
      <c r="A28" t="s">
        <v>82</v>
      </c>
      <c r="B28" t="s">
        <v>32</v>
      </c>
      <c r="C28" s="20" t="s">
        <v>83</v>
      </c>
      <c r="D28" s="44">
        <v>1007.1459</v>
      </c>
      <c r="E28" s="50">
        <f t="shared" si="14"/>
        <v>20.954908320631599</v>
      </c>
      <c r="F28" s="50">
        <v>21104.65</v>
      </c>
      <c r="G28" s="50">
        <v>18099.32</v>
      </c>
      <c r="H28" s="50">
        <f t="shared" si="15"/>
        <v>17.970901733303982</v>
      </c>
      <c r="I28" s="50">
        <f t="shared" si="16"/>
        <v>-3005.3300000000017</v>
      </c>
      <c r="J28" s="3">
        <f t="shared" si="17"/>
        <v>-0.14240131914056861</v>
      </c>
      <c r="K28" s="61">
        <v>45181</v>
      </c>
      <c r="L28" s="61">
        <v>45183</v>
      </c>
      <c r="M28">
        <f t="shared" si="18"/>
        <v>2</v>
      </c>
      <c r="O28" t="s">
        <v>84</v>
      </c>
    </row>
    <row r="29" spans="1:26" x14ac:dyDescent="0.25">
      <c r="A29" t="s">
        <v>63</v>
      </c>
      <c r="B29" t="s">
        <v>32</v>
      </c>
      <c r="C29" s="20" t="s">
        <v>64</v>
      </c>
      <c r="D29" s="44">
        <v>115.8536</v>
      </c>
      <c r="E29" s="50">
        <f t="shared" si="14"/>
        <v>442.16001919664131</v>
      </c>
      <c r="F29" s="50">
        <v>51225.83</v>
      </c>
      <c r="G29" s="50">
        <v>52055.28</v>
      </c>
      <c r="H29" s="50">
        <f t="shared" si="15"/>
        <v>449.31948597195077</v>
      </c>
      <c r="I29" s="50">
        <f t="shared" si="16"/>
        <v>829.44999999999709</v>
      </c>
      <c r="J29" s="3">
        <f t="shared" si="17"/>
        <v>1.6192026561599824E-2</v>
      </c>
      <c r="K29" s="61">
        <v>45117</v>
      </c>
      <c r="L29" s="61">
        <v>45184</v>
      </c>
      <c r="M29" s="63">
        <f t="shared" si="18"/>
        <v>65</v>
      </c>
      <c r="O29" t="s">
        <v>86</v>
      </c>
    </row>
    <row r="30" spans="1:26" x14ac:dyDescent="0.25">
      <c r="A30" t="s">
        <v>79</v>
      </c>
      <c r="B30" t="s">
        <v>32</v>
      </c>
      <c r="C30" s="20" t="s">
        <v>80</v>
      </c>
      <c r="D30" s="44">
        <v>507.0754</v>
      </c>
      <c r="E30" s="50">
        <f t="shared" si="14"/>
        <v>81.153611474743201</v>
      </c>
      <c r="F30" s="50">
        <v>41151</v>
      </c>
      <c r="G30" s="50">
        <v>38871.01</v>
      </c>
      <c r="H30" s="50">
        <f t="shared" si="15"/>
        <v>76.657258466886788</v>
      </c>
      <c r="I30" s="50">
        <f t="shared" si="16"/>
        <v>-2279.989999999998</v>
      </c>
      <c r="J30" s="3">
        <f t="shared" si="17"/>
        <v>-5.5405457947558939E-2</v>
      </c>
      <c r="K30" s="61">
        <v>45167</v>
      </c>
      <c r="L30" s="61">
        <v>45216</v>
      </c>
      <c r="M30" s="63">
        <f t="shared" si="18"/>
        <v>48</v>
      </c>
      <c r="O30" t="s">
        <v>95</v>
      </c>
    </row>
    <row r="31" spans="1:26" x14ac:dyDescent="0.25">
      <c r="A31" t="s">
        <v>90</v>
      </c>
      <c r="B31" t="s">
        <v>32</v>
      </c>
      <c r="C31" s="20" t="s">
        <v>91</v>
      </c>
      <c r="D31" s="44">
        <v>306.1703</v>
      </c>
      <c r="E31" s="50">
        <f t="shared" si="14"/>
        <v>170.32671033081917</v>
      </c>
      <c r="F31" s="50">
        <v>52148.98</v>
      </c>
      <c r="G31" s="50">
        <v>49351.519999999997</v>
      </c>
      <c r="H31" s="50">
        <f t="shared" si="15"/>
        <v>161.18976922320681</v>
      </c>
      <c r="I31" s="50">
        <f t="shared" si="16"/>
        <v>-2797.4600000000064</v>
      </c>
      <c r="J31" s="3">
        <f t="shared" si="17"/>
        <v>-5.3643618724661654E-2</v>
      </c>
      <c r="K31" s="61">
        <v>45208</v>
      </c>
      <c r="L31" s="61">
        <v>45219</v>
      </c>
      <c r="M31" s="63">
        <f t="shared" si="18"/>
        <v>11</v>
      </c>
      <c r="O31" t="s">
        <v>93</v>
      </c>
    </row>
    <row r="32" spans="1:26" x14ac:dyDescent="0.25">
      <c r="A32" t="s">
        <v>87</v>
      </c>
      <c r="B32" t="s">
        <v>32</v>
      </c>
      <c r="C32" s="20" t="s">
        <v>88</v>
      </c>
      <c r="D32" s="44">
        <v>239.91579999999999</v>
      </c>
      <c r="E32" s="50">
        <f t="shared" si="14"/>
        <v>173.89088171766929</v>
      </c>
      <c r="F32" s="50">
        <v>41719.17</v>
      </c>
      <c r="G32" s="50">
        <v>36026.28</v>
      </c>
      <c r="H32" s="50">
        <f t="shared" si="15"/>
        <v>150.16218189881616</v>
      </c>
      <c r="I32" s="50">
        <f t="shared" si="16"/>
        <v>-5692.8899999999994</v>
      </c>
      <c r="J32" s="3">
        <f t="shared" si="17"/>
        <v>-0.13645741274335035</v>
      </c>
      <c r="K32" s="61">
        <v>45208</v>
      </c>
      <c r="L32" s="61">
        <v>45219</v>
      </c>
      <c r="M32" s="63">
        <f t="shared" si="18"/>
        <v>11</v>
      </c>
      <c r="O32" t="s">
        <v>94</v>
      </c>
    </row>
    <row r="33" spans="1:15" x14ac:dyDescent="0.25">
      <c r="A33" t="s">
        <v>74</v>
      </c>
      <c r="B33" t="s">
        <v>32</v>
      </c>
      <c r="C33" s="20" t="s">
        <v>75</v>
      </c>
      <c r="D33" s="44">
        <v>266.87329999999997</v>
      </c>
      <c r="E33" s="50">
        <f t="shared" si="14"/>
        <v>151.47948483418912</v>
      </c>
      <c r="F33" s="50">
        <v>40425.83</v>
      </c>
      <c r="G33" s="50">
        <v>40616.769999999997</v>
      </c>
      <c r="H33" s="50">
        <f t="shared" si="15"/>
        <v>152.19495543390815</v>
      </c>
      <c r="I33" s="50">
        <f t="shared" si="16"/>
        <v>190.93999999999505</v>
      </c>
      <c r="J33" s="3">
        <f t="shared" si="17"/>
        <v>4.7232178040622803E-3</v>
      </c>
      <c r="K33" s="61">
        <v>45153</v>
      </c>
      <c r="L33" s="61">
        <v>45224</v>
      </c>
      <c r="M33" s="63">
        <f t="shared" si="18"/>
        <v>70</v>
      </c>
      <c r="O33" t="s">
        <v>96</v>
      </c>
    </row>
    <row r="34" spans="1:15" x14ac:dyDescent="0.25">
      <c r="I34" s="50">
        <f>SUM(I25:I33)</f>
        <v>-21422.570000000007</v>
      </c>
      <c r="J34" s="9" t="s">
        <v>78</v>
      </c>
    </row>
    <row r="35" spans="1:15" x14ac:dyDescent="0.25">
      <c r="H35" s="50" t="s">
        <v>77</v>
      </c>
      <c r="I35" s="62">
        <v>7</v>
      </c>
      <c r="J35" s="3">
        <v>-8.0799999999999997E-2</v>
      </c>
    </row>
    <row r="36" spans="1:15" x14ac:dyDescent="0.25">
      <c r="H36" s="50" t="s">
        <v>85</v>
      </c>
      <c r="I36" s="62">
        <v>2</v>
      </c>
      <c r="J36" s="3">
        <v>1.0500000000000001E-2</v>
      </c>
    </row>
    <row r="37" spans="1:15" x14ac:dyDescent="0.25">
      <c r="J37" s="3"/>
    </row>
    <row r="38" spans="1:15" x14ac:dyDescent="0.25">
      <c r="J38" s="3"/>
    </row>
    <row r="39" spans="1:15" x14ac:dyDescent="0.25">
      <c r="J39" s="3"/>
    </row>
    <row r="40" spans="1:15" x14ac:dyDescent="0.25">
      <c r="J40" s="3"/>
    </row>
    <row r="41" spans="1:15" x14ac:dyDescent="0.25">
      <c r="J41" s="3"/>
    </row>
    <row r="42" spans="1:15" x14ac:dyDescent="0.25">
      <c r="J42" s="3"/>
    </row>
    <row r="43" spans="1:15" x14ac:dyDescent="0.25">
      <c r="J43" s="3"/>
    </row>
    <row r="44" spans="1:15" x14ac:dyDescent="0.25">
      <c r="J44" s="3"/>
    </row>
    <row r="45" spans="1:15" x14ac:dyDescent="0.25">
      <c r="J45" s="3"/>
    </row>
    <row r="46" spans="1:15" x14ac:dyDescent="0.25">
      <c r="J46" s="3"/>
    </row>
    <row r="47" spans="1:15" x14ac:dyDescent="0.25">
      <c r="J47" s="3"/>
    </row>
    <row r="48" spans="1:15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  <row r="189" spans="10:10" x14ac:dyDescent="0.25">
      <c r="J189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DCB8-5D82-4F75-990C-B82BFA1412C5}">
  <dimension ref="A1:AE189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45261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24.24</v>
      </c>
      <c r="F7" s="50">
        <f t="shared" ref="F7:F15" si="0">E7*D7</f>
        <v>48877.25966399999</v>
      </c>
      <c r="G7" s="50">
        <f>25318.9+15999</f>
        <v>41317.9</v>
      </c>
      <c r="H7" s="54">
        <f t="shared" ref="H7:H15" si="1">G7/D7</f>
        <v>20.491040268725982</v>
      </c>
      <c r="I7" s="50">
        <f t="shared" ref="I7:I15" si="2">F7-G7</f>
        <v>7559.3596639999887</v>
      </c>
      <c r="J7" s="21">
        <f t="shared" ref="J7:J15" si="3">E7-H7</f>
        <v>3.7489597312740166</v>
      </c>
      <c r="K7" s="23">
        <v>45135</v>
      </c>
      <c r="L7">
        <f t="shared" ref="L7:L12" si="4">DAYS360(K7,$C$1)</f>
        <v>123</v>
      </c>
      <c r="M7" s="3">
        <f t="shared" ref="M7:M15" si="5">(I7/G7)</f>
        <v>0.18295604723376524</v>
      </c>
      <c r="N7">
        <v>96</v>
      </c>
      <c r="O7">
        <v>95</v>
      </c>
      <c r="P7">
        <v>98</v>
      </c>
      <c r="Q7" s="24">
        <v>19.48</v>
      </c>
      <c r="R7" s="25">
        <f t="shared" ref="R7:R15" si="6">Q7*0.93</f>
        <v>18.116400000000002</v>
      </c>
      <c r="S7" s="25">
        <v>23.61</v>
      </c>
      <c r="T7" s="28">
        <f t="shared" ref="T7:T15" si="7">Q7*1.25</f>
        <v>24.35</v>
      </c>
      <c r="U7" s="24">
        <f t="shared" ref="U7:U15" si="8">Q7*1.5</f>
        <v>29.22</v>
      </c>
      <c r="V7" s="24">
        <f t="shared" ref="V7:V15" si="9">Q7*2</f>
        <v>38.96</v>
      </c>
      <c r="W7" s="24">
        <f t="shared" ref="W7:W15" si="10">H7-(H7*0.07)</f>
        <v>19.056667449915164</v>
      </c>
      <c r="X7" s="25">
        <v>26</v>
      </c>
      <c r="Y7" s="3">
        <f t="shared" ref="Y7:Y15" si="11">(X7-H7)/H7</f>
        <v>0.26884724538275157</v>
      </c>
      <c r="Z7" s="29">
        <f t="shared" ref="Z7:Z15" si="12">F7/F$18</f>
        <v>9.6849243367387872E-2</v>
      </c>
      <c r="AA7" s="7"/>
      <c r="AB7" s="26">
        <v>45350</v>
      </c>
      <c r="AC7" s="7">
        <v>97</v>
      </c>
      <c r="AD7" t="s">
        <v>72</v>
      </c>
    </row>
    <row r="8" spans="1:31" x14ac:dyDescent="0.25">
      <c r="A8" t="s">
        <v>97</v>
      </c>
      <c r="B8" t="s">
        <v>32</v>
      </c>
      <c r="C8" s="20" t="s">
        <v>98</v>
      </c>
      <c r="D8" s="44">
        <v>1166.9349999999999</v>
      </c>
      <c r="E8" s="21">
        <v>34.869999999999997</v>
      </c>
      <c r="F8" s="50">
        <f t="shared" si="0"/>
        <v>40691.023449999993</v>
      </c>
      <c r="G8" s="50">
        <v>40941.919999999998</v>
      </c>
      <c r="H8" s="54">
        <f t="shared" si="1"/>
        <v>35.085004734625322</v>
      </c>
      <c r="I8" s="50">
        <f t="shared" si="2"/>
        <v>-250.89655000000494</v>
      </c>
      <c r="J8" s="21">
        <f t="shared" si="3"/>
        <v>-0.21500473462532455</v>
      </c>
      <c r="K8" s="23">
        <v>45233</v>
      </c>
      <c r="L8">
        <f t="shared" si="4"/>
        <v>28</v>
      </c>
      <c r="M8" s="3">
        <f t="shared" si="5"/>
        <v>-6.1281090383647112E-3</v>
      </c>
      <c r="N8">
        <v>28</v>
      </c>
      <c r="O8">
        <v>83</v>
      </c>
      <c r="P8" s="27">
        <v>69</v>
      </c>
      <c r="Q8" s="24">
        <v>34.200000000000003</v>
      </c>
      <c r="R8" s="25">
        <f t="shared" si="6"/>
        <v>31.806000000000004</v>
      </c>
      <c r="S8" s="25">
        <v>31.07</v>
      </c>
      <c r="T8" s="28">
        <f t="shared" si="7"/>
        <v>42.75</v>
      </c>
      <c r="U8" s="24">
        <f t="shared" si="8"/>
        <v>51.300000000000004</v>
      </c>
      <c r="V8" s="24">
        <f t="shared" si="9"/>
        <v>68.400000000000006</v>
      </c>
      <c r="W8" s="24">
        <f t="shared" si="10"/>
        <v>32.62905440320155</v>
      </c>
      <c r="X8" s="25">
        <v>32.75</v>
      </c>
      <c r="Y8" s="3">
        <f t="shared" si="11"/>
        <v>-6.655278379714484E-2</v>
      </c>
      <c r="Z8" s="4">
        <f t="shared" si="12"/>
        <v>8.0628391609273445E-2</v>
      </c>
      <c r="AB8" s="26">
        <v>45343</v>
      </c>
      <c r="AC8" s="7">
        <v>93</v>
      </c>
      <c r="AD8" t="s">
        <v>101</v>
      </c>
    </row>
    <row r="9" spans="1:31" x14ac:dyDescent="0.25">
      <c r="A9" t="s">
        <v>99</v>
      </c>
      <c r="B9" t="s">
        <v>32</v>
      </c>
      <c r="C9" s="20" t="s">
        <v>100</v>
      </c>
      <c r="D9" s="44">
        <v>267.84309999999999</v>
      </c>
      <c r="E9" s="21">
        <v>231.51</v>
      </c>
      <c r="F9" s="50">
        <f t="shared" si="0"/>
        <v>62008.356080999998</v>
      </c>
      <c r="G9" s="50">
        <v>61166.239999999998</v>
      </c>
      <c r="H9" s="54">
        <f t="shared" si="1"/>
        <v>228.36593513142583</v>
      </c>
      <c r="I9" s="50">
        <f t="shared" si="2"/>
        <v>842.11608100000012</v>
      </c>
      <c r="J9" s="21">
        <f t="shared" si="3"/>
        <v>3.1440648685741621</v>
      </c>
      <c r="K9" s="23">
        <v>45238</v>
      </c>
      <c r="L9">
        <f t="shared" si="4"/>
        <v>23</v>
      </c>
      <c r="M9" s="3">
        <f t="shared" si="5"/>
        <v>1.3767661392951408E-2</v>
      </c>
      <c r="N9">
        <v>35</v>
      </c>
      <c r="O9">
        <v>85</v>
      </c>
      <c r="P9">
        <v>99</v>
      </c>
      <c r="Q9" s="24">
        <v>223.3</v>
      </c>
      <c r="R9" s="25">
        <f t="shared" si="6"/>
        <v>207.66900000000001</v>
      </c>
      <c r="S9" s="25">
        <v>199.29</v>
      </c>
      <c r="T9" s="24">
        <f t="shared" si="7"/>
        <v>279.125</v>
      </c>
      <c r="U9" s="24">
        <f t="shared" si="8"/>
        <v>334.95000000000005</v>
      </c>
      <c r="V9" s="24">
        <f t="shared" si="9"/>
        <v>446.6</v>
      </c>
      <c r="W9" s="24">
        <f t="shared" si="10"/>
        <v>212.38031967222602</v>
      </c>
      <c r="X9" s="25">
        <v>212</v>
      </c>
      <c r="Y9" s="3">
        <f t="shared" si="11"/>
        <v>-7.1665395813115235E-2</v>
      </c>
      <c r="Z9" s="4">
        <f t="shared" si="12"/>
        <v>0.12286822972859242</v>
      </c>
      <c r="AB9" s="26">
        <v>45349</v>
      </c>
      <c r="AC9" s="7">
        <v>99</v>
      </c>
      <c r="AD9" t="s">
        <v>102</v>
      </c>
    </row>
    <row r="10" spans="1:31" x14ac:dyDescent="0.25">
      <c r="A10" t="s">
        <v>103</v>
      </c>
      <c r="B10" t="s">
        <v>32</v>
      </c>
      <c r="C10" s="20" t="s">
        <v>104</v>
      </c>
      <c r="D10" s="44">
        <f>1160.2602+1046.0778</f>
        <v>2206.3379999999997</v>
      </c>
      <c r="E10" s="21">
        <v>18.5</v>
      </c>
      <c r="F10" s="50">
        <f t="shared" si="0"/>
        <v>40817.252999999997</v>
      </c>
      <c r="G10" s="50">
        <f>20288.83+19170.47</f>
        <v>39459.300000000003</v>
      </c>
      <c r="H10" s="54">
        <f t="shared" si="1"/>
        <v>17.884521773182534</v>
      </c>
      <c r="I10" s="50">
        <f t="shared" si="2"/>
        <v>1357.9529999999941</v>
      </c>
      <c r="J10" s="21">
        <f t="shared" si="3"/>
        <v>0.61547822681746567</v>
      </c>
      <c r="K10" s="23">
        <v>45243</v>
      </c>
      <c r="L10">
        <f t="shared" si="4"/>
        <v>18</v>
      </c>
      <c r="M10" s="3">
        <f t="shared" si="5"/>
        <v>3.4414016467600637E-2</v>
      </c>
      <c r="N10">
        <v>51</v>
      </c>
      <c r="O10">
        <v>93</v>
      </c>
      <c r="P10" s="27">
        <v>74</v>
      </c>
      <c r="Q10" s="24">
        <v>17.32</v>
      </c>
      <c r="R10" s="25">
        <f t="shared" si="6"/>
        <v>16.107600000000001</v>
      </c>
      <c r="S10" s="25">
        <v>17.149999999999999</v>
      </c>
      <c r="T10" s="28">
        <f t="shared" si="7"/>
        <v>21.65</v>
      </c>
      <c r="U10" s="24">
        <f t="shared" si="8"/>
        <v>25.98</v>
      </c>
      <c r="V10" s="24">
        <f t="shared" si="9"/>
        <v>34.64</v>
      </c>
      <c r="W10" s="24">
        <f t="shared" si="10"/>
        <v>16.632605249059758</v>
      </c>
      <c r="X10" s="25">
        <v>16.5</v>
      </c>
      <c r="Y10" s="3">
        <f t="shared" si="11"/>
        <v>-7.7414525853221061E-2</v>
      </c>
      <c r="Z10" s="4">
        <f t="shared" si="12"/>
        <v>8.087851275952096E-2</v>
      </c>
      <c r="AB10" s="26">
        <v>45350</v>
      </c>
      <c r="AC10" s="7">
        <v>86</v>
      </c>
      <c r="AD10" t="s">
        <v>105</v>
      </c>
    </row>
    <row r="11" spans="1:31" x14ac:dyDescent="0.25">
      <c r="A11" t="s">
        <v>106</v>
      </c>
      <c r="B11" t="s">
        <v>32</v>
      </c>
      <c r="C11" s="20" t="s">
        <v>107</v>
      </c>
      <c r="D11" s="44">
        <v>247.90379999999999</v>
      </c>
      <c r="E11" s="21">
        <v>187.83</v>
      </c>
      <c r="F11" s="50">
        <f t="shared" si="0"/>
        <v>46563.770754000005</v>
      </c>
      <c r="G11" s="50">
        <v>50927.29</v>
      </c>
      <c r="H11" s="54">
        <f t="shared" si="1"/>
        <v>205.43166341137169</v>
      </c>
      <c r="I11" s="50">
        <f t="shared" si="2"/>
        <v>-4363.5192459999962</v>
      </c>
      <c r="J11" s="21">
        <f t="shared" si="3"/>
        <v>-17.601663411371675</v>
      </c>
      <c r="K11" s="23">
        <v>45244</v>
      </c>
      <c r="L11">
        <f t="shared" si="4"/>
        <v>17</v>
      </c>
      <c r="M11" s="3">
        <f t="shared" si="5"/>
        <v>-8.5681355634670456E-2</v>
      </c>
      <c r="N11">
        <v>149</v>
      </c>
      <c r="O11">
        <v>92</v>
      </c>
      <c r="P11">
        <v>83</v>
      </c>
      <c r="Q11" s="24">
        <v>201.91</v>
      </c>
      <c r="R11" s="25">
        <f t="shared" si="6"/>
        <v>187.77630000000002</v>
      </c>
      <c r="S11" s="25">
        <v>182.26</v>
      </c>
      <c r="T11" s="28">
        <f t="shared" si="7"/>
        <v>252.38749999999999</v>
      </c>
      <c r="U11" s="24">
        <f t="shared" si="8"/>
        <v>302.86500000000001</v>
      </c>
      <c r="V11" s="24">
        <f t="shared" si="9"/>
        <v>403.82</v>
      </c>
      <c r="W11" s="24">
        <f t="shared" si="10"/>
        <v>191.05144697257566</v>
      </c>
      <c r="X11" s="25">
        <v>190</v>
      </c>
      <c r="Y11" s="3">
        <f t="shared" si="11"/>
        <v>-7.5118232287639974E-2</v>
      </c>
      <c r="Z11" s="4">
        <f t="shared" si="12"/>
        <v>9.226511463323607E-2</v>
      </c>
      <c r="AB11" s="26">
        <v>45348</v>
      </c>
      <c r="AC11" s="7">
        <v>85</v>
      </c>
      <c r="AD11" t="s">
        <v>108</v>
      </c>
    </row>
    <row r="12" spans="1:31" x14ac:dyDescent="0.25">
      <c r="A12" t="s">
        <v>109</v>
      </c>
      <c r="B12" t="s">
        <v>32</v>
      </c>
      <c r="C12" s="20" t="s">
        <v>110</v>
      </c>
      <c r="D12" s="44">
        <f>1006.8806+1065.4202</f>
        <v>2072.3008</v>
      </c>
      <c r="E12" s="21">
        <v>20.27</v>
      </c>
      <c r="F12" s="50">
        <f t="shared" si="0"/>
        <v>42005.537215999997</v>
      </c>
      <c r="G12" s="50">
        <f>20479.95+20765.04</f>
        <v>41244.990000000005</v>
      </c>
      <c r="H12" s="54">
        <f t="shared" si="1"/>
        <v>19.902993812481281</v>
      </c>
      <c r="I12" s="50">
        <f t="shared" si="2"/>
        <v>760.54721599999175</v>
      </c>
      <c r="J12" s="21">
        <f t="shared" si="3"/>
        <v>0.36700618751871872</v>
      </c>
      <c r="K12" s="23">
        <v>45245</v>
      </c>
      <c r="L12">
        <f t="shared" si="4"/>
        <v>16</v>
      </c>
      <c r="M12" s="3">
        <f t="shared" si="5"/>
        <v>1.8439747857860837E-2</v>
      </c>
      <c r="N12">
        <v>51</v>
      </c>
      <c r="O12">
        <v>99</v>
      </c>
      <c r="P12" s="27">
        <v>84</v>
      </c>
      <c r="Q12" s="24">
        <v>19.170000000000002</v>
      </c>
      <c r="R12" s="25">
        <f t="shared" si="6"/>
        <v>17.828100000000003</v>
      </c>
      <c r="S12" s="25">
        <v>18.059999999999999</v>
      </c>
      <c r="T12" s="28">
        <f t="shared" si="7"/>
        <v>23.962500000000002</v>
      </c>
      <c r="U12" s="24">
        <f t="shared" si="8"/>
        <v>28.755000000000003</v>
      </c>
      <c r="V12" s="24">
        <f t="shared" si="9"/>
        <v>38.340000000000003</v>
      </c>
      <c r="W12" s="24">
        <f t="shared" si="10"/>
        <v>18.509784245607591</v>
      </c>
      <c r="X12" s="25">
        <v>18.75</v>
      </c>
      <c r="Y12" s="3">
        <f t="shared" si="11"/>
        <v>-5.7930672307109486E-2</v>
      </c>
      <c r="Z12" s="4">
        <f t="shared" si="12"/>
        <v>8.3233072487626458E-2</v>
      </c>
      <c r="AB12" s="26">
        <v>45336</v>
      </c>
      <c r="AC12" s="7">
        <v>98</v>
      </c>
    </row>
    <row r="13" spans="1:31" x14ac:dyDescent="0.25">
      <c r="A13" s="20" t="s">
        <v>44</v>
      </c>
      <c r="B13" s="20" t="s">
        <v>32</v>
      </c>
      <c r="C13" s="20" t="s">
        <v>45</v>
      </c>
      <c r="D13" s="44">
        <v>2223.7800000000002</v>
      </c>
      <c r="E13" s="21">
        <v>91.44</v>
      </c>
      <c r="F13" s="50">
        <f t="shared" si="0"/>
        <v>203342.44320000001</v>
      </c>
      <c r="G13" s="50">
        <v>203698.25</v>
      </c>
      <c r="H13" s="54">
        <f t="shared" si="1"/>
        <v>91.600000899369533</v>
      </c>
      <c r="I13" s="50">
        <f t="shared" si="2"/>
        <v>-355.8067999999912</v>
      </c>
      <c r="J13" s="21">
        <f t="shared" si="3"/>
        <v>-0.16000089936953543</v>
      </c>
      <c r="K13" s="23"/>
      <c r="M13" s="3">
        <f t="shared" si="5"/>
        <v>-1.7467346921242141E-3</v>
      </c>
      <c r="Q13" s="24"/>
      <c r="R13" s="25">
        <f t="shared" si="6"/>
        <v>0</v>
      </c>
      <c r="S13" s="25"/>
      <c r="T13" s="28">
        <f t="shared" si="7"/>
        <v>0</v>
      </c>
      <c r="U13" s="28">
        <f t="shared" si="8"/>
        <v>0</v>
      </c>
      <c r="V13" s="24">
        <f t="shared" si="9"/>
        <v>0</v>
      </c>
      <c r="W13" s="24">
        <f t="shared" si="10"/>
        <v>85.188000836413664</v>
      </c>
      <c r="X13" s="25"/>
      <c r="Y13" s="3">
        <f t="shared" si="11"/>
        <v>-1</v>
      </c>
      <c r="Z13" s="4">
        <f t="shared" si="12"/>
        <v>0.40291869682909254</v>
      </c>
      <c r="AB13" s="26"/>
      <c r="AC13" s="7"/>
    </row>
    <row r="14" spans="1:31" x14ac:dyDescent="0.25">
      <c r="A14" t="s">
        <v>42</v>
      </c>
      <c r="B14" t="s">
        <v>32</v>
      </c>
      <c r="C14" s="20" t="s">
        <v>43</v>
      </c>
      <c r="D14" s="44">
        <v>511.29180000000002</v>
      </c>
      <c r="E14" s="21">
        <v>15.94</v>
      </c>
      <c r="F14" s="50">
        <f t="shared" si="0"/>
        <v>8149.9912919999997</v>
      </c>
      <c r="G14" s="50">
        <v>24797.66</v>
      </c>
      <c r="H14" s="54">
        <f t="shared" si="1"/>
        <v>48.500015059893386</v>
      </c>
      <c r="I14" s="50">
        <f t="shared" si="2"/>
        <v>-16647.668708000001</v>
      </c>
      <c r="J14" s="21">
        <f t="shared" si="3"/>
        <v>-32.560015059893388</v>
      </c>
      <c r="K14" s="23"/>
      <c r="M14" s="3">
        <f t="shared" si="5"/>
        <v>-0.67134030823876123</v>
      </c>
      <c r="P14" s="27"/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>
        <f t="shared" si="10"/>
        <v>45.105014005700852</v>
      </c>
      <c r="X14" s="25"/>
      <c r="Y14" s="3">
        <f t="shared" si="11"/>
        <v>-1</v>
      </c>
      <c r="Z14" s="4">
        <f t="shared" si="12"/>
        <v>1.6149033221319591E-2</v>
      </c>
      <c r="AB14" s="26"/>
      <c r="AC14" s="7"/>
    </row>
    <row r="15" spans="1:31" x14ac:dyDescent="0.25">
      <c r="A15" s="31"/>
      <c r="B15" s="31"/>
      <c r="C15" s="31"/>
      <c r="D15" s="47"/>
      <c r="E15" s="32"/>
      <c r="F15" s="53">
        <f t="shared" si="0"/>
        <v>0</v>
      </c>
      <c r="G15" s="53"/>
      <c r="H15" s="59" t="e">
        <f t="shared" si="1"/>
        <v>#DIV/0!</v>
      </c>
      <c r="I15" s="53">
        <f t="shared" si="2"/>
        <v>0</v>
      </c>
      <c r="J15" s="32" t="e">
        <f t="shared" si="3"/>
        <v>#DIV/0!</v>
      </c>
      <c r="K15" s="34"/>
      <c r="L15" s="31">
        <f t="shared" ref="L15" si="13">DAYS360(K15,$C$1)</f>
        <v>44611</v>
      </c>
      <c r="M15" s="35" t="e">
        <f t="shared" si="5"/>
        <v>#DIV/0!</v>
      </c>
      <c r="N15" s="31"/>
      <c r="O15" s="31"/>
      <c r="P15" s="31"/>
      <c r="Q15" s="36"/>
      <c r="R15" s="37">
        <f t="shared" si="6"/>
        <v>0</v>
      </c>
      <c r="S15" s="37"/>
      <c r="T15" s="36">
        <f t="shared" si="7"/>
        <v>0</v>
      </c>
      <c r="U15" s="36">
        <f t="shared" si="8"/>
        <v>0</v>
      </c>
      <c r="V15" s="36">
        <f t="shared" si="9"/>
        <v>0</v>
      </c>
      <c r="W15" s="36" t="e">
        <f t="shared" si="10"/>
        <v>#DIV/0!</v>
      </c>
      <c r="X15" s="37"/>
      <c r="Y15" s="35" t="e">
        <f t="shared" si="11"/>
        <v>#DIV/0!</v>
      </c>
      <c r="Z15" s="38">
        <f t="shared" si="12"/>
        <v>0</v>
      </c>
      <c r="AB15" s="39"/>
      <c r="AC15" s="7"/>
    </row>
    <row r="16" spans="1:31" x14ac:dyDescent="0.25">
      <c r="A16" t="s">
        <v>33</v>
      </c>
      <c r="F16" s="50">
        <f>SUM(F6:F15)</f>
        <v>492455.63465700002</v>
      </c>
      <c r="G16" s="50">
        <f>SUM(G6:G15)</f>
        <v>503553.55</v>
      </c>
      <c r="H16" s="54"/>
      <c r="I16" s="50">
        <f>SUM(I6:I15)</f>
        <v>-11097.915343000019</v>
      </c>
      <c r="M16" s="3"/>
      <c r="Z16" s="4"/>
    </row>
    <row r="17" spans="1:26" x14ac:dyDescent="0.25">
      <c r="D17" s="44" t="s">
        <v>34</v>
      </c>
      <c r="F17" s="50">
        <v>12218</v>
      </c>
      <c r="G17" s="4">
        <f>F17/F18</f>
        <v>2.4209705363950562E-2</v>
      </c>
      <c r="H17" s="54"/>
      <c r="M17" s="3"/>
      <c r="Z17" s="4"/>
    </row>
    <row r="18" spans="1:26" x14ac:dyDescent="0.25">
      <c r="D18" s="44" t="s">
        <v>35</v>
      </c>
      <c r="F18" s="50">
        <f>SUM(F16:F17)</f>
        <v>504673.63465700002</v>
      </c>
      <c r="H18" s="60"/>
      <c r="M18" s="3"/>
      <c r="Z18" s="4"/>
    </row>
    <row r="19" spans="1:26" x14ac:dyDescent="0.25">
      <c r="F19" s="54"/>
      <c r="H19" s="60" t="s">
        <v>37</v>
      </c>
      <c r="I19" s="50">
        <f>'11-24-23'!F18</f>
        <v>503078.54563200002</v>
      </c>
      <c r="K19" s="1">
        <v>45107</v>
      </c>
      <c r="L19" s="64">
        <v>509801</v>
      </c>
      <c r="M19" s="3"/>
      <c r="Z19" s="4"/>
    </row>
    <row r="20" spans="1:26" x14ac:dyDescent="0.25">
      <c r="F20" s="55"/>
      <c r="G20" s="58"/>
      <c r="H20" s="54" t="s">
        <v>39</v>
      </c>
      <c r="I20" s="4">
        <f>(F18-I19)/I19</f>
        <v>3.1706560314476127E-3</v>
      </c>
      <c r="K20" s="7" t="s">
        <v>73</v>
      </c>
      <c r="L20" s="4">
        <f>(F18-L19)/L19</f>
        <v>-1.005758196433507E-2</v>
      </c>
      <c r="Z20" s="4"/>
    </row>
    <row r="22" spans="1:26" x14ac:dyDescent="0.25">
      <c r="D22" s="7"/>
      <c r="E22" s="7"/>
      <c r="F22" s="56"/>
      <c r="I22" s="51"/>
      <c r="J22" s="7"/>
      <c r="K22" s="7"/>
      <c r="L22" s="7"/>
      <c r="M22" s="9" t="s">
        <v>46</v>
      </c>
    </row>
    <row r="23" spans="1:26" x14ac:dyDescent="0.25">
      <c r="A23" s="49" t="s">
        <v>54</v>
      </c>
      <c r="D23" s="19" t="s">
        <v>17</v>
      </c>
      <c r="E23" s="19" t="s">
        <v>47</v>
      </c>
      <c r="F23" s="57" t="s">
        <v>48</v>
      </c>
      <c r="G23" s="57" t="s">
        <v>50</v>
      </c>
      <c r="H23" s="57" t="s">
        <v>49</v>
      </c>
      <c r="I23" s="57" t="s">
        <v>51</v>
      </c>
      <c r="J23" s="19" t="s">
        <v>12</v>
      </c>
      <c r="K23" s="19" t="s">
        <v>22</v>
      </c>
      <c r="L23" s="19" t="s">
        <v>52</v>
      </c>
      <c r="M23" s="19" t="s">
        <v>53</v>
      </c>
      <c r="N23" s="1"/>
      <c r="P23" s="7" t="s">
        <v>55</v>
      </c>
    </row>
    <row r="24" spans="1:26" x14ac:dyDescent="0.25">
      <c r="J24" s="3"/>
    </row>
    <row r="25" spans="1:26" x14ac:dyDescent="0.25">
      <c r="A25" t="s">
        <v>60</v>
      </c>
      <c r="B25" t="s">
        <v>32</v>
      </c>
      <c r="C25" s="20" t="s">
        <v>61</v>
      </c>
      <c r="D25" s="44">
        <v>665.97389999999996</v>
      </c>
      <c r="E25" s="50">
        <f t="shared" ref="E25:E33" si="14">F25/D25</f>
        <v>76.621621357834002</v>
      </c>
      <c r="F25" s="50">
        <v>51028</v>
      </c>
      <c r="G25" s="50">
        <v>45324.79</v>
      </c>
      <c r="H25" s="50">
        <f t="shared" ref="H25:H33" si="15">G25/D25</f>
        <v>68.057907374448163</v>
      </c>
      <c r="I25" s="50">
        <f t="shared" ref="I25:I33" si="16">G25-F25</f>
        <v>-5703.2099999999991</v>
      </c>
      <c r="J25" s="3">
        <f t="shared" ref="J25:J33" si="17">I25/F25</f>
        <v>-0.11176628517676568</v>
      </c>
      <c r="K25" s="61">
        <v>45106</v>
      </c>
      <c r="L25" s="61">
        <v>45132</v>
      </c>
      <c r="M25">
        <f t="shared" ref="M25:M33" si="18">DAYS360(K25,L25)</f>
        <v>26</v>
      </c>
      <c r="O25" t="s">
        <v>66</v>
      </c>
    </row>
    <row r="26" spans="1:26" x14ac:dyDescent="0.25">
      <c r="A26" t="s">
        <v>40</v>
      </c>
      <c r="B26" t="s">
        <v>32</v>
      </c>
      <c r="C26" s="20" t="s">
        <v>41</v>
      </c>
      <c r="D26" s="44">
        <v>123.3931</v>
      </c>
      <c r="E26" s="50">
        <f t="shared" si="14"/>
        <v>413.24004340599271</v>
      </c>
      <c r="F26" s="50">
        <v>50990.97</v>
      </c>
      <c r="G26" s="50">
        <v>48894.94</v>
      </c>
      <c r="H26" s="50">
        <f t="shared" si="15"/>
        <v>396.25343718570974</v>
      </c>
      <c r="I26" s="50">
        <f t="shared" si="16"/>
        <v>-2096.0299999999988</v>
      </c>
      <c r="J26" s="3">
        <f t="shared" si="17"/>
        <v>-4.1105905614268544E-2</v>
      </c>
      <c r="K26" s="61">
        <v>45104</v>
      </c>
      <c r="L26" s="61">
        <v>45138</v>
      </c>
      <c r="M26">
        <f t="shared" si="18"/>
        <v>34</v>
      </c>
      <c r="O26" t="s">
        <v>69</v>
      </c>
    </row>
    <row r="27" spans="1:26" x14ac:dyDescent="0.25">
      <c r="A27" t="s">
        <v>56</v>
      </c>
      <c r="B27" t="s">
        <v>32</v>
      </c>
      <c r="C27" s="20" t="s">
        <v>57</v>
      </c>
      <c r="D27" s="44">
        <v>278.20080000000002</v>
      </c>
      <c r="E27" s="50">
        <f t="shared" si="14"/>
        <v>128.41001895034088</v>
      </c>
      <c r="F27" s="50">
        <v>35723.769999999997</v>
      </c>
      <c r="G27" s="50">
        <v>34855.72</v>
      </c>
      <c r="H27" s="50">
        <f t="shared" si="15"/>
        <v>125.28979068356381</v>
      </c>
      <c r="I27" s="50">
        <f t="shared" si="16"/>
        <v>-868.04999999999563</v>
      </c>
      <c r="J27" s="3">
        <f t="shared" si="17"/>
        <v>-2.4298947171588994E-2</v>
      </c>
      <c r="K27" s="61">
        <v>45106</v>
      </c>
      <c r="L27" s="61">
        <v>45138</v>
      </c>
      <c r="M27">
        <f t="shared" si="18"/>
        <v>32</v>
      </c>
      <c r="O27" t="s">
        <v>71</v>
      </c>
    </row>
    <row r="28" spans="1:26" x14ac:dyDescent="0.25">
      <c r="A28" t="s">
        <v>82</v>
      </c>
      <c r="B28" t="s">
        <v>32</v>
      </c>
      <c r="C28" s="20" t="s">
        <v>83</v>
      </c>
      <c r="D28" s="44">
        <v>1007.1459</v>
      </c>
      <c r="E28" s="50">
        <f t="shared" si="14"/>
        <v>20.954908320631599</v>
      </c>
      <c r="F28" s="50">
        <v>21104.65</v>
      </c>
      <c r="G28" s="50">
        <v>18099.32</v>
      </c>
      <c r="H28" s="50">
        <f t="shared" si="15"/>
        <v>17.970901733303982</v>
      </c>
      <c r="I28" s="50">
        <f t="shared" si="16"/>
        <v>-3005.3300000000017</v>
      </c>
      <c r="J28" s="3">
        <f t="shared" si="17"/>
        <v>-0.14240131914056861</v>
      </c>
      <c r="K28" s="61">
        <v>45181</v>
      </c>
      <c r="L28" s="61">
        <v>45183</v>
      </c>
      <c r="M28">
        <f t="shared" si="18"/>
        <v>2</v>
      </c>
      <c r="O28" t="s">
        <v>84</v>
      </c>
    </row>
    <row r="29" spans="1:26" x14ac:dyDescent="0.25">
      <c r="A29" t="s">
        <v>63</v>
      </c>
      <c r="B29" t="s">
        <v>32</v>
      </c>
      <c r="C29" s="20" t="s">
        <v>64</v>
      </c>
      <c r="D29" s="44">
        <v>115.8536</v>
      </c>
      <c r="E29" s="50">
        <f t="shared" si="14"/>
        <v>442.16001919664131</v>
      </c>
      <c r="F29" s="50">
        <v>51225.83</v>
      </c>
      <c r="G29" s="50">
        <v>52055.28</v>
      </c>
      <c r="H29" s="50">
        <f t="shared" si="15"/>
        <v>449.31948597195077</v>
      </c>
      <c r="I29" s="50">
        <f t="shared" si="16"/>
        <v>829.44999999999709</v>
      </c>
      <c r="J29" s="3">
        <f t="shared" si="17"/>
        <v>1.6192026561599824E-2</v>
      </c>
      <c r="K29" s="61">
        <v>45117</v>
      </c>
      <c r="L29" s="61">
        <v>45184</v>
      </c>
      <c r="M29" s="63">
        <f t="shared" si="18"/>
        <v>65</v>
      </c>
      <c r="O29" t="s">
        <v>86</v>
      </c>
    </row>
    <row r="30" spans="1:26" x14ac:dyDescent="0.25">
      <c r="A30" t="s">
        <v>79</v>
      </c>
      <c r="B30" t="s">
        <v>32</v>
      </c>
      <c r="C30" s="20" t="s">
        <v>80</v>
      </c>
      <c r="D30" s="44">
        <v>507.0754</v>
      </c>
      <c r="E30" s="50">
        <f t="shared" si="14"/>
        <v>81.153611474743201</v>
      </c>
      <c r="F30" s="50">
        <v>41151</v>
      </c>
      <c r="G30" s="50">
        <v>38871.01</v>
      </c>
      <c r="H30" s="50">
        <f t="shared" si="15"/>
        <v>76.657258466886788</v>
      </c>
      <c r="I30" s="50">
        <f t="shared" si="16"/>
        <v>-2279.989999999998</v>
      </c>
      <c r="J30" s="3">
        <f t="shared" si="17"/>
        <v>-5.5405457947558939E-2</v>
      </c>
      <c r="K30" s="61">
        <v>45167</v>
      </c>
      <c r="L30" s="61">
        <v>45216</v>
      </c>
      <c r="M30" s="63">
        <f t="shared" si="18"/>
        <v>48</v>
      </c>
      <c r="O30" t="s">
        <v>95</v>
      </c>
    </row>
    <row r="31" spans="1:26" x14ac:dyDescent="0.25">
      <c r="A31" t="s">
        <v>90</v>
      </c>
      <c r="B31" t="s">
        <v>32</v>
      </c>
      <c r="C31" s="20" t="s">
        <v>91</v>
      </c>
      <c r="D31" s="44">
        <v>306.1703</v>
      </c>
      <c r="E31" s="50">
        <f t="shared" si="14"/>
        <v>170.32671033081917</v>
      </c>
      <c r="F31" s="50">
        <v>52148.98</v>
      </c>
      <c r="G31" s="50">
        <v>49351.519999999997</v>
      </c>
      <c r="H31" s="50">
        <f t="shared" si="15"/>
        <v>161.18976922320681</v>
      </c>
      <c r="I31" s="50">
        <f t="shared" si="16"/>
        <v>-2797.4600000000064</v>
      </c>
      <c r="J31" s="3">
        <f t="shared" si="17"/>
        <v>-5.3643618724661654E-2</v>
      </c>
      <c r="K31" s="61">
        <v>45208</v>
      </c>
      <c r="L31" s="61">
        <v>45219</v>
      </c>
      <c r="M31" s="63">
        <f t="shared" si="18"/>
        <v>11</v>
      </c>
      <c r="O31" t="s">
        <v>93</v>
      </c>
    </row>
    <row r="32" spans="1:26" x14ac:dyDescent="0.25">
      <c r="A32" t="s">
        <v>87</v>
      </c>
      <c r="B32" t="s">
        <v>32</v>
      </c>
      <c r="C32" s="20" t="s">
        <v>88</v>
      </c>
      <c r="D32" s="44">
        <v>239.91579999999999</v>
      </c>
      <c r="E32" s="50">
        <f t="shared" si="14"/>
        <v>173.89088171766929</v>
      </c>
      <c r="F32" s="50">
        <v>41719.17</v>
      </c>
      <c r="G32" s="50">
        <v>36026.28</v>
      </c>
      <c r="H32" s="50">
        <f t="shared" si="15"/>
        <v>150.16218189881616</v>
      </c>
      <c r="I32" s="50">
        <f t="shared" si="16"/>
        <v>-5692.8899999999994</v>
      </c>
      <c r="J32" s="3">
        <f t="shared" si="17"/>
        <v>-0.13645741274335035</v>
      </c>
      <c r="K32" s="61">
        <v>45208</v>
      </c>
      <c r="L32" s="61">
        <v>45219</v>
      </c>
      <c r="M32" s="63">
        <f t="shared" si="18"/>
        <v>11</v>
      </c>
      <c r="O32" t="s">
        <v>94</v>
      </c>
    </row>
    <row r="33" spans="1:15" x14ac:dyDescent="0.25">
      <c r="A33" t="s">
        <v>74</v>
      </c>
      <c r="B33" t="s">
        <v>32</v>
      </c>
      <c r="C33" s="20" t="s">
        <v>75</v>
      </c>
      <c r="D33" s="44">
        <v>266.87329999999997</v>
      </c>
      <c r="E33" s="50">
        <f t="shared" si="14"/>
        <v>151.47948483418912</v>
      </c>
      <c r="F33" s="50">
        <v>40425.83</v>
      </c>
      <c r="G33" s="50">
        <v>40616.769999999997</v>
      </c>
      <c r="H33" s="50">
        <f t="shared" si="15"/>
        <v>152.19495543390815</v>
      </c>
      <c r="I33" s="50">
        <f t="shared" si="16"/>
        <v>190.93999999999505</v>
      </c>
      <c r="J33" s="3">
        <f t="shared" si="17"/>
        <v>4.7232178040622803E-3</v>
      </c>
      <c r="K33" s="61">
        <v>45153</v>
      </c>
      <c r="L33" s="61">
        <v>45224</v>
      </c>
      <c r="M33" s="63">
        <f t="shared" si="18"/>
        <v>70</v>
      </c>
      <c r="O33" t="s">
        <v>96</v>
      </c>
    </row>
    <row r="34" spans="1:15" x14ac:dyDescent="0.25">
      <c r="I34" s="50">
        <f>SUM(I25:I33)</f>
        <v>-21422.570000000007</v>
      </c>
      <c r="J34" s="9" t="s">
        <v>78</v>
      </c>
    </row>
    <row r="35" spans="1:15" x14ac:dyDescent="0.25">
      <c r="H35" s="50" t="s">
        <v>77</v>
      </c>
      <c r="I35" s="62">
        <v>7</v>
      </c>
      <c r="J35" s="3">
        <v>-8.0799999999999997E-2</v>
      </c>
    </row>
    <row r="36" spans="1:15" x14ac:dyDescent="0.25">
      <c r="H36" s="50" t="s">
        <v>85</v>
      </c>
      <c r="I36" s="62">
        <v>2</v>
      </c>
      <c r="J36" s="3">
        <v>1.0500000000000001E-2</v>
      </c>
    </row>
    <row r="37" spans="1:15" x14ac:dyDescent="0.25">
      <c r="J37" s="3"/>
    </row>
    <row r="38" spans="1:15" x14ac:dyDescent="0.25">
      <c r="J38" s="3"/>
    </row>
    <row r="39" spans="1:15" x14ac:dyDescent="0.25">
      <c r="J39" s="3"/>
    </row>
    <row r="40" spans="1:15" x14ac:dyDescent="0.25">
      <c r="J40" s="3"/>
    </row>
    <row r="41" spans="1:15" x14ac:dyDescent="0.25">
      <c r="J41" s="3"/>
    </row>
    <row r="42" spans="1:15" x14ac:dyDescent="0.25">
      <c r="J42" s="3"/>
    </row>
    <row r="43" spans="1:15" x14ac:dyDescent="0.25">
      <c r="J43" s="3"/>
    </row>
    <row r="44" spans="1:15" x14ac:dyDescent="0.25">
      <c r="J44" s="3"/>
    </row>
    <row r="45" spans="1:15" x14ac:dyDescent="0.25">
      <c r="J45" s="3"/>
    </row>
    <row r="46" spans="1:15" x14ac:dyDescent="0.25">
      <c r="J46" s="3"/>
    </row>
    <row r="47" spans="1:15" x14ac:dyDescent="0.25">
      <c r="J47" s="3"/>
    </row>
    <row r="48" spans="1:15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  <row r="189" spans="10:10" x14ac:dyDescent="0.25">
      <c r="J189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315D-0224-480B-8DE1-1E3664482ECA}">
  <dimension ref="A1:AE19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45275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C7" s="20"/>
      <c r="E7" s="21"/>
      <c r="F7" s="50">
        <f t="shared" ref="F7:F14" si="0">E7*D7</f>
        <v>0</v>
      </c>
      <c r="H7" s="54" t="e">
        <f t="shared" ref="H7:H14" si="1">G7/D7</f>
        <v>#DIV/0!</v>
      </c>
      <c r="I7" s="50">
        <f t="shared" ref="I7:I14" si="2">F7-G7</f>
        <v>0</v>
      </c>
      <c r="J7" s="21" t="e">
        <f t="shared" ref="J7:J14" si="3">E7-H7</f>
        <v>#DIV/0!</v>
      </c>
      <c r="K7" s="23"/>
      <c r="L7">
        <f t="shared" ref="L7:L12" si="4">DAYS360(K7,$C$1)</f>
        <v>44625</v>
      </c>
      <c r="M7" s="3" t="e">
        <f t="shared" ref="M7:M14" si="5">(I7/G7)</f>
        <v>#DIV/0!</v>
      </c>
      <c r="Q7" s="24"/>
      <c r="R7" s="25">
        <f t="shared" ref="R7:R14" si="6">Q7*0.93</f>
        <v>0</v>
      </c>
      <c r="S7" s="25"/>
      <c r="T7" s="28">
        <f t="shared" ref="T7:T14" si="7">Q7*1.25</f>
        <v>0</v>
      </c>
      <c r="U7" s="24">
        <f t="shared" ref="U7:U14" si="8">Q7*1.5</f>
        <v>0</v>
      </c>
      <c r="V7" s="24">
        <f t="shared" ref="V7:V14" si="9">Q7*2</f>
        <v>0</v>
      </c>
      <c r="W7" s="24" t="e">
        <f t="shared" ref="W7:W14" si="10">H7-(H7*0.07)</f>
        <v>#DIV/0!</v>
      </c>
      <c r="X7" s="25"/>
      <c r="Y7" s="3" t="e">
        <f t="shared" ref="Y7:Y14" si="11">(X7-H7)/H7</f>
        <v>#DIV/0!</v>
      </c>
      <c r="Z7" s="4">
        <f t="shared" ref="Z7:Z14" si="12">F7/F$18</f>
        <v>0</v>
      </c>
      <c r="AB7" s="26"/>
      <c r="AC7" s="7"/>
    </row>
    <row r="8" spans="1:31" x14ac:dyDescent="0.25">
      <c r="A8" t="s">
        <v>97</v>
      </c>
      <c r="B8" t="s">
        <v>32</v>
      </c>
      <c r="C8" s="20" t="s">
        <v>70</v>
      </c>
      <c r="D8" s="44">
        <f>1211.7123+804.6763</f>
        <v>2016.3885999999998</v>
      </c>
      <c r="E8" s="21">
        <v>19.14</v>
      </c>
      <c r="F8" s="50">
        <f t="shared" si="0"/>
        <v>38593.677803999999</v>
      </c>
      <c r="G8" s="50">
        <f>25318.9+15999</f>
        <v>41317.9</v>
      </c>
      <c r="H8" s="54">
        <f t="shared" si="1"/>
        <v>20.491040268725982</v>
      </c>
      <c r="I8" s="50">
        <f t="shared" si="2"/>
        <v>-2724.2221960000024</v>
      </c>
      <c r="J8" s="21">
        <f t="shared" si="3"/>
        <v>-1.3510402687259813</v>
      </c>
      <c r="K8" s="23">
        <v>45135</v>
      </c>
      <c r="L8">
        <f t="shared" si="4"/>
        <v>137</v>
      </c>
      <c r="M8" s="3">
        <f t="shared" si="5"/>
        <v>-6.5933220129774317E-2</v>
      </c>
      <c r="N8">
        <v>145</v>
      </c>
      <c r="O8">
        <v>33</v>
      </c>
      <c r="P8">
        <v>98</v>
      </c>
      <c r="Q8" s="24">
        <v>19.48</v>
      </c>
      <c r="R8" s="25">
        <f t="shared" si="6"/>
        <v>18.116400000000002</v>
      </c>
      <c r="S8" s="25">
        <v>23.61</v>
      </c>
      <c r="T8" s="28">
        <f t="shared" si="7"/>
        <v>24.35</v>
      </c>
      <c r="U8" s="24">
        <f t="shared" si="8"/>
        <v>29.22</v>
      </c>
      <c r="V8" s="24">
        <f t="shared" si="9"/>
        <v>38.96</v>
      </c>
      <c r="W8" s="24">
        <f t="shared" si="10"/>
        <v>19.056667449915164</v>
      </c>
      <c r="X8" s="25">
        <v>26</v>
      </c>
      <c r="Y8" s="3">
        <f t="shared" si="11"/>
        <v>0.26884724538275157</v>
      </c>
      <c r="Z8" s="29">
        <f t="shared" si="12"/>
        <v>8.1395448055841993E-2</v>
      </c>
      <c r="AA8" s="7"/>
      <c r="AB8" s="26">
        <v>45350</v>
      </c>
      <c r="AC8" s="7">
        <v>66</v>
      </c>
      <c r="AD8" t="s">
        <v>72</v>
      </c>
    </row>
    <row r="9" spans="1:31" x14ac:dyDescent="0.25">
      <c r="A9" t="s">
        <v>99</v>
      </c>
      <c r="B9" t="s">
        <v>32</v>
      </c>
      <c r="C9" s="20" t="s">
        <v>98</v>
      </c>
      <c r="D9" s="44">
        <v>1166.9349999999999</v>
      </c>
      <c r="E9" s="21">
        <v>34.130000000000003</v>
      </c>
      <c r="F9" s="50">
        <f t="shared" si="0"/>
        <v>39827.491549999999</v>
      </c>
      <c r="G9" s="50">
        <v>40941.919999999998</v>
      </c>
      <c r="H9" s="54">
        <f t="shared" si="1"/>
        <v>35.085004734625322</v>
      </c>
      <c r="I9" s="50">
        <f t="shared" si="2"/>
        <v>-1114.4284499999994</v>
      </c>
      <c r="J9" s="21">
        <f t="shared" si="3"/>
        <v>-0.95500473462531943</v>
      </c>
      <c r="K9" s="23">
        <v>45233</v>
      </c>
      <c r="L9">
        <f t="shared" si="4"/>
        <v>42</v>
      </c>
      <c r="M9" s="3">
        <f t="shared" si="5"/>
        <v>-2.7219740793787871E-2</v>
      </c>
      <c r="N9">
        <v>58</v>
      </c>
      <c r="O9">
        <v>73</v>
      </c>
      <c r="P9" s="27">
        <v>69</v>
      </c>
      <c r="Q9" s="24">
        <v>34.200000000000003</v>
      </c>
      <c r="R9" s="25">
        <f t="shared" si="6"/>
        <v>31.806000000000004</v>
      </c>
      <c r="S9" s="25">
        <v>31.07</v>
      </c>
      <c r="T9" s="28">
        <f t="shared" si="7"/>
        <v>42.75</v>
      </c>
      <c r="U9" s="24">
        <f t="shared" si="8"/>
        <v>51.300000000000004</v>
      </c>
      <c r="V9" s="24">
        <f t="shared" si="9"/>
        <v>68.400000000000006</v>
      </c>
      <c r="W9" s="24">
        <f t="shared" si="10"/>
        <v>32.62905440320155</v>
      </c>
      <c r="X9" s="25">
        <v>32.75</v>
      </c>
      <c r="Y9" s="3">
        <f t="shared" si="11"/>
        <v>-6.655278379714484E-2</v>
      </c>
      <c r="Z9" s="4">
        <f t="shared" si="12"/>
        <v>8.3997605413924051E-2</v>
      </c>
      <c r="AB9" s="26">
        <v>45343</v>
      </c>
      <c r="AC9" s="7">
        <v>83</v>
      </c>
      <c r="AD9" t="s">
        <v>101</v>
      </c>
    </row>
    <row r="10" spans="1:31" x14ac:dyDescent="0.25">
      <c r="A10" t="s">
        <v>103</v>
      </c>
      <c r="B10" t="s">
        <v>32</v>
      </c>
      <c r="C10" s="20" t="s">
        <v>100</v>
      </c>
      <c r="D10" s="44">
        <v>267.84309999999999</v>
      </c>
      <c r="E10" s="21">
        <v>255.98</v>
      </c>
      <c r="F10" s="50">
        <f t="shared" si="0"/>
        <v>68562.476737999998</v>
      </c>
      <c r="G10" s="50">
        <v>61166.239999999998</v>
      </c>
      <c r="H10" s="54">
        <f t="shared" si="1"/>
        <v>228.36593513142583</v>
      </c>
      <c r="I10" s="50">
        <f t="shared" si="2"/>
        <v>7396.2367379999996</v>
      </c>
      <c r="J10" s="21">
        <f t="shared" si="3"/>
        <v>27.614064868574161</v>
      </c>
      <c r="K10" s="23">
        <v>45238</v>
      </c>
      <c r="L10">
        <f t="shared" si="4"/>
        <v>37</v>
      </c>
      <c r="M10" s="3">
        <f t="shared" si="5"/>
        <v>0.12092024518754137</v>
      </c>
      <c r="N10">
        <v>57</v>
      </c>
      <c r="O10">
        <v>89</v>
      </c>
      <c r="P10">
        <v>99</v>
      </c>
      <c r="Q10" s="24">
        <v>223.3</v>
      </c>
      <c r="R10" s="25">
        <f t="shared" si="6"/>
        <v>207.66900000000001</v>
      </c>
      <c r="S10" s="25">
        <v>199.29</v>
      </c>
      <c r="T10" s="24">
        <f t="shared" si="7"/>
        <v>279.125</v>
      </c>
      <c r="U10" s="24">
        <f t="shared" si="8"/>
        <v>334.95000000000005</v>
      </c>
      <c r="V10" s="24">
        <f t="shared" si="9"/>
        <v>446.6</v>
      </c>
      <c r="W10" s="24">
        <f t="shared" si="10"/>
        <v>212.38031967222602</v>
      </c>
      <c r="X10" s="25">
        <v>212</v>
      </c>
      <c r="Y10" s="3">
        <f t="shared" si="11"/>
        <v>-7.1665395813115235E-2</v>
      </c>
      <c r="Z10" s="4">
        <f t="shared" si="12"/>
        <v>0.1446007178235123</v>
      </c>
      <c r="AB10" s="26">
        <v>45349</v>
      </c>
      <c r="AC10" s="7">
        <v>99</v>
      </c>
      <c r="AD10" t="s">
        <v>102</v>
      </c>
    </row>
    <row r="11" spans="1:31" x14ac:dyDescent="0.25">
      <c r="B11" t="s">
        <v>32</v>
      </c>
      <c r="C11" s="20" t="s">
        <v>104</v>
      </c>
      <c r="D11" s="44">
        <f>1160.2602+1046.0778</f>
        <v>2206.3379999999997</v>
      </c>
      <c r="E11" s="21">
        <v>18.37</v>
      </c>
      <c r="F11" s="50">
        <f t="shared" si="0"/>
        <v>40530.429059999995</v>
      </c>
      <c r="G11" s="50">
        <f>20288.83+19170.47</f>
        <v>39459.300000000003</v>
      </c>
      <c r="H11" s="54">
        <f t="shared" si="1"/>
        <v>17.884521773182534</v>
      </c>
      <c r="I11" s="50">
        <f t="shared" si="2"/>
        <v>1071.129059999992</v>
      </c>
      <c r="J11" s="21">
        <f t="shared" si="3"/>
        <v>0.48547822681746666</v>
      </c>
      <c r="K11" s="23">
        <v>45243</v>
      </c>
      <c r="L11">
        <f t="shared" si="4"/>
        <v>32</v>
      </c>
      <c r="M11" s="3">
        <f t="shared" si="5"/>
        <v>2.714516121674718E-2</v>
      </c>
      <c r="N11">
        <v>50</v>
      </c>
      <c r="O11">
        <v>92</v>
      </c>
      <c r="P11" s="27">
        <v>74</v>
      </c>
      <c r="Q11" s="24">
        <v>17.32</v>
      </c>
      <c r="R11" s="25">
        <f t="shared" si="6"/>
        <v>16.107600000000001</v>
      </c>
      <c r="S11" s="25">
        <v>17.149999999999999</v>
      </c>
      <c r="T11" s="28">
        <f t="shared" si="7"/>
        <v>21.65</v>
      </c>
      <c r="U11" s="24">
        <f t="shared" si="8"/>
        <v>25.98</v>
      </c>
      <c r="V11" s="24">
        <f t="shared" si="9"/>
        <v>34.64</v>
      </c>
      <c r="W11" s="24">
        <f t="shared" si="10"/>
        <v>16.632605249059758</v>
      </c>
      <c r="X11" s="25">
        <v>16.5</v>
      </c>
      <c r="Y11" s="3">
        <f t="shared" si="11"/>
        <v>-7.7414525853221061E-2</v>
      </c>
      <c r="Z11" s="4">
        <f t="shared" si="12"/>
        <v>8.5480125786102146E-2</v>
      </c>
      <c r="AB11" s="26">
        <v>45350</v>
      </c>
      <c r="AC11" s="7">
        <v>81</v>
      </c>
      <c r="AD11" t="s">
        <v>105</v>
      </c>
    </row>
    <row r="12" spans="1:31" x14ac:dyDescent="0.25">
      <c r="A12" t="s">
        <v>109</v>
      </c>
      <c r="B12" t="s">
        <v>32</v>
      </c>
      <c r="C12" s="20" t="s">
        <v>110</v>
      </c>
      <c r="D12" s="44">
        <f>1006.8806+1065.4202</f>
        <v>2072.3008</v>
      </c>
      <c r="E12" s="21">
        <v>18.2</v>
      </c>
      <c r="F12" s="50">
        <f t="shared" si="0"/>
        <v>37715.874559999997</v>
      </c>
      <c r="G12" s="50">
        <f>20479.95+20765.04</f>
        <v>41244.990000000005</v>
      </c>
      <c r="H12" s="54">
        <f t="shared" si="1"/>
        <v>19.902993812481281</v>
      </c>
      <c r="I12" s="50">
        <f t="shared" si="2"/>
        <v>-3529.1154400000087</v>
      </c>
      <c r="J12" s="21">
        <f t="shared" si="3"/>
        <v>-1.7029938124812816</v>
      </c>
      <c r="K12" s="23">
        <v>45245</v>
      </c>
      <c r="L12">
        <f t="shared" si="4"/>
        <v>30</v>
      </c>
      <c r="M12" s="3">
        <f t="shared" si="5"/>
        <v>-8.5564705919434297E-2</v>
      </c>
      <c r="N12">
        <v>50</v>
      </c>
      <c r="O12">
        <v>97</v>
      </c>
      <c r="P12" s="27">
        <v>84</v>
      </c>
      <c r="Q12" s="24">
        <v>19.170000000000002</v>
      </c>
      <c r="R12" s="25">
        <f t="shared" si="6"/>
        <v>17.828100000000003</v>
      </c>
      <c r="S12" s="25">
        <v>18.059999999999999</v>
      </c>
      <c r="T12" s="28">
        <f t="shared" si="7"/>
        <v>23.962500000000002</v>
      </c>
      <c r="U12" s="24">
        <f t="shared" si="8"/>
        <v>28.755000000000003</v>
      </c>
      <c r="V12" s="24">
        <f t="shared" si="9"/>
        <v>38.340000000000003</v>
      </c>
      <c r="W12" s="24">
        <f t="shared" si="10"/>
        <v>18.509784245607591</v>
      </c>
      <c r="X12" s="25">
        <v>18.75</v>
      </c>
      <c r="Y12" s="3">
        <f t="shared" si="11"/>
        <v>-5.7930672307109486E-2</v>
      </c>
      <c r="Z12" s="4">
        <f t="shared" si="12"/>
        <v>7.9544129590856341E-2</v>
      </c>
      <c r="AB12" s="26">
        <v>45336</v>
      </c>
      <c r="AC12" s="7">
        <v>94</v>
      </c>
    </row>
    <row r="13" spans="1:31" x14ac:dyDescent="0.25">
      <c r="A13" s="20" t="s">
        <v>44</v>
      </c>
      <c r="B13" s="20" t="s">
        <v>32</v>
      </c>
      <c r="C13" s="20" t="s">
        <v>45</v>
      </c>
      <c r="D13" s="44">
        <f>2223.78-868.0181</f>
        <v>1355.7619000000002</v>
      </c>
      <c r="E13" s="21">
        <v>91.63</v>
      </c>
      <c r="F13" s="50">
        <f t="shared" si="0"/>
        <v>124228.462897</v>
      </c>
      <c r="G13" s="50">
        <f>203698.25-79510.46</f>
        <v>124187.79</v>
      </c>
      <c r="H13" s="54">
        <f t="shared" si="1"/>
        <v>91.59999997049627</v>
      </c>
      <c r="I13" s="50">
        <f t="shared" si="2"/>
        <v>40.672897000011289</v>
      </c>
      <c r="J13" s="21">
        <f t="shared" si="3"/>
        <v>3.0000029503725045E-2</v>
      </c>
      <c r="K13" s="23"/>
      <c r="M13" s="3">
        <f t="shared" si="5"/>
        <v>3.2751123922900385E-4</v>
      </c>
      <c r="Q13" s="24"/>
      <c r="R13" s="25">
        <f t="shared" si="6"/>
        <v>0</v>
      </c>
      <c r="S13" s="25"/>
      <c r="T13" s="28">
        <f t="shared" si="7"/>
        <v>0</v>
      </c>
      <c r="U13" s="28">
        <f t="shared" si="8"/>
        <v>0</v>
      </c>
      <c r="V13" s="24">
        <f t="shared" si="9"/>
        <v>0</v>
      </c>
      <c r="W13" s="24">
        <f t="shared" si="10"/>
        <v>85.187999972561528</v>
      </c>
      <c r="X13" s="25"/>
      <c r="Y13" s="3">
        <f t="shared" si="11"/>
        <v>-1</v>
      </c>
      <c r="Z13" s="4">
        <f t="shared" si="12"/>
        <v>0.26200227535044224</v>
      </c>
      <c r="AB13" s="26"/>
      <c r="AC13" s="7"/>
    </row>
    <row r="14" spans="1:31" x14ac:dyDescent="0.25">
      <c r="A14" t="s">
        <v>42</v>
      </c>
      <c r="B14" t="s">
        <v>32</v>
      </c>
      <c r="C14" s="20" t="s">
        <v>43</v>
      </c>
      <c r="D14" s="44">
        <v>511.29180000000002</v>
      </c>
      <c r="E14" s="21">
        <v>14.25</v>
      </c>
      <c r="F14" s="50">
        <f t="shared" si="0"/>
        <v>7285.9081500000002</v>
      </c>
      <c r="G14" s="50">
        <v>24797.66</v>
      </c>
      <c r="H14" s="54">
        <f t="shared" si="1"/>
        <v>48.500015059893386</v>
      </c>
      <c r="I14" s="50">
        <f t="shared" si="2"/>
        <v>-17511.751850000001</v>
      </c>
      <c r="J14" s="21">
        <f t="shared" si="3"/>
        <v>-34.250015059893386</v>
      </c>
      <c r="K14" s="23"/>
      <c r="M14" s="3">
        <f t="shared" si="5"/>
        <v>-0.70618565824356005</v>
      </c>
      <c r="P14" s="27"/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>
        <f t="shared" si="10"/>
        <v>45.105014005700852</v>
      </c>
      <c r="X14" s="25"/>
      <c r="Y14" s="3">
        <f t="shared" si="11"/>
        <v>-1</v>
      </c>
      <c r="Z14" s="4">
        <f t="shared" si="12"/>
        <v>1.5366241107539532E-2</v>
      </c>
      <c r="AB14" s="26"/>
      <c r="AC14" s="7"/>
    </row>
    <row r="15" spans="1:31" x14ac:dyDescent="0.25">
      <c r="A15" s="31"/>
      <c r="B15" s="31"/>
      <c r="C15" s="31"/>
      <c r="D15" s="47"/>
      <c r="E15" s="32"/>
      <c r="F15" s="53">
        <f t="shared" ref="F15" si="13">E15*D15</f>
        <v>0</v>
      </c>
      <c r="G15" s="53"/>
      <c r="H15" s="59" t="e">
        <f t="shared" ref="H15" si="14">G15/D15</f>
        <v>#DIV/0!</v>
      </c>
      <c r="I15" s="53">
        <f t="shared" ref="I15" si="15">F15-G15</f>
        <v>0</v>
      </c>
      <c r="J15" s="32" t="e">
        <f t="shared" ref="J15" si="16">E15-H15</f>
        <v>#DIV/0!</v>
      </c>
      <c r="K15" s="34"/>
      <c r="L15" s="31">
        <f t="shared" ref="L15" si="17">DAYS360(K15,$C$1)</f>
        <v>44625</v>
      </c>
      <c r="M15" s="35" t="e">
        <f t="shared" ref="M15" si="18">(I15/G15)</f>
        <v>#DIV/0!</v>
      </c>
      <c r="N15" s="31"/>
      <c r="O15" s="31"/>
      <c r="P15" s="31"/>
      <c r="Q15" s="36"/>
      <c r="R15" s="37">
        <f t="shared" ref="R15" si="19">Q15*0.93</f>
        <v>0</v>
      </c>
      <c r="S15" s="37"/>
      <c r="T15" s="36">
        <f t="shared" ref="T15" si="20">Q15*1.25</f>
        <v>0</v>
      </c>
      <c r="U15" s="36">
        <f t="shared" ref="U15" si="21">Q15*1.5</f>
        <v>0</v>
      </c>
      <c r="V15" s="36">
        <f t="shared" ref="V15" si="22">Q15*2</f>
        <v>0</v>
      </c>
      <c r="W15" s="36" t="e">
        <f t="shared" ref="W15" si="23">H15-(H15*0.07)</f>
        <v>#DIV/0!</v>
      </c>
      <c r="X15" s="37"/>
      <c r="Y15" s="35" t="e">
        <f t="shared" ref="Y15" si="24">(X15-H15)/H15</f>
        <v>#DIV/0!</v>
      </c>
      <c r="Z15" s="38">
        <f t="shared" ref="Z15" si="25">F15/F$18</f>
        <v>0</v>
      </c>
      <c r="AB15" s="39"/>
      <c r="AC15" s="7"/>
    </row>
    <row r="16" spans="1:31" x14ac:dyDescent="0.25">
      <c r="A16" t="s">
        <v>33</v>
      </c>
      <c r="F16" s="50">
        <f>SUM(F6:F15)</f>
        <v>356744.32075899997</v>
      </c>
      <c r="G16" s="50">
        <f>SUM(G6:G15)</f>
        <v>373115.79999999993</v>
      </c>
      <c r="H16" s="54"/>
      <c r="I16" s="50">
        <f>SUM(I6:I15)</f>
        <v>-16371.479241000008</v>
      </c>
      <c r="M16" s="3"/>
      <c r="Z16" s="4"/>
    </row>
    <row r="17" spans="1:26" x14ac:dyDescent="0.25">
      <c r="D17" s="44" t="s">
        <v>34</v>
      </c>
      <c r="F17" s="50">
        <v>117406</v>
      </c>
      <c r="G17" s="4">
        <f>F17/F18</f>
        <v>0.24761345687178149</v>
      </c>
      <c r="H17" s="54"/>
      <c r="M17" s="3"/>
      <c r="Z17" s="4"/>
    </row>
    <row r="18" spans="1:26" x14ac:dyDescent="0.25">
      <c r="D18" s="44" t="s">
        <v>35</v>
      </c>
      <c r="F18" s="50">
        <f>SUM(F16:F17)</f>
        <v>474150.32075899997</v>
      </c>
      <c r="H18" s="60"/>
      <c r="M18" s="3"/>
      <c r="Z18" s="4"/>
    </row>
    <row r="19" spans="1:26" x14ac:dyDescent="0.25">
      <c r="F19" s="54"/>
      <c r="H19" s="60" t="s">
        <v>37</v>
      </c>
      <c r="I19" s="50">
        <f>'12-01-23'!F18-20351</f>
        <v>484322.63465700002</v>
      </c>
      <c r="K19" s="1">
        <v>45107</v>
      </c>
      <c r="L19" s="64">
        <f>509801-20351</f>
        <v>489450</v>
      </c>
      <c r="M19" s="3"/>
      <c r="Z19" s="4"/>
    </row>
    <row r="20" spans="1:26" x14ac:dyDescent="0.25">
      <c r="F20" s="55"/>
      <c r="G20" s="58"/>
      <c r="H20" s="54" t="s">
        <v>39</v>
      </c>
      <c r="I20" s="4">
        <f>(F18-I19)/I19</f>
        <v>-2.100317674643503E-2</v>
      </c>
      <c r="K20" s="7" t="s">
        <v>73</v>
      </c>
      <c r="L20" s="4">
        <f>(F18-L19)/L19</f>
        <v>-3.1258921730513915E-2</v>
      </c>
      <c r="Z20" s="4"/>
    </row>
    <row r="22" spans="1:26" x14ac:dyDescent="0.25">
      <c r="D22" s="7"/>
      <c r="E22" s="7"/>
      <c r="F22" s="56"/>
      <c r="I22" s="51"/>
      <c r="J22" s="7"/>
      <c r="K22" s="7"/>
      <c r="L22" s="7"/>
      <c r="M22" s="9" t="s">
        <v>46</v>
      </c>
    </row>
    <row r="23" spans="1:26" x14ac:dyDescent="0.25">
      <c r="A23" s="49" t="s">
        <v>54</v>
      </c>
      <c r="D23" s="19" t="s">
        <v>17</v>
      </c>
      <c r="E23" s="19" t="s">
        <v>47</v>
      </c>
      <c r="F23" s="57" t="s">
        <v>48</v>
      </c>
      <c r="G23" s="57" t="s">
        <v>50</v>
      </c>
      <c r="H23" s="57" t="s">
        <v>49</v>
      </c>
      <c r="I23" s="57" t="s">
        <v>51</v>
      </c>
      <c r="J23" s="19" t="s">
        <v>12</v>
      </c>
      <c r="K23" s="19" t="s">
        <v>22</v>
      </c>
      <c r="L23" s="19" t="s">
        <v>52</v>
      </c>
      <c r="M23" s="19" t="s">
        <v>53</v>
      </c>
      <c r="N23" s="1"/>
      <c r="P23" s="7" t="s">
        <v>55</v>
      </c>
    </row>
    <row r="24" spans="1:26" x14ac:dyDescent="0.25">
      <c r="J24" s="3"/>
    </row>
    <row r="25" spans="1:26" x14ac:dyDescent="0.25">
      <c r="A25" t="s">
        <v>60</v>
      </c>
      <c r="B25" t="s">
        <v>32</v>
      </c>
      <c r="C25" s="20" t="s">
        <v>61</v>
      </c>
      <c r="D25" s="44">
        <v>665.97389999999996</v>
      </c>
      <c r="E25" s="50">
        <f t="shared" ref="E25:E34" si="26">F25/D25</f>
        <v>76.621621357834002</v>
      </c>
      <c r="F25" s="50">
        <v>51028</v>
      </c>
      <c r="G25" s="50">
        <v>45324.79</v>
      </c>
      <c r="H25" s="50">
        <f t="shared" ref="H25:H34" si="27">G25/D25</f>
        <v>68.057907374448163</v>
      </c>
      <c r="I25" s="50">
        <f t="shared" ref="I25:I34" si="28">G25-F25</f>
        <v>-5703.2099999999991</v>
      </c>
      <c r="J25" s="3">
        <f t="shared" ref="J25:J34" si="29">I25/F25</f>
        <v>-0.11176628517676568</v>
      </c>
      <c r="K25" s="61">
        <v>45106</v>
      </c>
      <c r="L25" s="61">
        <v>45132</v>
      </c>
      <c r="M25">
        <f t="shared" ref="M25:M34" si="30">DAYS360(K25,L25)</f>
        <v>26</v>
      </c>
      <c r="O25" t="s">
        <v>66</v>
      </c>
    </row>
    <row r="26" spans="1:26" x14ac:dyDescent="0.25">
      <c r="A26" t="s">
        <v>40</v>
      </c>
      <c r="B26" t="s">
        <v>32</v>
      </c>
      <c r="C26" s="20" t="s">
        <v>41</v>
      </c>
      <c r="D26" s="44">
        <v>123.3931</v>
      </c>
      <c r="E26" s="50">
        <f t="shared" si="26"/>
        <v>413.24004340599271</v>
      </c>
      <c r="F26" s="50">
        <v>50990.97</v>
      </c>
      <c r="G26" s="50">
        <v>48894.94</v>
      </c>
      <c r="H26" s="50">
        <f t="shared" si="27"/>
        <v>396.25343718570974</v>
      </c>
      <c r="I26" s="50">
        <f t="shared" si="28"/>
        <v>-2096.0299999999988</v>
      </c>
      <c r="J26" s="3">
        <f t="shared" si="29"/>
        <v>-4.1105905614268544E-2</v>
      </c>
      <c r="K26" s="61">
        <v>45104</v>
      </c>
      <c r="L26" s="61">
        <v>45138</v>
      </c>
      <c r="M26">
        <f t="shared" si="30"/>
        <v>34</v>
      </c>
      <c r="O26" t="s">
        <v>69</v>
      </c>
    </row>
    <row r="27" spans="1:26" x14ac:dyDescent="0.25">
      <c r="A27" t="s">
        <v>56</v>
      </c>
      <c r="B27" t="s">
        <v>32</v>
      </c>
      <c r="C27" s="20" t="s">
        <v>57</v>
      </c>
      <c r="D27" s="44">
        <v>278.20080000000002</v>
      </c>
      <c r="E27" s="50">
        <f t="shared" si="26"/>
        <v>128.41001895034088</v>
      </c>
      <c r="F27" s="50">
        <v>35723.769999999997</v>
      </c>
      <c r="G27" s="50">
        <v>34855.72</v>
      </c>
      <c r="H27" s="50">
        <f t="shared" si="27"/>
        <v>125.28979068356381</v>
      </c>
      <c r="I27" s="50">
        <f t="shared" si="28"/>
        <v>-868.04999999999563</v>
      </c>
      <c r="J27" s="3">
        <f t="shared" si="29"/>
        <v>-2.4298947171588994E-2</v>
      </c>
      <c r="K27" s="61">
        <v>45106</v>
      </c>
      <c r="L27" s="61">
        <v>45138</v>
      </c>
      <c r="M27">
        <f t="shared" si="30"/>
        <v>32</v>
      </c>
      <c r="O27" t="s">
        <v>71</v>
      </c>
    </row>
    <row r="28" spans="1:26" x14ac:dyDescent="0.25">
      <c r="A28" t="s">
        <v>82</v>
      </c>
      <c r="B28" t="s">
        <v>32</v>
      </c>
      <c r="C28" s="20" t="s">
        <v>83</v>
      </c>
      <c r="D28" s="44">
        <v>1007.1459</v>
      </c>
      <c r="E28" s="50">
        <f t="shared" si="26"/>
        <v>20.954908320631599</v>
      </c>
      <c r="F28" s="50">
        <v>21104.65</v>
      </c>
      <c r="G28" s="50">
        <v>18099.32</v>
      </c>
      <c r="H28" s="50">
        <f t="shared" si="27"/>
        <v>17.970901733303982</v>
      </c>
      <c r="I28" s="50">
        <f t="shared" si="28"/>
        <v>-3005.3300000000017</v>
      </c>
      <c r="J28" s="3">
        <f t="shared" si="29"/>
        <v>-0.14240131914056861</v>
      </c>
      <c r="K28" s="61">
        <v>45181</v>
      </c>
      <c r="L28" s="61">
        <v>45183</v>
      </c>
      <c r="M28">
        <f t="shared" si="30"/>
        <v>2</v>
      </c>
      <c r="O28" t="s">
        <v>84</v>
      </c>
    </row>
    <row r="29" spans="1:26" x14ac:dyDescent="0.25">
      <c r="A29" t="s">
        <v>63</v>
      </c>
      <c r="B29" t="s">
        <v>32</v>
      </c>
      <c r="C29" s="20" t="s">
        <v>64</v>
      </c>
      <c r="D29" s="44">
        <v>115.8536</v>
      </c>
      <c r="E29" s="50">
        <f t="shared" si="26"/>
        <v>442.16001919664131</v>
      </c>
      <c r="F29" s="50">
        <v>51225.83</v>
      </c>
      <c r="G29" s="50">
        <v>52055.28</v>
      </c>
      <c r="H29" s="50">
        <f t="shared" si="27"/>
        <v>449.31948597195077</v>
      </c>
      <c r="I29" s="50">
        <f t="shared" si="28"/>
        <v>829.44999999999709</v>
      </c>
      <c r="J29" s="3">
        <f t="shared" si="29"/>
        <v>1.6192026561599824E-2</v>
      </c>
      <c r="K29" s="61">
        <v>45117</v>
      </c>
      <c r="L29" s="61">
        <v>45184</v>
      </c>
      <c r="M29" s="63">
        <f t="shared" si="30"/>
        <v>65</v>
      </c>
      <c r="O29" t="s">
        <v>86</v>
      </c>
    </row>
    <row r="30" spans="1:26" x14ac:dyDescent="0.25">
      <c r="A30" t="s">
        <v>79</v>
      </c>
      <c r="B30" t="s">
        <v>32</v>
      </c>
      <c r="C30" s="20" t="s">
        <v>80</v>
      </c>
      <c r="D30" s="44">
        <v>507.0754</v>
      </c>
      <c r="E30" s="50">
        <f t="shared" si="26"/>
        <v>81.153611474743201</v>
      </c>
      <c r="F30" s="50">
        <v>41151</v>
      </c>
      <c r="G30" s="50">
        <v>38871.01</v>
      </c>
      <c r="H30" s="50">
        <f t="shared" si="27"/>
        <v>76.657258466886788</v>
      </c>
      <c r="I30" s="50">
        <f t="shared" si="28"/>
        <v>-2279.989999999998</v>
      </c>
      <c r="J30" s="3">
        <f t="shared" si="29"/>
        <v>-5.5405457947558939E-2</v>
      </c>
      <c r="K30" s="61">
        <v>45167</v>
      </c>
      <c r="L30" s="61">
        <v>45216</v>
      </c>
      <c r="M30" s="63">
        <f t="shared" si="30"/>
        <v>48</v>
      </c>
      <c r="O30" t="s">
        <v>95</v>
      </c>
    </row>
    <row r="31" spans="1:26" x14ac:dyDescent="0.25">
      <c r="A31" t="s">
        <v>90</v>
      </c>
      <c r="B31" t="s">
        <v>32</v>
      </c>
      <c r="C31" s="20" t="s">
        <v>91</v>
      </c>
      <c r="D31" s="44">
        <v>306.1703</v>
      </c>
      <c r="E31" s="50">
        <f t="shared" si="26"/>
        <v>170.32671033081917</v>
      </c>
      <c r="F31" s="50">
        <v>52148.98</v>
      </c>
      <c r="G31" s="50">
        <v>49351.519999999997</v>
      </c>
      <c r="H31" s="50">
        <f t="shared" si="27"/>
        <v>161.18976922320681</v>
      </c>
      <c r="I31" s="50">
        <f t="shared" si="28"/>
        <v>-2797.4600000000064</v>
      </c>
      <c r="J31" s="3">
        <f t="shared" si="29"/>
        <v>-5.3643618724661654E-2</v>
      </c>
      <c r="K31" s="61">
        <v>45208</v>
      </c>
      <c r="L31" s="61">
        <v>45219</v>
      </c>
      <c r="M31" s="63">
        <f t="shared" si="30"/>
        <v>11</v>
      </c>
      <c r="O31" t="s">
        <v>93</v>
      </c>
    </row>
    <row r="32" spans="1:26" x14ac:dyDescent="0.25">
      <c r="A32" t="s">
        <v>87</v>
      </c>
      <c r="B32" t="s">
        <v>32</v>
      </c>
      <c r="C32" s="20" t="s">
        <v>88</v>
      </c>
      <c r="D32" s="44">
        <v>239.91579999999999</v>
      </c>
      <c r="E32" s="50">
        <f t="shared" si="26"/>
        <v>173.89088171766929</v>
      </c>
      <c r="F32" s="50">
        <v>41719.17</v>
      </c>
      <c r="G32" s="50">
        <v>36026.28</v>
      </c>
      <c r="H32" s="50">
        <f t="shared" si="27"/>
        <v>150.16218189881616</v>
      </c>
      <c r="I32" s="50">
        <f t="shared" si="28"/>
        <v>-5692.8899999999994</v>
      </c>
      <c r="J32" s="3">
        <f t="shared" si="29"/>
        <v>-0.13645741274335035</v>
      </c>
      <c r="K32" s="61">
        <v>45208</v>
      </c>
      <c r="L32" s="61">
        <v>45219</v>
      </c>
      <c r="M32" s="63">
        <f t="shared" si="30"/>
        <v>11</v>
      </c>
      <c r="O32" t="s">
        <v>94</v>
      </c>
    </row>
    <row r="33" spans="1:15" x14ac:dyDescent="0.25">
      <c r="A33" t="s">
        <v>74</v>
      </c>
      <c r="B33" t="s">
        <v>32</v>
      </c>
      <c r="C33" s="20" t="s">
        <v>75</v>
      </c>
      <c r="D33" s="44">
        <v>266.87329999999997</v>
      </c>
      <c r="E33" s="50">
        <f t="shared" si="26"/>
        <v>151.47948483418912</v>
      </c>
      <c r="F33" s="50">
        <v>40425.83</v>
      </c>
      <c r="G33" s="50">
        <v>40616.769999999997</v>
      </c>
      <c r="H33" s="50">
        <f t="shared" si="27"/>
        <v>152.19495543390815</v>
      </c>
      <c r="I33" s="50">
        <f t="shared" si="28"/>
        <v>190.93999999999505</v>
      </c>
      <c r="J33" s="3">
        <f t="shared" si="29"/>
        <v>4.7232178040622803E-3</v>
      </c>
      <c r="K33" s="61">
        <v>45153</v>
      </c>
      <c r="L33" s="61">
        <v>45224</v>
      </c>
      <c r="M33" s="63">
        <f t="shared" si="30"/>
        <v>70</v>
      </c>
      <c r="O33" t="s">
        <v>96</v>
      </c>
    </row>
    <row r="34" spans="1:15" x14ac:dyDescent="0.25">
      <c r="A34" t="s">
        <v>106</v>
      </c>
      <c r="B34" t="s">
        <v>32</v>
      </c>
      <c r="C34" s="20" t="s">
        <v>107</v>
      </c>
      <c r="D34" s="44">
        <v>247.90379999999999</v>
      </c>
      <c r="E34" s="50">
        <f t="shared" si="26"/>
        <v>205.43166341137169</v>
      </c>
      <c r="F34" s="50">
        <v>50927.29</v>
      </c>
      <c r="G34" s="50">
        <v>45926.83</v>
      </c>
      <c r="H34" s="50">
        <f t="shared" si="27"/>
        <v>185.26069386592704</v>
      </c>
      <c r="I34" s="50">
        <f t="shared" si="28"/>
        <v>-5000.4599999999991</v>
      </c>
      <c r="J34" s="3">
        <f t="shared" si="29"/>
        <v>-9.8188220892963265E-2</v>
      </c>
      <c r="K34" s="61">
        <v>45244</v>
      </c>
      <c r="L34" s="61">
        <v>45267</v>
      </c>
      <c r="M34" s="63">
        <f t="shared" si="30"/>
        <v>23</v>
      </c>
      <c r="O34" t="s">
        <v>111</v>
      </c>
    </row>
    <row r="35" spans="1:15" x14ac:dyDescent="0.25">
      <c r="C35" s="20"/>
      <c r="E35" s="50"/>
      <c r="J35" s="3"/>
      <c r="K35" s="61"/>
      <c r="L35" s="61"/>
      <c r="M35" s="63"/>
    </row>
    <row r="36" spans="1:15" x14ac:dyDescent="0.25">
      <c r="C36" s="20"/>
      <c r="E36" s="50"/>
      <c r="J36" s="3"/>
      <c r="K36" s="61"/>
      <c r="L36" s="61"/>
      <c r="M36" s="63"/>
    </row>
    <row r="37" spans="1:15" x14ac:dyDescent="0.25">
      <c r="C37" s="20"/>
      <c r="E37" s="50"/>
      <c r="J37" s="3"/>
      <c r="K37" s="61"/>
      <c r="L37" s="61"/>
      <c r="M37" s="63"/>
    </row>
    <row r="38" spans="1:15" x14ac:dyDescent="0.25">
      <c r="I38" s="50">
        <f>SUM(I25:I37)</f>
        <v>-26423.030000000006</v>
      </c>
      <c r="J38" s="9" t="s">
        <v>78</v>
      </c>
    </row>
    <row r="39" spans="1:15" x14ac:dyDescent="0.25">
      <c r="H39" s="50" t="s">
        <v>77</v>
      </c>
      <c r="I39" s="62">
        <v>8</v>
      </c>
      <c r="J39" s="3">
        <v>-8.3000000000000004E-2</v>
      </c>
    </row>
    <row r="40" spans="1:15" x14ac:dyDescent="0.25">
      <c r="H40" s="50" t="s">
        <v>85</v>
      </c>
      <c r="I40" s="62">
        <v>2</v>
      </c>
      <c r="J40" s="3">
        <v>1.0500000000000001E-2</v>
      </c>
    </row>
    <row r="41" spans="1:15" x14ac:dyDescent="0.25">
      <c r="J41" s="3"/>
    </row>
    <row r="42" spans="1:15" x14ac:dyDescent="0.25">
      <c r="J42" s="3"/>
    </row>
    <row r="43" spans="1:15" x14ac:dyDescent="0.25">
      <c r="J43" s="3"/>
    </row>
    <row r="44" spans="1:15" x14ac:dyDescent="0.25">
      <c r="J44" s="3"/>
    </row>
    <row r="45" spans="1:15" x14ac:dyDescent="0.25">
      <c r="J45" s="3"/>
    </row>
    <row r="46" spans="1:15" x14ac:dyDescent="0.25">
      <c r="J46" s="3"/>
    </row>
    <row r="47" spans="1:15" x14ac:dyDescent="0.25">
      <c r="J47" s="3"/>
    </row>
    <row r="48" spans="1:15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  <row r="189" spans="10:10" x14ac:dyDescent="0.25">
      <c r="J189" s="3"/>
    </row>
    <row r="190" spans="10:10" x14ac:dyDescent="0.25">
      <c r="J190" s="3"/>
    </row>
    <row r="191" spans="10:10" x14ac:dyDescent="0.25">
      <c r="J191" s="3"/>
    </row>
    <row r="192" spans="10:10" x14ac:dyDescent="0.25">
      <c r="J192" s="3"/>
    </row>
    <row r="193" spans="10:10" x14ac:dyDescent="0.25">
      <c r="J193" s="3"/>
    </row>
  </sheetData>
  <sortState xmlns:xlrd2="http://schemas.microsoft.com/office/spreadsheetml/2017/richdata2" ref="B7:AD14">
    <sortCondition descending="1" ref="L7:L14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22B8-05D8-4C78-A268-433A70759E5A}">
  <dimension ref="A1:AE193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45282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C7" s="20"/>
      <c r="E7" s="21"/>
      <c r="F7" s="50">
        <f t="shared" ref="F7:F15" si="0">E7*D7</f>
        <v>0</v>
      </c>
      <c r="H7" s="54" t="e">
        <f t="shared" ref="H7:H15" si="1">G7/D7</f>
        <v>#DIV/0!</v>
      </c>
      <c r="I7" s="50">
        <f t="shared" ref="I7:I15" si="2">F7-G7</f>
        <v>0</v>
      </c>
      <c r="J7" s="21" t="e">
        <f t="shared" ref="J7:J15" si="3">E7-H7</f>
        <v>#DIV/0!</v>
      </c>
      <c r="K7" s="23"/>
      <c r="L7">
        <f t="shared" ref="L7:L12" si="4">DAYS360(K7,$C$1)</f>
        <v>44632</v>
      </c>
      <c r="M7" s="3" t="e">
        <f t="shared" ref="M7:M15" si="5">(I7/G7)</f>
        <v>#DIV/0!</v>
      </c>
      <c r="Q7" s="24"/>
      <c r="R7" s="25">
        <f t="shared" ref="R7:R15" si="6">Q7*0.93</f>
        <v>0</v>
      </c>
      <c r="S7" s="25"/>
      <c r="T7" s="28">
        <f t="shared" ref="T7:T15" si="7">Q7*1.25</f>
        <v>0</v>
      </c>
      <c r="U7" s="24">
        <f t="shared" ref="U7:U15" si="8">Q7*1.5</f>
        <v>0</v>
      </c>
      <c r="V7" s="24">
        <f t="shared" ref="V7:V15" si="9">Q7*2</f>
        <v>0</v>
      </c>
      <c r="W7" s="24" t="e">
        <f t="shared" ref="W7:W15" si="10">H7-(H7*0.07)</f>
        <v>#DIV/0!</v>
      </c>
      <c r="X7" s="25"/>
      <c r="Y7" s="3" t="e">
        <f t="shared" ref="Y7:Y15" si="11">(X7-H7)/H7</f>
        <v>#DIV/0!</v>
      </c>
      <c r="Z7" s="4">
        <f t="shared" ref="Z7:Z15" si="12">F7/F$18</f>
        <v>0</v>
      </c>
      <c r="AB7" s="26"/>
      <c r="AC7" s="7"/>
    </row>
    <row r="8" spans="1:31" x14ac:dyDescent="0.25">
      <c r="A8" t="s">
        <v>67</v>
      </c>
      <c r="B8" t="s">
        <v>32</v>
      </c>
      <c r="C8" s="20" t="s">
        <v>70</v>
      </c>
      <c r="D8" s="44">
        <f>1211.7123+804.6763</f>
        <v>2016.3885999999998</v>
      </c>
      <c r="E8" s="21">
        <v>19.64</v>
      </c>
      <c r="F8" s="50">
        <f t="shared" si="0"/>
        <v>39601.872103999995</v>
      </c>
      <c r="G8" s="50">
        <f>25318.9+15999</f>
        <v>41317.9</v>
      </c>
      <c r="H8" s="54">
        <f t="shared" si="1"/>
        <v>20.491040268725982</v>
      </c>
      <c r="I8" s="50">
        <f t="shared" si="2"/>
        <v>-1716.0278960000069</v>
      </c>
      <c r="J8" s="21">
        <f t="shared" si="3"/>
        <v>-0.85104026872598126</v>
      </c>
      <c r="K8" s="23">
        <v>45135</v>
      </c>
      <c r="L8">
        <f t="shared" si="4"/>
        <v>144</v>
      </c>
      <c r="M8" s="3">
        <f t="shared" si="5"/>
        <v>-4.1532311564721508E-2</v>
      </c>
      <c r="N8">
        <v>164</v>
      </c>
      <c r="O8">
        <v>69</v>
      </c>
      <c r="P8">
        <v>98</v>
      </c>
      <c r="Q8" s="24">
        <v>19.48</v>
      </c>
      <c r="R8" s="25">
        <f t="shared" si="6"/>
        <v>18.116400000000002</v>
      </c>
      <c r="S8" s="25">
        <v>18.27</v>
      </c>
      <c r="T8" s="28">
        <f t="shared" si="7"/>
        <v>24.35</v>
      </c>
      <c r="U8" s="24">
        <f t="shared" si="8"/>
        <v>29.22</v>
      </c>
      <c r="V8" s="24">
        <f t="shared" si="9"/>
        <v>38.96</v>
      </c>
      <c r="W8" s="24">
        <f t="shared" si="10"/>
        <v>19.056667449915164</v>
      </c>
      <c r="X8" s="25">
        <v>26</v>
      </c>
      <c r="Y8" s="3">
        <f t="shared" si="11"/>
        <v>0.26884724538275157</v>
      </c>
      <c r="Z8" s="29">
        <f t="shared" si="12"/>
        <v>8.3353379106628669E-2</v>
      </c>
      <c r="AA8" s="7"/>
      <c r="AB8" s="26">
        <v>45350</v>
      </c>
      <c r="AC8" s="7">
        <v>79</v>
      </c>
      <c r="AD8" t="s">
        <v>72</v>
      </c>
    </row>
    <row r="9" spans="1:31" x14ac:dyDescent="0.25">
      <c r="A9" t="s">
        <v>97</v>
      </c>
      <c r="B9" t="s">
        <v>32</v>
      </c>
      <c r="C9" s="20" t="s">
        <v>98</v>
      </c>
      <c r="D9" s="44">
        <v>1166.9349999999999</v>
      </c>
      <c r="E9" s="21">
        <v>35.25</v>
      </c>
      <c r="F9" s="50">
        <f t="shared" si="0"/>
        <v>41134.458749999998</v>
      </c>
      <c r="G9" s="50">
        <v>40941.919999999998</v>
      </c>
      <c r="H9" s="54">
        <f t="shared" si="1"/>
        <v>35.085004734625322</v>
      </c>
      <c r="I9" s="50">
        <f t="shared" si="2"/>
        <v>192.53874999999971</v>
      </c>
      <c r="J9" s="21">
        <f t="shared" si="3"/>
        <v>0.16499526537467801</v>
      </c>
      <c r="K9" s="23">
        <v>45233</v>
      </c>
      <c r="L9">
        <f t="shared" si="4"/>
        <v>49</v>
      </c>
      <c r="M9" s="3">
        <f t="shared" si="5"/>
        <v>4.7027288900960123E-3</v>
      </c>
      <c r="N9">
        <v>62</v>
      </c>
      <c r="O9">
        <v>77</v>
      </c>
      <c r="P9" s="27">
        <v>69</v>
      </c>
      <c r="Q9" s="24">
        <v>34.200000000000003</v>
      </c>
      <c r="R9" s="25">
        <f t="shared" si="6"/>
        <v>31.806000000000004</v>
      </c>
      <c r="S9" s="25">
        <v>32.69</v>
      </c>
      <c r="T9" s="28">
        <f t="shared" si="7"/>
        <v>42.75</v>
      </c>
      <c r="U9" s="24">
        <f t="shared" si="8"/>
        <v>51.300000000000004</v>
      </c>
      <c r="V9" s="24">
        <f t="shared" si="9"/>
        <v>68.400000000000006</v>
      </c>
      <c r="W9" s="24">
        <f t="shared" si="10"/>
        <v>32.62905440320155</v>
      </c>
      <c r="X9" s="25">
        <v>32.75</v>
      </c>
      <c r="Y9" s="3">
        <f t="shared" si="11"/>
        <v>-6.655278379714484E-2</v>
      </c>
      <c r="Z9" s="4">
        <f t="shared" si="12"/>
        <v>8.6579142660995881E-2</v>
      </c>
      <c r="AB9" s="26">
        <v>45343</v>
      </c>
      <c r="AC9" s="7">
        <v>84</v>
      </c>
      <c r="AD9" t="s">
        <v>101</v>
      </c>
    </row>
    <row r="10" spans="1:31" x14ac:dyDescent="0.25">
      <c r="A10" t="s">
        <v>99</v>
      </c>
      <c r="B10" t="s">
        <v>32</v>
      </c>
      <c r="C10" s="20" t="s">
        <v>100</v>
      </c>
      <c r="D10" s="44">
        <v>267.84309999999999</v>
      </c>
      <c r="E10" s="21">
        <v>259.02999999999997</v>
      </c>
      <c r="F10" s="50">
        <f t="shared" si="0"/>
        <v>69379.398192999986</v>
      </c>
      <c r="G10" s="50">
        <v>61166.239999999998</v>
      </c>
      <c r="H10" s="54">
        <f t="shared" si="1"/>
        <v>228.36593513142583</v>
      </c>
      <c r="I10" s="50">
        <f t="shared" si="2"/>
        <v>8213.1581929999884</v>
      </c>
      <c r="J10" s="21">
        <f t="shared" si="3"/>
        <v>30.664064868574144</v>
      </c>
      <c r="K10" s="23">
        <v>45238</v>
      </c>
      <c r="L10">
        <f t="shared" si="4"/>
        <v>44</v>
      </c>
      <c r="M10" s="3">
        <f t="shared" si="5"/>
        <v>0.13427600246475815</v>
      </c>
      <c r="N10">
        <v>24</v>
      </c>
      <c r="O10">
        <v>90</v>
      </c>
      <c r="P10">
        <v>99</v>
      </c>
      <c r="Q10" s="24">
        <v>223.3</v>
      </c>
      <c r="R10" s="25">
        <f t="shared" si="6"/>
        <v>207.66900000000001</v>
      </c>
      <c r="S10" s="25">
        <v>224.28</v>
      </c>
      <c r="T10" s="24">
        <f t="shared" si="7"/>
        <v>279.125</v>
      </c>
      <c r="U10" s="24">
        <f t="shared" si="8"/>
        <v>334.95000000000005</v>
      </c>
      <c r="V10" s="24">
        <f t="shared" si="9"/>
        <v>446.6</v>
      </c>
      <c r="W10" s="24">
        <f t="shared" si="10"/>
        <v>212.38031967222602</v>
      </c>
      <c r="X10" s="25">
        <v>234</v>
      </c>
      <c r="Y10" s="3">
        <f t="shared" si="11"/>
        <v>2.4671214055335077E-2</v>
      </c>
      <c r="Z10" s="4">
        <f t="shared" si="12"/>
        <v>0.14602863381266165</v>
      </c>
      <c r="AB10" s="26">
        <v>45349</v>
      </c>
      <c r="AC10" s="7">
        <v>99</v>
      </c>
      <c r="AD10" t="s">
        <v>102</v>
      </c>
    </row>
    <row r="11" spans="1:31" x14ac:dyDescent="0.25">
      <c r="A11" t="s">
        <v>103</v>
      </c>
      <c r="B11" t="s">
        <v>32</v>
      </c>
      <c r="C11" s="20" t="s">
        <v>104</v>
      </c>
      <c r="D11" s="44">
        <f>1160.2602+1046.0778</f>
        <v>2206.3379999999997</v>
      </c>
      <c r="E11" s="21">
        <v>20.399999999999999</v>
      </c>
      <c r="F11" s="50">
        <f t="shared" si="0"/>
        <v>45009.295199999993</v>
      </c>
      <c r="G11" s="50">
        <f>20288.83+19170.47</f>
        <v>39459.300000000003</v>
      </c>
      <c r="H11" s="54">
        <f t="shared" si="1"/>
        <v>17.884521773182534</v>
      </c>
      <c r="I11" s="50">
        <f t="shared" si="2"/>
        <v>5549.9951999999903</v>
      </c>
      <c r="J11" s="21">
        <f t="shared" si="3"/>
        <v>2.5154782268174642</v>
      </c>
      <c r="K11" s="23">
        <v>45243</v>
      </c>
      <c r="L11">
        <f t="shared" si="4"/>
        <v>39</v>
      </c>
      <c r="M11" s="3">
        <f t="shared" si="5"/>
        <v>0.14065113167238116</v>
      </c>
      <c r="N11">
        <v>38</v>
      </c>
      <c r="O11">
        <v>94</v>
      </c>
      <c r="P11" s="27">
        <v>73</v>
      </c>
      <c r="Q11" s="24">
        <v>17.32</v>
      </c>
      <c r="R11" s="25">
        <f t="shared" si="6"/>
        <v>16.107600000000001</v>
      </c>
      <c r="S11" s="25">
        <v>18.05</v>
      </c>
      <c r="T11" s="28">
        <f t="shared" si="7"/>
        <v>21.65</v>
      </c>
      <c r="U11" s="24">
        <f t="shared" si="8"/>
        <v>25.98</v>
      </c>
      <c r="V11" s="24">
        <f t="shared" si="9"/>
        <v>34.64</v>
      </c>
      <c r="W11" s="24">
        <f t="shared" si="10"/>
        <v>16.632605249059758</v>
      </c>
      <c r="X11" s="25">
        <v>18</v>
      </c>
      <c r="Y11" s="3">
        <f t="shared" si="11"/>
        <v>6.4568808873952024E-3</v>
      </c>
      <c r="Z11" s="4">
        <f t="shared" si="12"/>
        <v>9.4734835673307038E-2</v>
      </c>
      <c r="AB11" s="26">
        <v>45350</v>
      </c>
      <c r="AC11" s="7">
        <v>81</v>
      </c>
      <c r="AD11" t="s">
        <v>105</v>
      </c>
    </row>
    <row r="12" spans="1:31" x14ac:dyDescent="0.25">
      <c r="A12" t="s">
        <v>109</v>
      </c>
      <c r="B12" t="s">
        <v>32</v>
      </c>
      <c r="C12" s="20" t="s">
        <v>110</v>
      </c>
      <c r="D12" s="44">
        <f>1006.8806+1065.4202</f>
        <v>2072.3008</v>
      </c>
      <c r="E12" s="21">
        <v>17.41</v>
      </c>
      <c r="F12" s="50">
        <f t="shared" si="0"/>
        <v>36078.756928000003</v>
      </c>
      <c r="G12" s="50">
        <f>20479.95+20765.04</f>
        <v>41244.990000000005</v>
      </c>
      <c r="H12" s="54">
        <f t="shared" si="1"/>
        <v>19.902993812481281</v>
      </c>
      <c r="I12" s="50">
        <f t="shared" si="2"/>
        <v>-5166.2330720000027</v>
      </c>
      <c r="J12" s="21">
        <f t="shared" si="3"/>
        <v>-2.4929938124812807</v>
      </c>
      <c r="K12" s="23">
        <v>45245</v>
      </c>
      <c r="L12">
        <f t="shared" si="4"/>
        <v>37</v>
      </c>
      <c r="M12" s="3">
        <f t="shared" si="5"/>
        <v>-0.12525722692622793</v>
      </c>
      <c r="N12">
        <v>38</v>
      </c>
      <c r="O12">
        <v>97</v>
      </c>
      <c r="P12" s="27">
        <v>84</v>
      </c>
      <c r="Q12" s="24">
        <v>19.170000000000002</v>
      </c>
      <c r="R12" s="25">
        <f t="shared" si="6"/>
        <v>17.828100000000003</v>
      </c>
      <c r="S12" s="25">
        <v>17.05</v>
      </c>
      <c r="T12" s="28">
        <f t="shared" si="7"/>
        <v>23.962500000000002</v>
      </c>
      <c r="U12" s="24">
        <f t="shared" si="8"/>
        <v>28.755000000000003</v>
      </c>
      <c r="V12" s="24">
        <f t="shared" si="9"/>
        <v>38.340000000000003</v>
      </c>
      <c r="W12" s="24">
        <f t="shared" si="10"/>
        <v>18.509784245607591</v>
      </c>
      <c r="X12" s="25">
        <v>18.75</v>
      </c>
      <c r="Y12" s="3">
        <f t="shared" si="11"/>
        <v>-5.7930672307109486E-2</v>
      </c>
      <c r="Z12" s="4">
        <f t="shared" si="12"/>
        <v>7.5937983336190271E-2</v>
      </c>
      <c r="AB12" s="26">
        <v>45336</v>
      </c>
      <c r="AC12" s="7">
        <v>97</v>
      </c>
    </row>
    <row r="13" spans="1:31" x14ac:dyDescent="0.25">
      <c r="A13" s="20" t="s">
        <v>44</v>
      </c>
      <c r="B13" s="20" t="s">
        <v>32</v>
      </c>
      <c r="C13" s="20" t="s">
        <v>45</v>
      </c>
      <c r="D13" s="44">
        <f>2223.78-868.0181</f>
        <v>1355.7619000000002</v>
      </c>
      <c r="E13" s="21">
        <v>91.31</v>
      </c>
      <c r="F13" s="50">
        <f t="shared" si="0"/>
        <v>123794.61908900001</v>
      </c>
      <c r="G13" s="50">
        <f>203698.25-79510.46</f>
        <v>124187.79</v>
      </c>
      <c r="H13" s="54">
        <f t="shared" si="1"/>
        <v>91.59999997049627</v>
      </c>
      <c r="I13" s="50">
        <f t="shared" si="2"/>
        <v>-393.17091099997924</v>
      </c>
      <c r="J13" s="21">
        <f t="shared" si="3"/>
        <v>-0.28999997049626813</v>
      </c>
      <c r="K13" s="23"/>
      <c r="M13" s="3">
        <f t="shared" si="5"/>
        <v>-3.165938543555524E-3</v>
      </c>
      <c r="Q13" s="24"/>
      <c r="R13" s="25">
        <f t="shared" si="6"/>
        <v>0</v>
      </c>
      <c r="S13" s="25"/>
      <c r="T13" s="28">
        <f t="shared" si="7"/>
        <v>0</v>
      </c>
      <c r="U13" s="28">
        <f t="shared" si="8"/>
        <v>0</v>
      </c>
      <c r="V13" s="24">
        <f t="shared" si="9"/>
        <v>0</v>
      </c>
      <c r="W13" s="24">
        <f t="shared" si="10"/>
        <v>85.187999972561528</v>
      </c>
      <c r="X13" s="25"/>
      <c r="Y13" s="3">
        <f t="shared" si="11"/>
        <v>-1</v>
      </c>
      <c r="Z13" s="4">
        <f t="shared" si="12"/>
        <v>0.26056090957487504</v>
      </c>
      <c r="AB13" s="26"/>
      <c r="AC13" s="7"/>
    </row>
    <row r="14" spans="1:31" x14ac:dyDescent="0.25">
      <c r="A14" t="s">
        <v>42</v>
      </c>
      <c r="B14" t="s">
        <v>32</v>
      </c>
      <c r="C14" s="20" t="s">
        <v>43</v>
      </c>
      <c r="D14" s="44">
        <v>511.29180000000002</v>
      </c>
      <c r="E14" s="21">
        <v>13.53</v>
      </c>
      <c r="F14" s="50">
        <f t="shared" si="0"/>
        <v>6917.7780540000003</v>
      </c>
      <c r="G14" s="50">
        <v>24797.66</v>
      </c>
      <c r="H14" s="54">
        <f t="shared" si="1"/>
        <v>48.500015059893386</v>
      </c>
      <c r="I14" s="50">
        <f t="shared" si="2"/>
        <v>-17879.881946000001</v>
      </c>
      <c r="J14" s="21">
        <f t="shared" si="3"/>
        <v>-34.970015059893385</v>
      </c>
      <c r="K14" s="23"/>
      <c r="M14" s="3">
        <f t="shared" si="5"/>
        <v>-0.72103101445862239</v>
      </c>
      <c r="P14" s="27"/>
      <c r="Q14" s="24"/>
      <c r="R14" s="25">
        <f t="shared" si="6"/>
        <v>0</v>
      </c>
      <c r="S14" s="25"/>
      <c r="T14" s="24">
        <f t="shared" si="7"/>
        <v>0</v>
      </c>
      <c r="U14" s="24">
        <f t="shared" si="8"/>
        <v>0</v>
      </c>
      <c r="V14" s="24">
        <f t="shared" si="9"/>
        <v>0</v>
      </c>
      <c r="W14" s="24">
        <f t="shared" si="10"/>
        <v>45.105014005700852</v>
      </c>
      <c r="X14" s="25"/>
      <c r="Y14" s="3">
        <f t="shared" si="11"/>
        <v>-1</v>
      </c>
      <c r="Z14" s="4">
        <f t="shared" si="12"/>
        <v>1.4560427224154798E-2</v>
      </c>
      <c r="AB14" s="26"/>
      <c r="AC14" s="7"/>
    </row>
    <row r="15" spans="1:31" x14ac:dyDescent="0.25">
      <c r="A15" s="31"/>
      <c r="B15" s="31"/>
      <c r="C15" s="31"/>
      <c r="D15" s="47"/>
      <c r="E15" s="32"/>
      <c r="F15" s="53">
        <f t="shared" si="0"/>
        <v>0</v>
      </c>
      <c r="G15" s="53"/>
      <c r="H15" s="59" t="e">
        <f t="shared" si="1"/>
        <v>#DIV/0!</v>
      </c>
      <c r="I15" s="53">
        <f t="shared" si="2"/>
        <v>0</v>
      </c>
      <c r="J15" s="32" t="e">
        <f t="shared" si="3"/>
        <v>#DIV/0!</v>
      </c>
      <c r="K15" s="34"/>
      <c r="L15" s="31">
        <f t="shared" ref="L15" si="13">DAYS360(K15,$C$1)</f>
        <v>44632</v>
      </c>
      <c r="M15" s="35" t="e">
        <f t="shared" si="5"/>
        <v>#DIV/0!</v>
      </c>
      <c r="N15" s="31"/>
      <c r="O15" s="31"/>
      <c r="P15" s="31"/>
      <c r="Q15" s="36"/>
      <c r="R15" s="37">
        <f t="shared" si="6"/>
        <v>0</v>
      </c>
      <c r="S15" s="37"/>
      <c r="T15" s="36">
        <f t="shared" si="7"/>
        <v>0</v>
      </c>
      <c r="U15" s="36">
        <f t="shared" si="8"/>
        <v>0</v>
      </c>
      <c r="V15" s="36">
        <f t="shared" si="9"/>
        <v>0</v>
      </c>
      <c r="W15" s="36" t="e">
        <f t="shared" si="10"/>
        <v>#DIV/0!</v>
      </c>
      <c r="X15" s="37"/>
      <c r="Y15" s="35" t="e">
        <f t="shared" si="11"/>
        <v>#DIV/0!</v>
      </c>
      <c r="Z15" s="38">
        <f t="shared" si="12"/>
        <v>0</v>
      </c>
      <c r="AB15" s="39"/>
      <c r="AC15" s="7"/>
    </row>
    <row r="16" spans="1:31" x14ac:dyDescent="0.25">
      <c r="A16" t="s">
        <v>33</v>
      </c>
      <c r="F16" s="50">
        <f>SUM(F6:F15)</f>
        <v>361916.17831800005</v>
      </c>
      <c r="G16" s="50">
        <f>SUM(G6:G15)</f>
        <v>373115.79999999993</v>
      </c>
      <c r="H16" s="54"/>
      <c r="I16" s="50">
        <f>SUM(I6:I15)</f>
        <v>-11199.621682000012</v>
      </c>
      <c r="M16" s="3"/>
      <c r="Z16" s="4"/>
    </row>
    <row r="17" spans="1:26" x14ac:dyDescent="0.25">
      <c r="D17" s="44" t="s">
        <v>34</v>
      </c>
      <c r="F17" s="50">
        <v>113192</v>
      </c>
      <c r="G17" s="4">
        <f>F17/F18</f>
        <v>0.23824468861118653</v>
      </c>
      <c r="H17" s="54"/>
      <c r="M17" s="3"/>
      <c r="Z17" s="4"/>
    </row>
    <row r="18" spans="1:26" x14ac:dyDescent="0.25">
      <c r="D18" s="44" t="s">
        <v>35</v>
      </c>
      <c r="F18" s="50">
        <f>SUM(F16:F17)</f>
        <v>475108.17831800005</v>
      </c>
      <c r="H18" s="60"/>
      <c r="M18" s="3"/>
      <c r="Z18" s="4"/>
    </row>
    <row r="19" spans="1:26" x14ac:dyDescent="0.25">
      <c r="F19" s="54"/>
      <c r="H19" s="60" t="s">
        <v>37</v>
      </c>
      <c r="I19" s="50">
        <f>'12-15-23'!F18</f>
        <v>474150.32075899997</v>
      </c>
      <c r="K19" s="1">
        <v>45107</v>
      </c>
      <c r="L19" s="64">
        <f>509801-21683</f>
        <v>488118</v>
      </c>
      <c r="M19" s="3"/>
      <c r="Z19" s="4"/>
    </row>
    <row r="20" spans="1:26" x14ac:dyDescent="0.25">
      <c r="F20" s="55"/>
      <c r="G20" s="58"/>
      <c r="H20" s="54" t="s">
        <v>39</v>
      </c>
      <c r="I20" s="4">
        <f>(F18-I19)/I19</f>
        <v>2.0201558810859508E-3</v>
      </c>
      <c r="K20" s="7" t="s">
        <v>73</v>
      </c>
      <c r="L20" s="4">
        <f>(F18-L19)/L19</f>
        <v>-2.6653025870793438E-2</v>
      </c>
      <c r="Z20" s="4"/>
    </row>
    <row r="22" spans="1:26" x14ac:dyDescent="0.25">
      <c r="D22" s="7"/>
      <c r="E22" s="7"/>
      <c r="F22" s="56"/>
      <c r="I22" s="51"/>
      <c r="J22" s="7"/>
      <c r="K22" s="7"/>
      <c r="L22" s="7"/>
      <c r="M22" s="9" t="s">
        <v>46</v>
      </c>
    </row>
    <row r="23" spans="1:26" x14ac:dyDescent="0.25">
      <c r="A23" s="49" t="s">
        <v>54</v>
      </c>
      <c r="D23" s="19" t="s">
        <v>17</v>
      </c>
      <c r="E23" s="19" t="s">
        <v>47</v>
      </c>
      <c r="F23" s="57" t="s">
        <v>48</v>
      </c>
      <c r="G23" s="57" t="s">
        <v>50</v>
      </c>
      <c r="H23" s="57" t="s">
        <v>49</v>
      </c>
      <c r="I23" s="57" t="s">
        <v>51</v>
      </c>
      <c r="J23" s="19" t="s">
        <v>12</v>
      </c>
      <c r="K23" s="19" t="s">
        <v>22</v>
      </c>
      <c r="L23" s="19" t="s">
        <v>52</v>
      </c>
      <c r="M23" s="19" t="s">
        <v>53</v>
      </c>
      <c r="N23" s="1"/>
      <c r="P23" s="7" t="s">
        <v>55</v>
      </c>
    </row>
    <row r="24" spans="1:26" x14ac:dyDescent="0.25">
      <c r="J24" s="3"/>
    </row>
    <row r="25" spans="1:26" x14ac:dyDescent="0.25">
      <c r="A25" t="s">
        <v>60</v>
      </c>
      <c r="B25" t="s">
        <v>32</v>
      </c>
      <c r="C25" s="20" t="s">
        <v>61</v>
      </c>
      <c r="D25" s="44">
        <v>665.97389999999996</v>
      </c>
      <c r="E25" s="50">
        <f t="shared" ref="E25:E35" si="14">F25/D25</f>
        <v>76.621621357834002</v>
      </c>
      <c r="F25" s="50">
        <v>51028</v>
      </c>
      <c r="G25" s="50">
        <v>45324.79</v>
      </c>
      <c r="H25" s="50">
        <f t="shared" ref="H25:H35" si="15">G25/D25</f>
        <v>68.057907374448163</v>
      </c>
      <c r="I25" s="50">
        <f t="shared" ref="I25:I35" si="16">G25-F25</f>
        <v>-5703.2099999999991</v>
      </c>
      <c r="J25" s="3">
        <f t="shared" ref="J25:J35" si="17">I25/F25</f>
        <v>-0.11176628517676568</v>
      </c>
      <c r="K25" s="61">
        <v>45106</v>
      </c>
      <c r="L25" s="61">
        <v>45132</v>
      </c>
      <c r="M25">
        <f t="shared" ref="M25:M35" si="18">DAYS360(K25,L25)</f>
        <v>26</v>
      </c>
      <c r="O25" t="s">
        <v>66</v>
      </c>
    </row>
    <row r="26" spans="1:26" x14ac:dyDescent="0.25">
      <c r="A26" t="s">
        <v>40</v>
      </c>
      <c r="B26" t="s">
        <v>32</v>
      </c>
      <c r="C26" s="20" t="s">
        <v>41</v>
      </c>
      <c r="D26" s="44">
        <v>123.3931</v>
      </c>
      <c r="E26" s="50">
        <f t="shared" si="14"/>
        <v>413.24004340599271</v>
      </c>
      <c r="F26" s="50">
        <v>50990.97</v>
      </c>
      <c r="G26" s="50">
        <v>48894.94</v>
      </c>
      <c r="H26" s="50">
        <f t="shared" si="15"/>
        <v>396.25343718570974</v>
      </c>
      <c r="I26" s="50">
        <f t="shared" si="16"/>
        <v>-2096.0299999999988</v>
      </c>
      <c r="J26" s="3">
        <f t="shared" si="17"/>
        <v>-4.1105905614268544E-2</v>
      </c>
      <c r="K26" s="61">
        <v>45104</v>
      </c>
      <c r="L26" s="61">
        <v>45138</v>
      </c>
      <c r="M26">
        <f t="shared" si="18"/>
        <v>34</v>
      </c>
      <c r="O26" t="s">
        <v>69</v>
      </c>
    </row>
    <row r="27" spans="1:26" x14ac:dyDescent="0.25">
      <c r="A27" t="s">
        <v>56</v>
      </c>
      <c r="B27" t="s">
        <v>32</v>
      </c>
      <c r="C27" s="20" t="s">
        <v>57</v>
      </c>
      <c r="D27" s="44">
        <v>278.20080000000002</v>
      </c>
      <c r="E27" s="50">
        <f t="shared" si="14"/>
        <v>128.41001895034088</v>
      </c>
      <c r="F27" s="50">
        <v>35723.769999999997</v>
      </c>
      <c r="G27" s="50">
        <v>34855.72</v>
      </c>
      <c r="H27" s="50">
        <f t="shared" si="15"/>
        <v>125.28979068356381</v>
      </c>
      <c r="I27" s="50">
        <f t="shared" si="16"/>
        <v>-868.04999999999563</v>
      </c>
      <c r="J27" s="3">
        <f t="shared" si="17"/>
        <v>-2.4298947171588994E-2</v>
      </c>
      <c r="K27" s="61">
        <v>45106</v>
      </c>
      <c r="L27" s="61">
        <v>45138</v>
      </c>
      <c r="M27">
        <f t="shared" si="18"/>
        <v>32</v>
      </c>
      <c r="O27" t="s">
        <v>71</v>
      </c>
    </row>
    <row r="28" spans="1:26" x14ac:dyDescent="0.25">
      <c r="A28" t="s">
        <v>82</v>
      </c>
      <c r="B28" t="s">
        <v>32</v>
      </c>
      <c r="C28" s="20" t="s">
        <v>83</v>
      </c>
      <c r="D28" s="44">
        <v>1007.1459</v>
      </c>
      <c r="E28" s="50">
        <f t="shared" si="14"/>
        <v>20.954908320631599</v>
      </c>
      <c r="F28" s="50">
        <v>21104.65</v>
      </c>
      <c r="G28" s="50">
        <v>18099.32</v>
      </c>
      <c r="H28" s="50">
        <f t="shared" si="15"/>
        <v>17.970901733303982</v>
      </c>
      <c r="I28" s="50">
        <f t="shared" si="16"/>
        <v>-3005.3300000000017</v>
      </c>
      <c r="J28" s="3">
        <f t="shared" si="17"/>
        <v>-0.14240131914056861</v>
      </c>
      <c r="K28" s="61">
        <v>45181</v>
      </c>
      <c r="L28" s="61">
        <v>45183</v>
      </c>
      <c r="M28">
        <f t="shared" si="18"/>
        <v>2</v>
      </c>
      <c r="O28" t="s">
        <v>84</v>
      </c>
    </row>
    <row r="29" spans="1:26" x14ac:dyDescent="0.25">
      <c r="A29" t="s">
        <v>63</v>
      </c>
      <c r="B29" t="s">
        <v>32</v>
      </c>
      <c r="C29" s="20" t="s">
        <v>64</v>
      </c>
      <c r="D29" s="44">
        <v>115.8536</v>
      </c>
      <c r="E29" s="50">
        <f t="shared" si="14"/>
        <v>442.16001919664131</v>
      </c>
      <c r="F29" s="50">
        <v>51225.83</v>
      </c>
      <c r="G29" s="50">
        <v>52055.28</v>
      </c>
      <c r="H29" s="50">
        <f t="shared" si="15"/>
        <v>449.31948597195077</v>
      </c>
      <c r="I29" s="50">
        <f t="shared" si="16"/>
        <v>829.44999999999709</v>
      </c>
      <c r="J29" s="3">
        <f t="shared" si="17"/>
        <v>1.6192026561599824E-2</v>
      </c>
      <c r="K29" s="61">
        <v>45117</v>
      </c>
      <c r="L29" s="61">
        <v>45184</v>
      </c>
      <c r="M29" s="63">
        <f t="shared" si="18"/>
        <v>65</v>
      </c>
      <c r="O29" t="s">
        <v>86</v>
      </c>
    </row>
    <row r="30" spans="1:26" x14ac:dyDescent="0.25">
      <c r="A30" t="s">
        <v>79</v>
      </c>
      <c r="B30" t="s">
        <v>32</v>
      </c>
      <c r="C30" s="20" t="s">
        <v>80</v>
      </c>
      <c r="D30" s="44">
        <v>507.0754</v>
      </c>
      <c r="E30" s="50">
        <f t="shared" si="14"/>
        <v>81.153611474743201</v>
      </c>
      <c r="F30" s="50">
        <v>41151</v>
      </c>
      <c r="G30" s="50">
        <v>38871.01</v>
      </c>
      <c r="H30" s="50">
        <f t="shared" si="15"/>
        <v>76.657258466886788</v>
      </c>
      <c r="I30" s="50">
        <f t="shared" si="16"/>
        <v>-2279.989999999998</v>
      </c>
      <c r="J30" s="3">
        <f t="shared" si="17"/>
        <v>-5.5405457947558939E-2</v>
      </c>
      <c r="K30" s="61">
        <v>45167</v>
      </c>
      <c r="L30" s="61">
        <v>45216</v>
      </c>
      <c r="M30" s="63">
        <f t="shared" si="18"/>
        <v>48</v>
      </c>
      <c r="O30" t="s">
        <v>95</v>
      </c>
    </row>
    <row r="31" spans="1:26" x14ac:dyDescent="0.25">
      <c r="A31" t="s">
        <v>90</v>
      </c>
      <c r="B31" t="s">
        <v>32</v>
      </c>
      <c r="C31" s="20" t="s">
        <v>91</v>
      </c>
      <c r="D31" s="44">
        <v>306.1703</v>
      </c>
      <c r="E31" s="50">
        <f t="shared" si="14"/>
        <v>170.32671033081917</v>
      </c>
      <c r="F31" s="50">
        <v>52148.98</v>
      </c>
      <c r="G31" s="50">
        <v>49351.519999999997</v>
      </c>
      <c r="H31" s="50">
        <f t="shared" si="15"/>
        <v>161.18976922320681</v>
      </c>
      <c r="I31" s="50">
        <f t="shared" si="16"/>
        <v>-2797.4600000000064</v>
      </c>
      <c r="J31" s="3">
        <f t="shared" si="17"/>
        <v>-5.3643618724661654E-2</v>
      </c>
      <c r="K31" s="61">
        <v>45208</v>
      </c>
      <c r="L31" s="61">
        <v>45219</v>
      </c>
      <c r="M31" s="63">
        <f t="shared" si="18"/>
        <v>11</v>
      </c>
      <c r="O31" t="s">
        <v>93</v>
      </c>
    </row>
    <row r="32" spans="1:26" x14ac:dyDescent="0.25">
      <c r="A32" t="s">
        <v>87</v>
      </c>
      <c r="B32" t="s">
        <v>32</v>
      </c>
      <c r="C32" s="20" t="s">
        <v>88</v>
      </c>
      <c r="D32" s="44">
        <v>239.91579999999999</v>
      </c>
      <c r="E32" s="50">
        <f t="shared" si="14"/>
        <v>173.89088171766929</v>
      </c>
      <c r="F32" s="50">
        <v>41719.17</v>
      </c>
      <c r="G32" s="50">
        <v>36026.28</v>
      </c>
      <c r="H32" s="50">
        <f t="shared" si="15"/>
        <v>150.16218189881616</v>
      </c>
      <c r="I32" s="50">
        <f t="shared" si="16"/>
        <v>-5692.8899999999994</v>
      </c>
      <c r="J32" s="3">
        <f t="shared" si="17"/>
        <v>-0.13645741274335035</v>
      </c>
      <c r="K32" s="61">
        <v>45208</v>
      </c>
      <c r="L32" s="61">
        <v>45219</v>
      </c>
      <c r="M32" s="63">
        <f t="shared" si="18"/>
        <v>11</v>
      </c>
      <c r="O32" t="s">
        <v>94</v>
      </c>
    </row>
    <row r="33" spans="1:15" x14ac:dyDescent="0.25">
      <c r="A33" t="s">
        <v>74</v>
      </c>
      <c r="B33" t="s">
        <v>32</v>
      </c>
      <c r="C33" s="20" t="s">
        <v>75</v>
      </c>
      <c r="D33" s="44">
        <v>266.87329999999997</v>
      </c>
      <c r="E33" s="50">
        <f t="shared" si="14"/>
        <v>151.47948483418912</v>
      </c>
      <c r="F33" s="50">
        <v>40425.83</v>
      </c>
      <c r="G33" s="50">
        <v>40616.769999999997</v>
      </c>
      <c r="H33" s="50">
        <f t="shared" si="15"/>
        <v>152.19495543390815</v>
      </c>
      <c r="I33" s="50">
        <f t="shared" si="16"/>
        <v>190.93999999999505</v>
      </c>
      <c r="J33" s="3">
        <f t="shared" si="17"/>
        <v>4.7232178040622803E-3</v>
      </c>
      <c r="K33" s="61">
        <v>45153</v>
      </c>
      <c r="L33" s="61">
        <v>45224</v>
      </c>
      <c r="M33" s="63">
        <f t="shared" si="18"/>
        <v>70</v>
      </c>
      <c r="O33" t="s">
        <v>96</v>
      </c>
    </row>
    <row r="34" spans="1:15" x14ac:dyDescent="0.25">
      <c r="A34" t="s">
        <v>106</v>
      </c>
      <c r="B34" t="s">
        <v>32</v>
      </c>
      <c r="C34" s="20" t="s">
        <v>107</v>
      </c>
      <c r="D34" s="44">
        <v>247.90379999999999</v>
      </c>
      <c r="E34" s="50">
        <f t="shared" si="14"/>
        <v>205.43166341137169</v>
      </c>
      <c r="F34" s="50">
        <v>50927.29</v>
      </c>
      <c r="G34" s="50">
        <v>45926.83</v>
      </c>
      <c r="H34" s="50">
        <f t="shared" si="15"/>
        <v>185.26069386592704</v>
      </c>
      <c r="I34" s="50">
        <f t="shared" si="16"/>
        <v>-5000.4599999999991</v>
      </c>
      <c r="J34" s="3">
        <f t="shared" si="17"/>
        <v>-9.8188220892963265E-2</v>
      </c>
      <c r="K34" s="61">
        <v>45244</v>
      </c>
      <c r="L34" s="61">
        <v>45267</v>
      </c>
      <c r="M34" s="63">
        <f t="shared" si="18"/>
        <v>23</v>
      </c>
      <c r="O34" t="s">
        <v>111</v>
      </c>
    </row>
    <row r="35" spans="1:15" x14ac:dyDescent="0.25">
      <c r="A35" t="s">
        <v>112</v>
      </c>
      <c r="B35" t="s">
        <v>32</v>
      </c>
      <c r="C35" s="20" t="s">
        <v>113</v>
      </c>
      <c r="D35" s="44">
        <v>179.93279999999999</v>
      </c>
      <c r="E35" s="50">
        <f t="shared" si="14"/>
        <v>320.36576988742468</v>
      </c>
      <c r="F35" s="50">
        <v>57644.31</v>
      </c>
      <c r="G35" s="50">
        <v>52870.41</v>
      </c>
      <c r="H35" s="50">
        <f t="shared" si="15"/>
        <v>293.83419810062429</v>
      </c>
      <c r="I35" s="50">
        <f t="shared" si="16"/>
        <v>-4773.8999999999942</v>
      </c>
      <c r="J35" s="3">
        <f t="shared" si="17"/>
        <v>-8.2816500015352679E-2</v>
      </c>
      <c r="K35" s="61">
        <v>45279</v>
      </c>
      <c r="L35" s="61">
        <v>45282</v>
      </c>
      <c r="M35" s="63">
        <f t="shared" si="18"/>
        <v>3</v>
      </c>
      <c r="O35" t="s">
        <v>114</v>
      </c>
    </row>
    <row r="36" spans="1:15" x14ac:dyDescent="0.25">
      <c r="C36" s="20"/>
      <c r="E36" s="50"/>
      <c r="J36" s="3"/>
      <c r="K36" s="61"/>
      <c r="L36" s="61"/>
      <c r="M36" s="63"/>
    </row>
    <row r="37" spans="1:15" x14ac:dyDescent="0.25">
      <c r="C37" s="20"/>
      <c r="E37" s="50"/>
      <c r="J37" s="3"/>
      <c r="K37" s="61"/>
      <c r="L37" s="61"/>
      <c r="M37" s="63"/>
    </row>
    <row r="38" spans="1:15" x14ac:dyDescent="0.25">
      <c r="I38" s="50">
        <f>SUM(I25:I37)</f>
        <v>-31196.93</v>
      </c>
      <c r="J38" s="9" t="s">
        <v>78</v>
      </c>
    </row>
    <row r="39" spans="1:15" x14ac:dyDescent="0.25">
      <c r="H39" s="50" t="s">
        <v>77</v>
      </c>
      <c r="I39" s="62">
        <v>9</v>
      </c>
      <c r="J39" s="3">
        <v>-8.2900000000000001E-2</v>
      </c>
    </row>
    <row r="40" spans="1:15" x14ac:dyDescent="0.25">
      <c r="H40" s="50" t="s">
        <v>85</v>
      </c>
      <c r="I40" s="62">
        <v>2</v>
      </c>
      <c r="J40" s="3">
        <v>1.0500000000000001E-2</v>
      </c>
    </row>
    <row r="41" spans="1:15" x14ac:dyDescent="0.25">
      <c r="J41" s="3"/>
    </row>
    <row r="42" spans="1:15" x14ac:dyDescent="0.25">
      <c r="J42" s="3"/>
    </row>
    <row r="43" spans="1:15" x14ac:dyDescent="0.25">
      <c r="J43" s="3"/>
    </row>
    <row r="44" spans="1:15" x14ac:dyDescent="0.25">
      <c r="J44" s="3"/>
    </row>
    <row r="45" spans="1:15" x14ac:dyDescent="0.25">
      <c r="J45" s="3"/>
    </row>
    <row r="46" spans="1:15" x14ac:dyDescent="0.25">
      <c r="J46" s="3"/>
    </row>
    <row r="47" spans="1:15" x14ac:dyDescent="0.25">
      <c r="J47" s="3"/>
    </row>
    <row r="48" spans="1:15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  <row r="189" spans="10:10" x14ac:dyDescent="0.25">
      <c r="J189" s="3"/>
    </row>
    <row r="190" spans="10:10" x14ac:dyDescent="0.25">
      <c r="J190" s="3"/>
    </row>
    <row r="191" spans="10:10" x14ac:dyDescent="0.25">
      <c r="J191" s="3"/>
    </row>
    <row r="192" spans="10:10" x14ac:dyDescent="0.25">
      <c r="J192" s="3"/>
    </row>
    <row r="193" spans="10:10" x14ac:dyDescent="0.25">
      <c r="J193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32EC-5C0D-4ABE-95A1-1E7984DAB9CA}">
  <dimension ref="A1:AE194"/>
  <sheetViews>
    <sheetView tabSelected="1" topLeftCell="B1" workbookViewId="0">
      <selection activeCell="F18" sqref="F18"/>
    </sheetView>
  </sheetViews>
  <sheetFormatPr defaultRowHeight="15" x14ac:dyDescent="0.25"/>
  <cols>
    <col min="1" max="1" width="9.42578125" bestFit="1" customWidth="1"/>
    <col min="2" max="2" width="8.42578125" bestFit="1" customWidth="1"/>
    <col min="3" max="3" width="16" bestFit="1" customWidth="1"/>
    <col min="4" max="4" width="11" style="44" bestFit="1" customWidth="1"/>
    <col min="5" max="5" width="8.85546875" bestFit="1" customWidth="1"/>
    <col min="6" max="6" width="20.7109375" style="50" bestFit="1" customWidth="1"/>
    <col min="7" max="7" width="12.7109375" style="50" bestFit="1" customWidth="1"/>
    <col min="8" max="8" width="16.5703125" style="50" bestFit="1" customWidth="1"/>
    <col min="9" max="9" width="15.5703125" style="50" bestFit="1" customWidth="1"/>
    <col min="10" max="10" width="8.42578125" bestFit="1" customWidth="1"/>
    <col min="11" max="11" width="10.5703125" bestFit="1" customWidth="1"/>
    <col min="12" max="12" width="11.140625" customWidth="1"/>
    <col min="13" max="13" width="9" customWidth="1"/>
    <col min="14" max="14" width="6.42578125" bestFit="1" customWidth="1"/>
    <col min="15" max="15" width="3.28515625" bestFit="1" customWidth="1"/>
    <col min="16" max="16" width="4.140625" bestFit="1" customWidth="1"/>
    <col min="17" max="22" width="7.140625" bestFit="1" customWidth="1"/>
    <col min="23" max="25" width="7.7109375" bestFit="1" customWidth="1"/>
    <col min="26" max="26" width="8.28515625" customWidth="1"/>
    <col min="28" max="28" width="7.28515625" bestFit="1" customWidth="1"/>
    <col min="29" max="29" width="6.140625" bestFit="1" customWidth="1"/>
  </cols>
  <sheetData>
    <row r="1" spans="1:31" x14ac:dyDescent="0.25">
      <c r="C1" s="1">
        <v>45289</v>
      </c>
      <c r="H1" s="54"/>
      <c r="M1" s="3"/>
      <c r="Z1" s="4"/>
    </row>
    <row r="2" spans="1:31" x14ac:dyDescent="0.25">
      <c r="C2" s="1"/>
      <c r="E2" s="5"/>
      <c r="H2" s="54"/>
      <c r="M2" s="3"/>
      <c r="Z2" s="4"/>
    </row>
    <row r="3" spans="1:31" x14ac:dyDescent="0.25">
      <c r="C3" s="6" t="s">
        <v>0</v>
      </c>
      <c r="H3" s="54"/>
      <c r="M3" s="3"/>
      <c r="X3" s="7" t="s">
        <v>1</v>
      </c>
      <c r="Z3" s="4"/>
      <c r="AC3" s="7" t="s">
        <v>2</v>
      </c>
    </row>
    <row r="4" spans="1:31" x14ac:dyDescent="0.25">
      <c r="A4" s="7"/>
      <c r="B4" s="7"/>
      <c r="C4" s="7"/>
      <c r="D4" s="45"/>
      <c r="E4" s="8"/>
      <c r="F4" s="51"/>
      <c r="G4" s="51"/>
      <c r="H4" s="51" t="s">
        <v>3</v>
      </c>
      <c r="I4" s="51"/>
      <c r="J4" s="7" t="s">
        <v>4</v>
      </c>
      <c r="K4" s="7"/>
      <c r="L4" s="7"/>
      <c r="M4" s="9"/>
      <c r="N4" s="7" t="s">
        <v>5</v>
      </c>
      <c r="O4" s="7"/>
      <c r="P4" s="7" t="s">
        <v>6</v>
      </c>
      <c r="Q4" s="7"/>
      <c r="R4" s="10" t="s">
        <v>7</v>
      </c>
      <c r="S4" s="10" t="s">
        <v>8</v>
      </c>
      <c r="T4" s="7"/>
      <c r="U4" s="7"/>
      <c r="V4" s="7"/>
      <c r="W4" s="7" t="s">
        <v>9</v>
      </c>
      <c r="X4" s="7" t="s">
        <v>10</v>
      </c>
      <c r="Y4" s="7" t="s">
        <v>11</v>
      </c>
      <c r="Z4" s="11" t="s">
        <v>12</v>
      </c>
      <c r="AA4" s="7"/>
      <c r="AB4" s="7" t="s">
        <v>6</v>
      </c>
      <c r="AC4" s="7" t="s">
        <v>13</v>
      </c>
      <c r="AD4" s="7"/>
      <c r="AE4" s="7"/>
    </row>
    <row r="5" spans="1:31" x14ac:dyDescent="0.25">
      <c r="A5" s="12" t="s">
        <v>14</v>
      </c>
      <c r="B5" s="12" t="s">
        <v>15</v>
      </c>
      <c r="C5" s="12" t="s">
        <v>16</v>
      </c>
      <c r="D5" s="46" t="s">
        <v>17</v>
      </c>
      <c r="E5" s="12" t="s">
        <v>1</v>
      </c>
      <c r="F5" s="52" t="s">
        <v>18</v>
      </c>
      <c r="G5" s="52" t="s">
        <v>3</v>
      </c>
      <c r="H5" s="52" t="s">
        <v>19</v>
      </c>
      <c r="I5" s="52" t="s">
        <v>20</v>
      </c>
      <c r="J5" s="12" t="s">
        <v>21</v>
      </c>
      <c r="K5" s="12" t="s">
        <v>22</v>
      </c>
      <c r="L5" s="12" t="s">
        <v>23</v>
      </c>
      <c r="M5" s="13" t="s">
        <v>24</v>
      </c>
      <c r="N5" s="12" t="s">
        <v>25</v>
      </c>
      <c r="O5" s="12" t="s">
        <v>26</v>
      </c>
      <c r="P5" s="12" t="s">
        <v>26</v>
      </c>
      <c r="Q5" s="12" t="s">
        <v>7</v>
      </c>
      <c r="R5" s="14">
        <v>-7.0000000000000007E-2</v>
      </c>
      <c r="S5" s="15" t="s">
        <v>27</v>
      </c>
      <c r="T5" s="16">
        <v>0.25</v>
      </c>
      <c r="U5" s="16">
        <v>0.5</v>
      </c>
      <c r="V5" s="16">
        <v>1</v>
      </c>
      <c r="W5" s="16">
        <v>-7.0000000000000007E-2</v>
      </c>
      <c r="X5" s="17" t="s">
        <v>28</v>
      </c>
      <c r="Y5" s="17" t="s">
        <v>29</v>
      </c>
      <c r="Z5" s="18" t="s">
        <v>30</v>
      </c>
      <c r="AA5" s="7"/>
      <c r="AB5" s="19" t="s">
        <v>31</v>
      </c>
      <c r="AC5" s="7" t="s">
        <v>25</v>
      </c>
      <c r="AD5" s="7"/>
      <c r="AE5" s="7"/>
    </row>
    <row r="6" spans="1:31" x14ac:dyDescent="0.25">
      <c r="C6" s="20"/>
      <c r="E6" s="21"/>
      <c r="H6" s="54"/>
      <c r="J6" s="21"/>
      <c r="K6" s="23"/>
      <c r="M6" s="3"/>
      <c r="Q6" s="24"/>
      <c r="R6" s="25"/>
      <c r="S6" s="25"/>
      <c r="T6" s="24"/>
      <c r="U6" s="24"/>
      <c r="V6" s="24"/>
      <c r="W6" s="24"/>
      <c r="X6" s="25"/>
      <c r="Y6" s="3"/>
      <c r="Z6" s="4"/>
      <c r="AB6" s="26"/>
      <c r="AC6" s="7"/>
      <c r="AD6" s="20"/>
      <c r="AE6" s="7"/>
    </row>
    <row r="7" spans="1:31" x14ac:dyDescent="0.25">
      <c r="A7" t="s">
        <v>67</v>
      </c>
      <c r="B7" t="s">
        <v>32</v>
      </c>
      <c r="C7" s="20" t="s">
        <v>70</v>
      </c>
      <c r="D7" s="44">
        <f>1211.7123+804.6763</f>
        <v>2016.3885999999998</v>
      </c>
      <c r="E7" s="21">
        <v>20.41</v>
      </c>
      <c r="F7" s="50">
        <f>E7*D7</f>
        <v>41154.491325999996</v>
      </c>
      <c r="G7" s="50">
        <f>25318.9+15999</f>
        <v>41317.9</v>
      </c>
      <c r="H7" s="54">
        <f>G7/D7</f>
        <v>20.491040268725982</v>
      </c>
      <c r="I7" s="50">
        <f>F7-G7</f>
        <v>-163.4086740000057</v>
      </c>
      <c r="J7" s="21">
        <f>E7-H7</f>
        <v>-8.104026872598169E-2</v>
      </c>
      <c r="K7" s="23">
        <v>45135</v>
      </c>
      <c r="L7">
        <f>DAYS360(K7,$C$1)</f>
        <v>151</v>
      </c>
      <c r="M7" s="3">
        <f>(I7/G7)</f>
        <v>-3.9549123745399864E-3</v>
      </c>
      <c r="N7">
        <v>137</v>
      </c>
      <c r="O7">
        <v>74</v>
      </c>
      <c r="P7">
        <v>98</v>
      </c>
      <c r="Q7" s="24">
        <v>19.48</v>
      </c>
      <c r="R7" s="25">
        <f>Q7*0.93</f>
        <v>18.116400000000002</v>
      </c>
      <c r="S7" s="25">
        <v>18.27</v>
      </c>
      <c r="T7" s="28">
        <f>Q7*1.25</f>
        <v>24.35</v>
      </c>
      <c r="U7" s="24">
        <f>Q7*1.5</f>
        <v>29.22</v>
      </c>
      <c r="V7" s="24">
        <f>Q7*2</f>
        <v>38.96</v>
      </c>
      <c r="W7" s="24">
        <f>H7-(H7*0.07)</f>
        <v>19.056667449915164</v>
      </c>
      <c r="X7" s="25">
        <v>26</v>
      </c>
      <c r="Y7" s="3">
        <f>(X7-H7)/H7</f>
        <v>0.26884724538275157</v>
      </c>
      <c r="Z7" s="29">
        <f>F7/F$19</f>
        <v>8.6429854894643512E-2</v>
      </c>
      <c r="AA7" s="7"/>
      <c r="AB7" s="26">
        <v>45350</v>
      </c>
      <c r="AC7" s="7">
        <v>84</v>
      </c>
      <c r="AD7" t="s">
        <v>72</v>
      </c>
    </row>
    <row r="8" spans="1:31" x14ac:dyDescent="0.25">
      <c r="A8" t="s">
        <v>97</v>
      </c>
      <c r="B8" t="s">
        <v>32</v>
      </c>
      <c r="C8" s="20" t="s">
        <v>98</v>
      </c>
      <c r="D8" s="44">
        <v>1166.9349999999999</v>
      </c>
      <c r="E8" s="21">
        <v>34.76</v>
      </c>
      <c r="F8" s="50">
        <f>E8*D8</f>
        <v>40562.660599999996</v>
      </c>
      <c r="G8" s="50">
        <v>40941.919999999998</v>
      </c>
      <c r="H8" s="54">
        <f>G8/D8</f>
        <v>35.085004734625322</v>
      </c>
      <c r="I8" s="50">
        <f>F8-G8</f>
        <v>-379.25940000000264</v>
      </c>
      <c r="J8" s="21">
        <f>E8-H8</f>
        <v>-0.32500473462532398</v>
      </c>
      <c r="K8" s="23">
        <v>45233</v>
      </c>
      <c r="L8">
        <f>DAYS360(K8,$C$1)</f>
        <v>56</v>
      </c>
      <c r="M8" s="3">
        <f>(I8/G8)</f>
        <v>-9.2633515966032524E-3</v>
      </c>
      <c r="N8">
        <v>74</v>
      </c>
      <c r="O8">
        <v>67</v>
      </c>
      <c r="P8" s="27">
        <v>69</v>
      </c>
      <c r="Q8" s="24">
        <v>34.200000000000003</v>
      </c>
      <c r="R8" s="25">
        <f>Q8*0.93</f>
        <v>31.806000000000004</v>
      </c>
      <c r="S8" s="25">
        <v>32.69</v>
      </c>
      <c r="T8" s="28">
        <f>Q8*1.25</f>
        <v>42.75</v>
      </c>
      <c r="U8" s="24">
        <f>Q8*1.5</f>
        <v>51.300000000000004</v>
      </c>
      <c r="V8" s="24">
        <f>Q8*2</f>
        <v>68.400000000000006</v>
      </c>
      <c r="W8" s="24">
        <f>H8-(H8*0.07)</f>
        <v>32.62905440320155</v>
      </c>
      <c r="X8" s="25">
        <v>32.75</v>
      </c>
      <c r="Y8" s="3">
        <f>(X8-H8)/H8</f>
        <v>-6.655278379714484E-2</v>
      </c>
      <c r="Z8" s="4">
        <f>F8/F$19</f>
        <v>8.5186932381881089E-2</v>
      </c>
      <c r="AB8" s="26">
        <v>45343</v>
      </c>
      <c r="AC8" s="7">
        <v>80</v>
      </c>
      <c r="AD8" t="s">
        <v>101</v>
      </c>
    </row>
    <row r="9" spans="1:31" x14ac:dyDescent="0.25">
      <c r="A9" t="s">
        <v>99</v>
      </c>
      <c r="B9" t="s">
        <v>32</v>
      </c>
      <c r="C9" s="20" t="s">
        <v>100</v>
      </c>
      <c r="D9" s="44">
        <v>267.84309999999999</v>
      </c>
      <c r="E9" s="21">
        <v>258.33</v>
      </c>
      <c r="F9" s="50">
        <f>E9*D9</f>
        <v>69191.908022999996</v>
      </c>
      <c r="G9" s="50">
        <v>61166.239999999998</v>
      </c>
      <c r="H9" s="54">
        <f>G9/D9</f>
        <v>228.36593513142583</v>
      </c>
      <c r="I9" s="50">
        <f>F9-G9</f>
        <v>8025.6680229999984</v>
      </c>
      <c r="J9" s="21">
        <f>E9-H9</f>
        <v>29.964064868574155</v>
      </c>
      <c r="K9" s="23">
        <v>45238</v>
      </c>
      <c r="L9">
        <f>DAYS360(K9,$C$1)</f>
        <v>51</v>
      </c>
      <c r="M9" s="3">
        <f>(I9/G9)</f>
        <v>0.13121074669621671</v>
      </c>
      <c r="N9">
        <v>42</v>
      </c>
      <c r="O9">
        <v>90</v>
      </c>
      <c r="P9">
        <v>99</v>
      </c>
      <c r="Q9" s="24">
        <v>223.3</v>
      </c>
      <c r="R9" s="25">
        <f>Q9*0.93</f>
        <v>207.66900000000001</v>
      </c>
      <c r="S9" s="25">
        <v>224.28</v>
      </c>
      <c r="T9" s="24">
        <f>Q9*1.25</f>
        <v>279.125</v>
      </c>
      <c r="U9" s="24">
        <f>Q9*1.5</f>
        <v>334.95000000000005</v>
      </c>
      <c r="V9" s="24">
        <f>Q9*2</f>
        <v>446.6</v>
      </c>
      <c r="W9" s="24">
        <f>H9-(H9*0.07)</f>
        <v>212.38031967222602</v>
      </c>
      <c r="X9" s="25">
        <v>234</v>
      </c>
      <c r="Y9" s="3">
        <f>(X9-H9)/H9</f>
        <v>2.4671214055335077E-2</v>
      </c>
      <c r="Z9" s="4">
        <f>F9/F$19</f>
        <v>0.14531212457322479</v>
      </c>
      <c r="AB9" s="26">
        <v>45349</v>
      </c>
      <c r="AC9" s="7">
        <v>99</v>
      </c>
      <c r="AD9" t="s">
        <v>102</v>
      </c>
    </row>
    <row r="10" spans="1:31" x14ac:dyDescent="0.25">
      <c r="A10" t="s">
        <v>103</v>
      </c>
      <c r="B10" t="s">
        <v>32</v>
      </c>
      <c r="C10" s="20" t="s">
        <v>104</v>
      </c>
      <c r="D10" s="44">
        <f>1160.2602+1046.0778</f>
        <v>2206.3379999999997</v>
      </c>
      <c r="E10" s="21">
        <v>20.78</v>
      </c>
      <c r="F10" s="50">
        <f>E10*D10</f>
        <v>45847.70364</v>
      </c>
      <c r="G10" s="50">
        <f>20288.83+19170.47</f>
        <v>39459.300000000003</v>
      </c>
      <c r="H10" s="54">
        <f>G10/D10</f>
        <v>17.884521773182534</v>
      </c>
      <c r="I10" s="50">
        <f>F10-G10</f>
        <v>6388.4036399999968</v>
      </c>
      <c r="J10" s="21">
        <f>E10-H10</f>
        <v>2.8954782268174668</v>
      </c>
      <c r="K10" s="23">
        <v>45243</v>
      </c>
      <c r="L10">
        <f>DAYS360(K10,$C$1)</f>
        <v>46</v>
      </c>
      <c r="M10" s="3">
        <f>(I10/G10)</f>
        <v>0.16189855471333744</v>
      </c>
      <c r="N10">
        <v>41</v>
      </c>
      <c r="O10">
        <v>95</v>
      </c>
      <c r="P10" s="27">
        <v>73</v>
      </c>
      <c r="Q10" s="24">
        <v>17.32</v>
      </c>
      <c r="R10" s="25">
        <f>Q10*0.93</f>
        <v>16.107600000000001</v>
      </c>
      <c r="S10" s="25">
        <v>18.05</v>
      </c>
      <c r="T10" s="28">
        <f>Q10*1.25</f>
        <v>21.65</v>
      </c>
      <c r="U10" s="24">
        <f>Q10*1.5</f>
        <v>25.98</v>
      </c>
      <c r="V10" s="24">
        <f>Q10*2</f>
        <v>34.64</v>
      </c>
      <c r="W10" s="24">
        <f>H10-(H10*0.07)</f>
        <v>16.632605249059758</v>
      </c>
      <c r="X10" s="25">
        <v>18</v>
      </c>
      <c r="Y10" s="3">
        <f>(X10-H10)/H10</f>
        <v>6.4568808873952024E-3</v>
      </c>
      <c r="Z10" s="4">
        <f>F10/F$19</f>
        <v>9.628621919946749E-2</v>
      </c>
      <c r="AB10" s="26">
        <v>45350</v>
      </c>
      <c r="AC10" s="7">
        <v>87</v>
      </c>
      <c r="AD10" t="s">
        <v>105</v>
      </c>
    </row>
    <row r="11" spans="1:31" x14ac:dyDescent="0.25">
      <c r="A11" t="s">
        <v>115</v>
      </c>
      <c r="B11" t="s">
        <v>32</v>
      </c>
      <c r="C11" s="20" t="s">
        <v>116</v>
      </c>
      <c r="D11" s="44">
        <v>308.2955</v>
      </c>
      <c r="E11" s="21">
        <v>121.38</v>
      </c>
      <c r="F11" s="50">
        <f>E11*D11</f>
        <v>37420.907789999997</v>
      </c>
      <c r="G11" s="50">
        <v>38082.35</v>
      </c>
      <c r="H11" s="54">
        <f>G11/D11</f>
        <v>123.52548123472447</v>
      </c>
      <c r="I11" s="50">
        <f>F11-G11</f>
        <v>-661.44221000000107</v>
      </c>
      <c r="J11" s="21">
        <f>E11-H11</f>
        <v>-2.1454812347244712</v>
      </c>
      <c r="K11" s="23">
        <v>45286</v>
      </c>
      <c r="L11">
        <f>DAYS360(K11,$C$1)</f>
        <v>3</v>
      </c>
      <c r="M11" s="3">
        <f>(I11/G11)</f>
        <v>-1.736873407234588E-2</v>
      </c>
      <c r="N11">
        <v>41</v>
      </c>
      <c r="O11">
        <v>94</v>
      </c>
      <c r="P11">
        <v>99</v>
      </c>
      <c r="Q11" s="24">
        <v>120.26</v>
      </c>
      <c r="R11" s="25">
        <f>Q11*0.93</f>
        <v>111.84180000000001</v>
      </c>
      <c r="S11" s="25">
        <v>112.25</v>
      </c>
      <c r="T11" s="28">
        <f>Q11*1.25</f>
        <v>150.32500000000002</v>
      </c>
      <c r="U11" s="24">
        <f>Q11*1.5</f>
        <v>180.39000000000001</v>
      </c>
      <c r="V11" s="24">
        <f>Q11*2</f>
        <v>240.52</v>
      </c>
      <c r="W11" s="24">
        <f>H11-(H11*0.07)</f>
        <v>114.87869754829376</v>
      </c>
      <c r="X11" s="25">
        <v>116</v>
      </c>
      <c r="Y11" s="3">
        <f>(X11-H11)/H11</f>
        <v>-6.0922500843566561E-2</v>
      </c>
      <c r="Z11" s="4">
        <f>F11/F$19</f>
        <v>7.8588837478164267E-2</v>
      </c>
      <c r="AB11" s="26">
        <v>45337</v>
      </c>
      <c r="AC11" s="7">
        <v>99</v>
      </c>
      <c r="AD11" t="s">
        <v>117</v>
      </c>
    </row>
    <row r="12" spans="1:31" x14ac:dyDescent="0.25">
      <c r="A12" t="s">
        <v>118</v>
      </c>
      <c r="B12" t="s">
        <v>32</v>
      </c>
      <c r="C12" s="20" t="s">
        <v>119</v>
      </c>
      <c r="D12" s="44">
        <v>808.57299999999998</v>
      </c>
      <c r="E12" s="21">
        <v>47.34</v>
      </c>
      <c r="F12" s="50">
        <f>E12*D12</f>
        <v>38277.845820000002</v>
      </c>
      <c r="G12" s="50">
        <v>38349.050000000003</v>
      </c>
      <c r="H12" s="54">
        <f>G12/D12</f>
        <v>47.428061535569462</v>
      </c>
      <c r="I12" s="50">
        <f>F12-G12</f>
        <v>-71.204180000000633</v>
      </c>
      <c r="J12" s="21">
        <f>E12-H12</f>
        <v>-8.8061535569458727E-2</v>
      </c>
      <c r="K12" s="23">
        <v>45288</v>
      </c>
      <c r="L12">
        <f>DAYS360(K12,$C$1)</f>
        <v>1</v>
      </c>
      <c r="M12" s="3">
        <f>(I12/G12)</f>
        <v>-1.8567390848013348E-3</v>
      </c>
      <c r="N12">
        <v>62</v>
      </c>
      <c r="O12">
        <v>91</v>
      </c>
      <c r="P12">
        <v>82</v>
      </c>
      <c r="Q12" s="24">
        <v>47</v>
      </c>
      <c r="R12" s="25">
        <f>Q12*0.93</f>
        <v>43.71</v>
      </c>
      <c r="S12" s="25">
        <v>42.57</v>
      </c>
      <c r="T12" s="24">
        <f>Q12*1.25</f>
        <v>58.75</v>
      </c>
      <c r="U12" s="24">
        <f>Q12*1.5</f>
        <v>70.5</v>
      </c>
      <c r="V12" s="24">
        <f>Q12*2</f>
        <v>94</v>
      </c>
      <c r="W12" s="24">
        <f>H12-(H12*0.07)</f>
        <v>44.1080972280796</v>
      </c>
      <c r="X12" s="25">
        <v>45.75</v>
      </c>
      <c r="Y12" s="3">
        <f>(X12-H12)/H12</f>
        <v>-3.5381195883600933E-2</v>
      </c>
      <c r="Z12" s="4">
        <f>F12/F$19</f>
        <v>8.0388520263693211E-2</v>
      </c>
      <c r="AB12" s="26">
        <v>45330</v>
      </c>
      <c r="AC12" s="7">
        <v>95</v>
      </c>
      <c r="AD12" t="s">
        <v>120</v>
      </c>
    </row>
    <row r="13" spans="1:31" x14ac:dyDescent="0.25">
      <c r="C13" s="20"/>
      <c r="E13" s="21"/>
      <c r="F13" s="50">
        <f t="shared" ref="F7:F16" si="0">E13*D13</f>
        <v>0</v>
      </c>
      <c r="H13" s="54" t="e">
        <f t="shared" ref="H7:H16" si="1">G13/D13</f>
        <v>#DIV/0!</v>
      </c>
      <c r="I13" s="50">
        <f t="shared" ref="I7:I16" si="2">F13-G13</f>
        <v>0</v>
      </c>
      <c r="J13" s="21" t="e">
        <f t="shared" ref="J7:J16" si="3">E13-H13</f>
        <v>#DIV/0!</v>
      </c>
      <c r="K13" s="23"/>
      <c r="L13">
        <f t="shared" ref="L7:L13" si="4">DAYS360(K13,$C$1)</f>
        <v>44639</v>
      </c>
      <c r="M13" s="3" t="e">
        <f t="shared" ref="M7:M16" si="5">(I13/G13)</f>
        <v>#DIV/0!</v>
      </c>
      <c r="P13" s="27"/>
      <c r="Q13" s="24"/>
      <c r="R13" s="25">
        <f t="shared" ref="R7:R16" si="6">Q13*0.93</f>
        <v>0</v>
      </c>
      <c r="S13" s="25"/>
      <c r="T13" s="28">
        <f t="shared" ref="T7:T16" si="7">Q13*1.25</f>
        <v>0</v>
      </c>
      <c r="U13" s="24">
        <f t="shared" ref="U7:U16" si="8">Q13*1.5</f>
        <v>0</v>
      </c>
      <c r="V13" s="24">
        <f t="shared" ref="V7:V16" si="9">Q13*2</f>
        <v>0</v>
      </c>
      <c r="W13" s="24" t="e">
        <f t="shared" ref="W7:W16" si="10">H13-(H13*0.07)</f>
        <v>#DIV/0!</v>
      </c>
      <c r="X13" s="25"/>
      <c r="Y13" s="3" t="e">
        <f t="shared" ref="Y7:Y16" si="11">(X13-H13)/H13</f>
        <v>#DIV/0!</v>
      </c>
      <c r="Z13" s="4">
        <f t="shared" ref="Z7:Z16" si="12">F13/F$19</f>
        <v>0</v>
      </c>
      <c r="AB13" s="26"/>
      <c r="AC13" s="7"/>
    </row>
    <row r="14" spans="1:31" x14ac:dyDescent="0.25">
      <c r="A14" s="20" t="s">
        <v>44</v>
      </c>
      <c r="B14" s="20" t="s">
        <v>32</v>
      </c>
      <c r="C14" s="20" t="s">
        <v>45</v>
      </c>
      <c r="D14" s="44">
        <f>2223.78-868.0181</f>
        <v>1355.7619000000002</v>
      </c>
      <c r="E14" s="21">
        <v>91.39</v>
      </c>
      <c r="F14" s="50">
        <f t="shared" si="0"/>
        <v>123903.08004100002</v>
      </c>
      <c r="G14" s="50">
        <f>203698.25-79510.46</f>
        <v>124187.79</v>
      </c>
      <c r="H14" s="54">
        <f t="shared" si="1"/>
        <v>91.59999997049627</v>
      </c>
      <c r="I14" s="50">
        <f t="shared" si="2"/>
        <v>-284.7099589999707</v>
      </c>
      <c r="J14" s="21">
        <f t="shared" si="3"/>
        <v>-0.20999997049626984</v>
      </c>
      <c r="K14" s="23"/>
      <c r="M14" s="3">
        <f t="shared" si="5"/>
        <v>-2.2925760978593042E-3</v>
      </c>
      <c r="Q14" s="24"/>
      <c r="R14" s="25">
        <f t="shared" si="6"/>
        <v>0</v>
      </c>
      <c r="S14" s="25"/>
      <c r="T14" s="28">
        <f t="shared" si="7"/>
        <v>0</v>
      </c>
      <c r="U14" s="28">
        <f t="shared" si="8"/>
        <v>0</v>
      </c>
      <c r="V14" s="24">
        <f t="shared" si="9"/>
        <v>0</v>
      </c>
      <c r="W14" s="24">
        <f t="shared" si="10"/>
        <v>85.187999972561528</v>
      </c>
      <c r="X14" s="25"/>
      <c r="Y14" s="3">
        <f t="shared" si="11"/>
        <v>-1</v>
      </c>
      <c r="Z14" s="4">
        <f t="shared" si="12"/>
        <v>0.26021279534507336</v>
      </c>
      <c r="AB14" s="26"/>
      <c r="AC14" s="7"/>
    </row>
    <row r="15" spans="1:31" x14ac:dyDescent="0.25">
      <c r="C15" s="20"/>
      <c r="E15" s="21"/>
      <c r="F15" s="50">
        <f t="shared" si="0"/>
        <v>0</v>
      </c>
      <c r="H15" s="54" t="e">
        <f t="shared" si="1"/>
        <v>#DIV/0!</v>
      </c>
      <c r="I15" s="50">
        <f t="shared" si="2"/>
        <v>0</v>
      </c>
      <c r="J15" s="21" t="e">
        <f t="shared" si="3"/>
        <v>#DIV/0!</v>
      </c>
      <c r="K15" s="23"/>
      <c r="M15" s="3" t="e">
        <f t="shared" si="5"/>
        <v>#DIV/0!</v>
      </c>
      <c r="P15" s="27"/>
      <c r="Q15" s="24"/>
      <c r="R15" s="25">
        <f t="shared" si="6"/>
        <v>0</v>
      </c>
      <c r="S15" s="25"/>
      <c r="T15" s="24">
        <f t="shared" si="7"/>
        <v>0</v>
      </c>
      <c r="U15" s="24">
        <f t="shared" si="8"/>
        <v>0</v>
      </c>
      <c r="V15" s="24">
        <f t="shared" si="9"/>
        <v>0</v>
      </c>
      <c r="W15" s="24" t="e">
        <f t="shared" si="10"/>
        <v>#DIV/0!</v>
      </c>
      <c r="X15" s="25"/>
      <c r="Y15" s="3" t="e">
        <f t="shared" si="11"/>
        <v>#DIV/0!</v>
      </c>
      <c r="Z15" s="4">
        <f t="shared" si="12"/>
        <v>0</v>
      </c>
      <c r="AB15" s="26"/>
      <c r="AC15" s="7"/>
    </row>
    <row r="16" spans="1:31" x14ac:dyDescent="0.25">
      <c r="A16" s="31"/>
      <c r="B16" s="31"/>
      <c r="C16" s="31"/>
      <c r="D16" s="47"/>
      <c r="E16" s="32"/>
      <c r="F16" s="53">
        <f t="shared" si="0"/>
        <v>0</v>
      </c>
      <c r="G16" s="53"/>
      <c r="H16" s="59" t="e">
        <f t="shared" si="1"/>
        <v>#DIV/0!</v>
      </c>
      <c r="I16" s="53">
        <f t="shared" si="2"/>
        <v>0</v>
      </c>
      <c r="J16" s="32" t="e">
        <f t="shared" si="3"/>
        <v>#DIV/0!</v>
      </c>
      <c r="K16" s="34"/>
      <c r="L16" s="31">
        <f t="shared" ref="L16" si="13">DAYS360(K16,$C$1)</f>
        <v>44639</v>
      </c>
      <c r="M16" s="35" t="e">
        <f t="shared" si="5"/>
        <v>#DIV/0!</v>
      </c>
      <c r="N16" s="31"/>
      <c r="O16" s="31"/>
      <c r="P16" s="31"/>
      <c r="Q16" s="36"/>
      <c r="R16" s="37">
        <f t="shared" si="6"/>
        <v>0</v>
      </c>
      <c r="S16" s="37"/>
      <c r="T16" s="36">
        <f t="shared" si="7"/>
        <v>0</v>
      </c>
      <c r="U16" s="36">
        <f t="shared" si="8"/>
        <v>0</v>
      </c>
      <c r="V16" s="36">
        <f t="shared" si="9"/>
        <v>0</v>
      </c>
      <c r="W16" s="36" t="e">
        <f t="shared" si="10"/>
        <v>#DIV/0!</v>
      </c>
      <c r="X16" s="37"/>
      <c r="Y16" s="35" t="e">
        <f t="shared" si="11"/>
        <v>#DIV/0!</v>
      </c>
      <c r="Z16" s="38">
        <f t="shared" si="12"/>
        <v>0</v>
      </c>
      <c r="AB16" s="39"/>
      <c r="AC16" s="7"/>
    </row>
    <row r="17" spans="1:26" x14ac:dyDescent="0.25">
      <c r="A17" t="s">
        <v>33</v>
      </c>
      <c r="F17" s="50">
        <f>SUM(F6:F16)</f>
        <v>396358.59724000003</v>
      </c>
      <c r="G17" s="50">
        <f>SUM(G6:G16)</f>
        <v>383504.55</v>
      </c>
      <c r="H17" s="54"/>
      <c r="I17" s="50">
        <f>SUM(I6:I16)</f>
        <v>12854.047240000014</v>
      </c>
      <c r="M17" s="3"/>
      <c r="Z17" s="4"/>
    </row>
    <row r="18" spans="1:26" x14ac:dyDescent="0.25">
      <c r="D18" s="44" t="s">
        <v>34</v>
      </c>
      <c r="F18" s="50">
        <v>79802</v>
      </c>
      <c r="G18" s="4">
        <f>F18/F19</f>
        <v>0.16759471586385227</v>
      </c>
      <c r="H18" s="54"/>
      <c r="M18" s="3"/>
      <c r="Z18" s="4"/>
    </row>
    <row r="19" spans="1:26" x14ac:dyDescent="0.25">
      <c r="D19" s="44" t="s">
        <v>35</v>
      </c>
      <c r="F19" s="50">
        <f>SUM(F17:F18)</f>
        <v>476160.59724000003</v>
      </c>
      <c r="H19" s="60"/>
      <c r="M19" s="3"/>
      <c r="Z19" s="4"/>
    </row>
    <row r="20" spans="1:26" x14ac:dyDescent="0.25">
      <c r="F20" s="54"/>
      <c r="H20" s="60" t="s">
        <v>37</v>
      </c>
      <c r="I20" s="50">
        <f>'12-22-23'!F18</f>
        <v>475108.17831800005</v>
      </c>
      <c r="K20" s="1">
        <v>45107</v>
      </c>
      <c r="L20" s="64">
        <f>509801-21683</f>
        <v>488118</v>
      </c>
      <c r="M20" s="3"/>
      <c r="Z20" s="4"/>
    </row>
    <row r="21" spans="1:26" x14ac:dyDescent="0.25">
      <c r="F21" s="55"/>
      <c r="G21" s="58"/>
      <c r="H21" s="54" t="s">
        <v>39</v>
      </c>
      <c r="I21" s="4">
        <f>(F19-I20)/I20</f>
        <v>2.2151143045480814E-3</v>
      </c>
      <c r="K21" s="7" t="s">
        <v>73</v>
      </c>
      <c r="L21" s="4">
        <f>(F19-L20)/L20</f>
        <v>-2.4496951065111239E-2</v>
      </c>
      <c r="Z21" s="4"/>
    </row>
    <row r="23" spans="1:26" x14ac:dyDescent="0.25">
      <c r="D23" s="7"/>
      <c r="E23" s="7"/>
      <c r="F23" s="56"/>
      <c r="I23" s="51"/>
      <c r="J23" s="7"/>
      <c r="K23" s="7"/>
      <c r="L23" s="7"/>
      <c r="M23" s="9" t="s">
        <v>46</v>
      </c>
    </row>
    <row r="24" spans="1:26" x14ac:dyDescent="0.25">
      <c r="A24" s="49" t="s">
        <v>54</v>
      </c>
      <c r="D24" s="19" t="s">
        <v>17</v>
      </c>
      <c r="E24" s="19" t="s">
        <v>47</v>
      </c>
      <c r="F24" s="57" t="s">
        <v>48</v>
      </c>
      <c r="G24" s="57" t="s">
        <v>50</v>
      </c>
      <c r="H24" s="57" t="s">
        <v>49</v>
      </c>
      <c r="I24" s="57" t="s">
        <v>51</v>
      </c>
      <c r="J24" s="19" t="s">
        <v>12</v>
      </c>
      <c r="K24" s="19" t="s">
        <v>22</v>
      </c>
      <c r="L24" s="19" t="s">
        <v>52</v>
      </c>
      <c r="M24" s="19" t="s">
        <v>53</v>
      </c>
      <c r="N24" s="1"/>
      <c r="P24" s="7" t="s">
        <v>55</v>
      </c>
    </row>
    <row r="25" spans="1:26" x14ac:dyDescent="0.25">
      <c r="J25" s="3"/>
    </row>
    <row r="26" spans="1:26" x14ac:dyDescent="0.25">
      <c r="A26" t="s">
        <v>60</v>
      </c>
      <c r="B26" t="s">
        <v>32</v>
      </c>
      <c r="C26" s="20" t="s">
        <v>61</v>
      </c>
      <c r="D26" s="44">
        <v>665.97389999999996</v>
      </c>
      <c r="E26" s="50">
        <f t="shared" ref="E26:E38" si="14">F26/D26</f>
        <v>76.621621357834002</v>
      </c>
      <c r="F26" s="50">
        <v>51028</v>
      </c>
      <c r="G26" s="50">
        <v>45324.79</v>
      </c>
      <c r="H26" s="50">
        <f t="shared" ref="H26:H36" si="15">G26/D26</f>
        <v>68.057907374448163</v>
      </c>
      <c r="I26" s="50">
        <f t="shared" ref="I26:I36" si="16">G26-F26</f>
        <v>-5703.2099999999991</v>
      </c>
      <c r="J26" s="3">
        <f t="shared" ref="J26:J36" si="17">I26/F26</f>
        <v>-0.11176628517676568</v>
      </c>
      <c r="K26" s="61">
        <v>45106</v>
      </c>
      <c r="L26" s="61">
        <v>45132</v>
      </c>
      <c r="M26">
        <f t="shared" ref="M26:M37" si="18">DAYS360(K26,L26)</f>
        <v>26</v>
      </c>
      <c r="O26" t="s">
        <v>66</v>
      </c>
    </row>
    <row r="27" spans="1:26" x14ac:dyDescent="0.25">
      <c r="A27" t="s">
        <v>40</v>
      </c>
      <c r="B27" t="s">
        <v>32</v>
      </c>
      <c r="C27" s="20" t="s">
        <v>41</v>
      </c>
      <c r="D27" s="44">
        <v>123.3931</v>
      </c>
      <c r="E27" s="50">
        <f t="shared" si="14"/>
        <v>413.24004340599271</v>
      </c>
      <c r="F27" s="50">
        <v>50990.97</v>
      </c>
      <c r="G27" s="50">
        <v>48894.94</v>
      </c>
      <c r="H27" s="50">
        <f t="shared" si="15"/>
        <v>396.25343718570974</v>
      </c>
      <c r="I27" s="50">
        <f t="shared" si="16"/>
        <v>-2096.0299999999988</v>
      </c>
      <c r="J27" s="3">
        <f t="shared" si="17"/>
        <v>-4.1105905614268544E-2</v>
      </c>
      <c r="K27" s="61">
        <v>45104</v>
      </c>
      <c r="L27" s="61">
        <v>45138</v>
      </c>
      <c r="M27">
        <f t="shared" si="18"/>
        <v>34</v>
      </c>
      <c r="O27" t="s">
        <v>69</v>
      </c>
    </row>
    <row r="28" spans="1:26" x14ac:dyDescent="0.25">
      <c r="A28" t="s">
        <v>56</v>
      </c>
      <c r="B28" t="s">
        <v>32</v>
      </c>
      <c r="C28" s="20" t="s">
        <v>57</v>
      </c>
      <c r="D28" s="44">
        <v>278.20080000000002</v>
      </c>
      <c r="E28" s="50">
        <f t="shared" si="14"/>
        <v>128.41001895034088</v>
      </c>
      <c r="F28" s="50">
        <v>35723.769999999997</v>
      </c>
      <c r="G28" s="50">
        <v>34855.72</v>
      </c>
      <c r="H28" s="50">
        <f t="shared" si="15"/>
        <v>125.28979068356381</v>
      </c>
      <c r="I28" s="50">
        <f t="shared" si="16"/>
        <v>-868.04999999999563</v>
      </c>
      <c r="J28" s="3">
        <f t="shared" si="17"/>
        <v>-2.4298947171588994E-2</v>
      </c>
      <c r="K28" s="61">
        <v>45106</v>
      </c>
      <c r="L28" s="61">
        <v>45138</v>
      </c>
      <c r="M28">
        <f t="shared" si="18"/>
        <v>32</v>
      </c>
      <c r="O28" t="s">
        <v>71</v>
      </c>
    </row>
    <row r="29" spans="1:26" x14ac:dyDescent="0.25">
      <c r="A29" t="s">
        <v>82</v>
      </c>
      <c r="B29" t="s">
        <v>32</v>
      </c>
      <c r="C29" s="20" t="s">
        <v>83</v>
      </c>
      <c r="D29" s="44">
        <v>1007.1459</v>
      </c>
      <c r="E29" s="50">
        <f t="shared" si="14"/>
        <v>20.954908320631599</v>
      </c>
      <c r="F29" s="50">
        <v>21104.65</v>
      </c>
      <c r="G29" s="50">
        <v>18099.32</v>
      </c>
      <c r="H29" s="50">
        <f t="shared" si="15"/>
        <v>17.970901733303982</v>
      </c>
      <c r="I29" s="50">
        <f t="shared" si="16"/>
        <v>-3005.3300000000017</v>
      </c>
      <c r="J29" s="3">
        <f t="shared" si="17"/>
        <v>-0.14240131914056861</v>
      </c>
      <c r="K29" s="61">
        <v>45181</v>
      </c>
      <c r="L29" s="61">
        <v>45183</v>
      </c>
      <c r="M29">
        <f t="shared" si="18"/>
        <v>2</v>
      </c>
      <c r="O29" t="s">
        <v>84</v>
      </c>
    </row>
    <row r="30" spans="1:26" x14ac:dyDescent="0.25">
      <c r="A30" t="s">
        <v>63</v>
      </c>
      <c r="B30" t="s">
        <v>32</v>
      </c>
      <c r="C30" s="20" t="s">
        <v>64</v>
      </c>
      <c r="D30" s="44">
        <v>115.8536</v>
      </c>
      <c r="E30" s="50">
        <f t="shared" si="14"/>
        <v>442.16001919664131</v>
      </c>
      <c r="F30" s="50">
        <v>51225.83</v>
      </c>
      <c r="G30" s="50">
        <v>52055.28</v>
      </c>
      <c r="H30" s="50">
        <f t="shared" si="15"/>
        <v>449.31948597195077</v>
      </c>
      <c r="I30" s="50">
        <f t="shared" si="16"/>
        <v>829.44999999999709</v>
      </c>
      <c r="J30" s="3">
        <f t="shared" si="17"/>
        <v>1.6192026561599824E-2</v>
      </c>
      <c r="K30" s="61">
        <v>45117</v>
      </c>
      <c r="L30" s="61">
        <v>45184</v>
      </c>
      <c r="M30" s="63">
        <f t="shared" si="18"/>
        <v>65</v>
      </c>
      <c r="O30" t="s">
        <v>86</v>
      </c>
    </row>
    <row r="31" spans="1:26" x14ac:dyDescent="0.25">
      <c r="A31" t="s">
        <v>79</v>
      </c>
      <c r="B31" t="s">
        <v>32</v>
      </c>
      <c r="C31" s="20" t="s">
        <v>80</v>
      </c>
      <c r="D31" s="44">
        <v>507.0754</v>
      </c>
      <c r="E31" s="50">
        <f t="shared" si="14"/>
        <v>81.153611474743201</v>
      </c>
      <c r="F31" s="50">
        <v>41151</v>
      </c>
      <c r="G31" s="50">
        <v>38871.01</v>
      </c>
      <c r="H31" s="50">
        <f t="shared" si="15"/>
        <v>76.657258466886788</v>
      </c>
      <c r="I31" s="50">
        <f t="shared" si="16"/>
        <v>-2279.989999999998</v>
      </c>
      <c r="J31" s="3">
        <f t="shared" si="17"/>
        <v>-5.5405457947558939E-2</v>
      </c>
      <c r="K31" s="61">
        <v>45167</v>
      </c>
      <c r="L31" s="61">
        <v>45216</v>
      </c>
      <c r="M31" s="63">
        <f t="shared" si="18"/>
        <v>48</v>
      </c>
      <c r="O31" t="s">
        <v>95</v>
      </c>
    </row>
    <row r="32" spans="1:26" x14ac:dyDescent="0.25">
      <c r="A32" t="s">
        <v>90</v>
      </c>
      <c r="B32" t="s">
        <v>32</v>
      </c>
      <c r="C32" s="20" t="s">
        <v>91</v>
      </c>
      <c r="D32" s="44">
        <v>306.1703</v>
      </c>
      <c r="E32" s="50">
        <f t="shared" si="14"/>
        <v>170.32671033081917</v>
      </c>
      <c r="F32" s="50">
        <v>52148.98</v>
      </c>
      <c r="G32" s="50">
        <v>49351.519999999997</v>
      </c>
      <c r="H32" s="50">
        <f t="shared" si="15"/>
        <v>161.18976922320681</v>
      </c>
      <c r="I32" s="50">
        <f t="shared" si="16"/>
        <v>-2797.4600000000064</v>
      </c>
      <c r="J32" s="3">
        <f t="shared" si="17"/>
        <v>-5.3643618724661654E-2</v>
      </c>
      <c r="K32" s="61">
        <v>45208</v>
      </c>
      <c r="L32" s="61">
        <v>45219</v>
      </c>
      <c r="M32" s="63">
        <f t="shared" si="18"/>
        <v>11</v>
      </c>
      <c r="O32" t="s">
        <v>93</v>
      </c>
    </row>
    <row r="33" spans="1:15" x14ac:dyDescent="0.25">
      <c r="A33" t="s">
        <v>87</v>
      </c>
      <c r="B33" t="s">
        <v>32</v>
      </c>
      <c r="C33" s="20" t="s">
        <v>88</v>
      </c>
      <c r="D33" s="44">
        <v>239.91579999999999</v>
      </c>
      <c r="E33" s="50">
        <f t="shared" si="14"/>
        <v>173.89088171766929</v>
      </c>
      <c r="F33" s="50">
        <v>41719.17</v>
      </c>
      <c r="G33" s="50">
        <v>36026.28</v>
      </c>
      <c r="H33" s="50">
        <f t="shared" si="15"/>
        <v>150.16218189881616</v>
      </c>
      <c r="I33" s="50">
        <f t="shared" si="16"/>
        <v>-5692.8899999999994</v>
      </c>
      <c r="J33" s="3">
        <f t="shared" si="17"/>
        <v>-0.13645741274335035</v>
      </c>
      <c r="K33" s="61">
        <v>45208</v>
      </c>
      <c r="L33" s="61">
        <v>45219</v>
      </c>
      <c r="M33" s="63">
        <f t="shared" si="18"/>
        <v>11</v>
      </c>
      <c r="O33" t="s">
        <v>94</v>
      </c>
    </row>
    <row r="34" spans="1:15" x14ac:dyDescent="0.25">
      <c r="A34" t="s">
        <v>74</v>
      </c>
      <c r="B34" t="s">
        <v>32</v>
      </c>
      <c r="C34" s="20" t="s">
        <v>75</v>
      </c>
      <c r="D34" s="44">
        <v>266.87329999999997</v>
      </c>
      <c r="E34" s="50">
        <f t="shared" si="14"/>
        <v>151.47948483418912</v>
      </c>
      <c r="F34" s="50">
        <v>40425.83</v>
      </c>
      <c r="G34" s="50">
        <v>40616.769999999997</v>
      </c>
      <c r="H34" s="50">
        <f t="shared" si="15"/>
        <v>152.19495543390815</v>
      </c>
      <c r="I34" s="50">
        <f t="shared" si="16"/>
        <v>190.93999999999505</v>
      </c>
      <c r="J34" s="3">
        <f t="shared" si="17"/>
        <v>4.7232178040622803E-3</v>
      </c>
      <c r="K34" s="61">
        <v>45153</v>
      </c>
      <c r="L34" s="61">
        <v>45224</v>
      </c>
      <c r="M34" s="63">
        <f t="shared" si="18"/>
        <v>70</v>
      </c>
      <c r="O34" t="s">
        <v>96</v>
      </c>
    </row>
    <row r="35" spans="1:15" x14ac:dyDescent="0.25">
      <c r="A35" t="s">
        <v>106</v>
      </c>
      <c r="B35" t="s">
        <v>32</v>
      </c>
      <c r="C35" s="20" t="s">
        <v>107</v>
      </c>
      <c r="D35" s="44">
        <v>247.90379999999999</v>
      </c>
      <c r="E35" s="50">
        <f t="shared" si="14"/>
        <v>205.43166341137169</v>
      </c>
      <c r="F35" s="50">
        <v>50927.29</v>
      </c>
      <c r="G35" s="50">
        <v>45926.83</v>
      </c>
      <c r="H35" s="50">
        <f t="shared" si="15"/>
        <v>185.26069386592704</v>
      </c>
      <c r="I35" s="50">
        <f t="shared" si="16"/>
        <v>-5000.4599999999991</v>
      </c>
      <c r="J35" s="3">
        <f t="shared" si="17"/>
        <v>-9.8188220892963265E-2</v>
      </c>
      <c r="K35" s="61">
        <v>45244</v>
      </c>
      <c r="L35" s="61">
        <v>45267</v>
      </c>
      <c r="M35" s="63">
        <f t="shared" si="18"/>
        <v>23</v>
      </c>
      <c r="O35" t="s">
        <v>111</v>
      </c>
    </row>
    <row r="36" spans="1:15" x14ac:dyDescent="0.25">
      <c r="A36" t="s">
        <v>112</v>
      </c>
      <c r="B36" t="s">
        <v>32</v>
      </c>
      <c r="C36" s="20" t="s">
        <v>113</v>
      </c>
      <c r="D36" s="44">
        <v>179.93279999999999</v>
      </c>
      <c r="E36" s="50">
        <f t="shared" si="14"/>
        <v>320.36576988742468</v>
      </c>
      <c r="F36" s="50">
        <v>57644.31</v>
      </c>
      <c r="G36" s="50">
        <v>52870.41</v>
      </c>
      <c r="H36" s="50">
        <f t="shared" si="15"/>
        <v>293.83419810062429</v>
      </c>
      <c r="I36" s="50">
        <f t="shared" si="16"/>
        <v>-4773.8999999999942</v>
      </c>
      <c r="J36" s="3">
        <f t="shared" si="17"/>
        <v>-8.2816500015352679E-2</v>
      </c>
      <c r="K36" s="61">
        <v>45279</v>
      </c>
      <c r="L36" s="61">
        <v>45282</v>
      </c>
      <c r="M36" s="63">
        <f t="shared" si="18"/>
        <v>3</v>
      </c>
      <c r="O36" t="s">
        <v>114</v>
      </c>
    </row>
    <row r="37" spans="1:15" x14ac:dyDescent="0.25">
      <c r="A37" t="s">
        <v>109</v>
      </c>
      <c r="B37" t="s">
        <v>32</v>
      </c>
      <c r="C37" s="20" t="s">
        <v>110</v>
      </c>
      <c r="D37" s="44">
        <f>1006.8806+1065.4202</f>
        <v>2072.3008</v>
      </c>
      <c r="E37" s="50">
        <f t="shared" si="14"/>
        <v>19.902993812481281</v>
      </c>
      <c r="F37" s="50">
        <f>20479.95+20765.04</f>
        <v>41244.990000000005</v>
      </c>
      <c r="G37" s="50">
        <v>35809.9</v>
      </c>
      <c r="H37" s="50">
        <f t="shared" ref="H37" si="19">G37/D37</f>
        <v>17.280261629971864</v>
      </c>
      <c r="I37" s="50">
        <f t="shared" ref="I37" si="20">G37-F37</f>
        <v>-5435.0900000000038</v>
      </c>
      <c r="J37" s="3">
        <f t="shared" ref="J37" si="21">I37/F37</f>
        <v>-0.13177576234107471</v>
      </c>
      <c r="K37" s="61">
        <v>45245</v>
      </c>
      <c r="L37" s="61">
        <v>45289</v>
      </c>
      <c r="M37" s="63">
        <f t="shared" si="18"/>
        <v>44</v>
      </c>
    </row>
    <row r="38" spans="1:15" x14ac:dyDescent="0.25">
      <c r="A38" t="s">
        <v>42</v>
      </c>
      <c r="B38" t="s">
        <v>32</v>
      </c>
      <c r="C38" s="20" t="s">
        <v>43</v>
      </c>
      <c r="D38" s="44">
        <v>511.29180000000002</v>
      </c>
      <c r="E38" s="50">
        <f t="shared" si="14"/>
        <v>48.500015059893386</v>
      </c>
      <c r="F38" s="50">
        <v>24797.66</v>
      </c>
      <c r="G38" s="50">
        <v>6812.97</v>
      </c>
      <c r="H38" s="50">
        <f t="shared" ref="H38" si="22">G38/D38</f>
        <v>13.325013231192051</v>
      </c>
      <c r="I38" s="50">
        <f t="shared" ref="I38" si="23">G38-F38</f>
        <v>-17984.689999999999</v>
      </c>
      <c r="J38" s="3">
        <f t="shared" ref="J38" si="24">I38/F38</f>
        <v>-0.72525754446185642</v>
      </c>
      <c r="K38" s="61"/>
      <c r="L38" s="61"/>
      <c r="M38" s="63"/>
    </row>
    <row r="39" spans="1:15" x14ac:dyDescent="0.25">
      <c r="I39" s="50">
        <f>SUM(I26:I38)</f>
        <v>-54616.710000000006</v>
      </c>
      <c r="J39" s="9" t="s">
        <v>78</v>
      </c>
    </row>
    <row r="40" spans="1:15" x14ac:dyDescent="0.25">
      <c r="H40" s="50" t="s">
        <v>77</v>
      </c>
      <c r="I40" s="62">
        <v>9</v>
      </c>
      <c r="J40" s="3">
        <v>-8.2900000000000001E-2</v>
      </c>
    </row>
    <row r="41" spans="1:15" x14ac:dyDescent="0.25">
      <c r="H41" s="50" t="s">
        <v>85</v>
      </c>
      <c r="I41" s="62">
        <v>2</v>
      </c>
      <c r="J41" s="3">
        <v>1.0500000000000001E-2</v>
      </c>
    </row>
    <row r="42" spans="1:15" x14ac:dyDescent="0.25">
      <c r="J42" s="3"/>
    </row>
    <row r="43" spans="1:15" x14ac:dyDescent="0.25">
      <c r="J43" s="3"/>
    </row>
    <row r="44" spans="1:15" x14ac:dyDescent="0.25">
      <c r="J44" s="3"/>
    </row>
    <row r="45" spans="1:15" x14ac:dyDescent="0.25">
      <c r="J45" s="3"/>
    </row>
    <row r="46" spans="1:15" x14ac:dyDescent="0.25">
      <c r="J46" s="3"/>
    </row>
    <row r="47" spans="1:15" x14ac:dyDescent="0.25">
      <c r="J47" s="3"/>
    </row>
    <row r="48" spans="1:15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  <row r="54" spans="10:10" x14ac:dyDescent="0.25">
      <c r="J54" s="3"/>
    </row>
    <row r="55" spans="10:10" x14ac:dyDescent="0.25">
      <c r="J55" s="3"/>
    </row>
    <row r="56" spans="10:10" x14ac:dyDescent="0.25">
      <c r="J56" s="3"/>
    </row>
    <row r="57" spans="10:10" x14ac:dyDescent="0.25">
      <c r="J57" s="3"/>
    </row>
    <row r="58" spans="10:10" x14ac:dyDescent="0.25">
      <c r="J58" s="3"/>
    </row>
    <row r="59" spans="10:10" x14ac:dyDescent="0.25">
      <c r="J59" s="3"/>
    </row>
    <row r="60" spans="10:10" x14ac:dyDescent="0.25">
      <c r="J60" s="3"/>
    </row>
    <row r="61" spans="10:10" x14ac:dyDescent="0.25">
      <c r="J61" s="3"/>
    </row>
    <row r="62" spans="10:10" x14ac:dyDescent="0.25">
      <c r="J62" s="3"/>
    </row>
    <row r="63" spans="10:10" x14ac:dyDescent="0.25">
      <c r="J63" s="3"/>
    </row>
    <row r="64" spans="10:10" x14ac:dyDescent="0.25">
      <c r="J64" s="3"/>
    </row>
    <row r="65" spans="10:10" x14ac:dyDescent="0.25">
      <c r="J65" s="3"/>
    </row>
    <row r="66" spans="10:10" x14ac:dyDescent="0.25">
      <c r="J66" s="3"/>
    </row>
    <row r="67" spans="10:10" x14ac:dyDescent="0.25">
      <c r="J67" s="3"/>
    </row>
    <row r="68" spans="10:10" x14ac:dyDescent="0.25">
      <c r="J68" s="3"/>
    </row>
    <row r="69" spans="10:10" x14ac:dyDescent="0.25">
      <c r="J69" s="3"/>
    </row>
    <row r="70" spans="10:10" x14ac:dyDescent="0.25">
      <c r="J70" s="3"/>
    </row>
    <row r="71" spans="10:10" x14ac:dyDescent="0.25">
      <c r="J71" s="3"/>
    </row>
    <row r="72" spans="10:10" x14ac:dyDescent="0.25">
      <c r="J72" s="3"/>
    </row>
    <row r="73" spans="10:10" x14ac:dyDescent="0.25">
      <c r="J73" s="3"/>
    </row>
    <row r="74" spans="10:10" x14ac:dyDescent="0.25">
      <c r="J74" s="3"/>
    </row>
    <row r="75" spans="10:10" x14ac:dyDescent="0.25">
      <c r="J75" s="3"/>
    </row>
    <row r="76" spans="10:10" x14ac:dyDescent="0.25">
      <c r="J76" s="3"/>
    </row>
    <row r="77" spans="10:10" x14ac:dyDescent="0.25">
      <c r="J77" s="3"/>
    </row>
    <row r="78" spans="10:10" x14ac:dyDescent="0.25">
      <c r="J78" s="3"/>
    </row>
    <row r="79" spans="10:10" x14ac:dyDescent="0.25">
      <c r="J79" s="3"/>
    </row>
    <row r="80" spans="10:10" x14ac:dyDescent="0.25">
      <c r="J80" s="3"/>
    </row>
    <row r="81" spans="10:10" x14ac:dyDescent="0.25">
      <c r="J81" s="3"/>
    </row>
    <row r="82" spans="10:10" x14ac:dyDescent="0.25">
      <c r="J82" s="3"/>
    </row>
    <row r="83" spans="10:10" x14ac:dyDescent="0.25">
      <c r="J83" s="3"/>
    </row>
    <row r="84" spans="10:10" x14ac:dyDescent="0.25">
      <c r="J84" s="3"/>
    </row>
    <row r="85" spans="10:10" x14ac:dyDescent="0.25">
      <c r="J85" s="3"/>
    </row>
    <row r="86" spans="10:10" x14ac:dyDescent="0.25">
      <c r="J86" s="3"/>
    </row>
    <row r="87" spans="10:10" x14ac:dyDescent="0.25">
      <c r="J87" s="3"/>
    </row>
    <row r="88" spans="10:10" x14ac:dyDescent="0.25">
      <c r="J88" s="3"/>
    </row>
    <row r="89" spans="10:10" x14ac:dyDescent="0.25">
      <c r="J89" s="3"/>
    </row>
    <row r="90" spans="10:10" x14ac:dyDescent="0.25">
      <c r="J90" s="3"/>
    </row>
    <row r="91" spans="10:10" x14ac:dyDescent="0.25">
      <c r="J91" s="3"/>
    </row>
    <row r="92" spans="10:10" x14ac:dyDescent="0.25">
      <c r="J92" s="3"/>
    </row>
    <row r="93" spans="10:10" x14ac:dyDescent="0.25">
      <c r="J93" s="3"/>
    </row>
    <row r="94" spans="10:10" x14ac:dyDescent="0.25">
      <c r="J94" s="3"/>
    </row>
    <row r="95" spans="10:10" x14ac:dyDescent="0.25">
      <c r="J95" s="3"/>
    </row>
    <row r="96" spans="10:10" x14ac:dyDescent="0.25">
      <c r="J96" s="3"/>
    </row>
    <row r="97" spans="10:10" x14ac:dyDescent="0.25">
      <c r="J97" s="3"/>
    </row>
    <row r="98" spans="10:10" x14ac:dyDescent="0.25">
      <c r="J98" s="3"/>
    </row>
    <row r="99" spans="10:10" x14ac:dyDescent="0.25">
      <c r="J99" s="3"/>
    </row>
    <row r="100" spans="10:10" x14ac:dyDescent="0.25">
      <c r="J100" s="3"/>
    </row>
    <row r="101" spans="10:10" x14ac:dyDescent="0.25">
      <c r="J101" s="3"/>
    </row>
    <row r="102" spans="10:10" x14ac:dyDescent="0.25">
      <c r="J102" s="3"/>
    </row>
    <row r="103" spans="10:10" x14ac:dyDescent="0.25">
      <c r="J103" s="3"/>
    </row>
    <row r="104" spans="10:10" x14ac:dyDescent="0.25">
      <c r="J104" s="3"/>
    </row>
    <row r="105" spans="10:10" x14ac:dyDescent="0.25">
      <c r="J105" s="3"/>
    </row>
    <row r="106" spans="10:10" x14ac:dyDescent="0.25">
      <c r="J106" s="3"/>
    </row>
    <row r="107" spans="10:10" x14ac:dyDescent="0.25">
      <c r="J107" s="3"/>
    </row>
    <row r="108" spans="10:10" x14ac:dyDescent="0.25">
      <c r="J108" s="3"/>
    </row>
    <row r="109" spans="10:10" x14ac:dyDescent="0.25">
      <c r="J109" s="3"/>
    </row>
    <row r="110" spans="10:10" x14ac:dyDescent="0.25">
      <c r="J110" s="3"/>
    </row>
    <row r="111" spans="10:10" x14ac:dyDescent="0.25">
      <c r="J111" s="3"/>
    </row>
    <row r="112" spans="10:10" x14ac:dyDescent="0.25">
      <c r="J112" s="3"/>
    </row>
    <row r="113" spans="10:10" x14ac:dyDescent="0.25">
      <c r="J113" s="3"/>
    </row>
    <row r="114" spans="10:10" x14ac:dyDescent="0.25">
      <c r="J114" s="3"/>
    </row>
    <row r="115" spans="10:10" x14ac:dyDescent="0.25">
      <c r="J115" s="3"/>
    </row>
    <row r="116" spans="10:10" x14ac:dyDescent="0.25">
      <c r="J116" s="3"/>
    </row>
    <row r="117" spans="10:10" x14ac:dyDescent="0.25">
      <c r="J117" s="3"/>
    </row>
    <row r="118" spans="10:10" x14ac:dyDescent="0.25">
      <c r="J118" s="3"/>
    </row>
    <row r="119" spans="10:10" x14ac:dyDescent="0.25">
      <c r="J119" s="3"/>
    </row>
    <row r="120" spans="10:10" x14ac:dyDescent="0.25">
      <c r="J120" s="3"/>
    </row>
    <row r="121" spans="10:10" x14ac:dyDescent="0.25">
      <c r="J121" s="3"/>
    </row>
    <row r="122" spans="10:10" x14ac:dyDescent="0.25">
      <c r="J122" s="3"/>
    </row>
    <row r="123" spans="10:10" x14ac:dyDescent="0.25">
      <c r="J123" s="3"/>
    </row>
    <row r="124" spans="10:10" x14ac:dyDescent="0.25">
      <c r="J124" s="3"/>
    </row>
    <row r="125" spans="10:10" x14ac:dyDescent="0.25">
      <c r="J125" s="3"/>
    </row>
    <row r="126" spans="10:10" x14ac:dyDescent="0.25">
      <c r="J126" s="3"/>
    </row>
    <row r="127" spans="10:10" x14ac:dyDescent="0.25">
      <c r="J127" s="3"/>
    </row>
    <row r="128" spans="10:10" x14ac:dyDescent="0.25">
      <c r="J128" s="3"/>
    </row>
    <row r="129" spans="10:10" x14ac:dyDescent="0.25">
      <c r="J129" s="3"/>
    </row>
    <row r="130" spans="10:10" x14ac:dyDescent="0.25">
      <c r="J130" s="3"/>
    </row>
    <row r="131" spans="10:10" x14ac:dyDescent="0.25">
      <c r="J131" s="3"/>
    </row>
    <row r="132" spans="10:10" x14ac:dyDescent="0.25">
      <c r="J132" s="3"/>
    </row>
    <row r="133" spans="10:10" x14ac:dyDescent="0.25">
      <c r="J133" s="3"/>
    </row>
    <row r="134" spans="10:10" x14ac:dyDescent="0.25">
      <c r="J134" s="3"/>
    </row>
    <row r="135" spans="10:10" x14ac:dyDescent="0.25">
      <c r="J135" s="3"/>
    </row>
    <row r="136" spans="10:10" x14ac:dyDescent="0.25">
      <c r="J136" s="3"/>
    </row>
    <row r="137" spans="10:10" x14ac:dyDescent="0.25">
      <c r="J137" s="3"/>
    </row>
    <row r="138" spans="10:10" x14ac:dyDescent="0.25">
      <c r="J138" s="3"/>
    </row>
    <row r="139" spans="10:10" x14ac:dyDescent="0.25">
      <c r="J139" s="3"/>
    </row>
    <row r="140" spans="10:10" x14ac:dyDescent="0.25">
      <c r="J140" s="3"/>
    </row>
    <row r="141" spans="10:10" x14ac:dyDescent="0.25">
      <c r="J141" s="3"/>
    </row>
    <row r="142" spans="10:10" x14ac:dyDescent="0.25">
      <c r="J142" s="3"/>
    </row>
    <row r="143" spans="10:10" x14ac:dyDescent="0.25">
      <c r="J143" s="3"/>
    </row>
    <row r="144" spans="10:10" x14ac:dyDescent="0.25">
      <c r="J144" s="3"/>
    </row>
    <row r="145" spans="10:10" x14ac:dyDescent="0.25">
      <c r="J145" s="3"/>
    </row>
    <row r="146" spans="10:10" x14ac:dyDescent="0.25">
      <c r="J146" s="3"/>
    </row>
    <row r="147" spans="10:10" x14ac:dyDescent="0.25">
      <c r="J147" s="3"/>
    </row>
    <row r="148" spans="10:10" x14ac:dyDescent="0.25">
      <c r="J148" s="3"/>
    </row>
    <row r="149" spans="10:10" x14ac:dyDescent="0.25">
      <c r="J149" s="3"/>
    </row>
    <row r="150" spans="10:10" x14ac:dyDescent="0.25">
      <c r="J150" s="3"/>
    </row>
    <row r="151" spans="10:10" x14ac:dyDescent="0.25">
      <c r="J151" s="3"/>
    </row>
    <row r="152" spans="10:10" x14ac:dyDescent="0.25">
      <c r="J152" s="3"/>
    </row>
    <row r="153" spans="10:10" x14ac:dyDescent="0.25">
      <c r="J153" s="3"/>
    </row>
    <row r="154" spans="10:10" x14ac:dyDescent="0.25">
      <c r="J154" s="3"/>
    </row>
    <row r="155" spans="10:10" x14ac:dyDescent="0.25">
      <c r="J155" s="3"/>
    </row>
    <row r="156" spans="10:10" x14ac:dyDescent="0.25">
      <c r="J156" s="3"/>
    </row>
    <row r="157" spans="10:10" x14ac:dyDescent="0.25">
      <c r="J157" s="3"/>
    </row>
    <row r="158" spans="10:10" x14ac:dyDescent="0.25">
      <c r="J158" s="3"/>
    </row>
    <row r="159" spans="10:10" x14ac:dyDescent="0.25">
      <c r="J159" s="3"/>
    </row>
    <row r="160" spans="10:10" x14ac:dyDescent="0.25">
      <c r="J160" s="3"/>
    </row>
    <row r="161" spans="10:10" x14ac:dyDescent="0.25">
      <c r="J161" s="3"/>
    </row>
    <row r="162" spans="10:10" x14ac:dyDescent="0.25">
      <c r="J162" s="3"/>
    </row>
    <row r="163" spans="10:10" x14ac:dyDescent="0.25">
      <c r="J163" s="3"/>
    </row>
    <row r="164" spans="10:10" x14ac:dyDescent="0.25">
      <c r="J164" s="3"/>
    </row>
    <row r="165" spans="10:10" x14ac:dyDescent="0.25">
      <c r="J165" s="3"/>
    </row>
    <row r="166" spans="10:10" x14ac:dyDescent="0.25">
      <c r="J166" s="3"/>
    </row>
    <row r="167" spans="10:10" x14ac:dyDescent="0.25">
      <c r="J167" s="3"/>
    </row>
    <row r="168" spans="10:10" x14ac:dyDescent="0.25">
      <c r="J168" s="3"/>
    </row>
    <row r="169" spans="10:10" x14ac:dyDescent="0.25">
      <c r="J169" s="3"/>
    </row>
    <row r="170" spans="10:10" x14ac:dyDescent="0.25">
      <c r="J170" s="3"/>
    </row>
    <row r="171" spans="10:10" x14ac:dyDescent="0.25">
      <c r="J171" s="3"/>
    </row>
    <row r="172" spans="10:10" x14ac:dyDescent="0.25">
      <c r="J172" s="3"/>
    </row>
    <row r="173" spans="10:10" x14ac:dyDescent="0.25">
      <c r="J173" s="3"/>
    </row>
    <row r="174" spans="10:10" x14ac:dyDescent="0.25">
      <c r="J174" s="3"/>
    </row>
    <row r="175" spans="10:10" x14ac:dyDescent="0.25">
      <c r="J175" s="3"/>
    </row>
    <row r="176" spans="10:10" x14ac:dyDescent="0.25">
      <c r="J176" s="3"/>
    </row>
    <row r="177" spans="10:10" x14ac:dyDescent="0.25">
      <c r="J177" s="3"/>
    </row>
    <row r="178" spans="10:10" x14ac:dyDescent="0.25">
      <c r="J178" s="3"/>
    </row>
    <row r="179" spans="10:10" x14ac:dyDescent="0.25">
      <c r="J179" s="3"/>
    </row>
    <row r="180" spans="10:10" x14ac:dyDescent="0.25">
      <c r="J180" s="3"/>
    </row>
    <row r="181" spans="10:10" x14ac:dyDescent="0.25">
      <c r="J181" s="3"/>
    </row>
    <row r="182" spans="10:10" x14ac:dyDescent="0.25">
      <c r="J182" s="3"/>
    </row>
    <row r="183" spans="10:10" x14ac:dyDescent="0.25">
      <c r="J183" s="3"/>
    </row>
    <row r="184" spans="10:10" x14ac:dyDescent="0.25">
      <c r="J184" s="3"/>
    </row>
    <row r="185" spans="10:10" x14ac:dyDescent="0.25">
      <c r="J185" s="3"/>
    </row>
    <row r="186" spans="10:10" x14ac:dyDescent="0.25">
      <c r="J186" s="3"/>
    </row>
    <row r="187" spans="10:10" x14ac:dyDescent="0.25">
      <c r="J187" s="3"/>
    </row>
    <row r="188" spans="10:10" x14ac:dyDescent="0.25">
      <c r="J188" s="3"/>
    </row>
    <row r="189" spans="10:10" x14ac:dyDescent="0.25">
      <c r="J189" s="3"/>
    </row>
    <row r="190" spans="10:10" x14ac:dyDescent="0.25">
      <c r="J190" s="3"/>
    </row>
    <row r="191" spans="10:10" x14ac:dyDescent="0.25">
      <c r="J191" s="3"/>
    </row>
    <row r="192" spans="10:10" x14ac:dyDescent="0.25">
      <c r="J192" s="3"/>
    </row>
    <row r="193" spans="10:10" x14ac:dyDescent="0.25">
      <c r="J193" s="3"/>
    </row>
    <row r="194" spans="10:10" x14ac:dyDescent="0.25">
      <c r="J194" s="3"/>
    </row>
  </sheetData>
  <sortState xmlns:xlrd2="http://schemas.microsoft.com/office/spreadsheetml/2017/richdata2" ref="A7:AD12">
    <sortCondition descending="1" ref="L7:L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06-30-23</vt:lpstr>
      <vt:lpstr>07-07-23</vt:lpstr>
      <vt:lpstr>07-14-23</vt:lpstr>
      <vt:lpstr>07-21-23</vt:lpstr>
      <vt:lpstr>07-28-23</vt:lpstr>
      <vt:lpstr>08-04-23</vt:lpstr>
      <vt:lpstr>08-11-23</vt:lpstr>
      <vt:lpstr>08-18-23</vt:lpstr>
      <vt:lpstr>08-25-23</vt:lpstr>
      <vt:lpstr>09-01-23</vt:lpstr>
      <vt:lpstr>09-08-23</vt:lpstr>
      <vt:lpstr>09-15-23</vt:lpstr>
      <vt:lpstr>09-22-23</vt:lpstr>
      <vt:lpstr>09-29-23</vt:lpstr>
      <vt:lpstr>10-06-23</vt:lpstr>
      <vt:lpstr>10-13-23</vt:lpstr>
      <vt:lpstr>10-20-23</vt:lpstr>
      <vt:lpstr>10-27-23</vt:lpstr>
      <vt:lpstr>11-03-23</vt:lpstr>
      <vt:lpstr>11-10-23</vt:lpstr>
      <vt:lpstr>11-17-23</vt:lpstr>
      <vt:lpstr>11-24-23</vt:lpstr>
      <vt:lpstr>12-01-23</vt:lpstr>
      <vt:lpstr>12-15-23</vt:lpstr>
      <vt:lpstr>12-22-23</vt:lpstr>
      <vt:lpstr>12-29-23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</dc:creator>
  <cp:lastModifiedBy>doug@apsvllc.com</cp:lastModifiedBy>
  <dcterms:created xsi:type="dcterms:W3CDTF">2023-06-27T18:20:30Z</dcterms:created>
  <dcterms:modified xsi:type="dcterms:W3CDTF">2023-12-29T21:55:14Z</dcterms:modified>
</cp:coreProperties>
</file>