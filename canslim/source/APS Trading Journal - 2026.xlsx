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ug\Documents\"/>
    </mc:Choice>
  </mc:AlternateContent>
  <xr:revisionPtr revIDLastSave="0" documentId="13_ncr:1_{15A9EC9A-EDC3-4137-BDAB-2B21977DAAFD}" xr6:coauthVersionLast="47" xr6:coauthVersionMax="47" xr10:uidLastSave="{00000000-0000-0000-0000-000000000000}"/>
  <bookViews>
    <workbookView xWindow="-120" yWindow="-120" windowWidth="29040" windowHeight="15720" firstSheet="15" activeTab="25" xr2:uid="{648B4207-EF52-4AD7-AA27-6EE0DC70B22A}"/>
  </bookViews>
  <sheets>
    <sheet name="12-31-25" sheetId="53" r:id="rId1"/>
    <sheet name="01-02-26" sheetId="54" r:id="rId2"/>
    <sheet name="01-09-26" sheetId="55" r:id="rId3"/>
    <sheet name="01-16-26" sheetId="56" r:id="rId4"/>
    <sheet name="01-23-26" sheetId="57" r:id="rId5"/>
    <sheet name="01-30-26" sheetId="58" r:id="rId6"/>
    <sheet name="02-06-26" sheetId="59" r:id="rId7"/>
    <sheet name="02-13-26" sheetId="60" r:id="rId8"/>
    <sheet name="02-20-26" sheetId="61" r:id="rId9"/>
    <sheet name="02-27-26" sheetId="62" r:id="rId10"/>
    <sheet name="03-06-26" sheetId="63" r:id="rId11"/>
    <sheet name="03-13-26" sheetId="64" r:id="rId12"/>
    <sheet name="03-20-26" sheetId="65" r:id="rId13"/>
    <sheet name="03-27-26" sheetId="66" r:id="rId14"/>
    <sheet name="04-03-26" sheetId="67" r:id="rId15"/>
    <sheet name="04-10-26" sheetId="68" r:id="rId16"/>
    <sheet name="04-17-26" sheetId="69" r:id="rId17"/>
    <sheet name="04-24-26" sheetId="70" r:id="rId18"/>
    <sheet name="05-01-26" sheetId="71" r:id="rId19"/>
    <sheet name="05-08-26" sheetId="72" r:id="rId20"/>
    <sheet name="05-15-26" sheetId="73" r:id="rId21"/>
    <sheet name="05-29-26" sheetId="74" r:id="rId22"/>
    <sheet name="06-05-26" sheetId="75" r:id="rId23"/>
    <sheet name="06-12-26" sheetId="76" r:id="rId24"/>
    <sheet name="06-19-26" sheetId="77" r:id="rId25"/>
    <sheet name="06-26-26" sheetId="7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78" l="1"/>
  <c r="M47" i="78"/>
  <c r="H46" i="78"/>
  <c r="I46" i="78"/>
  <c r="J46" i="78"/>
  <c r="H47" i="78"/>
  <c r="I47" i="78"/>
  <c r="J47" i="78" s="1"/>
  <c r="E46" i="78"/>
  <c r="E47" i="78"/>
  <c r="I51" i="78" l="1"/>
  <c r="I21" i="78"/>
  <c r="J55" i="78" l="1"/>
  <c r="I54" i="78"/>
  <c r="I55" i="78" s="1"/>
  <c r="M45" i="78"/>
  <c r="F45" i="78"/>
  <c r="I45" i="78" s="1"/>
  <c r="J45" i="78" s="1"/>
  <c r="D45" i="78"/>
  <c r="H45" i="78" s="1"/>
  <c r="M44" i="78"/>
  <c r="F44" i="78"/>
  <c r="I44" i="78" s="1"/>
  <c r="J44" i="78" s="1"/>
  <c r="D44" i="78"/>
  <c r="H44" i="78" s="1"/>
  <c r="M43" i="78"/>
  <c r="F43" i="78"/>
  <c r="I43" i="78" s="1"/>
  <c r="J43" i="78" s="1"/>
  <c r="D43" i="78"/>
  <c r="H43" i="78" s="1"/>
  <c r="M42" i="78"/>
  <c r="H42" i="78"/>
  <c r="F42" i="78"/>
  <c r="E42" i="78" s="1"/>
  <c r="D42" i="78"/>
  <c r="M41" i="78"/>
  <c r="F41" i="78"/>
  <c r="D41" i="78"/>
  <c r="H41" i="78" s="1"/>
  <c r="M40" i="78"/>
  <c r="J40" i="78"/>
  <c r="I40" i="78"/>
  <c r="H40" i="78"/>
  <c r="E40" i="78"/>
  <c r="M39" i="78"/>
  <c r="I39" i="78"/>
  <c r="J39" i="78" s="1"/>
  <c r="H39" i="78"/>
  <c r="E39" i="78"/>
  <c r="M38" i="78"/>
  <c r="I38" i="78"/>
  <c r="J38" i="78" s="1"/>
  <c r="H38" i="78"/>
  <c r="F38" i="78"/>
  <c r="E38" i="78" s="1"/>
  <c r="D38" i="78"/>
  <c r="M37" i="78"/>
  <c r="H37" i="78"/>
  <c r="F37" i="78"/>
  <c r="E37" i="78" s="1"/>
  <c r="D37" i="78"/>
  <c r="M36" i="78"/>
  <c r="I36" i="78"/>
  <c r="J36" i="78" s="1"/>
  <c r="H36" i="78"/>
  <c r="E36" i="78"/>
  <c r="M35" i="78"/>
  <c r="I35" i="78"/>
  <c r="J35" i="78" s="1"/>
  <c r="F35" i="78"/>
  <c r="E35" i="78"/>
  <c r="D35" i="78"/>
  <c r="H35" i="78" s="1"/>
  <c r="M34" i="78"/>
  <c r="J34" i="78"/>
  <c r="I34" i="78"/>
  <c r="H34" i="78"/>
  <c r="E34" i="78"/>
  <c r="M33" i="78"/>
  <c r="I33" i="78"/>
  <c r="J33" i="78" s="1"/>
  <c r="H33" i="78"/>
  <c r="D33" i="78"/>
  <c r="E33" i="78" s="1"/>
  <c r="M32" i="78"/>
  <c r="I32" i="78"/>
  <c r="J32" i="78" s="1"/>
  <c r="H32" i="78"/>
  <c r="E32" i="78"/>
  <c r="M31" i="78"/>
  <c r="I31" i="78"/>
  <c r="J31" i="78" s="1"/>
  <c r="H31" i="78"/>
  <c r="E31" i="78"/>
  <c r="D31" i="78"/>
  <c r="M30" i="78"/>
  <c r="I30" i="78"/>
  <c r="J30" i="78" s="1"/>
  <c r="H30" i="78"/>
  <c r="E30" i="78"/>
  <c r="M29" i="78"/>
  <c r="J29" i="78"/>
  <c r="I29" i="78"/>
  <c r="H29" i="78"/>
  <c r="E29" i="78"/>
  <c r="M28" i="78"/>
  <c r="I28" i="78"/>
  <c r="J28" i="78" s="1"/>
  <c r="H28" i="78"/>
  <c r="E28" i="78"/>
  <c r="M27" i="78"/>
  <c r="I27" i="78"/>
  <c r="J27" i="78" s="1"/>
  <c r="H27" i="78"/>
  <c r="E27" i="78"/>
  <c r="M26" i="78"/>
  <c r="J26" i="78"/>
  <c r="I26" i="78"/>
  <c r="H26" i="78"/>
  <c r="E26" i="78"/>
  <c r="L22" i="78"/>
  <c r="V17" i="78"/>
  <c r="U17" i="78"/>
  <c r="T17" i="78"/>
  <c r="R17" i="78"/>
  <c r="L17" i="78"/>
  <c r="H17" i="78"/>
  <c r="W17" i="78" s="1"/>
  <c r="F17" i="78"/>
  <c r="I17" i="78" s="1"/>
  <c r="M17" i="78" s="1"/>
  <c r="V16" i="78"/>
  <c r="U16" i="78"/>
  <c r="T16" i="78"/>
  <c r="R16" i="78"/>
  <c r="L16" i="78"/>
  <c r="I16" i="78"/>
  <c r="M16" i="78" s="1"/>
  <c r="H16" i="78"/>
  <c r="Y16" i="78" s="1"/>
  <c r="F16" i="78"/>
  <c r="V15" i="78"/>
  <c r="U15" i="78"/>
  <c r="T15" i="78"/>
  <c r="R15" i="78"/>
  <c r="L15" i="78"/>
  <c r="H15" i="78"/>
  <c r="Y15" i="78" s="1"/>
  <c r="F15" i="78"/>
  <c r="I15" i="78" s="1"/>
  <c r="M15" i="78" s="1"/>
  <c r="V14" i="78"/>
  <c r="U14" i="78"/>
  <c r="T14" i="78"/>
  <c r="R14" i="78"/>
  <c r="L14" i="78"/>
  <c r="H14" i="78"/>
  <c r="Y14" i="78" s="1"/>
  <c r="F14" i="78"/>
  <c r="I14" i="78" s="1"/>
  <c r="M14" i="78" s="1"/>
  <c r="V12" i="78"/>
  <c r="U12" i="78"/>
  <c r="T12" i="78"/>
  <c r="R12" i="78"/>
  <c r="L12" i="78"/>
  <c r="G12" i="78"/>
  <c r="D12" i="78"/>
  <c r="F12" i="78" s="1"/>
  <c r="V11" i="78"/>
  <c r="U11" i="78"/>
  <c r="T11" i="78"/>
  <c r="R11" i="78"/>
  <c r="L11" i="78"/>
  <c r="G11" i="78"/>
  <c r="H11" i="78" s="1"/>
  <c r="Y11" i="78" s="1"/>
  <c r="D11" i="78"/>
  <c r="F11" i="78" s="1"/>
  <c r="V10" i="78"/>
  <c r="U10" i="78"/>
  <c r="T10" i="78"/>
  <c r="R10" i="78"/>
  <c r="L10" i="78"/>
  <c r="G10" i="78"/>
  <c r="D10" i="78"/>
  <c r="F10" i="78" s="1"/>
  <c r="V13" i="78"/>
  <c r="U13" i="78"/>
  <c r="T13" i="78"/>
  <c r="R13" i="78"/>
  <c r="L13" i="78"/>
  <c r="H13" i="78"/>
  <c r="Y13" i="78" s="1"/>
  <c r="F13" i="78"/>
  <c r="I13" i="78" s="1"/>
  <c r="M13" i="78" s="1"/>
  <c r="V9" i="78"/>
  <c r="U9" i="78"/>
  <c r="T9" i="78"/>
  <c r="R9" i="78"/>
  <c r="L9" i="78"/>
  <c r="H9" i="78"/>
  <c r="Y9" i="78" s="1"/>
  <c r="F9" i="78"/>
  <c r="I9" i="78" s="1"/>
  <c r="M9" i="78" s="1"/>
  <c r="V8" i="78"/>
  <c r="U8" i="78"/>
  <c r="T8" i="78"/>
  <c r="R8" i="78"/>
  <c r="L8" i="78"/>
  <c r="H8" i="78"/>
  <c r="W8" i="78" s="1"/>
  <c r="F8" i="78"/>
  <c r="I8" i="78" s="1"/>
  <c r="M8" i="78" s="1"/>
  <c r="V7" i="78"/>
  <c r="U7" i="78"/>
  <c r="T7" i="78"/>
  <c r="R7" i="78"/>
  <c r="L7" i="78"/>
  <c r="G7" i="78"/>
  <c r="H7" i="78" s="1"/>
  <c r="D7" i="78"/>
  <c r="F7" i="78" s="1"/>
  <c r="G13" i="77"/>
  <c r="D13" i="77"/>
  <c r="J14" i="78" l="1"/>
  <c r="W14" i="78"/>
  <c r="Y8" i="78"/>
  <c r="H12" i="78"/>
  <c r="W12" i="78" s="1"/>
  <c r="E41" i="78"/>
  <c r="J9" i="78"/>
  <c r="J15" i="78"/>
  <c r="I37" i="78"/>
  <c r="J37" i="78" s="1"/>
  <c r="E44" i="78"/>
  <c r="I41" i="78"/>
  <c r="J41" i="78" s="1"/>
  <c r="J8" i="78"/>
  <c r="H10" i="78"/>
  <c r="J10" i="78" s="1"/>
  <c r="I10" i="78"/>
  <c r="M10" i="78" s="1"/>
  <c r="I7" i="78"/>
  <c r="F18" i="78"/>
  <c r="F20" i="78" s="1"/>
  <c r="Z11" i="78" s="1"/>
  <c r="I11" i="78"/>
  <c r="M11" i="78" s="1"/>
  <c r="Y7" i="78"/>
  <c r="W7" i="78"/>
  <c r="J7" i="78"/>
  <c r="I12" i="78"/>
  <c r="M12" i="78" s="1"/>
  <c r="J12" i="78"/>
  <c r="Y12" i="78"/>
  <c r="Y17" i="78"/>
  <c r="E43" i="78"/>
  <c r="I42" i="78"/>
  <c r="J42" i="78" s="1"/>
  <c r="E45" i="78"/>
  <c r="G18" i="78"/>
  <c r="W9" i="78"/>
  <c r="J13" i="78"/>
  <c r="J11" i="78"/>
  <c r="W15" i="78"/>
  <c r="J16" i="78"/>
  <c r="W13" i="78"/>
  <c r="W11" i="78"/>
  <c r="W16" i="78"/>
  <c r="J17" i="78"/>
  <c r="I21" i="77"/>
  <c r="J50" i="77"/>
  <c r="I49" i="77"/>
  <c r="I50" i="77" s="1"/>
  <c r="M45" i="77"/>
  <c r="F45" i="77"/>
  <c r="I45" i="77" s="1"/>
  <c r="J45" i="77" s="1"/>
  <c r="D45" i="77"/>
  <c r="H45" i="77" s="1"/>
  <c r="M44" i="77"/>
  <c r="F44" i="77"/>
  <c r="I44" i="77" s="1"/>
  <c r="J44" i="77" s="1"/>
  <c r="E44" i="77"/>
  <c r="D44" i="77"/>
  <c r="H44" i="77" s="1"/>
  <c r="M43" i="77"/>
  <c r="F43" i="77"/>
  <c r="I43" i="77" s="1"/>
  <c r="J43" i="77" s="1"/>
  <c r="D43" i="77"/>
  <c r="H43" i="77" s="1"/>
  <c r="M42" i="77"/>
  <c r="H42" i="77"/>
  <c r="F42" i="77"/>
  <c r="E42" i="77" s="1"/>
  <c r="D42" i="77"/>
  <c r="M41" i="77"/>
  <c r="I41" i="77"/>
  <c r="J41" i="77" s="1"/>
  <c r="F41" i="77"/>
  <c r="E41" i="77" s="1"/>
  <c r="D41" i="77"/>
  <c r="H41" i="77" s="1"/>
  <c r="M40" i="77"/>
  <c r="J40" i="77"/>
  <c r="I40" i="77"/>
  <c r="H40" i="77"/>
  <c r="E40" i="77"/>
  <c r="M39" i="77"/>
  <c r="J39" i="77"/>
  <c r="I39" i="77"/>
  <c r="H39" i="77"/>
  <c r="E39" i="77"/>
  <c r="M38" i="77"/>
  <c r="J38" i="77"/>
  <c r="I38" i="77"/>
  <c r="H38" i="77"/>
  <c r="F38" i="77"/>
  <c r="E38" i="77" s="1"/>
  <c r="D38" i="77"/>
  <c r="M37" i="77"/>
  <c r="J37" i="77"/>
  <c r="I37" i="77"/>
  <c r="F37" i="77"/>
  <c r="D37" i="77"/>
  <c r="E37" i="77" s="1"/>
  <c r="M36" i="77"/>
  <c r="J36" i="77"/>
  <c r="I36" i="77"/>
  <c r="H36" i="77"/>
  <c r="E36" i="77"/>
  <c r="M35" i="77"/>
  <c r="J35" i="77"/>
  <c r="I35" i="77"/>
  <c r="F35" i="77"/>
  <c r="D35" i="77"/>
  <c r="E35" i="77" s="1"/>
  <c r="M34" i="77"/>
  <c r="J34" i="77"/>
  <c r="I34" i="77"/>
  <c r="H34" i="77"/>
  <c r="E34" i="77"/>
  <c r="M33" i="77"/>
  <c r="J33" i="77"/>
  <c r="I33" i="77"/>
  <c r="D33" i="77"/>
  <c r="E33" i="77" s="1"/>
  <c r="M32" i="77"/>
  <c r="J32" i="77"/>
  <c r="I32" i="77"/>
  <c r="H32" i="77"/>
  <c r="E32" i="77"/>
  <c r="M31" i="77"/>
  <c r="I31" i="77"/>
  <c r="J31" i="77" s="1"/>
  <c r="H31" i="77"/>
  <c r="E31" i="77"/>
  <c r="D31" i="77"/>
  <c r="M30" i="77"/>
  <c r="I30" i="77"/>
  <c r="J30" i="77" s="1"/>
  <c r="H30" i="77"/>
  <c r="E30" i="77"/>
  <c r="M29" i="77"/>
  <c r="I29" i="77"/>
  <c r="J29" i="77" s="1"/>
  <c r="H29" i="77"/>
  <c r="E29" i="77"/>
  <c r="M28" i="77"/>
  <c r="I28" i="77"/>
  <c r="J28" i="77" s="1"/>
  <c r="H28" i="77"/>
  <c r="E28" i="77"/>
  <c r="M27" i="77"/>
  <c r="J27" i="77"/>
  <c r="I27" i="77"/>
  <c r="H27" i="77"/>
  <c r="E27" i="77"/>
  <c r="M26" i="77"/>
  <c r="J26" i="77"/>
  <c r="I26" i="77"/>
  <c r="H26" i="77"/>
  <c r="E26" i="77"/>
  <c r="L22" i="77"/>
  <c r="V17" i="77"/>
  <c r="U17" i="77"/>
  <c r="T17" i="77"/>
  <c r="R17" i="77"/>
  <c r="L17" i="77"/>
  <c r="H17" i="77"/>
  <c r="W17" i="77" s="1"/>
  <c r="F17" i="77"/>
  <c r="I17" i="77" s="1"/>
  <c r="M17" i="77" s="1"/>
  <c r="V16" i="77"/>
  <c r="U16" i="77"/>
  <c r="T16" i="77"/>
  <c r="R16" i="77"/>
  <c r="L16" i="77"/>
  <c r="H16" i="77"/>
  <c r="Y16" i="77" s="1"/>
  <c r="F16" i="77"/>
  <c r="I16" i="77" s="1"/>
  <c r="M16" i="77" s="1"/>
  <c r="V15" i="77"/>
  <c r="U15" i="77"/>
  <c r="T15" i="77"/>
  <c r="R15" i="77"/>
  <c r="L15" i="77"/>
  <c r="H15" i="77"/>
  <c r="Y15" i="77" s="1"/>
  <c r="F15" i="77"/>
  <c r="V14" i="77"/>
  <c r="U14" i="77"/>
  <c r="T14" i="77"/>
  <c r="R14" i="77"/>
  <c r="L14" i="77"/>
  <c r="H14" i="77"/>
  <c r="J14" i="77" s="1"/>
  <c r="F14" i="77"/>
  <c r="I14" i="77" s="1"/>
  <c r="M14" i="77" s="1"/>
  <c r="V13" i="77"/>
  <c r="U13" i="77"/>
  <c r="T13" i="77"/>
  <c r="R13" i="77"/>
  <c r="L13" i="77"/>
  <c r="H13" i="77"/>
  <c r="Y13" i="77" s="1"/>
  <c r="F13" i="77"/>
  <c r="I13" i="77" s="1"/>
  <c r="M13" i="77" s="1"/>
  <c r="V12" i="77"/>
  <c r="U12" i="77"/>
  <c r="T12" i="77"/>
  <c r="R12" i="77"/>
  <c r="L12" i="77"/>
  <c r="G12" i="77"/>
  <c r="H12" i="77" s="1"/>
  <c r="D12" i="77"/>
  <c r="F12" i="77" s="1"/>
  <c r="V11" i="77"/>
  <c r="U11" i="77"/>
  <c r="T11" i="77"/>
  <c r="R11" i="77"/>
  <c r="L11" i="77"/>
  <c r="G11" i="77"/>
  <c r="F11" i="77"/>
  <c r="D11" i="77"/>
  <c r="Y10" i="77"/>
  <c r="W10" i="77"/>
  <c r="V10" i="77"/>
  <c r="U10" i="77"/>
  <c r="T10" i="77"/>
  <c r="R10" i="77"/>
  <c r="L10" i="77"/>
  <c r="J10" i="77"/>
  <c r="H10" i="77"/>
  <c r="F10" i="77"/>
  <c r="I10" i="77" s="1"/>
  <c r="M10" i="77" s="1"/>
  <c r="Y9" i="77"/>
  <c r="W9" i="77"/>
  <c r="V9" i="77"/>
  <c r="U9" i="77"/>
  <c r="T9" i="77"/>
  <c r="R9" i="77"/>
  <c r="L9" i="77"/>
  <c r="H9" i="77"/>
  <c r="J9" i="77" s="1"/>
  <c r="F9" i="77"/>
  <c r="I9" i="77" s="1"/>
  <c r="M9" i="77" s="1"/>
  <c r="Y8" i="77"/>
  <c r="V8" i="77"/>
  <c r="U8" i="77"/>
  <c r="T8" i="77"/>
  <c r="R8" i="77"/>
  <c r="L8" i="77"/>
  <c r="H8" i="77"/>
  <c r="W8" i="77" s="1"/>
  <c r="F8" i="77"/>
  <c r="I8" i="77" s="1"/>
  <c r="M8" i="77" s="1"/>
  <c r="V7" i="77"/>
  <c r="U7" i="77"/>
  <c r="T7" i="77"/>
  <c r="R7" i="77"/>
  <c r="L7" i="77"/>
  <c r="G7" i="77"/>
  <c r="H7" i="77" s="1"/>
  <c r="F7" i="77"/>
  <c r="D7" i="77"/>
  <c r="Y10" i="78" l="1"/>
  <c r="W10" i="78"/>
  <c r="G19" i="78"/>
  <c r="I22" i="78"/>
  <c r="Z8" i="78"/>
  <c r="Z7" i="78"/>
  <c r="Z17" i="78"/>
  <c r="M7" i="78"/>
  <c r="I18" i="78"/>
  <c r="Z13" i="78"/>
  <c r="Z16" i="78"/>
  <c r="Z15" i="78"/>
  <c r="Z10" i="78"/>
  <c r="Z14" i="78"/>
  <c r="Z12" i="78"/>
  <c r="Z9" i="78"/>
  <c r="I11" i="77"/>
  <c r="M11" i="77" s="1"/>
  <c r="F18" i="77"/>
  <c r="F20" i="77" s="1"/>
  <c r="Z12" i="77" s="1"/>
  <c r="J13" i="77"/>
  <c r="W13" i="77"/>
  <c r="Y12" i="77"/>
  <c r="J12" i="77"/>
  <c r="W12" i="77"/>
  <c r="I46" i="77"/>
  <c r="I12" i="77"/>
  <c r="M12" i="77" s="1"/>
  <c r="Y7" i="77"/>
  <c r="W7" i="77"/>
  <c r="J7" i="77"/>
  <c r="Y17" i="77"/>
  <c r="H33" i="77"/>
  <c r="H35" i="77"/>
  <c r="H37" i="77"/>
  <c r="E43" i="77"/>
  <c r="H11" i="77"/>
  <c r="I7" i="77"/>
  <c r="W14" i="77"/>
  <c r="J15" i="77"/>
  <c r="I42" i="77"/>
  <c r="J42" i="77" s="1"/>
  <c r="E45" i="77"/>
  <c r="I15" i="77"/>
  <c r="M15" i="77" s="1"/>
  <c r="J8" i="77"/>
  <c r="Y14" i="77"/>
  <c r="W15" i="77"/>
  <c r="J16" i="77"/>
  <c r="G18" i="77"/>
  <c r="W16" i="77"/>
  <c r="J17" i="77"/>
  <c r="Z10" i="77" l="1"/>
  <c r="Z11" i="77"/>
  <c r="Z9" i="77"/>
  <c r="Z7" i="77"/>
  <c r="Z14" i="77"/>
  <c r="Z15" i="77"/>
  <c r="I22" i="77"/>
  <c r="Z17" i="77"/>
  <c r="Z13" i="77"/>
  <c r="G19" i="77"/>
  <c r="Z8" i="77"/>
  <c r="Z16" i="77"/>
  <c r="I18" i="77"/>
  <c r="M7" i="77"/>
  <c r="Y11" i="77"/>
  <c r="W11" i="77"/>
  <c r="J11" i="77"/>
  <c r="G12" i="76" l="1"/>
  <c r="D12" i="76"/>
  <c r="I21" i="76"/>
  <c r="J50" i="76" l="1"/>
  <c r="I49" i="76"/>
  <c r="I50" i="76" s="1"/>
  <c r="M45" i="76"/>
  <c r="F45" i="76"/>
  <c r="I45" i="76" s="1"/>
  <c r="J45" i="76" s="1"/>
  <c r="D45" i="76"/>
  <c r="H45" i="76" s="1"/>
  <c r="M44" i="76"/>
  <c r="F44" i="76"/>
  <c r="I44" i="76" s="1"/>
  <c r="J44" i="76" s="1"/>
  <c r="D44" i="76"/>
  <c r="H44" i="76" s="1"/>
  <c r="M43" i="76"/>
  <c r="F43" i="76"/>
  <c r="I43" i="76" s="1"/>
  <c r="J43" i="76" s="1"/>
  <c r="E43" i="76"/>
  <c r="D43" i="76"/>
  <c r="H43" i="76" s="1"/>
  <c r="M42" i="76"/>
  <c r="H42" i="76"/>
  <c r="F42" i="76"/>
  <c r="E42" i="76" s="1"/>
  <c r="D42" i="76"/>
  <c r="M41" i="76"/>
  <c r="I41" i="76"/>
  <c r="J41" i="76" s="1"/>
  <c r="H41" i="76"/>
  <c r="F41" i="76"/>
  <c r="E41" i="76" s="1"/>
  <c r="D41" i="76"/>
  <c r="M40" i="76"/>
  <c r="I40" i="76"/>
  <c r="J40" i="76" s="1"/>
  <c r="H40" i="76"/>
  <c r="E40" i="76"/>
  <c r="M39" i="76"/>
  <c r="I39" i="76"/>
  <c r="J39" i="76" s="1"/>
  <c r="H39" i="76"/>
  <c r="E39" i="76"/>
  <c r="M38" i="76"/>
  <c r="H38" i="76"/>
  <c r="F38" i="76"/>
  <c r="E38" i="76" s="1"/>
  <c r="D38" i="76"/>
  <c r="M37" i="76"/>
  <c r="I37" i="76"/>
  <c r="J37" i="76" s="1"/>
  <c r="H37" i="76"/>
  <c r="F37" i="76"/>
  <c r="E37" i="76" s="1"/>
  <c r="D37" i="76"/>
  <c r="M36" i="76"/>
  <c r="I36" i="76"/>
  <c r="J36" i="76" s="1"/>
  <c r="H36" i="76"/>
  <c r="E36" i="76"/>
  <c r="M35" i="76"/>
  <c r="I35" i="76"/>
  <c r="J35" i="76" s="1"/>
  <c r="H35" i="76"/>
  <c r="F35" i="76"/>
  <c r="E35" i="76" s="1"/>
  <c r="D35" i="76"/>
  <c r="M34" i="76"/>
  <c r="I34" i="76"/>
  <c r="J34" i="76" s="1"/>
  <c r="H34" i="76"/>
  <c r="E34" i="76"/>
  <c r="M33" i="76"/>
  <c r="I33" i="76"/>
  <c r="J33" i="76" s="1"/>
  <c r="H33" i="76"/>
  <c r="E33" i="76"/>
  <c r="D33" i="76"/>
  <c r="M32" i="76"/>
  <c r="I32" i="76"/>
  <c r="J32" i="76" s="1"/>
  <c r="H32" i="76"/>
  <c r="E32" i="76"/>
  <c r="M31" i="76"/>
  <c r="J31" i="76"/>
  <c r="I31" i="76"/>
  <c r="H31" i="76"/>
  <c r="E31" i="76"/>
  <c r="D31" i="76"/>
  <c r="M30" i="76"/>
  <c r="J30" i="76"/>
  <c r="I30" i="76"/>
  <c r="H30" i="76"/>
  <c r="E30" i="76"/>
  <c r="M29" i="76"/>
  <c r="I29" i="76"/>
  <c r="J29" i="76" s="1"/>
  <c r="H29" i="76"/>
  <c r="E29" i="76"/>
  <c r="M28" i="76"/>
  <c r="J28" i="76"/>
  <c r="I28" i="76"/>
  <c r="H28" i="76"/>
  <c r="E28" i="76"/>
  <c r="M27" i="76"/>
  <c r="J27" i="76"/>
  <c r="I27" i="76"/>
  <c r="H27" i="76"/>
  <c r="E27" i="76"/>
  <c r="M26" i="76"/>
  <c r="I26" i="76"/>
  <c r="H26" i="76"/>
  <c r="E26" i="76"/>
  <c r="L22" i="76"/>
  <c r="Y17" i="76"/>
  <c r="V17" i="76"/>
  <c r="U17" i="76"/>
  <c r="T17" i="76"/>
  <c r="R17" i="76"/>
  <c r="L17" i="76"/>
  <c r="H17" i="76"/>
  <c r="W17" i="76" s="1"/>
  <c r="F17" i="76"/>
  <c r="I17" i="76" s="1"/>
  <c r="M17" i="76" s="1"/>
  <c r="V16" i="76"/>
  <c r="U16" i="76"/>
  <c r="T16" i="76"/>
  <c r="R16" i="76"/>
  <c r="L16" i="76"/>
  <c r="H16" i="76"/>
  <c r="Y16" i="76" s="1"/>
  <c r="F16" i="76"/>
  <c r="I16" i="76" s="1"/>
  <c r="M16" i="76" s="1"/>
  <c r="V15" i="76"/>
  <c r="U15" i="76"/>
  <c r="T15" i="76"/>
  <c r="R15" i="76"/>
  <c r="L15" i="76"/>
  <c r="I15" i="76"/>
  <c r="M15" i="76" s="1"/>
  <c r="H15" i="76"/>
  <c r="W15" i="76" s="1"/>
  <c r="F15" i="76"/>
  <c r="Y14" i="76"/>
  <c r="W14" i="76"/>
  <c r="V14" i="76"/>
  <c r="U14" i="76"/>
  <c r="T14" i="76"/>
  <c r="R14" i="76"/>
  <c r="L14" i="76"/>
  <c r="J14" i="76"/>
  <c r="I14" i="76"/>
  <c r="M14" i="76" s="1"/>
  <c r="H14" i="76"/>
  <c r="F14" i="76"/>
  <c r="Y13" i="76"/>
  <c r="W13" i="76"/>
  <c r="V13" i="76"/>
  <c r="U13" i="76"/>
  <c r="T13" i="76"/>
  <c r="R13" i="76"/>
  <c r="L13" i="76"/>
  <c r="J13" i="76"/>
  <c r="H13" i="76"/>
  <c r="F13" i="76"/>
  <c r="I13" i="76" s="1"/>
  <c r="M13" i="76" s="1"/>
  <c r="V12" i="76"/>
  <c r="U12" i="76"/>
  <c r="T12" i="76"/>
  <c r="R12" i="76"/>
  <c r="L12" i="76"/>
  <c r="H12" i="76"/>
  <c r="J12" i="76" s="1"/>
  <c r="F12" i="76"/>
  <c r="I12" i="76" s="1"/>
  <c r="M12" i="76" s="1"/>
  <c r="V11" i="76"/>
  <c r="U11" i="76"/>
  <c r="T11" i="76"/>
  <c r="R11" i="76"/>
  <c r="L11" i="76"/>
  <c r="G11" i="76"/>
  <c r="H11" i="76" s="1"/>
  <c r="F11" i="76"/>
  <c r="I11" i="76" s="1"/>
  <c r="M11" i="76" s="1"/>
  <c r="D11" i="76"/>
  <c r="Y10" i="76"/>
  <c r="W10" i="76"/>
  <c r="V10" i="76"/>
  <c r="U10" i="76"/>
  <c r="T10" i="76"/>
  <c r="R10" i="76"/>
  <c r="L10" i="76"/>
  <c r="J10" i="76"/>
  <c r="H10" i="76"/>
  <c r="F10" i="76"/>
  <c r="I10" i="76" s="1"/>
  <c r="M10" i="76" s="1"/>
  <c r="Y9" i="76"/>
  <c r="W9" i="76"/>
  <c r="V9" i="76"/>
  <c r="U9" i="76"/>
  <c r="T9" i="76"/>
  <c r="R9" i="76"/>
  <c r="L9" i="76"/>
  <c r="J9" i="76"/>
  <c r="H9" i="76"/>
  <c r="F9" i="76"/>
  <c r="I9" i="76" s="1"/>
  <c r="M9" i="76" s="1"/>
  <c r="Y8" i="76"/>
  <c r="W8" i="76"/>
  <c r="V8" i="76"/>
  <c r="U8" i="76"/>
  <c r="T8" i="76"/>
  <c r="R8" i="76"/>
  <c r="L8" i="76"/>
  <c r="H8" i="76"/>
  <c r="J8" i="76" s="1"/>
  <c r="F8" i="76"/>
  <c r="V7" i="76"/>
  <c r="U7" i="76"/>
  <c r="T7" i="76"/>
  <c r="R7" i="76"/>
  <c r="L7" i="76"/>
  <c r="G7" i="76"/>
  <c r="H7" i="76" s="1"/>
  <c r="F7" i="76"/>
  <c r="I7" i="76" s="1"/>
  <c r="D7" i="76"/>
  <c r="G11" i="75"/>
  <c r="D11" i="75"/>
  <c r="I46" i="75"/>
  <c r="F45" i="75"/>
  <c r="I45" i="75" s="1"/>
  <c r="J45" i="75" s="1"/>
  <c r="M45" i="75"/>
  <c r="H45" i="75"/>
  <c r="E45" i="75"/>
  <c r="D45" i="75"/>
  <c r="Y12" i="76" l="1"/>
  <c r="W12" i="76"/>
  <c r="M7" i="76"/>
  <c r="I46" i="76"/>
  <c r="W7" i="76"/>
  <c r="J7" i="76"/>
  <c r="Y7" i="76"/>
  <c r="W11" i="76"/>
  <c r="J11" i="76"/>
  <c r="Y11" i="76"/>
  <c r="J26" i="76"/>
  <c r="E44" i="76"/>
  <c r="F18" i="76"/>
  <c r="F20" i="76" s="1"/>
  <c r="Z11" i="76" s="1"/>
  <c r="I38" i="76"/>
  <c r="J38" i="76" s="1"/>
  <c r="I42" i="76"/>
  <c r="J42" i="76" s="1"/>
  <c r="E45" i="76"/>
  <c r="G18" i="76"/>
  <c r="J15" i="76"/>
  <c r="I8" i="76"/>
  <c r="M8" i="76" s="1"/>
  <c r="Y15" i="76"/>
  <c r="W16" i="76"/>
  <c r="J17" i="76"/>
  <c r="J16" i="76"/>
  <c r="I21" i="75"/>
  <c r="J50" i="75"/>
  <c r="I49" i="75"/>
  <c r="I50" i="75" s="1"/>
  <c r="M44" i="75"/>
  <c r="I44" i="75"/>
  <c r="J44" i="75" s="1"/>
  <c r="F44" i="75"/>
  <c r="D44" i="75"/>
  <c r="H44" i="75" s="1"/>
  <c r="M43" i="75"/>
  <c r="I43" i="75"/>
  <c r="J43" i="75" s="1"/>
  <c r="F43" i="75"/>
  <c r="E43" i="75"/>
  <c r="D43" i="75"/>
  <c r="H43" i="75" s="1"/>
  <c r="M42" i="75"/>
  <c r="F42" i="75"/>
  <c r="I42" i="75" s="1"/>
  <c r="J42" i="75" s="1"/>
  <c r="D42" i="75"/>
  <c r="H42" i="75" s="1"/>
  <c r="M41" i="75"/>
  <c r="F41" i="75"/>
  <c r="I41" i="75" s="1"/>
  <c r="J41" i="75" s="1"/>
  <c r="E41" i="75"/>
  <c r="D41" i="75"/>
  <c r="H41" i="75" s="1"/>
  <c r="M40" i="75"/>
  <c r="I40" i="75"/>
  <c r="J40" i="75" s="1"/>
  <c r="H40" i="75"/>
  <c r="E40" i="75"/>
  <c r="M39" i="75"/>
  <c r="J39" i="75"/>
  <c r="I39" i="75"/>
  <c r="H39" i="75"/>
  <c r="E39" i="75"/>
  <c r="M38" i="75"/>
  <c r="F38" i="75"/>
  <c r="I38" i="75" s="1"/>
  <c r="J38" i="75" s="1"/>
  <c r="D38" i="75"/>
  <c r="H38" i="75" s="1"/>
  <c r="M37" i="75"/>
  <c r="F37" i="75"/>
  <c r="I37" i="75" s="1"/>
  <c r="J37" i="75" s="1"/>
  <c r="E37" i="75"/>
  <c r="D37" i="75"/>
  <c r="H37" i="75" s="1"/>
  <c r="M36" i="75"/>
  <c r="I36" i="75"/>
  <c r="J36" i="75" s="1"/>
  <c r="H36" i="75"/>
  <c r="E36" i="75"/>
  <c r="M35" i="75"/>
  <c r="F35" i="75"/>
  <c r="I35" i="75" s="1"/>
  <c r="J35" i="75" s="1"/>
  <c r="E35" i="75"/>
  <c r="D35" i="75"/>
  <c r="H35" i="75" s="1"/>
  <c r="M34" i="75"/>
  <c r="I34" i="75"/>
  <c r="J34" i="75" s="1"/>
  <c r="H34" i="75"/>
  <c r="E34" i="75"/>
  <c r="M33" i="75"/>
  <c r="J33" i="75"/>
  <c r="I33" i="75"/>
  <c r="D33" i="75"/>
  <c r="H33" i="75" s="1"/>
  <c r="M32" i="75"/>
  <c r="J32" i="75"/>
  <c r="I32" i="75"/>
  <c r="H32" i="75"/>
  <c r="E32" i="75"/>
  <c r="M31" i="75"/>
  <c r="J31" i="75"/>
  <c r="I31" i="75"/>
  <c r="E31" i="75"/>
  <c r="D31" i="75"/>
  <c r="H31" i="75" s="1"/>
  <c r="M30" i="75"/>
  <c r="J30" i="75"/>
  <c r="I30" i="75"/>
  <c r="H30" i="75"/>
  <c r="E30" i="75"/>
  <c r="M29" i="75"/>
  <c r="J29" i="75"/>
  <c r="I29" i="75"/>
  <c r="H29" i="75"/>
  <c r="E29" i="75"/>
  <c r="M28" i="75"/>
  <c r="I28" i="75"/>
  <c r="J28" i="75" s="1"/>
  <c r="H28" i="75"/>
  <c r="E28" i="75"/>
  <c r="M27" i="75"/>
  <c r="J27" i="75"/>
  <c r="I27" i="75"/>
  <c r="H27" i="75"/>
  <c r="E27" i="75"/>
  <c r="M26" i="75"/>
  <c r="J26" i="75"/>
  <c r="I26" i="75"/>
  <c r="H26" i="75"/>
  <c r="E26" i="75"/>
  <c r="L22" i="75"/>
  <c r="V17" i="75"/>
  <c r="U17" i="75"/>
  <c r="T17" i="75"/>
  <c r="R17" i="75"/>
  <c r="L17" i="75"/>
  <c r="I17" i="75"/>
  <c r="M17" i="75" s="1"/>
  <c r="H17" i="75"/>
  <c r="J17" i="75" s="1"/>
  <c r="F17" i="75"/>
  <c r="V16" i="75"/>
  <c r="U16" i="75"/>
  <c r="T16" i="75"/>
  <c r="R16" i="75"/>
  <c r="L16" i="75"/>
  <c r="J16" i="75"/>
  <c r="H16" i="75"/>
  <c r="W16" i="75" s="1"/>
  <c r="F16" i="75"/>
  <c r="I16" i="75" s="1"/>
  <c r="M16" i="75" s="1"/>
  <c r="V15" i="75"/>
  <c r="U15" i="75"/>
  <c r="T15" i="75"/>
  <c r="R15" i="75"/>
  <c r="L15" i="75"/>
  <c r="I15" i="75"/>
  <c r="M15" i="75" s="1"/>
  <c r="H15" i="75"/>
  <c r="Y15" i="75" s="1"/>
  <c r="F15" i="75"/>
  <c r="Y14" i="75"/>
  <c r="W14" i="75"/>
  <c r="V14" i="75"/>
  <c r="U14" i="75"/>
  <c r="T14" i="75"/>
  <c r="R14" i="75"/>
  <c r="L14" i="75"/>
  <c r="J14" i="75"/>
  <c r="I14" i="75"/>
  <c r="M14" i="75" s="1"/>
  <c r="H14" i="75"/>
  <c r="F14" i="75"/>
  <c r="Y13" i="75"/>
  <c r="W13" i="75"/>
  <c r="V13" i="75"/>
  <c r="U13" i="75"/>
  <c r="T13" i="75"/>
  <c r="R13" i="75"/>
  <c r="L13" i="75"/>
  <c r="J13" i="75"/>
  <c r="H13" i="75"/>
  <c r="F13" i="75"/>
  <c r="V11" i="75"/>
  <c r="U11" i="75"/>
  <c r="T11" i="75"/>
  <c r="R11" i="75"/>
  <c r="L11" i="75"/>
  <c r="H11" i="75"/>
  <c r="Y11" i="75" s="1"/>
  <c r="F11" i="75"/>
  <c r="I11" i="75" s="1"/>
  <c r="M11" i="75" s="1"/>
  <c r="V10" i="75"/>
  <c r="U10" i="75"/>
  <c r="T10" i="75"/>
  <c r="R10" i="75"/>
  <c r="L10" i="75"/>
  <c r="H10" i="75"/>
  <c r="J10" i="75" s="1"/>
  <c r="F10" i="75"/>
  <c r="I10" i="75" s="1"/>
  <c r="M10" i="75" s="1"/>
  <c r="V9" i="75"/>
  <c r="U9" i="75"/>
  <c r="T9" i="75"/>
  <c r="R9" i="75"/>
  <c r="L9" i="75"/>
  <c r="J9" i="75"/>
  <c r="H9" i="75"/>
  <c r="W9" i="75" s="1"/>
  <c r="F9" i="75"/>
  <c r="V12" i="75"/>
  <c r="U12" i="75"/>
  <c r="T12" i="75"/>
  <c r="R12" i="75"/>
  <c r="L12" i="75"/>
  <c r="H12" i="75"/>
  <c r="Y12" i="75" s="1"/>
  <c r="F12" i="75"/>
  <c r="V8" i="75"/>
  <c r="U8" i="75"/>
  <c r="T8" i="75"/>
  <c r="R8" i="75"/>
  <c r="L8" i="75"/>
  <c r="H8" i="75"/>
  <c r="Y8" i="75" s="1"/>
  <c r="F8" i="75"/>
  <c r="I8" i="75" s="1"/>
  <c r="M8" i="75" s="1"/>
  <c r="V7" i="75"/>
  <c r="U7" i="75"/>
  <c r="T7" i="75"/>
  <c r="R7" i="75"/>
  <c r="L7" i="75"/>
  <c r="G7" i="75"/>
  <c r="G18" i="75" s="1"/>
  <c r="F7" i="75"/>
  <c r="I7" i="75" s="1"/>
  <c r="D7" i="75"/>
  <c r="I21" i="74"/>
  <c r="F44" i="74"/>
  <c r="E44" i="74" s="1"/>
  <c r="D44" i="74"/>
  <c r="E42" i="74"/>
  <c r="E43" i="74"/>
  <c r="M43" i="74"/>
  <c r="M44" i="74"/>
  <c r="H43" i="74"/>
  <c r="I43" i="74"/>
  <c r="J43" i="74"/>
  <c r="H44" i="74"/>
  <c r="I44" i="74"/>
  <c r="J44" i="74" s="1"/>
  <c r="F43" i="74"/>
  <c r="D43" i="74"/>
  <c r="J50" i="74"/>
  <c r="I49" i="74"/>
  <c r="I50" i="74" s="1"/>
  <c r="M42" i="74"/>
  <c r="F42" i="74"/>
  <c r="I42" i="74" s="1"/>
  <c r="J42" i="74" s="1"/>
  <c r="D42" i="74"/>
  <c r="H42" i="74" s="1"/>
  <c r="M41" i="74"/>
  <c r="I41" i="74"/>
  <c r="J41" i="74" s="1"/>
  <c r="F41" i="74"/>
  <c r="D41" i="74"/>
  <c r="H41" i="74" s="1"/>
  <c r="M40" i="74"/>
  <c r="I40" i="74"/>
  <c r="J40" i="74" s="1"/>
  <c r="H40" i="74"/>
  <c r="E40" i="74"/>
  <c r="M39" i="74"/>
  <c r="J39" i="74"/>
  <c r="I39" i="74"/>
  <c r="H39" i="74"/>
  <c r="E39" i="74"/>
  <c r="M38" i="74"/>
  <c r="J38" i="74"/>
  <c r="I38" i="74"/>
  <c r="F38" i="74"/>
  <c r="E38" i="74" s="1"/>
  <c r="D38" i="74"/>
  <c r="H38" i="74" s="1"/>
  <c r="M37" i="74"/>
  <c r="J37" i="74"/>
  <c r="I37" i="74"/>
  <c r="F37" i="74"/>
  <c r="D37" i="74"/>
  <c r="H37" i="74" s="1"/>
  <c r="M36" i="74"/>
  <c r="I36" i="74"/>
  <c r="J36" i="74" s="1"/>
  <c r="H36" i="74"/>
  <c r="E36" i="74"/>
  <c r="M35" i="74"/>
  <c r="J35" i="74"/>
  <c r="I35" i="74"/>
  <c r="F35" i="74"/>
  <c r="D35" i="74"/>
  <c r="H35" i="74" s="1"/>
  <c r="M34" i="74"/>
  <c r="I34" i="74"/>
  <c r="J34" i="74" s="1"/>
  <c r="H34" i="74"/>
  <c r="E34" i="74"/>
  <c r="M33" i="74"/>
  <c r="J33" i="74"/>
  <c r="I33" i="74"/>
  <c r="D33" i="74"/>
  <c r="H33" i="74" s="1"/>
  <c r="M32" i="74"/>
  <c r="J32" i="74"/>
  <c r="I32" i="74"/>
  <c r="H32" i="74"/>
  <c r="E32" i="74"/>
  <c r="M31" i="74"/>
  <c r="J31" i="74"/>
  <c r="I31" i="74"/>
  <c r="H31" i="74"/>
  <c r="E31" i="74"/>
  <c r="D31" i="74"/>
  <c r="M30" i="74"/>
  <c r="J30" i="74"/>
  <c r="I30" i="74"/>
  <c r="H30" i="74"/>
  <c r="E30" i="74"/>
  <c r="M29" i="74"/>
  <c r="I29" i="74"/>
  <c r="J29" i="74" s="1"/>
  <c r="H29" i="74"/>
  <c r="E29" i="74"/>
  <c r="M28" i="74"/>
  <c r="I28" i="74"/>
  <c r="J28" i="74" s="1"/>
  <c r="H28" i="74"/>
  <c r="E28" i="74"/>
  <c r="M27" i="74"/>
  <c r="J27" i="74"/>
  <c r="I27" i="74"/>
  <c r="H27" i="74"/>
  <c r="E27" i="74"/>
  <c r="M26" i="74"/>
  <c r="I26" i="74"/>
  <c r="J26" i="74" s="1"/>
  <c r="H26" i="74"/>
  <c r="E26" i="74"/>
  <c r="L22" i="74"/>
  <c r="V17" i="74"/>
  <c r="U17" i="74"/>
  <c r="T17" i="74"/>
  <c r="R17" i="74"/>
  <c r="L17" i="74"/>
  <c r="H17" i="74"/>
  <c r="Y17" i="74" s="1"/>
  <c r="F17" i="74"/>
  <c r="V16" i="74"/>
  <c r="U16" i="74"/>
  <c r="T16" i="74"/>
  <c r="R16" i="74"/>
  <c r="L16" i="74"/>
  <c r="I16" i="74"/>
  <c r="M16" i="74" s="1"/>
  <c r="H16" i="74"/>
  <c r="Y16" i="74" s="1"/>
  <c r="F16" i="74"/>
  <c r="V15" i="74"/>
  <c r="U15" i="74"/>
  <c r="T15" i="74"/>
  <c r="R15" i="74"/>
  <c r="L15" i="74"/>
  <c r="J15" i="74"/>
  <c r="H15" i="74"/>
  <c r="Y15" i="74" s="1"/>
  <c r="F15" i="74"/>
  <c r="I15" i="74" s="1"/>
  <c r="M15" i="74" s="1"/>
  <c r="W14" i="74"/>
  <c r="V14" i="74"/>
  <c r="U14" i="74"/>
  <c r="T14" i="74"/>
  <c r="R14" i="74"/>
  <c r="L14" i="74"/>
  <c r="I14" i="74"/>
  <c r="M14" i="74" s="1"/>
  <c r="H14" i="74"/>
  <c r="J14" i="74" s="1"/>
  <c r="F14" i="74"/>
  <c r="Y13" i="74"/>
  <c r="W13" i="74"/>
  <c r="V13" i="74"/>
  <c r="U13" i="74"/>
  <c r="T13" i="74"/>
  <c r="R13" i="74"/>
  <c r="M13" i="74"/>
  <c r="L13" i="74"/>
  <c r="J13" i="74"/>
  <c r="I13" i="74"/>
  <c r="H13" i="74"/>
  <c r="F13" i="74"/>
  <c r="V12" i="74"/>
  <c r="U12" i="74"/>
  <c r="T12" i="74"/>
  <c r="R12" i="74"/>
  <c r="L12" i="74"/>
  <c r="H12" i="74"/>
  <c r="F12" i="74"/>
  <c r="I12" i="74" s="1"/>
  <c r="M12" i="74" s="1"/>
  <c r="V10" i="74"/>
  <c r="U10" i="74"/>
  <c r="T10" i="74"/>
  <c r="R10" i="74"/>
  <c r="L10" i="74"/>
  <c r="J10" i="74"/>
  <c r="H10" i="74"/>
  <c r="Y10" i="74" s="1"/>
  <c r="F10" i="74"/>
  <c r="I10" i="74" s="1"/>
  <c r="M10" i="74" s="1"/>
  <c r="V11" i="74"/>
  <c r="U11" i="74"/>
  <c r="T11" i="74"/>
  <c r="R11" i="74"/>
  <c r="L11" i="74"/>
  <c r="H11" i="74"/>
  <c r="V9" i="74"/>
  <c r="U9" i="74"/>
  <c r="T9" i="74"/>
  <c r="R9" i="74"/>
  <c r="L9" i="74"/>
  <c r="H9" i="74"/>
  <c r="Y9" i="74" s="1"/>
  <c r="G9" i="74"/>
  <c r="D9" i="74"/>
  <c r="F9" i="74" s="1"/>
  <c r="V8" i="74"/>
  <c r="U8" i="74"/>
  <c r="T8" i="74"/>
  <c r="R8" i="74"/>
  <c r="L8" i="74"/>
  <c r="H8" i="74"/>
  <c r="J8" i="74" s="1"/>
  <c r="F8" i="74"/>
  <c r="I8" i="74" s="1"/>
  <c r="M8" i="74" s="1"/>
  <c r="V7" i="74"/>
  <c r="U7" i="74"/>
  <c r="T7" i="74"/>
  <c r="R7" i="74"/>
  <c r="L7" i="74"/>
  <c r="G7" i="74"/>
  <c r="G18" i="74" s="1"/>
  <c r="F7" i="74"/>
  <c r="D7" i="74"/>
  <c r="H7" i="74" s="1"/>
  <c r="M42" i="73"/>
  <c r="H42" i="73"/>
  <c r="I42" i="73"/>
  <c r="J42" i="73"/>
  <c r="E42" i="73"/>
  <c r="F42" i="73"/>
  <c r="D42" i="73"/>
  <c r="I21" i="73"/>
  <c r="G12" i="73"/>
  <c r="H12" i="73" s="1"/>
  <c r="D12" i="73"/>
  <c r="J50" i="73"/>
  <c r="I49" i="73"/>
  <c r="I50" i="73" s="1"/>
  <c r="M41" i="73"/>
  <c r="F41" i="73"/>
  <c r="I41" i="73" s="1"/>
  <c r="J41" i="73" s="1"/>
  <c r="D41" i="73"/>
  <c r="M40" i="73"/>
  <c r="I40" i="73"/>
  <c r="J40" i="73" s="1"/>
  <c r="H40" i="73"/>
  <c r="E40" i="73"/>
  <c r="M39" i="73"/>
  <c r="I39" i="73"/>
  <c r="J39" i="73" s="1"/>
  <c r="H39" i="73"/>
  <c r="E39" i="73"/>
  <c r="M38" i="73"/>
  <c r="F38" i="73"/>
  <c r="I38" i="73" s="1"/>
  <c r="J38" i="73" s="1"/>
  <c r="D38" i="73"/>
  <c r="M37" i="73"/>
  <c r="F37" i="73"/>
  <c r="I37" i="73" s="1"/>
  <c r="J37" i="73" s="1"/>
  <c r="D37" i="73"/>
  <c r="M36" i="73"/>
  <c r="I36" i="73"/>
  <c r="J36" i="73" s="1"/>
  <c r="H36" i="73"/>
  <c r="E36" i="73"/>
  <c r="M35" i="73"/>
  <c r="F35" i="73"/>
  <c r="I35" i="73" s="1"/>
  <c r="D35" i="73"/>
  <c r="M34" i="73"/>
  <c r="I34" i="73"/>
  <c r="J34" i="73" s="1"/>
  <c r="H34" i="73"/>
  <c r="E34" i="73"/>
  <c r="M33" i="73"/>
  <c r="I33" i="73"/>
  <c r="J33" i="73" s="1"/>
  <c r="D33" i="73"/>
  <c r="M32" i="73"/>
  <c r="I32" i="73"/>
  <c r="J32" i="73" s="1"/>
  <c r="H32" i="73"/>
  <c r="E32" i="73"/>
  <c r="M31" i="73"/>
  <c r="I31" i="73"/>
  <c r="J31" i="73" s="1"/>
  <c r="D31" i="73"/>
  <c r="M30" i="73"/>
  <c r="I30" i="73"/>
  <c r="J30" i="73" s="1"/>
  <c r="H30" i="73"/>
  <c r="E30" i="73"/>
  <c r="M29" i="73"/>
  <c r="I29" i="73"/>
  <c r="J29" i="73" s="1"/>
  <c r="H29" i="73"/>
  <c r="E29" i="73"/>
  <c r="M28" i="73"/>
  <c r="I28" i="73"/>
  <c r="J28" i="73" s="1"/>
  <c r="H28" i="73"/>
  <c r="E28" i="73"/>
  <c r="M27" i="73"/>
  <c r="I27" i="73"/>
  <c r="J27" i="73" s="1"/>
  <c r="H27" i="73"/>
  <c r="E27" i="73"/>
  <c r="M26" i="73"/>
  <c r="I26" i="73"/>
  <c r="J26" i="73" s="1"/>
  <c r="H26" i="73"/>
  <c r="E26" i="73"/>
  <c r="L22" i="73"/>
  <c r="V17" i="73"/>
  <c r="U17" i="73"/>
  <c r="T17" i="73"/>
  <c r="R17" i="73"/>
  <c r="L17" i="73"/>
  <c r="H17" i="73"/>
  <c r="F17" i="73"/>
  <c r="V16" i="73"/>
  <c r="U16" i="73"/>
  <c r="T16" i="73"/>
  <c r="R16" i="73"/>
  <c r="L16" i="73"/>
  <c r="H16" i="73"/>
  <c r="F16" i="73"/>
  <c r="V15" i="73"/>
  <c r="U15" i="73"/>
  <c r="T15" i="73"/>
  <c r="R15" i="73"/>
  <c r="L15" i="73"/>
  <c r="H15" i="73"/>
  <c r="F15" i="73"/>
  <c r="V14" i="73"/>
  <c r="U14" i="73"/>
  <c r="T14" i="73"/>
  <c r="R14" i="73"/>
  <c r="L14" i="73"/>
  <c r="H14" i="73"/>
  <c r="F14" i="73"/>
  <c r="V13" i="73"/>
  <c r="U13" i="73"/>
  <c r="T13" i="73"/>
  <c r="R13" i="73"/>
  <c r="L13" i="73"/>
  <c r="F13" i="73"/>
  <c r="V12" i="73"/>
  <c r="U12" i="73"/>
  <c r="T12" i="73"/>
  <c r="R12" i="73"/>
  <c r="L12" i="73"/>
  <c r="F12" i="73"/>
  <c r="V11" i="73"/>
  <c r="U11" i="73"/>
  <c r="T11" i="73"/>
  <c r="R11" i="73"/>
  <c r="L11" i="73"/>
  <c r="H11" i="73"/>
  <c r="F11" i="73"/>
  <c r="V10" i="73"/>
  <c r="U10" i="73"/>
  <c r="T10" i="73"/>
  <c r="R10" i="73"/>
  <c r="L10" i="73"/>
  <c r="G10" i="73"/>
  <c r="H10" i="73" s="1"/>
  <c r="D10" i="73"/>
  <c r="F10" i="73" s="1"/>
  <c r="V9" i="73"/>
  <c r="U9" i="73"/>
  <c r="T9" i="73"/>
  <c r="R9" i="73"/>
  <c r="L9" i="73"/>
  <c r="G9" i="73"/>
  <c r="H9" i="73" s="1"/>
  <c r="D9" i="73"/>
  <c r="F9" i="73" s="1"/>
  <c r="V8" i="73"/>
  <c r="U8" i="73"/>
  <c r="T8" i="73"/>
  <c r="R8" i="73"/>
  <c r="L8" i="73"/>
  <c r="H8" i="73"/>
  <c r="F8" i="73"/>
  <c r="V7" i="73"/>
  <c r="U7" i="73"/>
  <c r="T7" i="73"/>
  <c r="R7" i="73"/>
  <c r="L7" i="73"/>
  <c r="G7" i="73"/>
  <c r="D7" i="73"/>
  <c r="F7" i="73" s="1"/>
  <c r="G13" i="72"/>
  <c r="D13" i="72"/>
  <c r="R13" i="72"/>
  <c r="R12" i="72"/>
  <c r="I21" i="72"/>
  <c r="J47" i="72"/>
  <c r="I46" i="72"/>
  <c r="I47" i="72" s="1"/>
  <c r="M41" i="72"/>
  <c r="F41" i="72"/>
  <c r="I41" i="72" s="1"/>
  <c r="J41" i="72" s="1"/>
  <c r="D41" i="72"/>
  <c r="M40" i="72"/>
  <c r="I40" i="72"/>
  <c r="J40" i="72" s="1"/>
  <c r="H40" i="72"/>
  <c r="E40" i="72"/>
  <c r="M39" i="72"/>
  <c r="I39" i="72"/>
  <c r="J39" i="72" s="1"/>
  <c r="H39" i="72"/>
  <c r="E39" i="72"/>
  <c r="M38" i="72"/>
  <c r="F38" i="72"/>
  <c r="I38" i="72" s="1"/>
  <c r="J38" i="72" s="1"/>
  <c r="D38" i="72"/>
  <c r="M37" i="72"/>
  <c r="F37" i="72"/>
  <c r="I37" i="72" s="1"/>
  <c r="J37" i="72" s="1"/>
  <c r="D37" i="72"/>
  <c r="M36" i="72"/>
  <c r="I36" i="72"/>
  <c r="J36" i="72" s="1"/>
  <c r="H36" i="72"/>
  <c r="E36" i="72"/>
  <c r="M35" i="72"/>
  <c r="F35" i="72"/>
  <c r="I35" i="72" s="1"/>
  <c r="D35" i="72"/>
  <c r="M34" i="72"/>
  <c r="I34" i="72"/>
  <c r="J34" i="72" s="1"/>
  <c r="H34" i="72"/>
  <c r="E34" i="72"/>
  <c r="M33" i="72"/>
  <c r="I33" i="72"/>
  <c r="J33" i="72" s="1"/>
  <c r="D33" i="72"/>
  <c r="M32" i="72"/>
  <c r="I32" i="72"/>
  <c r="J32" i="72" s="1"/>
  <c r="H32" i="72"/>
  <c r="E32" i="72"/>
  <c r="M31" i="72"/>
  <c r="I31" i="72"/>
  <c r="J31" i="72" s="1"/>
  <c r="D31" i="72"/>
  <c r="M30" i="72"/>
  <c r="I30" i="72"/>
  <c r="J30" i="72" s="1"/>
  <c r="H30" i="72"/>
  <c r="E30" i="72"/>
  <c r="M29" i="72"/>
  <c r="J29" i="72"/>
  <c r="I29" i="72"/>
  <c r="H29" i="72"/>
  <c r="E29" i="72"/>
  <c r="M28" i="72"/>
  <c r="I28" i="72"/>
  <c r="J28" i="72" s="1"/>
  <c r="H28" i="72"/>
  <c r="E28" i="72"/>
  <c r="M27" i="72"/>
  <c r="I27" i="72"/>
  <c r="J27" i="72" s="1"/>
  <c r="H27" i="72"/>
  <c r="E27" i="72"/>
  <c r="M26" i="72"/>
  <c r="I26" i="72"/>
  <c r="J26" i="72" s="1"/>
  <c r="H26" i="72"/>
  <c r="E26" i="72"/>
  <c r="L22" i="72"/>
  <c r="G18" i="72"/>
  <c r="V17" i="72"/>
  <c r="U17" i="72"/>
  <c r="T17" i="72"/>
  <c r="R17" i="72"/>
  <c r="L17" i="72"/>
  <c r="H17" i="72"/>
  <c r="F17" i="72"/>
  <c r="V16" i="72"/>
  <c r="U16" i="72"/>
  <c r="T16" i="72"/>
  <c r="R16" i="72"/>
  <c r="L16" i="72"/>
  <c r="H16" i="72"/>
  <c r="F16" i="72"/>
  <c r="V15" i="72"/>
  <c r="U15" i="72"/>
  <c r="T15" i="72"/>
  <c r="R15" i="72"/>
  <c r="L15" i="72"/>
  <c r="H15" i="72"/>
  <c r="F15" i="72"/>
  <c r="V14" i="72"/>
  <c r="U14" i="72"/>
  <c r="T14" i="72"/>
  <c r="R14" i="72"/>
  <c r="L14" i="72"/>
  <c r="I14" i="72"/>
  <c r="M14" i="72" s="1"/>
  <c r="H14" i="72"/>
  <c r="F14" i="72"/>
  <c r="V13" i="72"/>
  <c r="U13" i="72"/>
  <c r="T13" i="72"/>
  <c r="L13" i="72"/>
  <c r="V12" i="72"/>
  <c r="U12" i="72"/>
  <c r="T12" i="72"/>
  <c r="L12" i="72"/>
  <c r="H12" i="72"/>
  <c r="F12" i="72"/>
  <c r="V11" i="72"/>
  <c r="U11" i="72"/>
  <c r="T11" i="72"/>
  <c r="R11" i="72"/>
  <c r="L11" i="72"/>
  <c r="H11" i="72"/>
  <c r="F11" i="72"/>
  <c r="V10" i="72"/>
  <c r="U10" i="72"/>
  <c r="T10" i="72"/>
  <c r="R10" i="72"/>
  <c r="L10" i="72"/>
  <c r="G10" i="72"/>
  <c r="H10" i="72" s="1"/>
  <c r="D10" i="72"/>
  <c r="F10" i="72" s="1"/>
  <c r="V9" i="72"/>
  <c r="U9" i="72"/>
  <c r="T9" i="72"/>
  <c r="R9" i="72"/>
  <c r="L9" i="72"/>
  <c r="G9" i="72"/>
  <c r="H9" i="72" s="1"/>
  <c r="D9" i="72"/>
  <c r="F9" i="72" s="1"/>
  <c r="Y8" i="72"/>
  <c r="W8" i="72"/>
  <c r="V8" i="72"/>
  <c r="U8" i="72"/>
  <c r="T8" i="72"/>
  <c r="R8" i="72"/>
  <c r="L8" i="72"/>
  <c r="H8" i="72"/>
  <c r="J8" i="72" s="1"/>
  <c r="F8" i="72"/>
  <c r="I8" i="72" s="1"/>
  <c r="M8" i="72" s="1"/>
  <c r="V7" i="72"/>
  <c r="U7" i="72"/>
  <c r="T7" i="72"/>
  <c r="R7" i="72"/>
  <c r="L7" i="72"/>
  <c r="G7" i="72"/>
  <c r="H7" i="72" s="1"/>
  <c r="D7" i="72"/>
  <c r="F7" i="72" s="1"/>
  <c r="L12" i="71"/>
  <c r="L13" i="71"/>
  <c r="F41" i="71"/>
  <c r="D41" i="71"/>
  <c r="H41" i="71" s="1"/>
  <c r="M40" i="71"/>
  <c r="M41" i="71"/>
  <c r="H40" i="71"/>
  <c r="I40" i="71"/>
  <c r="J40" i="71" s="1"/>
  <c r="I41" i="71"/>
  <c r="J41" i="71"/>
  <c r="E40" i="71"/>
  <c r="E41" i="71"/>
  <c r="I21" i="71"/>
  <c r="J47" i="71"/>
  <c r="I47" i="71"/>
  <c r="I46" i="71"/>
  <c r="M39" i="71"/>
  <c r="J39" i="71"/>
  <c r="I39" i="71"/>
  <c r="H39" i="71"/>
  <c r="E39" i="71"/>
  <c r="M38" i="71"/>
  <c r="J38" i="71"/>
  <c r="I38" i="71"/>
  <c r="H38" i="71"/>
  <c r="F38" i="71"/>
  <c r="E38" i="71"/>
  <c r="D38" i="71"/>
  <c r="M37" i="71"/>
  <c r="I37" i="71"/>
  <c r="J37" i="71" s="1"/>
  <c r="F37" i="71"/>
  <c r="E37" i="71" s="1"/>
  <c r="D37" i="71"/>
  <c r="H37" i="71" s="1"/>
  <c r="M36" i="71"/>
  <c r="J36" i="71"/>
  <c r="I36" i="71"/>
  <c r="H36" i="71"/>
  <c r="E36" i="71"/>
  <c r="M35" i="71"/>
  <c r="I35" i="71"/>
  <c r="J35" i="71" s="1"/>
  <c r="F35" i="71"/>
  <c r="E35" i="71" s="1"/>
  <c r="D35" i="71"/>
  <c r="H35" i="71" s="1"/>
  <c r="M34" i="71"/>
  <c r="J34" i="71"/>
  <c r="I34" i="71"/>
  <c r="H34" i="71"/>
  <c r="E34" i="71"/>
  <c r="M33" i="71"/>
  <c r="I33" i="71"/>
  <c r="J33" i="71" s="1"/>
  <c r="E33" i="71"/>
  <c r="D33" i="71"/>
  <c r="H33" i="71" s="1"/>
  <c r="M32" i="71"/>
  <c r="I32" i="71"/>
  <c r="J32" i="71" s="1"/>
  <c r="H32" i="71"/>
  <c r="E32" i="71"/>
  <c r="M31" i="71"/>
  <c r="J31" i="71"/>
  <c r="I31" i="71"/>
  <c r="H31" i="71"/>
  <c r="D31" i="71"/>
  <c r="E31" i="71" s="1"/>
  <c r="M30" i="71"/>
  <c r="J30" i="71"/>
  <c r="I30" i="71"/>
  <c r="H30" i="71"/>
  <c r="E30" i="71"/>
  <c r="M29" i="71"/>
  <c r="I29" i="71"/>
  <c r="J29" i="71" s="1"/>
  <c r="H29" i="71"/>
  <c r="E29" i="71"/>
  <c r="M28" i="71"/>
  <c r="J28" i="71"/>
  <c r="I28" i="71"/>
  <c r="H28" i="71"/>
  <c r="E28" i="71"/>
  <c r="M27" i="71"/>
  <c r="I27" i="71"/>
  <c r="J27" i="71" s="1"/>
  <c r="H27" i="71"/>
  <c r="E27" i="71"/>
  <c r="M26" i="71"/>
  <c r="J26" i="71"/>
  <c r="I26" i="71"/>
  <c r="I43" i="71" s="1"/>
  <c r="H26" i="71"/>
  <c r="E26" i="71"/>
  <c r="L22" i="71"/>
  <c r="V17" i="71"/>
  <c r="U17" i="71"/>
  <c r="T17" i="71"/>
  <c r="R17" i="71"/>
  <c r="L17" i="71"/>
  <c r="I17" i="71"/>
  <c r="M17" i="71" s="1"/>
  <c r="H17" i="71"/>
  <c r="Y17" i="71" s="1"/>
  <c r="F17" i="71"/>
  <c r="V16" i="71"/>
  <c r="U16" i="71"/>
  <c r="T16" i="71"/>
  <c r="R16" i="71"/>
  <c r="L16" i="71"/>
  <c r="I16" i="71"/>
  <c r="M16" i="71" s="1"/>
  <c r="H16" i="71"/>
  <c r="Y16" i="71" s="1"/>
  <c r="F16" i="71"/>
  <c r="V15" i="71"/>
  <c r="U15" i="71"/>
  <c r="T15" i="71"/>
  <c r="R15" i="71"/>
  <c r="L15" i="71"/>
  <c r="I15" i="71"/>
  <c r="M15" i="71" s="1"/>
  <c r="H15" i="71"/>
  <c r="Y15" i="71" s="1"/>
  <c r="F15" i="71"/>
  <c r="V14" i="71"/>
  <c r="U14" i="71"/>
  <c r="T14" i="71"/>
  <c r="R14" i="71"/>
  <c r="L14" i="71"/>
  <c r="I14" i="71"/>
  <c r="M14" i="71" s="1"/>
  <c r="H14" i="71"/>
  <c r="Y14" i="71" s="1"/>
  <c r="F14" i="71"/>
  <c r="Y11" i="71"/>
  <c r="V11" i="71"/>
  <c r="U11" i="71"/>
  <c r="T11" i="71"/>
  <c r="R11" i="71"/>
  <c r="L11" i="71"/>
  <c r="J11" i="71"/>
  <c r="H11" i="71"/>
  <c r="W11" i="71" s="1"/>
  <c r="F11" i="71"/>
  <c r="I11" i="71" s="1"/>
  <c r="M11" i="71" s="1"/>
  <c r="V13" i="71"/>
  <c r="U13" i="71"/>
  <c r="T13" i="71"/>
  <c r="H13" i="71"/>
  <c r="Y13" i="71" s="1"/>
  <c r="F13" i="71"/>
  <c r="I13" i="71" s="1"/>
  <c r="M13" i="71" s="1"/>
  <c r="V12" i="71"/>
  <c r="U12" i="71"/>
  <c r="T12" i="71"/>
  <c r="H12" i="71"/>
  <c r="F12" i="71"/>
  <c r="V10" i="71"/>
  <c r="U10" i="71"/>
  <c r="T10" i="71"/>
  <c r="R10" i="71"/>
  <c r="L10" i="71"/>
  <c r="H10" i="71"/>
  <c r="Y10" i="71" s="1"/>
  <c r="G10" i="71"/>
  <c r="D10" i="71"/>
  <c r="F10" i="71" s="1"/>
  <c r="V9" i="71"/>
  <c r="U9" i="71"/>
  <c r="T9" i="71"/>
  <c r="R9" i="71"/>
  <c r="L9" i="71"/>
  <c r="G9" i="71"/>
  <c r="H9" i="71" s="1"/>
  <c r="D9" i="71"/>
  <c r="F9" i="71" s="1"/>
  <c r="V8" i="71"/>
  <c r="U8" i="71"/>
  <c r="T8" i="71"/>
  <c r="R8" i="71"/>
  <c r="L8" i="71"/>
  <c r="H8" i="71"/>
  <c r="Y8" i="71" s="1"/>
  <c r="F8" i="71"/>
  <c r="I8" i="71" s="1"/>
  <c r="M8" i="71" s="1"/>
  <c r="V7" i="71"/>
  <c r="U7" i="71"/>
  <c r="T7" i="71"/>
  <c r="R7" i="71"/>
  <c r="L7" i="71"/>
  <c r="G7" i="71"/>
  <c r="H7" i="71" s="1"/>
  <c r="D7" i="71"/>
  <c r="F7" i="71" s="1"/>
  <c r="M39" i="70"/>
  <c r="H39" i="70"/>
  <c r="I39" i="70"/>
  <c r="J39" i="70"/>
  <c r="E39" i="70"/>
  <c r="G7" i="70"/>
  <c r="D7" i="70"/>
  <c r="G11" i="70"/>
  <c r="D11" i="70"/>
  <c r="I21" i="70"/>
  <c r="Z7" i="76" l="1"/>
  <c r="Z14" i="76"/>
  <c r="Z17" i="76"/>
  <c r="Z13" i="76"/>
  <c r="I18" i="76"/>
  <c r="G19" i="76"/>
  <c r="I22" i="76"/>
  <c r="Z16" i="76"/>
  <c r="Z15" i="76"/>
  <c r="Z9" i="76"/>
  <c r="Z12" i="76"/>
  <c r="Z10" i="76"/>
  <c r="Z8" i="76"/>
  <c r="W8" i="75"/>
  <c r="W11" i="75"/>
  <c r="Y10" i="75"/>
  <c r="M7" i="75"/>
  <c r="I12" i="75"/>
  <c r="M12" i="75" s="1"/>
  <c r="J8" i="75"/>
  <c r="Y9" i="75"/>
  <c r="W10" i="75"/>
  <c r="J11" i="75"/>
  <c r="I13" i="75"/>
  <c r="M13" i="75" s="1"/>
  <c r="Y16" i="75"/>
  <c r="W17" i="75"/>
  <c r="E33" i="75"/>
  <c r="E38" i="75"/>
  <c r="E42" i="75"/>
  <c r="Y17" i="75"/>
  <c r="E44" i="75"/>
  <c r="H7" i="75"/>
  <c r="J12" i="75"/>
  <c r="I9" i="75"/>
  <c r="M9" i="75" s="1"/>
  <c r="J15" i="75"/>
  <c r="F18" i="75"/>
  <c r="F20" i="75" s="1"/>
  <c r="Z15" i="75" s="1"/>
  <c r="W12" i="75"/>
  <c r="W15" i="75"/>
  <c r="W8" i="74"/>
  <c r="W7" i="74"/>
  <c r="J7" i="74"/>
  <c r="Y7" i="74"/>
  <c r="Y12" i="74"/>
  <c r="W12" i="74"/>
  <c r="J12" i="74"/>
  <c r="I9" i="74"/>
  <c r="M9" i="74" s="1"/>
  <c r="J11" i="74"/>
  <c r="Y11" i="74"/>
  <c r="W11" i="74"/>
  <c r="Y8" i="74"/>
  <c r="F11" i="74"/>
  <c r="W10" i="74"/>
  <c r="Y14" i="74"/>
  <c r="W15" i="74"/>
  <c r="J16" i="74"/>
  <c r="I17" i="74"/>
  <c r="M17" i="74" s="1"/>
  <c r="J9" i="74"/>
  <c r="W16" i="74"/>
  <c r="J17" i="74"/>
  <c r="E35" i="74"/>
  <c r="E37" i="74"/>
  <c r="E41" i="74"/>
  <c r="W17" i="74"/>
  <c r="E33" i="74"/>
  <c r="I46" i="74"/>
  <c r="W9" i="74"/>
  <c r="I7" i="74"/>
  <c r="H13" i="73"/>
  <c r="H41" i="73"/>
  <c r="E41" i="73"/>
  <c r="E38" i="73"/>
  <c r="H38" i="73"/>
  <c r="E37" i="73"/>
  <c r="H37" i="73"/>
  <c r="J35" i="73"/>
  <c r="I46" i="73"/>
  <c r="E35" i="73"/>
  <c r="H35" i="73"/>
  <c r="H33" i="73"/>
  <c r="E33" i="73"/>
  <c r="H31" i="73"/>
  <c r="E31" i="73"/>
  <c r="J17" i="73"/>
  <c r="Y17" i="73"/>
  <c r="W17" i="73"/>
  <c r="I17" i="73"/>
  <c r="M17" i="73" s="1"/>
  <c r="J16" i="73"/>
  <c r="Y16" i="73"/>
  <c r="W16" i="73"/>
  <c r="I16" i="73"/>
  <c r="M16" i="73" s="1"/>
  <c r="W15" i="73"/>
  <c r="Y15" i="73"/>
  <c r="J15" i="73"/>
  <c r="I15" i="73"/>
  <c r="M15" i="73" s="1"/>
  <c r="Y14" i="73"/>
  <c r="W14" i="73"/>
  <c r="J14" i="73"/>
  <c r="I14" i="73"/>
  <c r="M14" i="73" s="1"/>
  <c r="I13" i="73"/>
  <c r="M13" i="73" s="1"/>
  <c r="Y12" i="73"/>
  <c r="W12" i="73"/>
  <c r="J12" i="73"/>
  <c r="I12" i="73"/>
  <c r="M12" i="73" s="1"/>
  <c r="J11" i="73"/>
  <c r="W11" i="73"/>
  <c r="Y11" i="73"/>
  <c r="I11" i="73"/>
  <c r="M11" i="73" s="1"/>
  <c r="J10" i="73"/>
  <c r="Y10" i="73"/>
  <c r="W10" i="73"/>
  <c r="I10" i="73"/>
  <c r="M10" i="73" s="1"/>
  <c r="J9" i="73"/>
  <c r="Y9" i="73"/>
  <c r="W9" i="73"/>
  <c r="I9" i="73"/>
  <c r="M9" i="73" s="1"/>
  <c r="W8" i="73"/>
  <c r="Y8" i="73"/>
  <c r="J8" i="73"/>
  <c r="I8" i="73"/>
  <c r="M8" i="73" s="1"/>
  <c r="G18" i="73"/>
  <c r="H7" i="73"/>
  <c r="I7" i="73"/>
  <c r="F18" i="73"/>
  <c r="F20" i="73" s="1"/>
  <c r="F13" i="72"/>
  <c r="I13" i="72" s="1"/>
  <c r="M13" i="72" s="1"/>
  <c r="H13" i="72"/>
  <c r="J13" i="72" s="1"/>
  <c r="E41" i="72"/>
  <c r="H41" i="72"/>
  <c r="E38" i="72"/>
  <c r="H38" i="72"/>
  <c r="E37" i="72"/>
  <c r="H37" i="72"/>
  <c r="J35" i="72"/>
  <c r="I43" i="72"/>
  <c r="E35" i="72"/>
  <c r="H35" i="72"/>
  <c r="E33" i="72"/>
  <c r="H33" i="72"/>
  <c r="H31" i="72"/>
  <c r="E31" i="72"/>
  <c r="Y17" i="72"/>
  <c r="W17" i="72"/>
  <c r="J17" i="72"/>
  <c r="I17" i="72"/>
  <c r="M17" i="72" s="1"/>
  <c r="Y16" i="72"/>
  <c r="W16" i="72"/>
  <c r="J16" i="72"/>
  <c r="I16" i="72"/>
  <c r="M16" i="72" s="1"/>
  <c r="Y15" i="72"/>
  <c r="W15" i="72"/>
  <c r="J15" i="72"/>
  <c r="I15" i="72"/>
  <c r="M15" i="72" s="1"/>
  <c r="Y14" i="72"/>
  <c r="W14" i="72"/>
  <c r="J14" i="72"/>
  <c r="W13" i="72"/>
  <c r="Y13" i="72"/>
  <c r="W12" i="72"/>
  <c r="Y12" i="72"/>
  <c r="J12" i="72"/>
  <c r="I12" i="72"/>
  <c r="M12" i="72" s="1"/>
  <c r="J11" i="72"/>
  <c r="W11" i="72"/>
  <c r="Y11" i="72"/>
  <c r="I11" i="72"/>
  <c r="M11" i="72" s="1"/>
  <c r="J10" i="72"/>
  <c r="W10" i="72"/>
  <c r="Y10" i="72"/>
  <c r="I10" i="72"/>
  <c r="M10" i="72" s="1"/>
  <c r="J9" i="72"/>
  <c r="W9" i="72"/>
  <c r="Y9" i="72"/>
  <c r="I9" i="72"/>
  <c r="M9" i="72" s="1"/>
  <c r="J7" i="72"/>
  <c r="W7" i="72"/>
  <c r="Y7" i="72"/>
  <c r="I7" i="72"/>
  <c r="F18" i="72"/>
  <c r="F20" i="72" s="1"/>
  <c r="J13" i="71"/>
  <c r="W13" i="71"/>
  <c r="I10" i="71"/>
  <c r="M10" i="71" s="1"/>
  <c r="I7" i="71"/>
  <c r="F18" i="71"/>
  <c r="F20" i="71" s="1"/>
  <c r="Z7" i="71" s="1"/>
  <c r="I12" i="71"/>
  <c r="M12" i="71" s="1"/>
  <c r="J9" i="71"/>
  <c r="Y9" i="71"/>
  <c r="W9" i="71"/>
  <c r="Y7" i="71"/>
  <c r="W7" i="71"/>
  <c r="J7" i="71"/>
  <c r="J12" i="71"/>
  <c r="W12" i="71"/>
  <c r="Y12" i="71"/>
  <c r="I9" i="71"/>
  <c r="M9" i="71" s="1"/>
  <c r="J8" i="71"/>
  <c r="J10" i="71"/>
  <c r="J14" i="71"/>
  <c r="W8" i="71"/>
  <c r="W10" i="71"/>
  <c r="W14" i="71"/>
  <c r="J15" i="71"/>
  <c r="W15" i="71"/>
  <c r="J16" i="71"/>
  <c r="G18" i="71"/>
  <c r="W16" i="71"/>
  <c r="J17" i="71"/>
  <c r="W17" i="71"/>
  <c r="J47" i="70"/>
  <c r="I46" i="70"/>
  <c r="I47" i="70" s="1"/>
  <c r="M38" i="70"/>
  <c r="I38" i="70"/>
  <c r="J38" i="70" s="1"/>
  <c r="F38" i="70"/>
  <c r="E38" i="70"/>
  <c r="D38" i="70"/>
  <c r="H38" i="70" s="1"/>
  <c r="M37" i="70"/>
  <c r="F37" i="70"/>
  <c r="I37" i="70" s="1"/>
  <c r="J37" i="70" s="1"/>
  <c r="D37" i="70"/>
  <c r="H37" i="70" s="1"/>
  <c r="M36" i="70"/>
  <c r="I36" i="70"/>
  <c r="J36" i="70" s="1"/>
  <c r="H36" i="70"/>
  <c r="E36" i="70"/>
  <c r="M35" i="70"/>
  <c r="F35" i="70"/>
  <c r="I35" i="70" s="1"/>
  <c r="J35" i="70" s="1"/>
  <c r="D35" i="70"/>
  <c r="H35" i="70" s="1"/>
  <c r="M34" i="70"/>
  <c r="I34" i="70"/>
  <c r="J34" i="70" s="1"/>
  <c r="H34" i="70"/>
  <c r="E34" i="70"/>
  <c r="M33" i="70"/>
  <c r="J33" i="70"/>
  <c r="I33" i="70"/>
  <c r="E33" i="70"/>
  <c r="D33" i="70"/>
  <c r="H33" i="70" s="1"/>
  <c r="M32" i="70"/>
  <c r="J32" i="70"/>
  <c r="I32" i="70"/>
  <c r="H32" i="70"/>
  <c r="E32" i="70"/>
  <c r="M31" i="70"/>
  <c r="J31" i="70"/>
  <c r="I31" i="70"/>
  <c r="D31" i="70"/>
  <c r="H31" i="70" s="1"/>
  <c r="M30" i="70"/>
  <c r="J30" i="70"/>
  <c r="I30" i="70"/>
  <c r="H30" i="70"/>
  <c r="E30" i="70"/>
  <c r="M29" i="70"/>
  <c r="I29" i="70"/>
  <c r="J29" i="70" s="1"/>
  <c r="H29" i="70"/>
  <c r="E29" i="70"/>
  <c r="M28" i="70"/>
  <c r="J28" i="70"/>
  <c r="I28" i="70"/>
  <c r="H28" i="70"/>
  <c r="E28" i="70"/>
  <c r="M27" i="70"/>
  <c r="I27" i="70"/>
  <c r="J27" i="70" s="1"/>
  <c r="H27" i="70"/>
  <c r="E27" i="70"/>
  <c r="M26" i="70"/>
  <c r="I26" i="70"/>
  <c r="J26" i="70" s="1"/>
  <c r="H26" i="70"/>
  <c r="E26" i="70"/>
  <c r="L22" i="70"/>
  <c r="V17" i="70"/>
  <c r="U17" i="70"/>
  <c r="T17" i="70"/>
  <c r="R17" i="70"/>
  <c r="L17" i="70"/>
  <c r="J17" i="70"/>
  <c r="H17" i="70"/>
  <c r="Y17" i="70" s="1"/>
  <c r="F17" i="70"/>
  <c r="Y16" i="70"/>
  <c r="W16" i="70"/>
  <c r="V16" i="70"/>
  <c r="U16" i="70"/>
  <c r="T16" i="70"/>
  <c r="R16" i="70"/>
  <c r="L16" i="70"/>
  <c r="H16" i="70"/>
  <c r="J16" i="70" s="1"/>
  <c r="F16" i="70"/>
  <c r="I16" i="70" s="1"/>
  <c r="M16" i="70" s="1"/>
  <c r="Y15" i="70"/>
  <c r="V15" i="70"/>
  <c r="U15" i="70"/>
  <c r="T15" i="70"/>
  <c r="R15" i="70"/>
  <c r="L15" i="70"/>
  <c r="H15" i="70"/>
  <c r="J15" i="70" s="1"/>
  <c r="F15" i="70"/>
  <c r="I15" i="70" s="1"/>
  <c r="M15" i="70" s="1"/>
  <c r="V14" i="70"/>
  <c r="U14" i="70"/>
  <c r="T14" i="70"/>
  <c r="R14" i="70"/>
  <c r="L14" i="70"/>
  <c r="H14" i="70"/>
  <c r="W14" i="70" s="1"/>
  <c r="F14" i="70"/>
  <c r="V13" i="70"/>
  <c r="U13" i="70"/>
  <c r="T13" i="70"/>
  <c r="R13" i="70"/>
  <c r="L13" i="70"/>
  <c r="H13" i="70"/>
  <c r="Y13" i="70" s="1"/>
  <c r="F13" i="70"/>
  <c r="I13" i="70" s="1"/>
  <c r="M13" i="70" s="1"/>
  <c r="Y12" i="70"/>
  <c r="W12" i="70"/>
  <c r="V12" i="70"/>
  <c r="U12" i="70"/>
  <c r="T12" i="70"/>
  <c r="R12" i="70"/>
  <c r="L12" i="70"/>
  <c r="J12" i="70"/>
  <c r="H12" i="70"/>
  <c r="F12" i="70"/>
  <c r="I12" i="70" s="1"/>
  <c r="M12" i="70" s="1"/>
  <c r="V11" i="70"/>
  <c r="U11" i="70"/>
  <c r="T11" i="70"/>
  <c r="R11" i="70"/>
  <c r="L11" i="70"/>
  <c r="H11" i="70"/>
  <c r="J11" i="70" s="1"/>
  <c r="F11" i="70"/>
  <c r="V10" i="70"/>
  <c r="U10" i="70"/>
  <c r="T10" i="70"/>
  <c r="R10" i="70"/>
  <c r="L10" i="70"/>
  <c r="G10" i="70"/>
  <c r="H10" i="70" s="1"/>
  <c r="D10" i="70"/>
  <c r="F10" i="70" s="1"/>
  <c r="V9" i="70"/>
  <c r="U9" i="70"/>
  <c r="T9" i="70"/>
  <c r="R9" i="70"/>
  <c r="L9" i="70"/>
  <c r="H9" i="70"/>
  <c r="Y9" i="70" s="1"/>
  <c r="G9" i="70"/>
  <c r="D9" i="70"/>
  <c r="F9" i="70" s="1"/>
  <c r="Y8" i="70"/>
  <c r="W8" i="70"/>
  <c r="V8" i="70"/>
  <c r="U8" i="70"/>
  <c r="T8" i="70"/>
  <c r="R8" i="70"/>
  <c r="L8" i="70"/>
  <c r="H8" i="70"/>
  <c r="J8" i="70" s="1"/>
  <c r="F8" i="70"/>
  <c r="I8" i="70" s="1"/>
  <c r="M8" i="70" s="1"/>
  <c r="V7" i="70"/>
  <c r="U7" i="70"/>
  <c r="T7" i="70"/>
  <c r="R7" i="70"/>
  <c r="L7" i="70"/>
  <c r="G18" i="70"/>
  <c r="F7" i="70"/>
  <c r="G10" i="69"/>
  <c r="D10" i="69"/>
  <c r="G9" i="69"/>
  <c r="D9" i="69"/>
  <c r="Z11" i="75" l="1"/>
  <c r="Z7" i="75"/>
  <c r="Z13" i="75"/>
  <c r="Z14" i="75"/>
  <c r="Z10" i="75"/>
  <c r="Z16" i="75"/>
  <c r="Z9" i="75"/>
  <c r="Z17" i="75"/>
  <c r="Z8" i="75"/>
  <c r="I22" i="75"/>
  <c r="G19" i="75"/>
  <c r="J7" i="75"/>
  <c r="Y7" i="75"/>
  <c r="W7" i="75"/>
  <c r="Z12" i="75"/>
  <c r="I18" i="75"/>
  <c r="M7" i="74"/>
  <c r="I11" i="74"/>
  <c r="M11" i="74" s="1"/>
  <c r="F18" i="74"/>
  <c r="F20" i="74" s="1"/>
  <c r="J13" i="73"/>
  <c r="Y13" i="73"/>
  <c r="W13" i="73"/>
  <c r="J7" i="73"/>
  <c r="W7" i="73"/>
  <c r="Y7" i="73"/>
  <c r="M7" i="73"/>
  <c r="I18" i="73"/>
  <c r="I22" i="73"/>
  <c r="G19" i="73"/>
  <c r="Z13" i="73"/>
  <c r="Z11" i="73"/>
  <c r="Z8" i="73"/>
  <c r="Z17" i="73"/>
  <c r="Z16" i="73"/>
  <c r="Z15" i="73"/>
  <c r="Z14" i="73"/>
  <c r="Z12" i="73"/>
  <c r="Z10" i="73"/>
  <c r="Z9" i="73"/>
  <c r="Z7" i="73"/>
  <c r="Z15" i="72"/>
  <c r="Z12" i="72"/>
  <c r="Z16" i="72"/>
  <c r="Z17" i="72"/>
  <c r="Z13" i="72"/>
  <c r="M7" i="72"/>
  <c r="I18" i="72"/>
  <c r="I22" i="72"/>
  <c r="Z8" i="72"/>
  <c r="G19" i="72"/>
  <c r="Z14" i="72"/>
  <c r="Z11" i="72"/>
  <c r="Z10" i="72"/>
  <c r="Z9" i="72"/>
  <c r="Z7" i="72"/>
  <c r="Z14" i="71"/>
  <c r="Z16" i="71"/>
  <c r="Z10" i="71"/>
  <c r="Z12" i="71"/>
  <c r="Z11" i="71"/>
  <c r="Z17" i="71"/>
  <c r="Z13" i="71"/>
  <c r="Z9" i="71"/>
  <c r="G19" i="71"/>
  <c r="I22" i="71"/>
  <c r="I18" i="71"/>
  <c r="M7" i="71"/>
  <c r="Z8" i="71"/>
  <c r="Z15" i="71"/>
  <c r="W11" i="70"/>
  <c r="Y11" i="70"/>
  <c r="F18" i="70"/>
  <c r="F20" i="70" s="1"/>
  <c r="Z12" i="70" s="1"/>
  <c r="Y10" i="70"/>
  <c r="W10" i="70"/>
  <c r="J10" i="70"/>
  <c r="I9" i="70"/>
  <c r="M9" i="70" s="1"/>
  <c r="I10" i="70"/>
  <c r="M10" i="70" s="1"/>
  <c r="H7" i="70"/>
  <c r="J9" i="70"/>
  <c r="J13" i="70"/>
  <c r="I14" i="70"/>
  <c r="M14" i="70" s="1"/>
  <c r="W9" i="70"/>
  <c r="W13" i="70"/>
  <c r="I11" i="70"/>
  <c r="M11" i="70" s="1"/>
  <c r="Y14" i="70"/>
  <c r="W15" i="70"/>
  <c r="I17" i="70"/>
  <c r="M17" i="70" s="1"/>
  <c r="E35" i="70"/>
  <c r="E37" i="70"/>
  <c r="W17" i="70"/>
  <c r="I43" i="70"/>
  <c r="E31" i="70"/>
  <c r="I7" i="70"/>
  <c r="J14" i="70"/>
  <c r="I21" i="69"/>
  <c r="J47" i="69"/>
  <c r="I46" i="69"/>
  <c r="I47" i="69" s="1"/>
  <c r="M38" i="69"/>
  <c r="F38" i="69"/>
  <c r="I38" i="69" s="1"/>
  <c r="J38" i="69" s="1"/>
  <c r="D38" i="69"/>
  <c r="H38" i="69" s="1"/>
  <c r="M37" i="69"/>
  <c r="I37" i="69"/>
  <c r="J37" i="69" s="1"/>
  <c r="F37" i="69"/>
  <c r="E37" i="69"/>
  <c r="D37" i="69"/>
  <c r="H37" i="69" s="1"/>
  <c r="M36" i="69"/>
  <c r="I36" i="69"/>
  <c r="J36" i="69" s="1"/>
  <c r="H36" i="69"/>
  <c r="E36" i="69"/>
  <c r="M35" i="69"/>
  <c r="J35" i="69"/>
  <c r="I35" i="69"/>
  <c r="F35" i="69"/>
  <c r="E35" i="69"/>
  <c r="D35" i="69"/>
  <c r="H35" i="69" s="1"/>
  <c r="M34" i="69"/>
  <c r="I34" i="69"/>
  <c r="J34" i="69" s="1"/>
  <c r="H34" i="69"/>
  <c r="E34" i="69"/>
  <c r="M33" i="69"/>
  <c r="J33" i="69"/>
  <c r="I33" i="69"/>
  <c r="D33" i="69"/>
  <c r="H33" i="69" s="1"/>
  <c r="M32" i="69"/>
  <c r="J32" i="69"/>
  <c r="I32" i="69"/>
  <c r="H32" i="69"/>
  <c r="E32" i="69"/>
  <c r="M31" i="69"/>
  <c r="I31" i="69"/>
  <c r="J31" i="69" s="1"/>
  <c r="H31" i="69"/>
  <c r="E31" i="69"/>
  <c r="D31" i="69"/>
  <c r="M30" i="69"/>
  <c r="I30" i="69"/>
  <c r="J30" i="69" s="1"/>
  <c r="H30" i="69"/>
  <c r="E30" i="69"/>
  <c r="M29" i="69"/>
  <c r="J29" i="69"/>
  <c r="I29" i="69"/>
  <c r="H29" i="69"/>
  <c r="E29" i="69"/>
  <c r="M28" i="69"/>
  <c r="I28" i="69"/>
  <c r="J28" i="69" s="1"/>
  <c r="H28" i="69"/>
  <c r="E28" i="69"/>
  <c r="M27" i="69"/>
  <c r="J27" i="69"/>
  <c r="I27" i="69"/>
  <c r="H27" i="69"/>
  <c r="E27" i="69"/>
  <c r="M26" i="69"/>
  <c r="I26" i="69"/>
  <c r="J26" i="69" s="1"/>
  <c r="H26" i="69"/>
  <c r="E26" i="69"/>
  <c r="L22" i="69"/>
  <c r="Y17" i="69"/>
  <c r="V17" i="69"/>
  <c r="U17" i="69"/>
  <c r="T17" i="69"/>
  <c r="R17" i="69"/>
  <c r="L17" i="69"/>
  <c r="J17" i="69"/>
  <c r="H17" i="69"/>
  <c r="W17" i="69" s="1"/>
  <c r="F17" i="69"/>
  <c r="W16" i="69"/>
  <c r="V16" i="69"/>
  <c r="U16" i="69"/>
  <c r="T16" i="69"/>
  <c r="R16" i="69"/>
  <c r="L16" i="69"/>
  <c r="H16" i="69"/>
  <c r="Y16" i="69" s="1"/>
  <c r="F16" i="69"/>
  <c r="Y15" i="69"/>
  <c r="V15" i="69"/>
  <c r="U15" i="69"/>
  <c r="T15" i="69"/>
  <c r="R15" i="69"/>
  <c r="M15" i="69"/>
  <c r="L15" i="69"/>
  <c r="I15" i="69"/>
  <c r="H15" i="69"/>
  <c r="W15" i="69" s="1"/>
  <c r="F15" i="69"/>
  <c r="W14" i="69"/>
  <c r="V14" i="69"/>
  <c r="U14" i="69"/>
  <c r="T14" i="69"/>
  <c r="R14" i="69"/>
  <c r="L14" i="69"/>
  <c r="J14" i="69"/>
  <c r="H14" i="69"/>
  <c r="Y14" i="69" s="1"/>
  <c r="F14" i="69"/>
  <c r="I14" i="69" s="1"/>
  <c r="M14" i="69" s="1"/>
  <c r="V13" i="69"/>
  <c r="U13" i="69"/>
  <c r="T13" i="69"/>
  <c r="R13" i="69"/>
  <c r="L13" i="69"/>
  <c r="H13" i="69"/>
  <c r="W13" i="69" s="1"/>
  <c r="F13" i="69"/>
  <c r="I13" i="69" s="1"/>
  <c r="M13" i="69" s="1"/>
  <c r="V12" i="69"/>
  <c r="U12" i="69"/>
  <c r="T12" i="69"/>
  <c r="R12" i="69"/>
  <c r="L12" i="69"/>
  <c r="H12" i="69"/>
  <c r="W12" i="69" s="1"/>
  <c r="F12" i="69"/>
  <c r="I12" i="69" s="1"/>
  <c r="M12" i="69" s="1"/>
  <c r="Y11" i="69"/>
  <c r="V11" i="69"/>
  <c r="U11" i="69"/>
  <c r="T11" i="69"/>
  <c r="R11" i="69"/>
  <c r="L11" i="69"/>
  <c r="J11" i="69"/>
  <c r="H11" i="69"/>
  <c r="W11" i="69" s="1"/>
  <c r="F11" i="69"/>
  <c r="V10" i="69"/>
  <c r="U10" i="69"/>
  <c r="T10" i="69"/>
  <c r="R10" i="69"/>
  <c r="L10" i="69"/>
  <c r="H10" i="69"/>
  <c r="Y10" i="69" s="1"/>
  <c r="F10" i="69"/>
  <c r="V9" i="69"/>
  <c r="U9" i="69"/>
  <c r="T9" i="69"/>
  <c r="R9" i="69"/>
  <c r="L9" i="69"/>
  <c r="H9" i="69"/>
  <c r="W9" i="69" s="1"/>
  <c r="F9" i="69"/>
  <c r="W8" i="69"/>
  <c r="V8" i="69"/>
  <c r="U8" i="69"/>
  <c r="T8" i="69"/>
  <c r="R8" i="69"/>
  <c r="L8" i="69"/>
  <c r="J8" i="69"/>
  <c r="H8" i="69"/>
  <c r="Y8" i="69" s="1"/>
  <c r="F8" i="69"/>
  <c r="I8" i="69" s="1"/>
  <c r="M8" i="69" s="1"/>
  <c r="V7" i="69"/>
  <c r="U7" i="69"/>
  <c r="T7" i="69"/>
  <c r="R7" i="69"/>
  <c r="L7" i="69"/>
  <c r="H7" i="69"/>
  <c r="W7" i="69" s="1"/>
  <c r="G7" i="69"/>
  <c r="G18" i="69" s="1"/>
  <c r="F7" i="69"/>
  <c r="D7" i="69"/>
  <c r="I21" i="68"/>
  <c r="J47" i="68"/>
  <c r="I46" i="68"/>
  <c r="I47" i="68" s="1"/>
  <c r="M38" i="68"/>
  <c r="I38" i="68"/>
  <c r="J38" i="68" s="1"/>
  <c r="F38" i="68"/>
  <c r="E38" i="68" s="1"/>
  <c r="D38" i="68"/>
  <c r="H38" i="68" s="1"/>
  <c r="M37" i="68"/>
  <c r="F37" i="68"/>
  <c r="I37" i="68" s="1"/>
  <c r="J37" i="68" s="1"/>
  <c r="D37" i="68"/>
  <c r="H37" i="68" s="1"/>
  <c r="M36" i="68"/>
  <c r="I36" i="68"/>
  <c r="J36" i="68" s="1"/>
  <c r="H36" i="68"/>
  <c r="E36" i="68"/>
  <c r="M35" i="68"/>
  <c r="F35" i="68"/>
  <c r="I35" i="68" s="1"/>
  <c r="J35" i="68" s="1"/>
  <c r="D35" i="68"/>
  <c r="H35" i="68" s="1"/>
  <c r="M34" i="68"/>
  <c r="I34" i="68"/>
  <c r="J34" i="68" s="1"/>
  <c r="H34" i="68"/>
  <c r="E34" i="68"/>
  <c r="M33" i="68"/>
  <c r="J33" i="68"/>
  <c r="I33" i="68"/>
  <c r="D33" i="68"/>
  <c r="H33" i="68" s="1"/>
  <c r="M32" i="68"/>
  <c r="J32" i="68"/>
  <c r="I32" i="68"/>
  <c r="H32" i="68"/>
  <c r="E32" i="68"/>
  <c r="M31" i="68"/>
  <c r="I31" i="68"/>
  <c r="J31" i="68" s="1"/>
  <c r="D31" i="68"/>
  <c r="H31" i="68" s="1"/>
  <c r="M30" i="68"/>
  <c r="I30" i="68"/>
  <c r="J30" i="68" s="1"/>
  <c r="H30" i="68"/>
  <c r="E30" i="68"/>
  <c r="M29" i="68"/>
  <c r="I29" i="68"/>
  <c r="J29" i="68" s="1"/>
  <c r="H29" i="68"/>
  <c r="E29" i="68"/>
  <c r="M28" i="68"/>
  <c r="J28" i="68"/>
  <c r="I28" i="68"/>
  <c r="H28" i="68"/>
  <c r="E28" i="68"/>
  <c r="M27" i="68"/>
  <c r="I27" i="68"/>
  <c r="J27" i="68" s="1"/>
  <c r="H27" i="68"/>
  <c r="E27" i="68"/>
  <c r="M26" i="68"/>
  <c r="I26" i="68"/>
  <c r="J26" i="68" s="1"/>
  <c r="H26" i="68"/>
  <c r="E26" i="68"/>
  <c r="L22" i="68"/>
  <c r="V17" i="68"/>
  <c r="U17" i="68"/>
  <c r="T17" i="68"/>
  <c r="R17" i="68"/>
  <c r="L17" i="68"/>
  <c r="I17" i="68"/>
  <c r="M17" i="68" s="1"/>
  <c r="H17" i="68"/>
  <c r="Y17" i="68" s="1"/>
  <c r="F17" i="68"/>
  <c r="Y16" i="68"/>
  <c r="V16" i="68"/>
  <c r="U16" i="68"/>
  <c r="T16" i="68"/>
  <c r="R16" i="68"/>
  <c r="L16" i="68"/>
  <c r="J16" i="68"/>
  <c r="I16" i="68"/>
  <c r="M16" i="68" s="1"/>
  <c r="H16" i="68"/>
  <c r="W16" i="68" s="1"/>
  <c r="F16" i="68"/>
  <c r="W15" i="68"/>
  <c r="V15" i="68"/>
  <c r="U15" i="68"/>
  <c r="T15" i="68"/>
  <c r="R15" i="68"/>
  <c r="L15" i="68"/>
  <c r="J15" i="68"/>
  <c r="H15" i="68"/>
  <c r="Y15" i="68" s="1"/>
  <c r="F15" i="68"/>
  <c r="I15" i="68" s="1"/>
  <c r="M15" i="68" s="1"/>
  <c r="Y14" i="68"/>
  <c r="W14" i="68"/>
  <c r="V14" i="68"/>
  <c r="U14" i="68"/>
  <c r="T14" i="68"/>
  <c r="R14" i="68"/>
  <c r="M14" i="68"/>
  <c r="L14" i="68"/>
  <c r="I14" i="68"/>
  <c r="H14" i="68"/>
  <c r="J14" i="68" s="1"/>
  <c r="F14" i="68"/>
  <c r="Y13" i="68"/>
  <c r="W13" i="68"/>
  <c r="V13" i="68"/>
  <c r="U13" i="68"/>
  <c r="T13" i="68"/>
  <c r="R13" i="68"/>
  <c r="L13" i="68"/>
  <c r="J13" i="68"/>
  <c r="H13" i="68"/>
  <c r="F13" i="68"/>
  <c r="I13" i="68" s="1"/>
  <c r="M13" i="68" s="1"/>
  <c r="V12" i="68"/>
  <c r="U12" i="68"/>
  <c r="T12" i="68"/>
  <c r="R12" i="68"/>
  <c r="L12" i="68"/>
  <c r="H12" i="68"/>
  <c r="Y12" i="68" s="1"/>
  <c r="F12" i="68"/>
  <c r="I12" i="68" s="1"/>
  <c r="M12" i="68" s="1"/>
  <c r="V11" i="68"/>
  <c r="U11" i="68"/>
  <c r="T11" i="68"/>
  <c r="R11" i="68"/>
  <c r="L11" i="68"/>
  <c r="H11" i="68"/>
  <c r="Y11" i="68" s="1"/>
  <c r="F11" i="68"/>
  <c r="I11" i="68" s="1"/>
  <c r="M11" i="68" s="1"/>
  <c r="V10" i="68"/>
  <c r="U10" i="68"/>
  <c r="T10" i="68"/>
  <c r="R10" i="68"/>
  <c r="L10" i="68"/>
  <c r="J10" i="68"/>
  <c r="H10" i="68"/>
  <c r="W10" i="68" s="1"/>
  <c r="F10" i="68"/>
  <c r="I10" i="68" s="1"/>
  <c r="M10" i="68" s="1"/>
  <c r="V9" i="68"/>
  <c r="U9" i="68"/>
  <c r="T9" i="68"/>
  <c r="R9" i="68"/>
  <c r="L9" i="68"/>
  <c r="H9" i="68"/>
  <c r="Y9" i="68" s="1"/>
  <c r="F9" i="68"/>
  <c r="I9" i="68" s="1"/>
  <c r="M9" i="68" s="1"/>
  <c r="Y8" i="68"/>
  <c r="W8" i="68"/>
  <c r="V8" i="68"/>
  <c r="U8" i="68"/>
  <c r="T8" i="68"/>
  <c r="R8" i="68"/>
  <c r="L8" i="68"/>
  <c r="H8" i="68"/>
  <c r="J8" i="68" s="1"/>
  <c r="F8" i="68"/>
  <c r="I8" i="68" s="1"/>
  <c r="M8" i="68" s="1"/>
  <c r="V7" i="68"/>
  <c r="U7" i="68"/>
  <c r="T7" i="68"/>
  <c r="R7" i="68"/>
  <c r="L7" i="68"/>
  <c r="G7" i="68"/>
  <c r="G18" i="68" s="1"/>
  <c r="F7" i="68"/>
  <c r="I7" i="68" s="1"/>
  <c r="D7" i="68"/>
  <c r="I21" i="67"/>
  <c r="I43" i="67"/>
  <c r="F38" i="67"/>
  <c r="F37" i="67"/>
  <c r="M37" i="67"/>
  <c r="M38" i="67"/>
  <c r="I37" i="67"/>
  <c r="J37" i="67" s="1"/>
  <c r="I38" i="67"/>
  <c r="J38" i="67" s="1"/>
  <c r="D38" i="67"/>
  <c r="H38" i="67" s="1"/>
  <c r="D37" i="67"/>
  <c r="H37" i="67" s="1"/>
  <c r="J47" i="67"/>
  <c r="I46" i="67"/>
  <c r="I47" i="67" s="1"/>
  <c r="M36" i="67"/>
  <c r="I36" i="67"/>
  <c r="J36" i="67" s="1"/>
  <c r="H36" i="67"/>
  <c r="E36" i="67"/>
  <c r="M35" i="67"/>
  <c r="F35" i="67"/>
  <c r="D35" i="67"/>
  <c r="H35" i="67" s="1"/>
  <c r="M34" i="67"/>
  <c r="I34" i="67"/>
  <c r="J34" i="67" s="1"/>
  <c r="H34" i="67"/>
  <c r="E34" i="67"/>
  <c r="M33" i="67"/>
  <c r="I33" i="67"/>
  <c r="J33" i="67" s="1"/>
  <c r="D33" i="67"/>
  <c r="H33" i="67" s="1"/>
  <c r="M32" i="67"/>
  <c r="I32" i="67"/>
  <c r="J32" i="67" s="1"/>
  <c r="H32" i="67"/>
  <c r="E32" i="67"/>
  <c r="M31" i="67"/>
  <c r="J31" i="67"/>
  <c r="I31" i="67"/>
  <c r="H31" i="67"/>
  <c r="E31" i="67"/>
  <c r="D31" i="67"/>
  <c r="M30" i="67"/>
  <c r="J30" i="67"/>
  <c r="I30" i="67"/>
  <c r="H30" i="67"/>
  <c r="E30" i="67"/>
  <c r="M29" i="67"/>
  <c r="I29" i="67"/>
  <c r="J29" i="67" s="1"/>
  <c r="H29" i="67"/>
  <c r="E29" i="67"/>
  <c r="M28" i="67"/>
  <c r="I28" i="67"/>
  <c r="J28" i="67" s="1"/>
  <c r="H28" i="67"/>
  <c r="E28" i="67"/>
  <c r="M27" i="67"/>
  <c r="I27" i="67"/>
  <c r="J27" i="67" s="1"/>
  <c r="H27" i="67"/>
  <c r="E27" i="67"/>
  <c r="M26" i="67"/>
  <c r="I26" i="67"/>
  <c r="H26" i="67"/>
  <c r="E26" i="67"/>
  <c r="L22" i="67"/>
  <c r="V17" i="67"/>
  <c r="U17" i="67"/>
  <c r="T17" i="67"/>
  <c r="R17" i="67"/>
  <c r="L17" i="67"/>
  <c r="H17" i="67"/>
  <c r="Y17" i="67" s="1"/>
  <c r="F17" i="67"/>
  <c r="I17" i="67" s="1"/>
  <c r="M17" i="67" s="1"/>
  <c r="V16" i="67"/>
  <c r="U16" i="67"/>
  <c r="T16" i="67"/>
  <c r="R16" i="67"/>
  <c r="L16" i="67"/>
  <c r="H16" i="67"/>
  <c r="Y16" i="67" s="1"/>
  <c r="F16" i="67"/>
  <c r="V15" i="67"/>
  <c r="U15" i="67"/>
  <c r="T15" i="67"/>
  <c r="R15" i="67"/>
  <c r="L15" i="67"/>
  <c r="H15" i="67"/>
  <c r="W15" i="67" s="1"/>
  <c r="F15" i="67"/>
  <c r="I15" i="67" s="1"/>
  <c r="M15" i="67" s="1"/>
  <c r="Y14" i="67"/>
  <c r="W14" i="67"/>
  <c r="V14" i="67"/>
  <c r="U14" i="67"/>
  <c r="T14" i="67"/>
  <c r="R14" i="67"/>
  <c r="L14" i="67"/>
  <c r="J14" i="67"/>
  <c r="I14" i="67"/>
  <c r="M14" i="67" s="1"/>
  <c r="H14" i="67"/>
  <c r="F14" i="67"/>
  <c r="W13" i="67"/>
  <c r="V13" i="67"/>
  <c r="U13" i="67"/>
  <c r="T13" i="67"/>
  <c r="R13" i="67"/>
  <c r="L13" i="67"/>
  <c r="J13" i="67"/>
  <c r="H13" i="67"/>
  <c r="Y13" i="67" s="1"/>
  <c r="F13" i="67"/>
  <c r="I13" i="67" s="1"/>
  <c r="M13" i="67" s="1"/>
  <c r="V12" i="67"/>
  <c r="U12" i="67"/>
  <c r="T12" i="67"/>
  <c r="R12" i="67"/>
  <c r="L12" i="67"/>
  <c r="H12" i="67"/>
  <c r="J12" i="67" s="1"/>
  <c r="F12" i="67"/>
  <c r="V11" i="67"/>
  <c r="U11" i="67"/>
  <c r="T11" i="67"/>
  <c r="R11" i="67"/>
  <c r="L11" i="67"/>
  <c r="H11" i="67"/>
  <c r="W11" i="67" s="1"/>
  <c r="F11" i="67"/>
  <c r="I11" i="67" s="1"/>
  <c r="M11" i="67" s="1"/>
  <c r="V10" i="67"/>
  <c r="U10" i="67"/>
  <c r="T10" i="67"/>
  <c r="R10" i="67"/>
  <c r="L10" i="67"/>
  <c r="H10" i="67"/>
  <c r="Y10" i="67" s="1"/>
  <c r="F10" i="67"/>
  <c r="I10" i="67" s="1"/>
  <c r="M10" i="67" s="1"/>
  <c r="V9" i="67"/>
  <c r="U9" i="67"/>
  <c r="T9" i="67"/>
  <c r="R9" i="67"/>
  <c r="L9" i="67"/>
  <c r="H9" i="67"/>
  <c r="J9" i="67" s="1"/>
  <c r="F9" i="67"/>
  <c r="V8" i="67"/>
  <c r="U8" i="67"/>
  <c r="T8" i="67"/>
  <c r="R8" i="67"/>
  <c r="L8" i="67"/>
  <c r="F8" i="67"/>
  <c r="V7" i="67"/>
  <c r="U7" i="67"/>
  <c r="T7" i="67"/>
  <c r="R7" i="67"/>
  <c r="L7" i="67"/>
  <c r="G7" i="67"/>
  <c r="G18" i="67" s="1"/>
  <c r="D7" i="67"/>
  <c r="F7" i="67" s="1"/>
  <c r="I21" i="66"/>
  <c r="J43" i="66"/>
  <c r="I43" i="66"/>
  <c r="I42" i="66"/>
  <c r="M36" i="66"/>
  <c r="I36" i="66"/>
  <c r="J36" i="66" s="1"/>
  <c r="H36" i="66"/>
  <c r="E36" i="66"/>
  <c r="M35" i="66"/>
  <c r="F35" i="66"/>
  <c r="E35" i="66" s="1"/>
  <c r="D35" i="66"/>
  <c r="H35" i="66" s="1"/>
  <c r="M34" i="66"/>
  <c r="I34" i="66"/>
  <c r="J34" i="66" s="1"/>
  <c r="H34" i="66"/>
  <c r="E34" i="66"/>
  <c r="M33" i="66"/>
  <c r="J33" i="66"/>
  <c r="I33" i="66"/>
  <c r="D33" i="66"/>
  <c r="H33" i="66" s="1"/>
  <c r="M32" i="66"/>
  <c r="J32" i="66"/>
  <c r="I32" i="66"/>
  <c r="H32" i="66"/>
  <c r="E32" i="66"/>
  <c r="M31" i="66"/>
  <c r="J31" i="66"/>
  <c r="I31" i="66"/>
  <c r="H31" i="66"/>
  <c r="E31" i="66"/>
  <c r="D31" i="66"/>
  <c r="M30" i="66"/>
  <c r="J30" i="66"/>
  <c r="I30" i="66"/>
  <c r="H30" i="66"/>
  <c r="E30" i="66"/>
  <c r="M29" i="66"/>
  <c r="I29" i="66"/>
  <c r="J29" i="66" s="1"/>
  <c r="H29" i="66"/>
  <c r="E29" i="66"/>
  <c r="M28" i="66"/>
  <c r="I28" i="66"/>
  <c r="J28" i="66" s="1"/>
  <c r="H28" i="66"/>
  <c r="E28" i="66"/>
  <c r="M27" i="66"/>
  <c r="J27" i="66"/>
  <c r="I27" i="66"/>
  <c r="H27" i="66"/>
  <c r="E27" i="66"/>
  <c r="M26" i="66"/>
  <c r="I26" i="66"/>
  <c r="J26" i="66" s="1"/>
  <c r="H26" i="66"/>
  <c r="E26" i="66"/>
  <c r="L22" i="66"/>
  <c r="G18" i="66"/>
  <c r="Y17" i="66"/>
  <c r="V17" i="66"/>
  <c r="U17" i="66"/>
  <c r="T17" i="66"/>
  <c r="R17" i="66"/>
  <c r="L17" i="66"/>
  <c r="J17" i="66"/>
  <c r="I17" i="66"/>
  <c r="M17" i="66" s="1"/>
  <c r="H17" i="66"/>
  <c r="W17" i="66" s="1"/>
  <c r="F17" i="66"/>
  <c r="W16" i="66"/>
  <c r="V16" i="66"/>
  <c r="U16" i="66"/>
  <c r="T16" i="66"/>
  <c r="R16" i="66"/>
  <c r="L16" i="66"/>
  <c r="J16" i="66"/>
  <c r="H16" i="66"/>
  <c r="Y16" i="66" s="1"/>
  <c r="F16" i="66"/>
  <c r="Y15" i="66"/>
  <c r="W15" i="66"/>
  <c r="V15" i="66"/>
  <c r="U15" i="66"/>
  <c r="T15" i="66"/>
  <c r="R15" i="66"/>
  <c r="M15" i="66"/>
  <c r="L15" i="66"/>
  <c r="I15" i="66"/>
  <c r="H15" i="66"/>
  <c r="J15" i="66" s="1"/>
  <c r="F15" i="66"/>
  <c r="Y14" i="66"/>
  <c r="W14" i="66"/>
  <c r="V14" i="66"/>
  <c r="U14" i="66"/>
  <c r="T14" i="66"/>
  <c r="R14" i="66"/>
  <c r="L14" i="66"/>
  <c r="J14" i="66"/>
  <c r="H14" i="66"/>
  <c r="F14" i="66"/>
  <c r="I14" i="66" s="1"/>
  <c r="M14" i="66" s="1"/>
  <c r="V13" i="66"/>
  <c r="U13" i="66"/>
  <c r="T13" i="66"/>
  <c r="R13" i="66"/>
  <c r="L13" i="66"/>
  <c r="H13" i="66"/>
  <c r="J13" i="66" s="1"/>
  <c r="F13" i="66"/>
  <c r="I13" i="66" s="1"/>
  <c r="M13" i="66" s="1"/>
  <c r="V12" i="66"/>
  <c r="U12" i="66"/>
  <c r="T12" i="66"/>
  <c r="R12" i="66"/>
  <c r="L12" i="66"/>
  <c r="I12" i="66"/>
  <c r="M12" i="66" s="1"/>
  <c r="H12" i="66"/>
  <c r="W12" i="66" s="1"/>
  <c r="F12" i="66"/>
  <c r="Y11" i="66"/>
  <c r="V11" i="66"/>
  <c r="U11" i="66"/>
  <c r="T11" i="66"/>
  <c r="R11" i="66"/>
  <c r="L11" i="66"/>
  <c r="J11" i="66"/>
  <c r="I11" i="66"/>
  <c r="M11" i="66" s="1"/>
  <c r="H11" i="66"/>
  <c r="W11" i="66" s="1"/>
  <c r="F11" i="66"/>
  <c r="W10" i="66"/>
  <c r="V10" i="66"/>
  <c r="U10" i="66"/>
  <c r="T10" i="66"/>
  <c r="R10" i="66"/>
  <c r="L10" i="66"/>
  <c r="J10" i="66"/>
  <c r="H10" i="66"/>
  <c r="Y10" i="66" s="1"/>
  <c r="F10" i="66"/>
  <c r="V9" i="66"/>
  <c r="U9" i="66"/>
  <c r="T9" i="66"/>
  <c r="R9" i="66"/>
  <c r="L9" i="66"/>
  <c r="G9" i="66"/>
  <c r="D9" i="66"/>
  <c r="H9" i="66" s="1"/>
  <c r="V8" i="66"/>
  <c r="U8" i="66"/>
  <c r="T8" i="66"/>
  <c r="R8" i="66"/>
  <c r="L8" i="66"/>
  <c r="H8" i="66"/>
  <c r="W8" i="66" s="1"/>
  <c r="G8" i="66"/>
  <c r="F8" i="66"/>
  <c r="I8" i="66" s="1"/>
  <c r="M8" i="66" s="1"/>
  <c r="D8" i="66"/>
  <c r="V7" i="66"/>
  <c r="U7" i="66"/>
  <c r="T7" i="66"/>
  <c r="R7" i="66"/>
  <c r="L7" i="66"/>
  <c r="G7" i="66"/>
  <c r="D7" i="66"/>
  <c r="H7" i="66" s="1"/>
  <c r="I21" i="65"/>
  <c r="J43" i="65"/>
  <c r="I42" i="65"/>
  <c r="I43" i="65" s="1"/>
  <c r="M36" i="65"/>
  <c r="J36" i="65"/>
  <c r="I36" i="65"/>
  <c r="H36" i="65"/>
  <c r="E36" i="65"/>
  <c r="M35" i="65"/>
  <c r="I35" i="65"/>
  <c r="J35" i="65" s="1"/>
  <c r="H35" i="65"/>
  <c r="F35" i="65"/>
  <c r="E35" i="65" s="1"/>
  <c r="D35" i="65"/>
  <c r="M34" i="65"/>
  <c r="J34" i="65"/>
  <c r="I34" i="65"/>
  <c r="H34" i="65"/>
  <c r="E34" i="65"/>
  <c r="M33" i="65"/>
  <c r="I33" i="65"/>
  <c r="J33" i="65" s="1"/>
  <c r="H33" i="65"/>
  <c r="E33" i="65"/>
  <c r="D33" i="65"/>
  <c r="M32" i="65"/>
  <c r="I32" i="65"/>
  <c r="J32" i="65" s="1"/>
  <c r="H32" i="65"/>
  <c r="E32" i="65"/>
  <c r="M31" i="65"/>
  <c r="I31" i="65"/>
  <c r="J31" i="65" s="1"/>
  <c r="H31" i="65"/>
  <c r="E31" i="65"/>
  <c r="D31" i="65"/>
  <c r="M30" i="65"/>
  <c r="I30" i="65"/>
  <c r="J30" i="65" s="1"/>
  <c r="H30" i="65"/>
  <c r="E30" i="65"/>
  <c r="M29" i="65"/>
  <c r="I29" i="65"/>
  <c r="J29" i="65" s="1"/>
  <c r="H29" i="65"/>
  <c r="E29" i="65"/>
  <c r="M28" i="65"/>
  <c r="I28" i="65"/>
  <c r="J28" i="65" s="1"/>
  <c r="H28" i="65"/>
  <c r="E28" i="65"/>
  <c r="M27" i="65"/>
  <c r="J27" i="65"/>
  <c r="I27" i="65"/>
  <c r="H27" i="65"/>
  <c r="E27" i="65"/>
  <c r="M26" i="65"/>
  <c r="J26" i="65"/>
  <c r="I26" i="65"/>
  <c r="I39" i="65" s="1"/>
  <c r="H26" i="65"/>
  <c r="E26" i="65"/>
  <c r="L22" i="65"/>
  <c r="Y17" i="65"/>
  <c r="V17" i="65"/>
  <c r="U17" i="65"/>
  <c r="T17" i="65"/>
  <c r="R17" i="65"/>
  <c r="L17" i="65"/>
  <c r="H17" i="65"/>
  <c r="W17" i="65" s="1"/>
  <c r="F17" i="65"/>
  <c r="V16" i="65"/>
  <c r="U16" i="65"/>
  <c r="T16" i="65"/>
  <c r="R16" i="65"/>
  <c r="L16" i="65"/>
  <c r="H16" i="65"/>
  <c r="Y16" i="65" s="1"/>
  <c r="F16" i="65"/>
  <c r="V15" i="65"/>
  <c r="U15" i="65"/>
  <c r="T15" i="65"/>
  <c r="R15" i="65"/>
  <c r="L15" i="65"/>
  <c r="I15" i="65"/>
  <c r="M15" i="65" s="1"/>
  <c r="H15" i="65"/>
  <c r="Y15" i="65" s="1"/>
  <c r="F15" i="65"/>
  <c r="Y14" i="65"/>
  <c r="W14" i="65"/>
  <c r="V14" i="65"/>
  <c r="U14" i="65"/>
  <c r="T14" i="65"/>
  <c r="R14" i="65"/>
  <c r="L14" i="65"/>
  <c r="J14" i="65"/>
  <c r="I14" i="65"/>
  <c r="M14" i="65" s="1"/>
  <c r="H14" i="65"/>
  <c r="F14" i="65"/>
  <c r="Y13" i="65"/>
  <c r="W13" i="65"/>
  <c r="V13" i="65"/>
  <c r="U13" i="65"/>
  <c r="T13" i="65"/>
  <c r="R13" i="65"/>
  <c r="L13" i="65"/>
  <c r="J13" i="65"/>
  <c r="H13" i="65"/>
  <c r="F13" i="65"/>
  <c r="I13" i="65" s="1"/>
  <c r="M13" i="65" s="1"/>
  <c r="Y12" i="65"/>
  <c r="W12" i="65"/>
  <c r="V12" i="65"/>
  <c r="U12" i="65"/>
  <c r="T12" i="65"/>
  <c r="R12" i="65"/>
  <c r="L12" i="65"/>
  <c r="H12" i="65"/>
  <c r="J12" i="65" s="1"/>
  <c r="F12" i="65"/>
  <c r="I12" i="65" s="1"/>
  <c r="M12" i="65" s="1"/>
  <c r="Y11" i="65"/>
  <c r="V11" i="65"/>
  <c r="U11" i="65"/>
  <c r="T11" i="65"/>
  <c r="R11" i="65"/>
  <c r="L11" i="65"/>
  <c r="H11" i="65"/>
  <c r="W11" i="65" s="1"/>
  <c r="F11" i="65"/>
  <c r="V10" i="65"/>
  <c r="U10" i="65"/>
  <c r="T10" i="65"/>
  <c r="R10" i="65"/>
  <c r="L10" i="65"/>
  <c r="H10" i="65"/>
  <c r="Y10" i="65" s="1"/>
  <c r="F10" i="65"/>
  <c r="V9" i="65"/>
  <c r="U9" i="65"/>
  <c r="T9" i="65"/>
  <c r="R9" i="65"/>
  <c r="L9" i="65"/>
  <c r="H9" i="65"/>
  <c r="Y9" i="65" s="1"/>
  <c r="G9" i="65"/>
  <c r="D9" i="65"/>
  <c r="F9" i="65" s="1"/>
  <c r="V8" i="65"/>
  <c r="U8" i="65"/>
  <c r="T8" i="65"/>
  <c r="R8" i="65"/>
  <c r="L8" i="65"/>
  <c r="G8" i="65"/>
  <c r="H8" i="65" s="1"/>
  <c r="F8" i="65"/>
  <c r="I8" i="65" s="1"/>
  <c r="M8" i="65" s="1"/>
  <c r="D8" i="65"/>
  <c r="V7" i="65"/>
  <c r="U7" i="65"/>
  <c r="T7" i="65"/>
  <c r="R7" i="65"/>
  <c r="L7" i="65"/>
  <c r="H7" i="65"/>
  <c r="Y7" i="65" s="1"/>
  <c r="G7" i="65"/>
  <c r="G18" i="65" s="1"/>
  <c r="D7" i="65"/>
  <c r="F7" i="65" s="1"/>
  <c r="I22" i="64"/>
  <c r="M36" i="64"/>
  <c r="H36" i="64"/>
  <c r="I36" i="64"/>
  <c r="J36" i="64"/>
  <c r="E36" i="64"/>
  <c r="I21" i="64"/>
  <c r="J43" i="64"/>
  <c r="I42" i="64"/>
  <c r="I43" i="64" s="1"/>
  <c r="M35" i="64"/>
  <c r="F35" i="64"/>
  <c r="I35" i="64" s="1"/>
  <c r="J35" i="64" s="1"/>
  <c r="D35" i="64"/>
  <c r="H35" i="64" s="1"/>
  <c r="M34" i="64"/>
  <c r="I34" i="64"/>
  <c r="J34" i="64" s="1"/>
  <c r="H34" i="64"/>
  <c r="E34" i="64"/>
  <c r="M33" i="64"/>
  <c r="J33" i="64"/>
  <c r="I33" i="64"/>
  <c r="D33" i="64"/>
  <c r="H33" i="64" s="1"/>
  <c r="M32" i="64"/>
  <c r="J32" i="64"/>
  <c r="I32" i="64"/>
  <c r="H32" i="64"/>
  <c r="E32" i="64"/>
  <c r="M31" i="64"/>
  <c r="J31" i="64"/>
  <c r="I31" i="64"/>
  <c r="H31" i="64"/>
  <c r="E31" i="64"/>
  <c r="D31" i="64"/>
  <c r="M30" i="64"/>
  <c r="J30" i="64"/>
  <c r="I30" i="64"/>
  <c r="H30" i="64"/>
  <c r="E30" i="64"/>
  <c r="M29" i="64"/>
  <c r="I29" i="64"/>
  <c r="J29" i="64" s="1"/>
  <c r="H29" i="64"/>
  <c r="E29" i="64"/>
  <c r="M28" i="64"/>
  <c r="I28" i="64"/>
  <c r="J28" i="64" s="1"/>
  <c r="H28" i="64"/>
  <c r="E28" i="64"/>
  <c r="M27" i="64"/>
  <c r="I27" i="64"/>
  <c r="J27" i="64" s="1"/>
  <c r="H27" i="64"/>
  <c r="E27" i="64"/>
  <c r="M26" i="64"/>
  <c r="J26" i="64"/>
  <c r="I26" i="64"/>
  <c r="I39" i="64" s="1"/>
  <c r="H26" i="64"/>
  <c r="E26" i="64"/>
  <c r="L22" i="64"/>
  <c r="G18" i="64"/>
  <c r="W17" i="64"/>
  <c r="V17" i="64"/>
  <c r="U17" i="64"/>
  <c r="T17" i="64"/>
  <c r="R17" i="64"/>
  <c r="L17" i="64"/>
  <c r="J17" i="64"/>
  <c r="I17" i="64"/>
  <c r="M17" i="64" s="1"/>
  <c r="H17" i="64"/>
  <c r="Y17" i="64" s="1"/>
  <c r="F17" i="64"/>
  <c r="W16" i="64"/>
  <c r="V16" i="64"/>
  <c r="U16" i="64"/>
  <c r="T16" i="64"/>
  <c r="R16" i="64"/>
  <c r="M16" i="64"/>
  <c r="L16" i="64"/>
  <c r="J16" i="64"/>
  <c r="I16" i="64"/>
  <c r="H16" i="64"/>
  <c r="Y16" i="64" s="1"/>
  <c r="F16" i="64"/>
  <c r="Y15" i="64"/>
  <c r="W15" i="64"/>
  <c r="V15" i="64"/>
  <c r="U15" i="64"/>
  <c r="T15" i="64"/>
  <c r="R15" i="64"/>
  <c r="M15" i="64"/>
  <c r="L15" i="64"/>
  <c r="J15" i="64"/>
  <c r="I15" i="64"/>
  <c r="H15" i="64"/>
  <c r="F15" i="64"/>
  <c r="Y14" i="64"/>
  <c r="V14" i="64"/>
  <c r="U14" i="64"/>
  <c r="T14" i="64"/>
  <c r="R14" i="64"/>
  <c r="L14" i="64"/>
  <c r="J14" i="64"/>
  <c r="H14" i="64"/>
  <c r="W14" i="64" s="1"/>
  <c r="F14" i="64"/>
  <c r="I14" i="64" s="1"/>
  <c r="M14" i="64" s="1"/>
  <c r="V13" i="64"/>
  <c r="U13" i="64"/>
  <c r="T13" i="64"/>
  <c r="R13" i="64"/>
  <c r="L13" i="64"/>
  <c r="H13" i="64"/>
  <c r="J13" i="64" s="1"/>
  <c r="F13" i="64"/>
  <c r="I13" i="64" s="1"/>
  <c r="M13" i="64" s="1"/>
  <c r="V12" i="64"/>
  <c r="U12" i="64"/>
  <c r="T12" i="64"/>
  <c r="R12" i="64"/>
  <c r="L12" i="64"/>
  <c r="I12" i="64"/>
  <c r="M12" i="64" s="1"/>
  <c r="H12" i="64"/>
  <c r="W12" i="64" s="1"/>
  <c r="F12" i="64"/>
  <c r="W11" i="64"/>
  <c r="V11" i="64"/>
  <c r="U11" i="64"/>
  <c r="T11" i="64"/>
  <c r="R11" i="64"/>
  <c r="L11" i="64"/>
  <c r="J11" i="64"/>
  <c r="I11" i="64"/>
  <c r="M11" i="64" s="1"/>
  <c r="H11" i="64"/>
  <c r="Y11" i="64" s="1"/>
  <c r="F11" i="64"/>
  <c r="V10" i="64"/>
  <c r="U10" i="64"/>
  <c r="T10" i="64"/>
  <c r="R10" i="64"/>
  <c r="L10" i="64"/>
  <c r="H10" i="64"/>
  <c r="Y10" i="64" s="1"/>
  <c r="F10" i="64"/>
  <c r="V9" i="64"/>
  <c r="U9" i="64"/>
  <c r="T9" i="64"/>
  <c r="R9" i="64"/>
  <c r="L9" i="64"/>
  <c r="G9" i="64"/>
  <c r="H9" i="64" s="1"/>
  <c r="D9" i="64"/>
  <c r="F9" i="64" s="1"/>
  <c r="V8" i="64"/>
  <c r="U8" i="64"/>
  <c r="T8" i="64"/>
  <c r="R8" i="64"/>
  <c r="L8" i="64"/>
  <c r="H8" i="64"/>
  <c r="W8" i="64" s="1"/>
  <c r="G8" i="64"/>
  <c r="F8" i="64"/>
  <c r="I8" i="64" s="1"/>
  <c r="M8" i="64" s="1"/>
  <c r="D8" i="64"/>
  <c r="V7" i="64"/>
  <c r="U7" i="64"/>
  <c r="T7" i="64"/>
  <c r="R7" i="64"/>
  <c r="L7" i="64"/>
  <c r="G7" i="64"/>
  <c r="H7" i="64" s="1"/>
  <c r="D7" i="64"/>
  <c r="F7" i="64" s="1"/>
  <c r="F35" i="63"/>
  <c r="M34" i="63"/>
  <c r="M35" i="63"/>
  <c r="H34" i="63"/>
  <c r="I34" i="63"/>
  <c r="J34" i="63" s="1"/>
  <c r="H35" i="63"/>
  <c r="I35" i="63"/>
  <c r="J35" i="63"/>
  <c r="E34" i="63"/>
  <c r="E35" i="63"/>
  <c r="D35" i="63"/>
  <c r="I18" i="74" l="1"/>
  <c r="I22" i="74"/>
  <c r="G19" i="74"/>
  <c r="Z12" i="74"/>
  <c r="Z14" i="74"/>
  <c r="Z7" i="74"/>
  <c r="Z9" i="74"/>
  <c r="Z15" i="74"/>
  <c r="Z16" i="74"/>
  <c r="Z17" i="74"/>
  <c r="Z10" i="74"/>
  <c r="Z13" i="74"/>
  <c r="Z8" i="74"/>
  <c r="Z11" i="74"/>
  <c r="I22" i="70"/>
  <c r="Z9" i="70"/>
  <c r="Z16" i="70"/>
  <c r="Z10" i="70"/>
  <c r="Z8" i="70"/>
  <c r="Z15" i="70"/>
  <c r="Z14" i="70"/>
  <c r="G19" i="70"/>
  <c r="Z7" i="70"/>
  <c r="Z17" i="70"/>
  <c r="Z13" i="70"/>
  <c r="Z11" i="70"/>
  <c r="M7" i="70"/>
  <c r="I18" i="70"/>
  <c r="J7" i="70"/>
  <c r="Y7" i="70"/>
  <c r="W7" i="70"/>
  <c r="W10" i="69"/>
  <c r="J12" i="69"/>
  <c r="Y12" i="69"/>
  <c r="Y9" i="69"/>
  <c r="F18" i="69"/>
  <c r="F20" i="69" s="1"/>
  <c r="Z12" i="69" s="1"/>
  <c r="I9" i="69"/>
  <c r="M9" i="69" s="1"/>
  <c r="Y7" i="69"/>
  <c r="J9" i="69"/>
  <c r="I10" i="69"/>
  <c r="M10" i="69" s="1"/>
  <c r="Y13" i="69"/>
  <c r="J15" i="69"/>
  <c r="I16" i="69"/>
  <c r="M16" i="69" s="1"/>
  <c r="J10" i="69"/>
  <c r="I11" i="69"/>
  <c r="M11" i="69" s="1"/>
  <c r="J16" i="69"/>
  <c r="I17" i="69"/>
  <c r="M17" i="69" s="1"/>
  <c r="I7" i="69"/>
  <c r="E33" i="69"/>
  <c r="E38" i="69"/>
  <c r="I43" i="69"/>
  <c r="J7" i="69"/>
  <c r="J13" i="69"/>
  <c r="Y10" i="68"/>
  <c r="J9" i="68"/>
  <c r="W9" i="68"/>
  <c r="M7" i="68"/>
  <c r="I18" i="68"/>
  <c r="H7" i="68"/>
  <c r="J11" i="68"/>
  <c r="J17" i="68"/>
  <c r="E35" i="68"/>
  <c r="E37" i="68"/>
  <c r="E33" i="68"/>
  <c r="I43" i="68"/>
  <c r="E31" i="68"/>
  <c r="F18" i="68"/>
  <c r="F20" i="68" s="1"/>
  <c r="Z10" i="68" s="1"/>
  <c r="W11" i="68"/>
  <c r="J12" i="68"/>
  <c r="W17" i="68"/>
  <c r="W12" i="68"/>
  <c r="E33" i="67"/>
  <c r="Y11" i="67"/>
  <c r="H7" i="67"/>
  <c r="W7" i="67" s="1"/>
  <c r="H8" i="67"/>
  <c r="J8" i="67" s="1"/>
  <c r="W12" i="67"/>
  <c r="E37" i="67"/>
  <c r="Y12" i="67"/>
  <c r="E35" i="67"/>
  <c r="E38" i="67"/>
  <c r="F18" i="67"/>
  <c r="F20" i="67" s="1"/>
  <c r="Z15" i="67" s="1"/>
  <c r="I7" i="67"/>
  <c r="I8" i="67"/>
  <c r="M8" i="67" s="1"/>
  <c r="I9" i="67"/>
  <c r="M9" i="67" s="1"/>
  <c r="J26" i="67"/>
  <c r="I35" i="67"/>
  <c r="J35" i="67" s="1"/>
  <c r="W9" i="67"/>
  <c r="Y7" i="67"/>
  <c r="Y9" i="67"/>
  <c r="W10" i="67"/>
  <c r="J11" i="67"/>
  <c r="I12" i="67"/>
  <c r="M12" i="67" s="1"/>
  <c r="Y15" i="67"/>
  <c r="W16" i="67"/>
  <c r="J17" i="67"/>
  <c r="J7" i="67"/>
  <c r="J15" i="67"/>
  <c r="I16" i="67"/>
  <c r="M16" i="67" s="1"/>
  <c r="J10" i="67"/>
  <c r="J16" i="67"/>
  <c r="W17" i="67"/>
  <c r="Y9" i="66"/>
  <c r="J9" i="66"/>
  <c r="W9" i="66"/>
  <c r="W7" i="66"/>
  <c r="J7" i="66"/>
  <c r="Y7" i="66"/>
  <c r="I35" i="66"/>
  <c r="J35" i="66" s="1"/>
  <c r="F9" i="66"/>
  <c r="Y8" i="66"/>
  <c r="Y12" i="66"/>
  <c r="W13" i="66"/>
  <c r="I10" i="66"/>
  <c r="M10" i="66" s="1"/>
  <c r="Y13" i="66"/>
  <c r="I16" i="66"/>
  <c r="M16" i="66" s="1"/>
  <c r="I39" i="66"/>
  <c r="J8" i="66"/>
  <c r="J12" i="66"/>
  <c r="E33" i="66"/>
  <c r="F7" i="66"/>
  <c r="W8" i="65"/>
  <c r="J8" i="65"/>
  <c r="Y8" i="65"/>
  <c r="I9" i="65"/>
  <c r="M9" i="65" s="1"/>
  <c r="I7" i="65"/>
  <c r="F18" i="65"/>
  <c r="F20" i="65" s="1"/>
  <c r="Z15" i="65" s="1"/>
  <c r="J7" i="65"/>
  <c r="J9" i="65"/>
  <c r="I10" i="65"/>
  <c r="M10" i="65" s="1"/>
  <c r="J15" i="65"/>
  <c r="I16" i="65"/>
  <c r="M16" i="65" s="1"/>
  <c r="W7" i="65"/>
  <c r="W9" i="65"/>
  <c r="J10" i="65"/>
  <c r="I11" i="65"/>
  <c r="M11" i="65" s="1"/>
  <c r="W15" i="65"/>
  <c r="J16" i="65"/>
  <c r="I17" i="65"/>
  <c r="M17" i="65" s="1"/>
  <c r="W10" i="65"/>
  <c r="J11" i="65"/>
  <c r="W16" i="65"/>
  <c r="J17" i="65"/>
  <c r="J10" i="64"/>
  <c r="W10" i="64"/>
  <c r="I9" i="64"/>
  <c r="M9" i="64" s="1"/>
  <c r="F18" i="64"/>
  <c r="F20" i="64" s="1"/>
  <c r="Z8" i="64" s="1"/>
  <c r="I7" i="64"/>
  <c r="Y9" i="64"/>
  <c r="W9" i="64"/>
  <c r="J9" i="64"/>
  <c r="Y7" i="64"/>
  <c r="J7" i="64"/>
  <c r="W7" i="64"/>
  <c r="Y8" i="64"/>
  <c r="Y12" i="64"/>
  <c r="W13" i="64"/>
  <c r="I10" i="64"/>
  <c r="M10" i="64" s="1"/>
  <c r="Y13" i="64"/>
  <c r="E35" i="64"/>
  <c r="E33" i="64"/>
  <c r="J8" i="64"/>
  <c r="J12" i="64"/>
  <c r="I21" i="63"/>
  <c r="J43" i="63"/>
  <c r="I42" i="63"/>
  <c r="I43" i="63" s="1"/>
  <c r="M33" i="63"/>
  <c r="I33" i="63"/>
  <c r="J33" i="63" s="1"/>
  <c r="D33" i="63"/>
  <c r="H33" i="63" s="1"/>
  <c r="M32" i="63"/>
  <c r="I32" i="63"/>
  <c r="J32" i="63" s="1"/>
  <c r="H32" i="63"/>
  <c r="E32" i="63"/>
  <c r="M31" i="63"/>
  <c r="J31" i="63"/>
  <c r="I31" i="63"/>
  <c r="D31" i="63"/>
  <c r="H31" i="63" s="1"/>
  <c r="M30" i="63"/>
  <c r="J30" i="63"/>
  <c r="I30" i="63"/>
  <c r="H30" i="63"/>
  <c r="E30" i="63"/>
  <c r="M29" i="63"/>
  <c r="J29" i="63"/>
  <c r="I29" i="63"/>
  <c r="H29" i="63"/>
  <c r="E29" i="63"/>
  <c r="M28" i="63"/>
  <c r="I28" i="63"/>
  <c r="J28" i="63" s="1"/>
  <c r="H28" i="63"/>
  <c r="E28" i="63"/>
  <c r="M27" i="63"/>
  <c r="J27" i="63"/>
  <c r="I27" i="63"/>
  <c r="H27" i="63"/>
  <c r="E27" i="63"/>
  <c r="M26" i="63"/>
  <c r="I26" i="63"/>
  <c r="H26" i="63"/>
  <c r="E26" i="63"/>
  <c r="L22" i="63"/>
  <c r="Y17" i="63"/>
  <c r="V17" i="63"/>
  <c r="U17" i="63"/>
  <c r="T17" i="63"/>
  <c r="R17" i="63"/>
  <c r="L17" i="63"/>
  <c r="H17" i="63"/>
  <c r="W17" i="63" s="1"/>
  <c r="F17" i="63"/>
  <c r="I17" i="63" s="1"/>
  <c r="M17" i="63" s="1"/>
  <c r="V16" i="63"/>
  <c r="U16" i="63"/>
  <c r="T16" i="63"/>
  <c r="R16" i="63"/>
  <c r="L16" i="63"/>
  <c r="H16" i="63"/>
  <c r="Y16" i="63" s="1"/>
  <c r="F16" i="63"/>
  <c r="V15" i="63"/>
  <c r="U15" i="63"/>
  <c r="T15" i="63"/>
  <c r="R15" i="63"/>
  <c r="L15" i="63"/>
  <c r="I15" i="63"/>
  <c r="M15" i="63" s="1"/>
  <c r="H15" i="63"/>
  <c r="Y15" i="63" s="1"/>
  <c r="F15" i="63"/>
  <c r="V14" i="63"/>
  <c r="U14" i="63"/>
  <c r="T14" i="63"/>
  <c r="R14" i="63"/>
  <c r="L14" i="63"/>
  <c r="H14" i="63"/>
  <c r="Y14" i="63" s="1"/>
  <c r="F14" i="63"/>
  <c r="I14" i="63" s="1"/>
  <c r="M14" i="63" s="1"/>
  <c r="V13" i="63"/>
  <c r="U13" i="63"/>
  <c r="T13" i="63"/>
  <c r="R13" i="63"/>
  <c r="L13" i="63"/>
  <c r="J13" i="63"/>
  <c r="I13" i="63"/>
  <c r="M13" i="63" s="1"/>
  <c r="H13" i="63"/>
  <c r="W13" i="63" s="1"/>
  <c r="F13" i="63"/>
  <c r="V12" i="63"/>
  <c r="U12" i="63"/>
  <c r="T12" i="63"/>
  <c r="R12" i="63"/>
  <c r="L12" i="63"/>
  <c r="H12" i="63"/>
  <c r="Y12" i="63" s="1"/>
  <c r="F12" i="63"/>
  <c r="I12" i="63" s="1"/>
  <c r="M12" i="63" s="1"/>
  <c r="V11" i="63"/>
  <c r="U11" i="63"/>
  <c r="T11" i="63"/>
  <c r="R11" i="63"/>
  <c r="L11" i="63"/>
  <c r="F11" i="63"/>
  <c r="V10" i="63"/>
  <c r="U10" i="63"/>
  <c r="T10" i="63"/>
  <c r="R10" i="63"/>
  <c r="L10" i="63"/>
  <c r="H10" i="63"/>
  <c r="Y10" i="63" s="1"/>
  <c r="F10" i="63"/>
  <c r="I10" i="63" s="1"/>
  <c r="M10" i="63" s="1"/>
  <c r="V9" i="63"/>
  <c r="U9" i="63"/>
  <c r="T9" i="63"/>
  <c r="R9" i="63"/>
  <c r="L9" i="63"/>
  <c r="G9" i="63"/>
  <c r="D9" i="63"/>
  <c r="F9" i="63" s="1"/>
  <c r="V8" i="63"/>
  <c r="U8" i="63"/>
  <c r="T8" i="63"/>
  <c r="R8" i="63"/>
  <c r="L8" i="63"/>
  <c r="G8" i="63"/>
  <c r="H8" i="63" s="1"/>
  <c r="D8" i="63"/>
  <c r="F8" i="63" s="1"/>
  <c r="V7" i="63"/>
  <c r="U7" i="63"/>
  <c r="T7" i="63"/>
  <c r="R7" i="63"/>
  <c r="L7" i="63"/>
  <c r="G7" i="63"/>
  <c r="G18" i="63" s="1"/>
  <c r="D7" i="63"/>
  <c r="F7" i="63" s="1"/>
  <c r="G11" i="62"/>
  <c r="D11" i="62"/>
  <c r="I21" i="62"/>
  <c r="J40" i="62"/>
  <c r="I40" i="62"/>
  <c r="I39" i="62"/>
  <c r="I36" i="62"/>
  <c r="M33" i="62"/>
  <c r="J33" i="62"/>
  <c r="I33" i="62"/>
  <c r="H33" i="62"/>
  <c r="D33" i="62"/>
  <c r="E33" i="62" s="1"/>
  <c r="M32" i="62"/>
  <c r="J32" i="62"/>
  <c r="I32" i="62"/>
  <c r="H32" i="62"/>
  <c r="E32" i="62"/>
  <c r="M31" i="62"/>
  <c r="I31" i="62"/>
  <c r="J31" i="62" s="1"/>
  <c r="E31" i="62"/>
  <c r="D31" i="62"/>
  <c r="H31" i="62" s="1"/>
  <c r="M30" i="62"/>
  <c r="I30" i="62"/>
  <c r="J30" i="62" s="1"/>
  <c r="H30" i="62"/>
  <c r="E30" i="62"/>
  <c r="M29" i="62"/>
  <c r="I29" i="62"/>
  <c r="J29" i="62" s="1"/>
  <c r="H29" i="62"/>
  <c r="E29" i="62"/>
  <c r="M28" i="62"/>
  <c r="I28" i="62"/>
  <c r="J28" i="62" s="1"/>
  <c r="H28" i="62"/>
  <c r="E28" i="62"/>
  <c r="M27" i="62"/>
  <c r="J27" i="62"/>
  <c r="I27" i="62"/>
  <c r="H27" i="62"/>
  <c r="E27" i="62"/>
  <c r="M26" i="62"/>
  <c r="I26" i="62"/>
  <c r="J26" i="62" s="1"/>
  <c r="H26" i="62"/>
  <c r="E26" i="62"/>
  <c r="L22" i="62"/>
  <c r="Y17" i="62"/>
  <c r="V17" i="62"/>
  <c r="U17" i="62"/>
  <c r="T17" i="62"/>
  <c r="R17" i="62"/>
  <c r="L17" i="62"/>
  <c r="H17" i="62"/>
  <c r="W17" i="62" s="1"/>
  <c r="F17" i="62"/>
  <c r="V16" i="62"/>
  <c r="U16" i="62"/>
  <c r="T16" i="62"/>
  <c r="R16" i="62"/>
  <c r="L16" i="62"/>
  <c r="H16" i="62"/>
  <c r="Y16" i="62" s="1"/>
  <c r="F16" i="62"/>
  <c r="I16" i="62" s="1"/>
  <c r="M16" i="62" s="1"/>
  <c r="V15" i="62"/>
  <c r="U15" i="62"/>
  <c r="T15" i="62"/>
  <c r="R15" i="62"/>
  <c r="L15" i="62"/>
  <c r="I15" i="62"/>
  <c r="M15" i="62" s="1"/>
  <c r="H15" i="62"/>
  <c r="Y15" i="62" s="1"/>
  <c r="F15" i="62"/>
  <c r="Y14" i="62"/>
  <c r="W14" i="62"/>
  <c r="V14" i="62"/>
  <c r="U14" i="62"/>
  <c r="T14" i="62"/>
  <c r="R14" i="62"/>
  <c r="L14" i="62"/>
  <c r="J14" i="62"/>
  <c r="I14" i="62"/>
  <c r="M14" i="62" s="1"/>
  <c r="H14" i="62"/>
  <c r="F14" i="62"/>
  <c r="Y13" i="62"/>
  <c r="W13" i="62"/>
  <c r="V13" i="62"/>
  <c r="U13" i="62"/>
  <c r="T13" i="62"/>
  <c r="R13" i="62"/>
  <c r="L13" i="62"/>
  <c r="J13" i="62"/>
  <c r="H13" i="62"/>
  <c r="F13" i="62"/>
  <c r="I13" i="62" s="1"/>
  <c r="M13" i="62" s="1"/>
  <c r="Y12" i="62"/>
  <c r="W12" i="62"/>
  <c r="V12" i="62"/>
  <c r="U12" i="62"/>
  <c r="T12" i="62"/>
  <c r="R12" i="62"/>
  <c r="L12" i="62"/>
  <c r="H12" i="62"/>
  <c r="J12" i="62" s="1"/>
  <c r="F12" i="62"/>
  <c r="I12" i="62" s="1"/>
  <c r="M12" i="62" s="1"/>
  <c r="V11" i="62"/>
  <c r="U11" i="62"/>
  <c r="T11" i="62"/>
  <c r="R11" i="62"/>
  <c r="L11" i="62"/>
  <c r="H11" i="62"/>
  <c r="W11" i="62" s="1"/>
  <c r="F11" i="62"/>
  <c r="I11" i="62" s="1"/>
  <c r="M11" i="62" s="1"/>
  <c r="V10" i="62"/>
  <c r="U10" i="62"/>
  <c r="T10" i="62"/>
  <c r="R10" i="62"/>
  <c r="L10" i="62"/>
  <c r="H10" i="62"/>
  <c r="Y10" i="62" s="1"/>
  <c r="F10" i="62"/>
  <c r="I10" i="62" s="1"/>
  <c r="M10" i="62" s="1"/>
  <c r="V9" i="62"/>
  <c r="U9" i="62"/>
  <c r="T9" i="62"/>
  <c r="R9" i="62"/>
  <c r="L9" i="62"/>
  <c r="H9" i="62"/>
  <c r="Y9" i="62" s="1"/>
  <c r="G9" i="62"/>
  <c r="D9" i="62"/>
  <c r="F9" i="62" s="1"/>
  <c r="V8" i="62"/>
  <c r="U8" i="62"/>
  <c r="T8" i="62"/>
  <c r="R8" i="62"/>
  <c r="L8" i="62"/>
  <c r="G8" i="62"/>
  <c r="D8" i="62"/>
  <c r="F8" i="62" s="1"/>
  <c r="V7" i="62"/>
  <c r="U7" i="62"/>
  <c r="T7" i="62"/>
  <c r="R7" i="62"/>
  <c r="L7" i="62"/>
  <c r="H7" i="62"/>
  <c r="Y7" i="62" s="1"/>
  <c r="G7" i="62"/>
  <c r="D7" i="62"/>
  <c r="F7" i="62" s="1"/>
  <c r="I21" i="61"/>
  <c r="Z8" i="69" l="1"/>
  <c r="Z17" i="69"/>
  <c r="Z15" i="69"/>
  <c r="Z16" i="69"/>
  <c r="Z13" i="69"/>
  <c r="Z11" i="69"/>
  <c r="G19" i="69"/>
  <c r="Z9" i="69"/>
  <c r="I22" i="69"/>
  <c r="Z10" i="69"/>
  <c r="Z14" i="69"/>
  <c r="Z7" i="69"/>
  <c r="I18" i="69"/>
  <c r="M7" i="69"/>
  <c r="Z17" i="68"/>
  <c r="Z7" i="68"/>
  <c r="Z15" i="68"/>
  <c r="Z9" i="68"/>
  <c r="Z12" i="68"/>
  <c r="Z8" i="68"/>
  <c r="Z13" i="68"/>
  <c r="Z16" i="68"/>
  <c r="Z11" i="68"/>
  <c r="W7" i="68"/>
  <c r="J7" i="68"/>
  <c r="Y7" i="68"/>
  <c r="G19" i="68"/>
  <c r="I22" i="68"/>
  <c r="Z14" i="68"/>
  <c r="Y8" i="67"/>
  <c r="W8" i="67"/>
  <c r="Z17" i="67"/>
  <c r="Z11" i="67"/>
  <c r="Z13" i="67"/>
  <c r="Z16" i="67"/>
  <c r="I18" i="67"/>
  <c r="M7" i="67"/>
  <c r="G19" i="67"/>
  <c r="I22" i="67"/>
  <c r="Z10" i="67"/>
  <c r="Z14" i="67"/>
  <c r="Z12" i="67"/>
  <c r="Z7" i="67"/>
  <c r="Z8" i="67"/>
  <c r="Z9" i="67"/>
  <c r="I9" i="66"/>
  <c r="M9" i="66" s="1"/>
  <c r="F18" i="66"/>
  <c r="F20" i="66" s="1"/>
  <c r="Z9" i="66" s="1"/>
  <c r="I7" i="66"/>
  <c r="Z11" i="65"/>
  <c r="Z13" i="65"/>
  <c r="Z10" i="65"/>
  <c r="Z12" i="65"/>
  <c r="Z16" i="65"/>
  <c r="Z14" i="65"/>
  <c r="I22" i="65"/>
  <c r="I18" i="65"/>
  <c r="M7" i="65"/>
  <c r="G19" i="65"/>
  <c r="Z8" i="65"/>
  <c r="Z7" i="65"/>
  <c r="Z9" i="65"/>
  <c r="Z17" i="65"/>
  <c r="Z9" i="64"/>
  <c r="Z11" i="64"/>
  <c r="G19" i="64"/>
  <c r="Z14" i="64"/>
  <c r="Z15" i="64"/>
  <c r="Z10" i="64"/>
  <c r="Z7" i="64"/>
  <c r="I18" i="64"/>
  <c r="M7" i="64"/>
  <c r="Z16" i="64"/>
  <c r="Z17" i="64"/>
  <c r="Z13" i="64"/>
  <c r="Z12" i="64"/>
  <c r="H7" i="63"/>
  <c r="J12" i="63"/>
  <c r="W12" i="63"/>
  <c r="W16" i="63"/>
  <c r="J10" i="63"/>
  <c r="J14" i="63"/>
  <c r="I39" i="63"/>
  <c r="H9" i="63"/>
  <c r="H11" i="63"/>
  <c r="W11" i="63" s="1"/>
  <c r="J17" i="63"/>
  <c r="I8" i="63"/>
  <c r="M8" i="63" s="1"/>
  <c r="I9" i="63"/>
  <c r="M9" i="63" s="1"/>
  <c r="I7" i="63"/>
  <c r="F18" i="63"/>
  <c r="F20" i="63" s="1"/>
  <c r="Z11" i="63" s="1"/>
  <c r="Y8" i="63"/>
  <c r="W8" i="63"/>
  <c r="J8" i="63"/>
  <c r="Y7" i="63"/>
  <c r="Y9" i="63"/>
  <c r="W10" i="63"/>
  <c r="Y13" i="63"/>
  <c r="W14" i="63"/>
  <c r="J15" i="63"/>
  <c r="I16" i="63"/>
  <c r="M16" i="63" s="1"/>
  <c r="J26" i="63"/>
  <c r="I11" i="63"/>
  <c r="M11" i="63" s="1"/>
  <c r="W15" i="63"/>
  <c r="J16" i="63"/>
  <c r="E33" i="63"/>
  <c r="E31" i="63"/>
  <c r="G18" i="62"/>
  <c r="Y11" i="62"/>
  <c r="I8" i="62"/>
  <c r="M8" i="62" s="1"/>
  <c r="I9" i="62"/>
  <c r="M9" i="62" s="1"/>
  <c r="F18" i="62"/>
  <c r="F20" i="62" s="1"/>
  <c r="Z9" i="62" s="1"/>
  <c r="I7" i="62"/>
  <c r="J7" i="62"/>
  <c r="J9" i="62"/>
  <c r="W7" i="62"/>
  <c r="I17" i="62"/>
  <c r="M17" i="62" s="1"/>
  <c r="J15" i="62"/>
  <c r="H8" i="62"/>
  <c r="W9" i="62"/>
  <c r="J10" i="62"/>
  <c r="W15" i="62"/>
  <c r="J16" i="62"/>
  <c r="W10" i="62"/>
  <c r="J11" i="62"/>
  <c r="W16" i="62"/>
  <c r="J17" i="62"/>
  <c r="J40" i="61"/>
  <c r="I40" i="61"/>
  <c r="I39" i="61"/>
  <c r="M33" i="61"/>
  <c r="I33" i="61"/>
  <c r="J33" i="61" s="1"/>
  <c r="D33" i="61"/>
  <c r="H33" i="61" s="1"/>
  <c r="M32" i="61"/>
  <c r="J32" i="61"/>
  <c r="I32" i="61"/>
  <c r="H32" i="61"/>
  <c r="E32" i="61"/>
  <c r="M31" i="61"/>
  <c r="I31" i="61"/>
  <c r="J31" i="61" s="1"/>
  <c r="E31" i="61"/>
  <c r="D31" i="61"/>
  <c r="H31" i="61" s="1"/>
  <c r="M30" i="61"/>
  <c r="I30" i="61"/>
  <c r="J30" i="61" s="1"/>
  <c r="H30" i="61"/>
  <c r="E30" i="61"/>
  <c r="M29" i="61"/>
  <c r="I29" i="61"/>
  <c r="J29" i="61" s="1"/>
  <c r="H29" i="61"/>
  <c r="E29" i="61"/>
  <c r="M28" i="61"/>
  <c r="I28" i="61"/>
  <c r="J28" i="61" s="1"/>
  <c r="H28" i="61"/>
  <c r="E28" i="61"/>
  <c r="M27" i="61"/>
  <c r="J27" i="61"/>
  <c r="I27" i="61"/>
  <c r="H27" i="61"/>
  <c r="E27" i="61"/>
  <c r="M26" i="61"/>
  <c r="I26" i="61"/>
  <c r="J26" i="61" s="1"/>
  <c r="H26" i="61"/>
  <c r="E26" i="61"/>
  <c r="L22" i="61"/>
  <c r="Y17" i="61"/>
  <c r="V17" i="61"/>
  <c r="U17" i="61"/>
  <c r="T17" i="61"/>
  <c r="R17" i="61"/>
  <c r="L17" i="61"/>
  <c r="H17" i="61"/>
  <c r="W17" i="61" s="1"/>
  <c r="F17" i="61"/>
  <c r="V16" i="61"/>
  <c r="U16" i="61"/>
  <c r="T16" i="61"/>
  <c r="R16" i="61"/>
  <c r="L16" i="61"/>
  <c r="H16" i="61"/>
  <c r="Y16" i="61" s="1"/>
  <c r="F16" i="61"/>
  <c r="I16" i="61" s="1"/>
  <c r="M16" i="61" s="1"/>
  <c r="V15" i="61"/>
  <c r="U15" i="61"/>
  <c r="T15" i="61"/>
  <c r="R15" i="61"/>
  <c r="L15" i="61"/>
  <c r="I15" i="61"/>
  <c r="M15" i="61" s="1"/>
  <c r="H15" i="61"/>
  <c r="J15" i="61" s="1"/>
  <c r="F15" i="61"/>
  <c r="Y14" i="61"/>
  <c r="W14" i="61"/>
  <c r="V14" i="61"/>
  <c r="U14" i="61"/>
  <c r="T14" i="61"/>
  <c r="R14" i="61"/>
  <c r="L14" i="61"/>
  <c r="J14" i="61"/>
  <c r="I14" i="61"/>
  <c r="M14" i="61" s="1"/>
  <c r="H14" i="61"/>
  <c r="F14" i="61"/>
  <c r="Y13" i="61"/>
  <c r="W13" i="61"/>
  <c r="V13" i="61"/>
  <c r="U13" i="61"/>
  <c r="T13" i="61"/>
  <c r="R13" i="61"/>
  <c r="L13" i="61"/>
  <c r="J13" i="61"/>
  <c r="H13" i="61"/>
  <c r="F13" i="61"/>
  <c r="I13" i="61" s="1"/>
  <c r="M13" i="61" s="1"/>
  <c r="V12" i="61"/>
  <c r="U12" i="61"/>
  <c r="T12" i="61"/>
  <c r="R12" i="61"/>
  <c r="L12" i="61"/>
  <c r="H12" i="61"/>
  <c r="J12" i="61" s="1"/>
  <c r="F12" i="61"/>
  <c r="Y11" i="61"/>
  <c r="V11" i="61"/>
  <c r="U11" i="61"/>
  <c r="T11" i="61"/>
  <c r="R11" i="61"/>
  <c r="L11" i="61"/>
  <c r="H11" i="61"/>
  <c r="W11" i="61" s="1"/>
  <c r="F11" i="61"/>
  <c r="I11" i="61" s="1"/>
  <c r="M11" i="61" s="1"/>
  <c r="V10" i="61"/>
  <c r="U10" i="61"/>
  <c r="T10" i="61"/>
  <c r="R10" i="61"/>
  <c r="L10" i="61"/>
  <c r="H10" i="61"/>
  <c r="Y10" i="61" s="1"/>
  <c r="F10" i="61"/>
  <c r="I10" i="61" s="1"/>
  <c r="M10" i="61" s="1"/>
  <c r="V9" i="61"/>
  <c r="U9" i="61"/>
  <c r="T9" i="61"/>
  <c r="R9" i="61"/>
  <c r="L9" i="61"/>
  <c r="H9" i="61"/>
  <c r="J9" i="61" s="1"/>
  <c r="G9" i="61"/>
  <c r="D9" i="61"/>
  <c r="F9" i="61" s="1"/>
  <c r="V8" i="61"/>
  <c r="U8" i="61"/>
  <c r="T8" i="61"/>
  <c r="R8" i="61"/>
  <c r="L8" i="61"/>
  <c r="G8" i="61"/>
  <c r="G18" i="61" s="1"/>
  <c r="D8" i="61"/>
  <c r="F8" i="61" s="1"/>
  <c r="V7" i="61"/>
  <c r="U7" i="61"/>
  <c r="T7" i="61"/>
  <c r="R7" i="61"/>
  <c r="L7" i="61"/>
  <c r="H7" i="61"/>
  <c r="J7" i="61" s="1"/>
  <c r="G7" i="61"/>
  <c r="D7" i="61"/>
  <c r="F7" i="61" s="1"/>
  <c r="I21" i="60"/>
  <c r="L10" i="60"/>
  <c r="L11" i="60"/>
  <c r="L12" i="60"/>
  <c r="L13" i="60"/>
  <c r="J40" i="60"/>
  <c r="I40" i="60"/>
  <c r="I39" i="60"/>
  <c r="M33" i="60"/>
  <c r="I33" i="60"/>
  <c r="J33" i="60" s="1"/>
  <c r="D33" i="60"/>
  <c r="H33" i="60" s="1"/>
  <c r="M32" i="60"/>
  <c r="J32" i="60"/>
  <c r="I32" i="60"/>
  <c r="H32" i="60"/>
  <c r="E32" i="60"/>
  <c r="M31" i="60"/>
  <c r="J31" i="60"/>
  <c r="I31" i="60"/>
  <c r="E31" i="60"/>
  <c r="D31" i="60"/>
  <c r="H31" i="60" s="1"/>
  <c r="M30" i="60"/>
  <c r="J30" i="60"/>
  <c r="I30" i="60"/>
  <c r="H30" i="60"/>
  <c r="E30" i="60"/>
  <c r="M29" i="60"/>
  <c r="J29" i="60"/>
  <c r="I29" i="60"/>
  <c r="H29" i="60"/>
  <c r="E29" i="60"/>
  <c r="M28" i="60"/>
  <c r="I28" i="60"/>
  <c r="J28" i="60" s="1"/>
  <c r="H28" i="60"/>
  <c r="E28" i="60"/>
  <c r="M27" i="60"/>
  <c r="J27" i="60"/>
  <c r="I27" i="60"/>
  <c r="H27" i="60"/>
  <c r="E27" i="60"/>
  <c r="M26" i="60"/>
  <c r="I26" i="60"/>
  <c r="J26" i="60" s="1"/>
  <c r="H26" i="60"/>
  <c r="E26" i="60"/>
  <c r="L22" i="60"/>
  <c r="Y17" i="60"/>
  <c r="V17" i="60"/>
  <c r="U17" i="60"/>
  <c r="T17" i="60"/>
  <c r="R17" i="60"/>
  <c r="L17" i="60"/>
  <c r="H17" i="60"/>
  <c r="W17" i="60" s="1"/>
  <c r="F17" i="60"/>
  <c r="W16" i="60"/>
  <c r="V16" i="60"/>
  <c r="U16" i="60"/>
  <c r="T16" i="60"/>
  <c r="R16" i="60"/>
  <c r="L16" i="60"/>
  <c r="H16" i="60"/>
  <c r="Y16" i="60" s="1"/>
  <c r="F16" i="60"/>
  <c r="V15" i="60"/>
  <c r="U15" i="60"/>
  <c r="T15" i="60"/>
  <c r="R15" i="60"/>
  <c r="M15" i="60"/>
  <c r="L15" i="60"/>
  <c r="I15" i="60"/>
  <c r="H15" i="60"/>
  <c r="Y15" i="60" s="1"/>
  <c r="F15" i="60"/>
  <c r="Y14" i="60"/>
  <c r="W14" i="60"/>
  <c r="V14" i="60"/>
  <c r="U14" i="60"/>
  <c r="T14" i="60"/>
  <c r="R14" i="60"/>
  <c r="L14" i="60"/>
  <c r="J14" i="60"/>
  <c r="I14" i="60"/>
  <c r="M14" i="60" s="1"/>
  <c r="H14" i="60"/>
  <c r="F14" i="60"/>
  <c r="Y13" i="60"/>
  <c r="W13" i="60"/>
  <c r="V13" i="60"/>
  <c r="U13" i="60"/>
  <c r="T13" i="60"/>
  <c r="R13" i="60"/>
  <c r="J13" i="60"/>
  <c r="I13" i="60"/>
  <c r="M13" i="60" s="1"/>
  <c r="H13" i="60"/>
  <c r="F13" i="60"/>
  <c r="Y12" i="60"/>
  <c r="W12" i="60"/>
  <c r="V12" i="60"/>
  <c r="U12" i="60"/>
  <c r="T12" i="60"/>
  <c r="R12" i="60"/>
  <c r="J12" i="60"/>
  <c r="I12" i="60"/>
  <c r="M12" i="60" s="1"/>
  <c r="H12" i="60"/>
  <c r="F12" i="60"/>
  <c r="V11" i="60"/>
  <c r="U11" i="60"/>
  <c r="T11" i="60"/>
  <c r="R11" i="60"/>
  <c r="H11" i="60"/>
  <c r="W11" i="60" s="1"/>
  <c r="F11" i="60"/>
  <c r="I11" i="60" s="1"/>
  <c r="M11" i="60" s="1"/>
  <c r="V10" i="60"/>
  <c r="U10" i="60"/>
  <c r="T10" i="60"/>
  <c r="R10" i="60"/>
  <c r="H10" i="60"/>
  <c r="Y10" i="60" s="1"/>
  <c r="F10" i="60"/>
  <c r="I10" i="60" s="1"/>
  <c r="M10" i="60" s="1"/>
  <c r="Y9" i="60"/>
  <c r="V9" i="60"/>
  <c r="U9" i="60"/>
  <c r="T9" i="60"/>
  <c r="R9" i="60"/>
  <c r="L9" i="60"/>
  <c r="J9" i="60"/>
  <c r="H9" i="60"/>
  <c r="W9" i="60" s="1"/>
  <c r="G9" i="60"/>
  <c r="F9" i="60"/>
  <c r="I9" i="60" s="1"/>
  <c r="M9" i="60" s="1"/>
  <c r="D9" i="60"/>
  <c r="V8" i="60"/>
  <c r="U8" i="60"/>
  <c r="T8" i="60"/>
  <c r="R8" i="60"/>
  <c r="L8" i="60"/>
  <c r="G8" i="60"/>
  <c r="H8" i="60" s="1"/>
  <c r="D8" i="60"/>
  <c r="F8" i="60" s="1"/>
  <c r="Y7" i="60"/>
  <c r="V7" i="60"/>
  <c r="U7" i="60"/>
  <c r="T7" i="60"/>
  <c r="R7" i="60"/>
  <c r="L7" i="60"/>
  <c r="J7" i="60"/>
  <c r="H7" i="60"/>
  <c r="W7" i="60" s="1"/>
  <c r="G7" i="60"/>
  <c r="G18" i="60" s="1"/>
  <c r="F7" i="60"/>
  <c r="I7" i="60" s="1"/>
  <c r="D7" i="60"/>
  <c r="H33" i="59"/>
  <c r="I33" i="59"/>
  <c r="J33" i="59"/>
  <c r="M33" i="59"/>
  <c r="E33" i="59"/>
  <c r="D33" i="59"/>
  <c r="D31" i="59"/>
  <c r="I21" i="59"/>
  <c r="J40" i="59"/>
  <c r="I39" i="59"/>
  <c r="I40" i="59" s="1"/>
  <c r="M32" i="59"/>
  <c r="I32" i="59"/>
  <c r="J32" i="59" s="1"/>
  <c r="H32" i="59"/>
  <c r="E32" i="59"/>
  <c r="M31" i="59"/>
  <c r="I31" i="59"/>
  <c r="J31" i="59" s="1"/>
  <c r="H31" i="59"/>
  <c r="E31" i="59"/>
  <c r="M30" i="59"/>
  <c r="I30" i="59"/>
  <c r="J30" i="59" s="1"/>
  <c r="H30" i="59"/>
  <c r="E30" i="59"/>
  <c r="M29" i="59"/>
  <c r="J29" i="59"/>
  <c r="I29" i="59"/>
  <c r="H29" i="59"/>
  <c r="E29" i="59"/>
  <c r="M28" i="59"/>
  <c r="I28" i="59"/>
  <c r="J28" i="59" s="1"/>
  <c r="H28" i="59"/>
  <c r="E28" i="59"/>
  <c r="M27" i="59"/>
  <c r="I27" i="59"/>
  <c r="J27" i="59" s="1"/>
  <c r="H27" i="59"/>
  <c r="E27" i="59"/>
  <c r="M26" i="59"/>
  <c r="J26" i="59"/>
  <c r="I26" i="59"/>
  <c r="H26" i="59"/>
  <c r="E26" i="59"/>
  <c r="L22" i="59"/>
  <c r="W17" i="59"/>
  <c r="V17" i="59"/>
  <c r="U17" i="59"/>
  <c r="T17" i="59"/>
  <c r="R17" i="59"/>
  <c r="L17" i="59"/>
  <c r="J17" i="59"/>
  <c r="H17" i="59"/>
  <c r="Y17" i="59" s="1"/>
  <c r="F17" i="59"/>
  <c r="I17" i="59" s="1"/>
  <c r="M17" i="59" s="1"/>
  <c r="Y16" i="59"/>
  <c r="W16" i="59"/>
  <c r="V16" i="59"/>
  <c r="U16" i="59"/>
  <c r="T16" i="59"/>
  <c r="R16" i="59"/>
  <c r="L16" i="59"/>
  <c r="H16" i="59"/>
  <c r="J16" i="59" s="1"/>
  <c r="F16" i="59"/>
  <c r="Y15" i="59"/>
  <c r="W15" i="59"/>
  <c r="V15" i="59"/>
  <c r="U15" i="59"/>
  <c r="T15" i="59"/>
  <c r="R15" i="59"/>
  <c r="L15" i="59"/>
  <c r="H15" i="59"/>
  <c r="J15" i="59" s="1"/>
  <c r="F15" i="59"/>
  <c r="V14" i="59"/>
  <c r="U14" i="59"/>
  <c r="T14" i="59"/>
  <c r="R14" i="59"/>
  <c r="L14" i="59"/>
  <c r="H14" i="59"/>
  <c r="Y14" i="59" s="1"/>
  <c r="F14" i="59"/>
  <c r="I14" i="59" s="1"/>
  <c r="M14" i="59" s="1"/>
  <c r="V9" i="59"/>
  <c r="U9" i="59"/>
  <c r="T9" i="59"/>
  <c r="R9" i="59"/>
  <c r="L9" i="59"/>
  <c r="H9" i="59"/>
  <c r="J9" i="59" s="1"/>
  <c r="G9" i="59"/>
  <c r="D9" i="59"/>
  <c r="F9" i="59" s="1"/>
  <c r="V13" i="59"/>
  <c r="U13" i="59"/>
  <c r="T13" i="59"/>
  <c r="R13" i="59"/>
  <c r="H13" i="59"/>
  <c r="V12" i="59"/>
  <c r="U12" i="59"/>
  <c r="T12" i="59"/>
  <c r="R12" i="59"/>
  <c r="H12" i="59"/>
  <c r="J12" i="59" s="1"/>
  <c r="F12" i="59"/>
  <c r="I12" i="59" s="1"/>
  <c r="M12" i="59" s="1"/>
  <c r="V11" i="59"/>
  <c r="U11" i="59"/>
  <c r="T11" i="59"/>
  <c r="R11" i="59"/>
  <c r="H11" i="59"/>
  <c r="F11" i="59"/>
  <c r="I11" i="59" s="1"/>
  <c r="M11" i="59" s="1"/>
  <c r="V10" i="59"/>
  <c r="U10" i="59"/>
  <c r="T10" i="59"/>
  <c r="R10" i="59"/>
  <c r="H10" i="59"/>
  <c r="W10" i="59" s="1"/>
  <c r="F10" i="59"/>
  <c r="I10" i="59" s="1"/>
  <c r="M10" i="59" s="1"/>
  <c r="V8" i="59"/>
  <c r="U8" i="59"/>
  <c r="T8" i="59"/>
  <c r="R8" i="59"/>
  <c r="L8" i="59"/>
  <c r="G8" i="59"/>
  <c r="H8" i="59" s="1"/>
  <c r="F8" i="59"/>
  <c r="I8" i="59" s="1"/>
  <c r="M8" i="59" s="1"/>
  <c r="D8" i="59"/>
  <c r="V7" i="59"/>
  <c r="U7" i="59"/>
  <c r="T7" i="59"/>
  <c r="R7" i="59"/>
  <c r="L7" i="59"/>
  <c r="G7" i="59"/>
  <c r="G18" i="59" s="1"/>
  <c r="D7" i="59"/>
  <c r="F7" i="59" s="1"/>
  <c r="G13" i="58"/>
  <c r="D13" i="58"/>
  <c r="Z7" i="66" l="1"/>
  <c r="I18" i="66"/>
  <c r="M7" i="66"/>
  <c r="G19" i="66"/>
  <c r="Z13" i="66"/>
  <c r="I22" i="66"/>
  <c r="Z10" i="66"/>
  <c r="Z16" i="66"/>
  <c r="Z8" i="66"/>
  <c r="Z15" i="66"/>
  <c r="Z14" i="66"/>
  <c r="Z11" i="66"/>
  <c r="Z17" i="66"/>
  <c r="Z12" i="66"/>
  <c r="Y11" i="63"/>
  <c r="J11" i="63"/>
  <c r="W9" i="63"/>
  <c r="J9" i="63"/>
  <c r="W7" i="63"/>
  <c r="J7" i="63"/>
  <c r="Z16" i="63"/>
  <c r="Z17" i="63"/>
  <c r="Z13" i="63"/>
  <c r="Z14" i="63"/>
  <c r="G19" i="63"/>
  <c r="I22" i="63"/>
  <c r="Z9" i="63"/>
  <c r="Z10" i="63"/>
  <c r="Z7" i="63"/>
  <c r="Z12" i="63"/>
  <c r="I18" i="63"/>
  <c r="M7" i="63"/>
  <c r="Z15" i="63"/>
  <c r="Z8" i="63"/>
  <c r="Z16" i="62"/>
  <c r="Z13" i="62"/>
  <c r="Z14" i="62"/>
  <c r="Z10" i="62"/>
  <c r="I18" i="62"/>
  <c r="M7" i="62"/>
  <c r="J8" i="62"/>
  <c r="Y8" i="62"/>
  <c r="W8" i="62"/>
  <c r="G19" i="62"/>
  <c r="I22" i="62"/>
  <c r="Z15" i="62"/>
  <c r="Z7" i="62"/>
  <c r="Z8" i="62"/>
  <c r="Z11" i="62"/>
  <c r="Z12" i="62"/>
  <c r="Z17" i="62"/>
  <c r="Y12" i="61"/>
  <c r="W12" i="61"/>
  <c r="I8" i="61"/>
  <c r="M8" i="61" s="1"/>
  <c r="I9" i="61"/>
  <c r="M9" i="61" s="1"/>
  <c r="I7" i="61"/>
  <c r="F18" i="61"/>
  <c r="F20" i="61" s="1"/>
  <c r="Z7" i="61" s="1"/>
  <c r="W7" i="61"/>
  <c r="W9" i="61"/>
  <c r="W15" i="61"/>
  <c r="I17" i="61"/>
  <c r="M17" i="61" s="1"/>
  <c r="Y7" i="61"/>
  <c r="Y9" i="61"/>
  <c r="W10" i="61"/>
  <c r="J11" i="61"/>
  <c r="I12" i="61"/>
  <c r="M12" i="61" s="1"/>
  <c r="Y15" i="61"/>
  <c r="W16" i="61"/>
  <c r="J17" i="61"/>
  <c r="I36" i="61"/>
  <c r="H8" i="61"/>
  <c r="J10" i="61"/>
  <c r="J16" i="61"/>
  <c r="E33" i="61"/>
  <c r="J11" i="60"/>
  <c r="Y11" i="60"/>
  <c r="W10" i="60"/>
  <c r="J10" i="60"/>
  <c r="Y8" i="60"/>
  <c r="W8" i="60"/>
  <c r="J8" i="60"/>
  <c r="M7" i="60"/>
  <c r="I8" i="60"/>
  <c r="M8" i="60" s="1"/>
  <c r="J15" i="60"/>
  <c r="I16" i="60"/>
  <c r="M16" i="60" s="1"/>
  <c r="F18" i="60"/>
  <c r="F20" i="60" s="1"/>
  <c r="Z12" i="60" s="1"/>
  <c r="W15" i="60"/>
  <c r="J16" i="60"/>
  <c r="I17" i="60"/>
  <c r="M17" i="60" s="1"/>
  <c r="I36" i="60"/>
  <c r="J17" i="60"/>
  <c r="E33" i="60"/>
  <c r="Y10" i="59"/>
  <c r="I36" i="59"/>
  <c r="J13" i="59"/>
  <c r="Y13" i="59"/>
  <c r="W13" i="59"/>
  <c r="I9" i="59"/>
  <c r="M9" i="59" s="1"/>
  <c r="I7" i="59"/>
  <c r="W11" i="59"/>
  <c r="Y11" i="59"/>
  <c r="J11" i="59"/>
  <c r="Y8" i="59"/>
  <c r="J8" i="59"/>
  <c r="W8" i="59"/>
  <c r="H7" i="59"/>
  <c r="J10" i="59"/>
  <c r="Y12" i="59"/>
  <c r="Y9" i="59"/>
  <c r="W14" i="59"/>
  <c r="I16" i="59"/>
  <c r="M16" i="59" s="1"/>
  <c r="F13" i="59"/>
  <c r="W12" i="59"/>
  <c r="W9" i="59"/>
  <c r="J14" i="59"/>
  <c r="I15" i="59"/>
  <c r="M15" i="59" s="1"/>
  <c r="I21" i="58"/>
  <c r="J40" i="58"/>
  <c r="I40" i="58"/>
  <c r="I39" i="58"/>
  <c r="M32" i="58"/>
  <c r="I32" i="58"/>
  <c r="J32" i="58" s="1"/>
  <c r="H32" i="58"/>
  <c r="E32" i="58"/>
  <c r="M31" i="58"/>
  <c r="I31" i="58"/>
  <c r="J31" i="58" s="1"/>
  <c r="H31" i="58"/>
  <c r="E31" i="58"/>
  <c r="M30" i="58"/>
  <c r="I30" i="58"/>
  <c r="J30" i="58" s="1"/>
  <c r="H30" i="58"/>
  <c r="E30" i="58"/>
  <c r="M29" i="58"/>
  <c r="I29" i="58"/>
  <c r="J29" i="58" s="1"/>
  <c r="H29" i="58"/>
  <c r="E29" i="58"/>
  <c r="M28" i="58"/>
  <c r="I28" i="58"/>
  <c r="J28" i="58" s="1"/>
  <c r="H28" i="58"/>
  <c r="E28" i="58"/>
  <c r="M27" i="58"/>
  <c r="I27" i="58"/>
  <c r="J27" i="58" s="1"/>
  <c r="H27" i="58"/>
  <c r="E27" i="58"/>
  <c r="M26" i="58"/>
  <c r="J26" i="58"/>
  <c r="I26" i="58"/>
  <c r="H26" i="58"/>
  <c r="E26" i="58"/>
  <c r="L22" i="58"/>
  <c r="V17" i="58"/>
  <c r="U17" i="58"/>
  <c r="T17" i="58"/>
  <c r="R17" i="58"/>
  <c r="L17" i="58"/>
  <c r="H17" i="58"/>
  <c r="Y17" i="58" s="1"/>
  <c r="F17" i="58"/>
  <c r="V16" i="58"/>
  <c r="U16" i="58"/>
  <c r="T16" i="58"/>
  <c r="R16" i="58"/>
  <c r="L16" i="58"/>
  <c r="I16" i="58"/>
  <c r="M16" i="58" s="1"/>
  <c r="H16" i="58"/>
  <c r="Y16" i="58" s="1"/>
  <c r="F16" i="58"/>
  <c r="Y15" i="58"/>
  <c r="V15" i="58"/>
  <c r="U15" i="58"/>
  <c r="T15" i="58"/>
  <c r="R15" i="58"/>
  <c r="L15" i="58"/>
  <c r="J15" i="58"/>
  <c r="I15" i="58"/>
  <c r="M15" i="58" s="1"/>
  <c r="H15" i="58"/>
  <c r="W15" i="58" s="1"/>
  <c r="F15" i="58"/>
  <c r="V13" i="58"/>
  <c r="U13" i="58"/>
  <c r="T13" i="58"/>
  <c r="R13" i="58"/>
  <c r="L13" i="58"/>
  <c r="H13" i="58"/>
  <c r="V12" i="58"/>
  <c r="U12" i="58"/>
  <c r="T12" i="58"/>
  <c r="R12" i="58"/>
  <c r="L12" i="58"/>
  <c r="G12" i="58"/>
  <c r="H12" i="58" s="1"/>
  <c r="D12" i="58"/>
  <c r="F12" i="58" s="1"/>
  <c r="V11" i="58"/>
  <c r="U11" i="58"/>
  <c r="T11" i="58"/>
  <c r="R11" i="58"/>
  <c r="L11" i="58"/>
  <c r="H11" i="58"/>
  <c r="Y11" i="58" s="1"/>
  <c r="F11" i="58"/>
  <c r="I11" i="58" s="1"/>
  <c r="M11" i="58" s="1"/>
  <c r="V10" i="58"/>
  <c r="U10" i="58"/>
  <c r="T10" i="58"/>
  <c r="R10" i="58"/>
  <c r="L10" i="58"/>
  <c r="G10" i="58"/>
  <c r="H10" i="58" s="1"/>
  <c r="D10" i="58"/>
  <c r="F10" i="58" s="1"/>
  <c r="V9" i="58"/>
  <c r="U9" i="58"/>
  <c r="T9" i="58"/>
  <c r="R9" i="58"/>
  <c r="L9" i="58"/>
  <c r="H9" i="58"/>
  <c r="Y9" i="58" s="1"/>
  <c r="F9" i="58"/>
  <c r="I9" i="58" s="1"/>
  <c r="M9" i="58" s="1"/>
  <c r="V8" i="58"/>
  <c r="U8" i="58"/>
  <c r="T8" i="58"/>
  <c r="R8" i="58"/>
  <c r="L8" i="58"/>
  <c r="G8" i="58"/>
  <c r="H8" i="58" s="1"/>
  <c r="F8" i="58"/>
  <c r="I8" i="58" s="1"/>
  <c r="M8" i="58" s="1"/>
  <c r="D8" i="58"/>
  <c r="V14" i="58"/>
  <c r="U14" i="58"/>
  <c r="T14" i="58"/>
  <c r="R14" i="58"/>
  <c r="L14" i="58"/>
  <c r="H14" i="58"/>
  <c r="W14" i="58" s="1"/>
  <c r="F14" i="58"/>
  <c r="I14" i="58" s="1"/>
  <c r="M14" i="58" s="1"/>
  <c r="V7" i="58"/>
  <c r="U7" i="58"/>
  <c r="T7" i="58"/>
  <c r="R7" i="58"/>
  <c r="L7" i="58"/>
  <c r="G7" i="58"/>
  <c r="H7" i="58" s="1"/>
  <c r="D7" i="58"/>
  <c r="F7" i="58" s="1"/>
  <c r="G14" i="57"/>
  <c r="D14" i="57"/>
  <c r="I21" i="57"/>
  <c r="J40" i="57"/>
  <c r="I40" i="57"/>
  <c r="I39" i="57"/>
  <c r="M32" i="57"/>
  <c r="J32" i="57"/>
  <c r="I32" i="57"/>
  <c r="H32" i="57"/>
  <c r="E32" i="57"/>
  <c r="M31" i="57"/>
  <c r="J31" i="57"/>
  <c r="I31" i="57"/>
  <c r="H31" i="57"/>
  <c r="E31" i="57"/>
  <c r="M30" i="57"/>
  <c r="I30" i="57"/>
  <c r="J30" i="57" s="1"/>
  <c r="H30" i="57"/>
  <c r="E30" i="57"/>
  <c r="M29" i="57"/>
  <c r="I29" i="57"/>
  <c r="J29" i="57" s="1"/>
  <c r="H29" i="57"/>
  <c r="E29" i="57"/>
  <c r="M28" i="57"/>
  <c r="J28" i="57"/>
  <c r="I28" i="57"/>
  <c r="H28" i="57"/>
  <c r="E28" i="57"/>
  <c r="M27" i="57"/>
  <c r="I27" i="57"/>
  <c r="J27" i="57" s="1"/>
  <c r="H27" i="57"/>
  <c r="E27" i="57"/>
  <c r="M26" i="57"/>
  <c r="I26" i="57"/>
  <c r="I36" i="57" s="1"/>
  <c r="H26" i="57"/>
  <c r="E26" i="57"/>
  <c r="L22" i="57"/>
  <c r="W17" i="57"/>
  <c r="V17" i="57"/>
  <c r="U17" i="57"/>
  <c r="T17" i="57"/>
  <c r="R17" i="57"/>
  <c r="L17" i="57"/>
  <c r="H17" i="57"/>
  <c r="Y17" i="57" s="1"/>
  <c r="F17" i="57"/>
  <c r="I17" i="57" s="1"/>
  <c r="M17" i="57" s="1"/>
  <c r="Y16" i="57"/>
  <c r="V16" i="57"/>
  <c r="U16" i="57"/>
  <c r="T16" i="57"/>
  <c r="R16" i="57"/>
  <c r="M16" i="57"/>
  <c r="L16" i="57"/>
  <c r="I16" i="57"/>
  <c r="H16" i="57"/>
  <c r="W16" i="57" s="1"/>
  <c r="F16" i="57"/>
  <c r="V15" i="57"/>
  <c r="U15" i="57"/>
  <c r="T15" i="57"/>
  <c r="R15" i="57"/>
  <c r="L15" i="57"/>
  <c r="J15" i="57"/>
  <c r="H15" i="57"/>
  <c r="Y15" i="57" s="1"/>
  <c r="F15" i="57"/>
  <c r="V14" i="57"/>
  <c r="U14" i="57"/>
  <c r="T14" i="57"/>
  <c r="R14" i="57"/>
  <c r="L14" i="57"/>
  <c r="V13" i="57"/>
  <c r="U13" i="57"/>
  <c r="T13" i="57"/>
  <c r="R13" i="57"/>
  <c r="L13" i="57"/>
  <c r="G13" i="57"/>
  <c r="H13" i="57" s="1"/>
  <c r="F13" i="57"/>
  <c r="I13" i="57" s="1"/>
  <c r="M13" i="57" s="1"/>
  <c r="D13" i="57"/>
  <c r="Y12" i="57"/>
  <c r="V12" i="57"/>
  <c r="U12" i="57"/>
  <c r="T12" i="57"/>
  <c r="R12" i="57"/>
  <c r="L12" i="57"/>
  <c r="H12" i="57"/>
  <c r="W12" i="57" s="1"/>
  <c r="F12" i="57"/>
  <c r="I12" i="57" s="1"/>
  <c r="M12" i="57" s="1"/>
  <c r="V11" i="57"/>
  <c r="U11" i="57"/>
  <c r="T11" i="57"/>
  <c r="R11" i="57"/>
  <c r="L11" i="57"/>
  <c r="G11" i="57"/>
  <c r="H11" i="57" s="1"/>
  <c r="D11" i="57"/>
  <c r="F11" i="57" s="1"/>
  <c r="Y10" i="57"/>
  <c r="W10" i="57"/>
  <c r="V10" i="57"/>
  <c r="U10" i="57"/>
  <c r="T10" i="57"/>
  <c r="R10" i="57"/>
  <c r="L10" i="57"/>
  <c r="J10" i="57"/>
  <c r="H10" i="57"/>
  <c r="F10" i="57"/>
  <c r="I10" i="57" s="1"/>
  <c r="M10" i="57" s="1"/>
  <c r="V9" i="57"/>
  <c r="U9" i="57"/>
  <c r="T9" i="57"/>
  <c r="R9" i="57"/>
  <c r="L9" i="57"/>
  <c r="G9" i="57"/>
  <c r="D9" i="57"/>
  <c r="F9" i="57" s="1"/>
  <c r="V8" i="57"/>
  <c r="U8" i="57"/>
  <c r="T8" i="57"/>
  <c r="R8" i="57"/>
  <c r="L8" i="57"/>
  <c r="H8" i="57"/>
  <c r="Y8" i="57" s="1"/>
  <c r="F8" i="57"/>
  <c r="I8" i="57" s="1"/>
  <c r="M8" i="57" s="1"/>
  <c r="V7" i="57"/>
  <c r="U7" i="57"/>
  <c r="T7" i="57"/>
  <c r="R7" i="57"/>
  <c r="L7" i="57"/>
  <c r="G7" i="57"/>
  <c r="H7" i="57" s="1"/>
  <c r="D7" i="57"/>
  <c r="F7" i="57" s="1"/>
  <c r="G13" i="56"/>
  <c r="D13" i="56"/>
  <c r="H13" i="56" s="1"/>
  <c r="Y13" i="56" s="1"/>
  <c r="I21" i="56"/>
  <c r="J40" i="56"/>
  <c r="I39" i="56"/>
  <c r="I40" i="56" s="1"/>
  <c r="M32" i="56"/>
  <c r="I32" i="56"/>
  <c r="J32" i="56" s="1"/>
  <c r="H32" i="56"/>
  <c r="E32" i="56"/>
  <c r="M31" i="56"/>
  <c r="I31" i="56"/>
  <c r="J31" i="56" s="1"/>
  <c r="H31" i="56"/>
  <c r="E31" i="56"/>
  <c r="M30" i="56"/>
  <c r="I30" i="56"/>
  <c r="J30" i="56" s="1"/>
  <c r="H30" i="56"/>
  <c r="E30" i="56"/>
  <c r="M29" i="56"/>
  <c r="J29" i="56"/>
  <c r="I29" i="56"/>
  <c r="H29" i="56"/>
  <c r="E29" i="56"/>
  <c r="M28" i="56"/>
  <c r="I28" i="56"/>
  <c r="J28" i="56" s="1"/>
  <c r="H28" i="56"/>
  <c r="E28" i="56"/>
  <c r="M27" i="56"/>
  <c r="I27" i="56"/>
  <c r="J27" i="56" s="1"/>
  <c r="H27" i="56"/>
  <c r="E27" i="56"/>
  <c r="M26" i="56"/>
  <c r="I26" i="56"/>
  <c r="J26" i="56" s="1"/>
  <c r="H26" i="56"/>
  <c r="E26" i="56"/>
  <c r="L22" i="56"/>
  <c r="Y17" i="56"/>
  <c r="V17" i="56"/>
  <c r="U17" i="56"/>
  <c r="T17" i="56"/>
  <c r="R17" i="56"/>
  <c r="L17" i="56"/>
  <c r="H17" i="56"/>
  <c r="W17" i="56" s="1"/>
  <c r="F17" i="56"/>
  <c r="I17" i="56" s="1"/>
  <c r="M17" i="56" s="1"/>
  <c r="V16" i="56"/>
  <c r="U16" i="56"/>
  <c r="T16" i="56"/>
  <c r="R16" i="56"/>
  <c r="L16" i="56"/>
  <c r="H16" i="56"/>
  <c r="Y16" i="56" s="1"/>
  <c r="F16" i="56"/>
  <c r="I16" i="56" s="1"/>
  <c r="M16" i="56" s="1"/>
  <c r="V13" i="56"/>
  <c r="U13" i="56"/>
  <c r="T13" i="56"/>
  <c r="R13" i="56"/>
  <c r="L13" i="56"/>
  <c r="V11" i="56"/>
  <c r="U11" i="56"/>
  <c r="T11" i="56"/>
  <c r="R11" i="56"/>
  <c r="L11" i="56"/>
  <c r="G11" i="56"/>
  <c r="H11" i="56" s="1"/>
  <c r="D11" i="56"/>
  <c r="F11" i="56" s="1"/>
  <c r="V10" i="56"/>
  <c r="U10" i="56"/>
  <c r="T10" i="56"/>
  <c r="R10" i="56"/>
  <c r="L10" i="56"/>
  <c r="H10" i="56"/>
  <c r="W10" i="56" s="1"/>
  <c r="F10" i="56"/>
  <c r="I10" i="56" s="1"/>
  <c r="M10" i="56" s="1"/>
  <c r="V9" i="56"/>
  <c r="U9" i="56"/>
  <c r="T9" i="56"/>
  <c r="R9" i="56"/>
  <c r="L9" i="56"/>
  <c r="G9" i="56"/>
  <c r="H9" i="56" s="1"/>
  <c r="D9" i="56"/>
  <c r="F9" i="56" s="1"/>
  <c r="V12" i="56"/>
  <c r="U12" i="56"/>
  <c r="T12" i="56"/>
  <c r="R12" i="56"/>
  <c r="L12" i="56"/>
  <c r="H12" i="56"/>
  <c r="J12" i="56" s="1"/>
  <c r="F12" i="56"/>
  <c r="I12" i="56" s="1"/>
  <c r="M12" i="56" s="1"/>
  <c r="V8" i="56"/>
  <c r="U8" i="56"/>
  <c r="T8" i="56"/>
  <c r="R8" i="56"/>
  <c r="L8" i="56"/>
  <c r="H8" i="56"/>
  <c r="Y8" i="56" s="1"/>
  <c r="F8" i="56"/>
  <c r="I8" i="56" s="1"/>
  <c r="M8" i="56" s="1"/>
  <c r="V7" i="56"/>
  <c r="U7" i="56"/>
  <c r="T7" i="56"/>
  <c r="R7" i="56"/>
  <c r="L7" i="56"/>
  <c r="G7" i="56"/>
  <c r="G18" i="56" s="1"/>
  <c r="F7" i="56"/>
  <c r="I7" i="56" s="1"/>
  <c r="M7" i="56" s="1"/>
  <c r="D7" i="56"/>
  <c r="V15" i="56"/>
  <c r="U15" i="56"/>
  <c r="T15" i="56"/>
  <c r="R15" i="56"/>
  <c r="L15" i="56"/>
  <c r="H15" i="56"/>
  <c r="Y15" i="56" s="1"/>
  <c r="F15" i="56"/>
  <c r="I15" i="56" s="1"/>
  <c r="V14" i="56"/>
  <c r="U14" i="56"/>
  <c r="T14" i="56"/>
  <c r="R14" i="56"/>
  <c r="L14" i="56"/>
  <c r="H14" i="56"/>
  <c r="Y14" i="56" s="1"/>
  <c r="F14" i="56"/>
  <c r="I14" i="56" s="1"/>
  <c r="M14" i="56" s="1"/>
  <c r="G14" i="55"/>
  <c r="H14" i="55" s="1"/>
  <c r="W14" i="55" s="1"/>
  <c r="D14" i="55"/>
  <c r="F14" i="55" s="1"/>
  <c r="I21" i="55"/>
  <c r="J40" i="55"/>
  <c r="I40" i="55"/>
  <c r="I39" i="55"/>
  <c r="M32" i="55"/>
  <c r="I32" i="55"/>
  <c r="J32" i="55" s="1"/>
  <c r="H32" i="55"/>
  <c r="E32" i="55"/>
  <c r="M31" i="55"/>
  <c r="J31" i="55"/>
  <c r="I31" i="55"/>
  <c r="H31" i="55"/>
  <c r="E31" i="55"/>
  <c r="M30" i="55"/>
  <c r="I30" i="55"/>
  <c r="J30" i="55" s="1"/>
  <c r="H30" i="55"/>
  <c r="E30" i="55"/>
  <c r="M29" i="55"/>
  <c r="J29" i="55"/>
  <c r="I29" i="55"/>
  <c r="H29" i="55"/>
  <c r="E29" i="55"/>
  <c r="M28" i="55"/>
  <c r="J28" i="55"/>
  <c r="I28" i="55"/>
  <c r="H28" i="55"/>
  <c r="E28" i="55"/>
  <c r="M27" i="55"/>
  <c r="J27" i="55"/>
  <c r="I27" i="55"/>
  <c r="H27" i="55"/>
  <c r="E27" i="55"/>
  <c r="M26" i="55"/>
  <c r="J26" i="55"/>
  <c r="I26" i="55"/>
  <c r="I36" i="55" s="1"/>
  <c r="H26" i="55"/>
  <c r="E26" i="55"/>
  <c r="L22" i="55"/>
  <c r="Y17" i="55"/>
  <c r="W17" i="55"/>
  <c r="V17" i="55"/>
  <c r="U17" i="55"/>
  <c r="T17" i="55"/>
  <c r="R17" i="55"/>
  <c r="L17" i="55"/>
  <c r="H17" i="55"/>
  <c r="J17" i="55" s="1"/>
  <c r="F17" i="55"/>
  <c r="V16" i="55"/>
  <c r="U16" i="55"/>
  <c r="T16" i="55"/>
  <c r="R16" i="55"/>
  <c r="L16" i="55"/>
  <c r="H16" i="55"/>
  <c r="Y16" i="55" s="1"/>
  <c r="F16" i="55"/>
  <c r="I16" i="55" s="1"/>
  <c r="M16" i="55" s="1"/>
  <c r="V15" i="55"/>
  <c r="U15" i="55"/>
  <c r="T15" i="55"/>
  <c r="R15" i="55"/>
  <c r="L15" i="55"/>
  <c r="I15" i="55"/>
  <c r="M15" i="55" s="1"/>
  <c r="H15" i="55"/>
  <c r="Y15" i="55" s="1"/>
  <c r="F15" i="55"/>
  <c r="V14" i="55"/>
  <c r="U14" i="55"/>
  <c r="T14" i="55"/>
  <c r="R14" i="55"/>
  <c r="L14" i="55"/>
  <c r="V13" i="55"/>
  <c r="U13" i="55"/>
  <c r="T13" i="55"/>
  <c r="R13" i="55"/>
  <c r="L13" i="55"/>
  <c r="H13" i="55"/>
  <c r="W13" i="55" s="1"/>
  <c r="F13" i="55"/>
  <c r="I13" i="55" s="1"/>
  <c r="M13" i="55" s="1"/>
  <c r="V12" i="55"/>
  <c r="U12" i="55"/>
  <c r="T12" i="55"/>
  <c r="R12" i="55"/>
  <c r="L12" i="55"/>
  <c r="G12" i="55"/>
  <c r="H12" i="55" s="1"/>
  <c r="D12" i="55"/>
  <c r="F12" i="55" s="1"/>
  <c r="V11" i="55"/>
  <c r="U11" i="55"/>
  <c r="T11" i="55"/>
  <c r="R11" i="55"/>
  <c r="L11" i="55"/>
  <c r="H11" i="55"/>
  <c r="Y11" i="55" s="1"/>
  <c r="F11" i="55"/>
  <c r="I11" i="55" s="1"/>
  <c r="M11" i="55" s="1"/>
  <c r="V10" i="55"/>
  <c r="U10" i="55"/>
  <c r="T10" i="55"/>
  <c r="R10" i="55"/>
  <c r="L10" i="55"/>
  <c r="J10" i="55"/>
  <c r="H10" i="55"/>
  <c r="W10" i="55" s="1"/>
  <c r="F10" i="55"/>
  <c r="I10" i="55" s="1"/>
  <c r="M10" i="55" s="1"/>
  <c r="V9" i="55"/>
  <c r="U9" i="55"/>
  <c r="T9" i="55"/>
  <c r="R9" i="55"/>
  <c r="L9" i="55"/>
  <c r="G9" i="55"/>
  <c r="D9" i="55"/>
  <c r="H9" i="55" s="1"/>
  <c r="V8" i="55"/>
  <c r="U8" i="55"/>
  <c r="T8" i="55"/>
  <c r="R8" i="55"/>
  <c r="L8" i="55"/>
  <c r="H8" i="55"/>
  <c r="Y8" i="55" s="1"/>
  <c r="F8" i="55"/>
  <c r="I8" i="55" s="1"/>
  <c r="M8" i="55" s="1"/>
  <c r="V7" i="55"/>
  <c r="U7" i="55"/>
  <c r="T7" i="55"/>
  <c r="R7" i="55"/>
  <c r="L7" i="55"/>
  <c r="H7" i="55"/>
  <c r="Y7" i="55" s="1"/>
  <c r="F7" i="55"/>
  <c r="I7" i="55" s="1"/>
  <c r="D12" i="54"/>
  <c r="G12" i="54"/>
  <c r="J40" i="54"/>
  <c r="I39" i="54"/>
  <c r="I40" i="54" s="1"/>
  <c r="M32" i="54"/>
  <c r="I32" i="54"/>
  <c r="J32" i="54" s="1"/>
  <c r="H32" i="54"/>
  <c r="E32" i="54"/>
  <c r="M31" i="54"/>
  <c r="I31" i="54"/>
  <c r="J31" i="54" s="1"/>
  <c r="H31" i="54"/>
  <c r="E31" i="54"/>
  <c r="M30" i="54"/>
  <c r="I30" i="54"/>
  <c r="J30" i="54" s="1"/>
  <c r="H30" i="54"/>
  <c r="E30" i="54"/>
  <c r="M29" i="54"/>
  <c r="J29" i="54"/>
  <c r="I29" i="54"/>
  <c r="H29" i="54"/>
  <c r="E29" i="54"/>
  <c r="M28" i="54"/>
  <c r="I28" i="54"/>
  <c r="J28" i="54" s="1"/>
  <c r="H28" i="54"/>
  <c r="E28" i="54"/>
  <c r="M27" i="54"/>
  <c r="I27" i="54"/>
  <c r="J27" i="54" s="1"/>
  <c r="H27" i="54"/>
  <c r="E27" i="54"/>
  <c r="M26" i="54"/>
  <c r="I26" i="54"/>
  <c r="J26" i="54" s="1"/>
  <c r="H26" i="54"/>
  <c r="E26" i="54"/>
  <c r="L22" i="54"/>
  <c r="Y17" i="54"/>
  <c r="W17" i="54"/>
  <c r="V17" i="54"/>
  <c r="U17" i="54"/>
  <c r="T17" i="54"/>
  <c r="R17" i="54"/>
  <c r="L17" i="54"/>
  <c r="J17" i="54"/>
  <c r="H17" i="54"/>
  <c r="F17" i="54"/>
  <c r="I17" i="54" s="1"/>
  <c r="M17" i="54" s="1"/>
  <c r="Y16" i="54"/>
  <c r="V16" i="54"/>
  <c r="U16" i="54"/>
  <c r="T16" i="54"/>
  <c r="R16" i="54"/>
  <c r="L16" i="54"/>
  <c r="H16" i="54"/>
  <c r="J16" i="54" s="1"/>
  <c r="F16" i="54"/>
  <c r="I16" i="54" s="1"/>
  <c r="M16" i="54" s="1"/>
  <c r="V15" i="54"/>
  <c r="U15" i="54"/>
  <c r="T15" i="54"/>
  <c r="R15" i="54"/>
  <c r="L15" i="54"/>
  <c r="H15" i="54"/>
  <c r="W15" i="54" s="1"/>
  <c r="F15" i="54"/>
  <c r="I15" i="54" s="1"/>
  <c r="M15" i="54" s="1"/>
  <c r="V14" i="54"/>
  <c r="U14" i="54"/>
  <c r="T14" i="54"/>
  <c r="R14" i="54"/>
  <c r="L14" i="54"/>
  <c r="H14" i="54"/>
  <c r="Y14" i="54" s="1"/>
  <c r="F14" i="54"/>
  <c r="I14" i="54" s="1"/>
  <c r="M14" i="54" s="1"/>
  <c r="V13" i="54"/>
  <c r="U13" i="54"/>
  <c r="T13" i="54"/>
  <c r="R13" i="54"/>
  <c r="L13" i="54"/>
  <c r="I13" i="54"/>
  <c r="M13" i="54" s="1"/>
  <c r="H13" i="54"/>
  <c r="W13" i="54" s="1"/>
  <c r="F13" i="54"/>
  <c r="V12" i="54"/>
  <c r="U12" i="54"/>
  <c r="T12" i="54"/>
  <c r="R12" i="54"/>
  <c r="L12" i="54"/>
  <c r="V11" i="54"/>
  <c r="U11" i="54"/>
  <c r="T11" i="54"/>
  <c r="R11" i="54"/>
  <c r="L11" i="54"/>
  <c r="H11" i="54"/>
  <c r="J11" i="54" s="1"/>
  <c r="F11" i="54"/>
  <c r="I11" i="54" s="1"/>
  <c r="M11" i="54" s="1"/>
  <c r="V10" i="54"/>
  <c r="U10" i="54"/>
  <c r="T10" i="54"/>
  <c r="R10" i="54"/>
  <c r="L10" i="54"/>
  <c r="H10" i="54"/>
  <c r="J10" i="54" s="1"/>
  <c r="F10" i="54"/>
  <c r="V9" i="54"/>
  <c r="U9" i="54"/>
  <c r="T9" i="54"/>
  <c r="R9" i="54"/>
  <c r="L9" i="54"/>
  <c r="G9" i="54"/>
  <c r="D9" i="54"/>
  <c r="F9" i="54" s="1"/>
  <c r="I9" i="54" s="1"/>
  <c r="M9" i="54" s="1"/>
  <c r="V8" i="54"/>
  <c r="U8" i="54"/>
  <c r="T8" i="54"/>
  <c r="R8" i="54"/>
  <c r="L8" i="54"/>
  <c r="H8" i="54"/>
  <c r="Y8" i="54" s="1"/>
  <c r="F8" i="54"/>
  <c r="I8" i="54" s="1"/>
  <c r="M8" i="54" s="1"/>
  <c r="V7" i="54"/>
  <c r="U7" i="54"/>
  <c r="T7" i="54"/>
  <c r="R7" i="54"/>
  <c r="L7" i="54"/>
  <c r="H7" i="54"/>
  <c r="W7" i="54" s="1"/>
  <c r="F7" i="54"/>
  <c r="I7" i="54" s="1"/>
  <c r="J77" i="53"/>
  <c r="I76" i="53"/>
  <c r="I77" i="53" s="1"/>
  <c r="I21" i="53"/>
  <c r="M70" i="53"/>
  <c r="I70" i="53"/>
  <c r="J70" i="53" s="1"/>
  <c r="H70" i="53"/>
  <c r="M69" i="53"/>
  <c r="I69" i="53"/>
  <c r="J69" i="53" s="1"/>
  <c r="H69" i="53"/>
  <c r="E69" i="53"/>
  <c r="M68" i="53"/>
  <c r="I68" i="53"/>
  <c r="J68" i="53" s="1"/>
  <c r="H68" i="53"/>
  <c r="E68" i="53"/>
  <c r="M67" i="53"/>
  <c r="I67" i="53"/>
  <c r="J67" i="53" s="1"/>
  <c r="H67" i="53"/>
  <c r="E67" i="53"/>
  <c r="M66" i="53"/>
  <c r="I66" i="53"/>
  <c r="J66" i="53" s="1"/>
  <c r="H66" i="53"/>
  <c r="E66" i="53"/>
  <c r="M65" i="53"/>
  <c r="I65" i="53"/>
  <c r="J65" i="53" s="1"/>
  <c r="H65" i="53"/>
  <c r="M64" i="53"/>
  <c r="H64" i="53"/>
  <c r="I64" i="53"/>
  <c r="J64" i="53" s="1"/>
  <c r="M63" i="53"/>
  <c r="I63" i="53"/>
  <c r="J63" i="53" s="1"/>
  <c r="H63" i="53"/>
  <c r="E63" i="53"/>
  <c r="M62" i="53"/>
  <c r="I62" i="53"/>
  <c r="J62" i="53" s="1"/>
  <c r="H62" i="53"/>
  <c r="M61" i="53"/>
  <c r="I61" i="53"/>
  <c r="J61" i="53" s="1"/>
  <c r="H61" i="53"/>
  <c r="E61" i="53"/>
  <c r="M60" i="53"/>
  <c r="I60" i="53"/>
  <c r="J60" i="53" s="1"/>
  <c r="E60" i="53"/>
  <c r="M59" i="53"/>
  <c r="I59" i="53"/>
  <c r="J59" i="53" s="1"/>
  <c r="H59" i="53"/>
  <c r="E59" i="53"/>
  <c r="M58" i="53"/>
  <c r="I58" i="53"/>
  <c r="J58" i="53" s="1"/>
  <c r="H58" i="53"/>
  <c r="E58" i="53"/>
  <c r="M57" i="53"/>
  <c r="I57" i="53"/>
  <c r="J57" i="53" s="1"/>
  <c r="H57" i="53"/>
  <c r="E57" i="53"/>
  <c r="M56" i="53"/>
  <c r="H56" i="53"/>
  <c r="I56" i="53"/>
  <c r="J56" i="53" s="1"/>
  <c r="M55" i="53"/>
  <c r="I55" i="53"/>
  <c r="J55" i="53" s="1"/>
  <c r="H55" i="53"/>
  <c r="M54" i="53"/>
  <c r="I54" i="53"/>
  <c r="J54" i="53" s="1"/>
  <c r="H54" i="53"/>
  <c r="M53" i="53"/>
  <c r="E53" i="53"/>
  <c r="H53" i="53"/>
  <c r="M52" i="53"/>
  <c r="I52" i="53"/>
  <c r="J52" i="53" s="1"/>
  <c r="H52" i="53"/>
  <c r="E52" i="53"/>
  <c r="M51" i="53"/>
  <c r="I51" i="53"/>
  <c r="J51" i="53" s="1"/>
  <c r="H51" i="53"/>
  <c r="E51" i="53"/>
  <c r="M50" i="53"/>
  <c r="H50" i="53"/>
  <c r="I50" i="53"/>
  <c r="J50" i="53" s="1"/>
  <c r="E50" i="53"/>
  <c r="M49" i="53"/>
  <c r="I49" i="53"/>
  <c r="J49" i="53" s="1"/>
  <c r="H49" i="53"/>
  <c r="E49" i="53"/>
  <c r="M48" i="53"/>
  <c r="I48" i="53"/>
  <c r="J48" i="53" s="1"/>
  <c r="H48" i="53"/>
  <c r="M47" i="53"/>
  <c r="H47" i="53"/>
  <c r="M46" i="53"/>
  <c r="I46" i="53"/>
  <c r="J46" i="53" s="1"/>
  <c r="E46" i="53"/>
  <c r="M45" i="53"/>
  <c r="I45" i="53"/>
  <c r="J45" i="53" s="1"/>
  <c r="H45" i="53"/>
  <c r="E45" i="53"/>
  <c r="M44" i="53"/>
  <c r="I44" i="53"/>
  <c r="J44" i="53" s="1"/>
  <c r="E44" i="53"/>
  <c r="M43" i="53"/>
  <c r="H43" i="53"/>
  <c r="I43" i="53"/>
  <c r="J43" i="53" s="1"/>
  <c r="E43" i="53"/>
  <c r="M42" i="53"/>
  <c r="I42" i="53"/>
  <c r="J42" i="53" s="1"/>
  <c r="E42" i="53"/>
  <c r="M41" i="53"/>
  <c r="I41" i="53"/>
  <c r="J41" i="53" s="1"/>
  <c r="E41" i="53"/>
  <c r="M40" i="53"/>
  <c r="H40" i="53"/>
  <c r="E40" i="53"/>
  <c r="M39" i="53"/>
  <c r="H39" i="53"/>
  <c r="E39" i="53"/>
  <c r="M38" i="53"/>
  <c r="H38" i="53"/>
  <c r="E38" i="53"/>
  <c r="M37" i="53"/>
  <c r="I37" i="53"/>
  <c r="J37" i="53" s="1"/>
  <c r="E37" i="53"/>
  <c r="M36" i="53"/>
  <c r="H36" i="53"/>
  <c r="M35" i="53"/>
  <c r="H35" i="53"/>
  <c r="E35" i="53"/>
  <c r="M34" i="53"/>
  <c r="H34" i="53"/>
  <c r="E34" i="53"/>
  <c r="M33" i="53"/>
  <c r="H33" i="53"/>
  <c r="E33" i="53"/>
  <c r="M32" i="53"/>
  <c r="H32" i="53"/>
  <c r="E32" i="53"/>
  <c r="M31" i="53"/>
  <c r="E31" i="53"/>
  <c r="M30" i="53"/>
  <c r="I30" i="53"/>
  <c r="J30" i="53" s="1"/>
  <c r="H30" i="53"/>
  <c r="E30" i="53"/>
  <c r="M29" i="53"/>
  <c r="H29" i="53"/>
  <c r="I29" i="53"/>
  <c r="J29" i="53" s="1"/>
  <c r="M28" i="53"/>
  <c r="I28" i="53"/>
  <c r="J28" i="53" s="1"/>
  <c r="H28" i="53"/>
  <c r="E28" i="53"/>
  <c r="M27" i="53"/>
  <c r="J27" i="53"/>
  <c r="I27" i="53"/>
  <c r="H27" i="53"/>
  <c r="E27" i="53"/>
  <c r="M26" i="53"/>
  <c r="I26" i="53"/>
  <c r="H26" i="53"/>
  <c r="E26" i="53"/>
  <c r="L22" i="53"/>
  <c r="G18" i="53"/>
  <c r="V17" i="53"/>
  <c r="U17" i="53"/>
  <c r="T17" i="53"/>
  <c r="R17" i="53"/>
  <c r="L17" i="53"/>
  <c r="I17" i="53"/>
  <c r="M17" i="53" s="1"/>
  <c r="H17" i="53"/>
  <c r="W17" i="53" s="1"/>
  <c r="F17" i="53"/>
  <c r="V16" i="53"/>
  <c r="U16" i="53"/>
  <c r="T16" i="53"/>
  <c r="R16" i="53"/>
  <c r="L16" i="53"/>
  <c r="I16" i="53"/>
  <c r="M16" i="53" s="1"/>
  <c r="H16" i="53"/>
  <c r="Y16" i="53" s="1"/>
  <c r="F16" i="53"/>
  <c r="W15" i="53"/>
  <c r="V15" i="53"/>
  <c r="U15" i="53"/>
  <c r="T15" i="53"/>
  <c r="R15" i="53"/>
  <c r="L15" i="53"/>
  <c r="J15" i="53"/>
  <c r="H15" i="53"/>
  <c r="Y15" i="53" s="1"/>
  <c r="F15" i="53"/>
  <c r="Y14" i="53"/>
  <c r="V14" i="53"/>
  <c r="U14" i="53"/>
  <c r="T14" i="53"/>
  <c r="R14" i="53"/>
  <c r="L14" i="53"/>
  <c r="H14" i="53"/>
  <c r="J14" i="53" s="1"/>
  <c r="F14" i="53"/>
  <c r="V13" i="53"/>
  <c r="U13" i="53"/>
  <c r="T13" i="53"/>
  <c r="R13" i="53"/>
  <c r="L13" i="53"/>
  <c r="H13" i="53"/>
  <c r="W13" i="53" s="1"/>
  <c r="F13" i="53"/>
  <c r="I13" i="53" s="1"/>
  <c r="M13" i="53" s="1"/>
  <c r="V12" i="53"/>
  <c r="U12" i="53"/>
  <c r="T12" i="53"/>
  <c r="R12" i="53"/>
  <c r="L12" i="53"/>
  <c r="H12" i="53"/>
  <c r="J12" i="53" s="1"/>
  <c r="F12" i="53"/>
  <c r="I12" i="53" s="1"/>
  <c r="M12" i="53" s="1"/>
  <c r="V11" i="53"/>
  <c r="U11" i="53"/>
  <c r="T11" i="53"/>
  <c r="R11" i="53"/>
  <c r="L11" i="53"/>
  <c r="H11" i="53"/>
  <c r="W11" i="53" s="1"/>
  <c r="F11" i="53"/>
  <c r="I11" i="53" s="1"/>
  <c r="M11" i="53" s="1"/>
  <c r="V10" i="53"/>
  <c r="U10" i="53"/>
  <c r="T10" i="53"/>
  <c r="R10" i="53"/>
  <c r="L10" i="53"/>
  <c r="H10" i="53"/>
  <c r="Y10" i="53" s="1"/>
  <c r="F10" i="53"/>
  <c r="I10" i="53" s="1"/>
  <c r="M10" i="53" s="1"/>
  <c r="V9" i="53"/>
  <c r="U9" i="53"/>
  <c r="T9" i="53"/>
  <c r="R9" i="53"/>
  <c r="L9" i="53"/>
  <c r="G9" i="53"/>
  <c r="D9" i="53"/>
  <c r="F9" i="53" s="1"/>
  <c r="V8" i="53"/>
  <c r="U8" i="53"/>
  <c r="T8" i="53"/>
  <c r="R8" i="53"/>
  <c r="L8" i="53"/>
  <c r="H8" i="53"/>
  <c r="J8" i="53" s="1"/>
  <c r="F8" i="53"/>
  <c r="I8" i="53" s="1"/>
  <c r="M8" i="53" s="1"/>
  <c r="V7" i="53"/>
  <c r="U7" i="53"/>
  <c r="T7" i="53"/>
  <c r="R7" i="53"/>
  <c r="L7" i="53"/>
  <c r="I7" i="53"/>
  <c r="H7" i="53"/>
  <c r="W7" i="53" s="1"/>
  <c r="F7" i="53"/>
  <c r="Z15" i="61" l="1"/>
  <c r="Z17" i="61"/>
  <c r="Z16" i="61"/>
  <c r="Z9" i="61"/>
  <c r="Z12" i="61"/>
  <c r="Z11" i="61"/>
  <c r="Z13" i="61"/>
  <c r="I18" i="61"/>
  <c r="M7" i="61"/>
  <c r="Z10" i="61"/>
  <c r="G19" i="61"/>
  <c r="I22" i="61"/>
  <c r="Z14" i="61"/>
  <c r="Z8" i="61"/>
  <c r="J8" i="61"/>
  <c r="Y8" i="61"/>
  <c r="W8" i="61"/>
  <c r="Z16" i="60"/>
  <c r="Z9" i="60"/>
  <c r="Z13" i="60"/>
  <c r="Z7" i="60"/>
  <c r="Z10" i="60"/>
  <c r="Z17" i="60"/>
  <c r="Z11" i="60"/>
  <c r="Z14" i="60"/>
  <c r="G19" i="60"/>
  <c r="I22" i="60"/>
  <c r="Z8" i="60"/>
  <c r="Z15" i="60"/>
  <c r="I18" i="60"/>
  <c r="M7" i="59"/>
  <c r="I13" i="59"/>
  <c r="M13" i="59" s="1"/>
  <c r="Y7" i="59"/>
  <c r="W7" i="59"/>
  <c r="J7" i="59"/>
  <c r="F18" i="59"/>
  <c r="F20" i="59" s="1"/>
  <c r="Z13" i="59" s="1"/>
  <c r="J11" i="58"/>
  <c r="W11" i="58"/>
  <c r="J14" i="58"/>
  <c r="Y14" i="58"/>
  <c r="I36" i="58"/>
  <c r="Y12" i="58"/>
  <c r="W12" i="58"/>
  <c r="J12" i="58"/>
  <c r="J10" i="58"/>
  <c r="Y10" i="58"/>
  <c r="W10" i="58"/>
  <c r="W13" i="58"/>
  <c r="J13" i="58"/>
  <c r="Y13" i="58"/>
  <c r="I7" i="58"/>
  <c r="J8" i="58"/>
  <c r="Y8" i="58"/>
  <c r="W8" i="58"/>
  <c r="I10" i="58"/>
  <c r="M10" i="58" s="1"/>
  <c r="Y7" i="58"/>
  <c r="W7" i="58"/>
  <c r="J7" i="58"/>
  <c r="I12" i="58"/>
  <c r="M12" i="58" s="1"/>
  <c r="J9" i="58"/>
  <c r="F13" i="58"/>
  <c r="F18" i="58" s="1"/>
  <c r="F20" i="58" s="1"/>
  <c r="Z12" i="58" s="1"/>
  <c r="J16" i="58"/>
  <c r="I17" i="58"/>
  <c r="M17" i="58" s="1"/>
  <c r="G18" i="58"/>
  <c r="W9" i="58"/>
  <c r="W16" i="58"/>
  <c r="J17" i="58"/>
  <c r="W17" i="58"/>
  <c r="H14" i="57"/>
  <c r="Y14" i="57" s="1"/>
  <c r="F14" i="57"/>
  <c r="I14" i="57" s="1"/>
  <c r="M14" i="57" s="1"/>
  <c r="J7" i="57"/>
  <c r="Y7" i="57"/>
  <c r="W7" i="57"/>
  <c r="I9" i="57"/>
  <c r="M9" i="57" s="1"/>
  <c r="Y11" i="57"/>
  <c r="J11" i="57"/>
  <c r="W11" i="57"/>
  <c r="J13" i="57"/>
  <c r="Y13" i="57"/>
  <c r="W13" i="57"/>
  <c r="I7" i="57"/>
  <c r="F18" i="57"/>
  <c r="F20" i="57" s="1"/>
  <c r="Z14" i="57" s="1"/>
  <c r="I11" i="57"/>
  <c r="M11" i="57" s="1"/>
  <c r="J8" i="57"/>
  <c r="I15" i="57"/>
  <c r="M15" i="57" s="1"/>
  <c r="J26" i="57"/>
  <c r="W8" i="57"/>
  <c r="J12" i="57"/>
  <c r="W15" i="57"/>
  <c r="J16" i="57"/>
  <c r="G18" i="57"/>
  <c r="H9" i="57"/>
  <c r="J17" i="57"/>
  <c r="Y10" i="56"/>
  <c r="F13" i="56"/>
  <c r="I13" i="56" s="1"/>
  <c r="M13" i="56" s="1"/>
  <c r="J8" i="56"/>
  <c r="W8" i="56"/>
  <c r="J14" i="56"/>
  <c r="J15" i="56"/>
  <c r="W15" i="56"/>
  <c r="W14" i="56"/>
  <c r="W12" i="56"/>
  <c r="Y12" i="56"/>
  <c r="Y11" i="56"/>
  <c r="W11" i="56"/>
  <c r="J11" i="56"/>
  <c r="I11" i="56"/>
  <c r="M11" i="56" s="1"/>
  <c r="I9" i="56"/>
  <c r="M9" i="56" s="1"/>
  <c r="Y9" i="56"/>
  <c r="W9" i="56"/>
  <c r="J9" i="56"/>
  <c r="H7" i="56"/>
  <c r="J13" i="56"/>
  <c r="M15" i="56"/>
  <c r="W13" i="56"/>
  <c r="J16" i="56"/>
  <c r="I36" i="56"/>
  <c r="J10" i="56"/>
  <c r="W16" i="56"/>
  <c r="J17" i="56"/>
  <c r="I14" i="55"/>
  <c r="M14" i="55" s="1"/>
  <c r="G18" i="55"/>
  <c r="J14" i="55"/>
  <c r="J13" i="55"/>
  <c r="Y13" i="55"/>
  <c r="J9" i="55"/>
  <c r="Y9" i="55"/>
  <c r="W9" i="55"/>
  <c r="I12" i="55"/>
  <c r="M12" i="55" s="1"/>
  <c r="J12" i="55"/>
  <c r="W12" i="55"/>
  <c r="Y12" i="55"/>
  <c r="W7" i="55"/>
  <c r="J8" i="55"/>
  <c r="Y10" i="55"/>
  <c r="W11" i="55"/>
  <c r="Y14" i="55"/>
  <c r="W15" i="55"/>
  <c r="J16" i="55"/>
  <c r="I17" i="55"/>
  <c r="M17" i="55" s="1"/>
  <c r="J7" i="55"/>
  <c r="F9" i="55"/>
  <c r="J11" i="55"/>
  <c r="J15" i="55"/>
  <c r="M7" i="55"/>
  <c r="W8" i="55"/>
  <c r="W16" i="55"/>
  <c r="Y11" i="54"/>
  <c r="W16" i="54"/>
  <c r="W11" i="54"/>
  <c r="W10" i="54"/>
  <c r="W8" i="54"/>
  <c r="Y10" i="54"/>
  <c r="Y15" i="54"/>
  <c r="J8" i="54"/>
  <c r="G18" i="54"/>
  <c r="H12" i="54"/>
  <c r="J12" i="54" s="1"/>
  <c r="W12" i="54"/>
  <c r="F12" i="54"/>
  <c r="I12" i="54" s="1"/>
  <c r="M12" i="54" s="1"/>
  <c r="Y7" i="54"/>
  <c r="J7" i="54"/>
  <c r="M7" i="54"/>
  <c r="I36" i="54"/>
  <c r="H9" i="54"/>
  <c r="I10" i="54"/>
  <c r="M10" i="54" s="1"/>
  <c r="Y13" i="54"/>
  <c r="W14" i="54"/>
  <c r="J15" i="54"/>
  <c r="J13" i="54"/>
  <c r="J14" i="54"/>
  <c r="I31" i="53"/>
  <c r="J31" i="53" s="1"/>
  <c r="I36" i="53"/>
  <c r="J36" i="53" s="1"/>
  <c r="H46" i="53"/>
  <c r="E54" i="53"/>
  <c r="E65" i="53"/>
  <c r="J16" i="53"/>
  <c r="W16" i="53"/>
  <c r="H42" i="53"/>
  <c r="E48" i="53"/>
  <c r="J10" i="53"/>
  <c r="W10" i="53"/>
  <c r="E29" i="53"/>
  <c r="E36" i="53"/>
  <c r="H41" i="53"/>
  <c r="H44" i="53"/>
  <c r="E47" i="53"/>
  <c r="I53" i="53"/>
  <c r="J53" i="53" s="1"/>
  <c r="Y13" i="53"/>
  <c r="W14" i="53"/>
  <c r="I47" i="53"/>
  <c r="J47" i="53" s="1"/>
  <c r="E56" i="53"/>
  <c r="E70" i="53"/>
  <c r="I9" i="53"/>
  <c r="M9" i="53" s="1"/>
  <c r="F18" i="53"/>
  <c r="F20" i="53" s="1"/>
  <c r="Z7" i="53" s="1"/>
  <c r="M7" i="53"/>
  <c r="Y7" i="53"/>
  <c r="W8" i="53"/>
  <c r="H9" i="53"/>
  <c r="Y11" i="53"/>
  <c r="W12" i="53"/>
  <c r="J13" i="53"/>
  <c r="I14" i="53"/>
  <c r="M14" i="53" s="1"/>
  <c r="Y17" i="53"/>
  <c r="I32" i="53"/>
  <c r="J32" i="53" s="1"/>
  <c r="I33" i="53"/>
  <c r="J33" i="53" s="1"/>
  <c r="I34" i="53"/>
  <c r="J34" i="53" s="1"/>
  <c r="I35" i="53"/>
  <c r="J35" i="53" s="1"/>
  <c r="I38" i="53"/>
  <c r="J38" i="53" s="1"/>
  <c r="I39" i="53"/>
  <c r="J39" i="53" s="1"/>
  <c r="I40" i="53"/>
  <c r="J40" i="53" s="1"/>
  <c r="Y8" i="53"/>
  <c r="Y12" i="53"/>
  <c r="I15" i="53"/>
  <c r="M15" i="53" s="1"/>
  <c r="J26" i="53"/>
  <c r="E55" i="53"/>
  <c r="E62" i="53"/>
  <c r="E64" i="53"/>
  <c r="H37" i="53"/>
  <c r="H60" i="53"/>
  <c r="J7" i="53"/>
  <c r="J11" i="53"/>
  <c r="J17" i="53"/>
  <c r="H31" i="53"/>
  <c r="I18" i="59" l="1"/>
  <c r="G19" i="59"/>
  <c r="Z8" i="59"/>
  <c r="I22" i="59"/>
  <c r="Z7" i="59"/>
  <c r="Z9" i="59"/>
  <c r="Z16" i="59"/>
  <c r="Z11" i="59"/>
  <c r="Z12" i="59"/>
  <c r="Z10" i="59"/>
  <c r="Z17" i="59"/>
  <c r="Z15" i="59"/>
  <c r="Z14" i="59"/>
  <c r="Z14" i="58"/>
  <c r="Z10" i="58"/>
  <c r="Z16" i="58"/>
  <c r="Z7" i="58"/>
  <c r="M7" i="58"/>
  <c r="G19" i="58"/>
  <c r="Z8" i="58"/>
  <c r="I22" i="58"/>
  <c r="I13" i="58"/>
  <c r="M13" i="58" s="1"/>
  <c r="Z13" i="58"/>
  <c r="Z9" i="58"/>
  <c r="Z17" i="58"/>
  <c r="Z11" i="58"/>
  <c r="Z15" i="58"/>
  <c r="W14" i="57"/>
  <c r="J14" i="57"/>
  <c r="I22" i="57"/>
  <c r="G19" i="57"/>
  <c r="Z12" i="57"/>
  <c r="Z16" i="57"/>
  <c r="Z7" i="57"/>
  <c r="Z17" i="57"/>
  <c r="Z13" i="57"/>
  <c r="I18" i="57"/>
  <c r="M7" i="57"/>
  <c r="Z15" i="57"/>
  <c r="Z11" i="57"/>
  <c r="Z9" i="57"/>
  <c r="Y9" i="57"/>
  <c r="J9" i="57"/>
  <c r="W9" i="57"/>
  <c r="Z10" i="57"/>
  <c r="Z8" i="57"/>
  <c r="F18" i="56"/>
  <c r="F20" i="56" s="1"/>
  <c r="Z12" i="56" s="1"/>
  <c r="W7" i="56"/>
  <c r="J7" i="56"/>
  <c r="Y7" i="56"/>
  <c r="I18" i="56"/>
  <c r="I9" i="55"/>
  <c r="F18" i="55"/>
  <c r="F20" i="55" s="1"/>
  <c r="Y12" i="54"/>
  <c r="F18" i="54"/>
  <c r="F20" i="54" s="1"/>
  <c r="Z17" i="54" s="1"/>
  <c r="I18" i="54"/>
  <c r="W9" i="54"/>
  <c r="J9" i="54"/>
  <c r="Y9" i="54"/>
  <c r="I73" i="53"/>
  <c r="Z10" i="53"/>
  <c r="Z11" i="53"/>
  <c r="Z13" i="53"/>
  <c r="Z8" i="53"/>
  <c r="Z12" i="53"/>
  <c r="Z17" i="53"/>
  <c r="Z9" i="53"/>
  <c r="Z15" i="53"/>
  <c r="Z14" i="53"/>
  <c r="Y9" i="53"/>
  <c r="W9" i="53"/>
  <c r="J9" i="53"/>
  <c r="G19" i="53"/>
  <c r="I22" i="53"/>
  <c r="Z16" i="53"/>
  <c r="I18" i="53"/>
  <c r="I18" i="58" l="1"/>
  <c r="Z17" i="56"/>
  <c r="Z8" i="56"/>
  <c r="Z16" i="56"/>
  <c r="Z7" i="56"/>
  <c r="Z10" i="56"/>
  <c r="Z9" i="56"/>
  <c r="Z11" i="56"/>
  <c r="I22" i="56"/>
  <c r="Z14" i="56"/>
  <c r="G19" i="56"/>
  <c r="Z15" i="56"/>
  <c r="Z13" i="56"/>
  <c r="G19" i="55"/>
  <c r="I22" i="55"/>
  <c r="Z12" i="55"/>
  <c r="Z16" i="55"/>
  <c r="Z14" i="55"/>
  <c r="Z13" i="55"/>
  <c r="Z17" i="55"/>
  <c r="Z7" i="55"/>
  <c r="Z10" i="55"/>
  <c r="Z15" i="55"/>
  <c r="Z8" i="55"/>
  <c r="Z11" i="55"/>
  <c r="Z9" i="55"/>
  <c r="M9" i="55"/>
  <c r="I18" i="55"/>
  <c r="Z8" i="54"/>
  <c r="Z9" i="54"/>
  <c r="Z13" i="54"/>
  <c r="Z12" i="54"/>
  <c r="Z10" i="54"/>
  <c r="Z15" i="54"/>
  <c r="Z16" i="54"/>
  <c r="Z7" i="54"/>
  <c r="I22" i="54"/>
  <c r="Z11" i="54"/>
  <c r="G19" i="54"/>
  <c r="Z14" i="54"/>
</calcChain>
</file>

<file path=xl/sharedStrings.xml><?xml version="1.0" encoding="utf-8"?>
<sst xmlns="http://schemas.openxmlformats.org/spreadsheetml/2006/main" count="2988" uniqueCount="105">
  <si>
    <t>MANAGED ACCT</t>
  </si>
  <si>
    <t>Current</t>
  </si>
  <si>
    <t>Cost</t>
  </si>
  <si>
    <t xml:space="preserve">P/L </t>
  </si>
  <si>
    <t>Group</t>
  </si>
  <si>
    <t>EPS</t>
  </si>
  <si>
    <t>pivot</t>
  </si>
  <si>
    <t xml:space="preserve">last </t>
  </si>
  <si>
    <t>cost</t>
  </si>
  <si>
    <t xml:space="preserve">Stop </t>
  </si>
  <si>
    <t>Stop</t>
  </si>
  <si>
    <t>%</t>
  </si>
  <si>
    <t>Symbol</t>
  </si>
  <si>
    <t>Position</t>
  </si>
  <si>
    <t>Name</t>
  </si>
  <si>
    <t>Qty</t>
  </si>
  <si>
    <t>Value</t>
  </si>
  <si>
    <t>per share</t>
  </si>
  <si>
    <t>P/L $</t>
  </si>
  <si>
    <t>per sh</t>
  </si>
  <si>
    <t>Date purch</t>
  </si>
  <si>
    <t>days held</t>
  </si>
  <si>
    <t>% incr</t>
  </si>
  <si>
    <t>Rank</t>
  </si>
  <si>
    <t>RS</t>
  </si>
  <si>
    <t>low</t>
  </si>
  <si>
    <t>Loss</t>
  </si>
  <si>
    <t>Loss%</t>
  </si>
  <si>
    <t>of port</t>
  </si>
  <si>
    <t>Long</t>
  </si>
  <si>
    <t>-</t>
  </si>
  <si>
    <t>Sub-Total</t>
  </si>
  <si>
    <t>Cash, other</t>
  </si>
  <si>
    <t>Total</t>
  </si>
  <si>
    <t>Control acct (Doug's IRA)</t>
  </si>
  <si>
    <t>Today</t>
  </si>
  <si>
    <t>Last week's close</t>
  </si>
  <si>
    <t>Week's change</t>
  </si>
  <si>
    <t>days</t>
  </si>
  <si>
    <t>Cost/sh</t>
  </si>
  <si>
    <t>$ cost</t>
  </si>
  <si>
    <t>$Proc</t>
  </si>
  <si>
    <t>Proc/sh</t>
  </si>
  <si>
    <t>Profit/loss</t>
  </si>
  <si>
    <t>Date sold</t>
  </si>
  <si>
    <t>held</t>
  </si>
  <si>
    <t>IBD</t>
  </si>
  <si>
    <t>Comp</t>
  </si>
  <si>
    <t>Due</t>
  </si>
  <si>
    <t>Avg</t>
  </si>
  <si>
    <t># of losses</t>
  </si>
  <si>
    <t># of wins</t>
  </si>
  <si>
    <t>GEV</t>
  </si>
  <si>
    <t>GE Vernova</t>
  </si>
  <si>
    <t>ytd chg %</t>
  </si>
  <si>
    <t>APP</t>
  </si>
  <si>
    <t>AAPL</t>
  </si>
  <si>
    <t>Apple</t>
  </si>
  <si>
    <t>Applovin</t>
  </si>
  <si>
    <t>TSLA</t>
  </si>
  <si>
    <t>Tesla</t>
  </si>
  <si>
    <t>URBN</t>
  </si>
  <si>
    <t>Urban Outfitters</t>
  </si>
  <si>
    <t>UFO</t>
  </si>
  <si>
    <t>Procure Space ETF</t>
  </si>
  <si>
    <t>W/L ratio</t>
  </si>
  <si>
    <t>Total gains</t>
  </si>
  <si>
    <t>2026 Closed Trades - Managed Acct</t>
  </si>
  <si>
    <t>KRMN</t>
  </si>
  <si>
    <t>Karman Hldgs</t>
  </si>
  <si>
    <t>RKT</t>
  </si>
  <si>
    <t>Rocket Cos</t>
  </si>
  <si>
    <t>APH</t>
  </si>
  <si>
    <t>Amphenol</t>
  </si>
  <si>
    <t>SEI</t>
  </si>
  <si>
    <t>Solaris Energy</t>
  </si>
  <si>
    <t>APLD</t>
  </si>
  <si>
    <t>Applied Digital</t>
  </si>
  <si>
    <t>WLDN</t>
  </si>
  <si>
    <t>Wildan</t>
  </si>
  <si>
    <t>Q</t>
  </si>
  <si>
    <t>Qnity Electronics</t>
  </si>
  <si>
    <t>STRL</t>
  </si>
  <si>
    <t>Sterling Infrastruct</t>
  </si>
  <si>
    <t>withdrawal</t>
  </si>
  <si>
    <t>DELL</t>
  </si>
  <si>
    <t>Dell Tech</t>
  </si>
  <si>
    <t>SQM</t>
  </si>
  <si>
    <t>Sociedad Quim</t>
  </si>
  <si>
    <t>MOD</t>
  </si>
  <si>
    <t>Modine Mfg</t>
  </si>
  <si>
    <t>NBIS</t>
  </si>
  <si>
    <t>Nebius Group</t>
  </si>
  <si>
    <t>CLS</t>
  </si>
  <si>
    <t>Celestica</t>
  </si>
  <si>
    <t>CRDO</t>
  </si>
  <si>
    <t>Credo Tech</t>
  </si>
  <si>
    <t>ALMU</t>
  </si>
  <si>
    <t>Aeluma</t>
  </si>
  <si>
    <t>05/15/26 close</t>
  </si>
  <si>
    <t>IREN</t>
  </si>
  <si>
    <t>INTC</t>
  </si>
  <si>
    <t>Intel</t>
  </si>
  <si>
    <t>VIAV</t>
  </si>
  <si>
    <t>Viavi Solutiuons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</si>
</sst>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00"/>
    <numFmt numFmtId="165" formatCode="&quot;$&quot;#,##0.00"/>
    <numFmt numFmtId="166" formatCode="\$#,##0.00_);[Red]&quot;($&quot;#,##0.00\)"/>
    <numFmt numFmtId="167" formatCode="mm/dd/yy"/>
    <numFmt numFmtId="168" formatCode="&quot;$&quot;#,##0"/>
    <numFmt numFmtId="169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u/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/>
    <xf numFmtId="10" fontId="0" fillId="0" borderId="0" xfId="2" applyNumberFormat="1" applyFont="1"/>
    <xf numFmtId="20" fontId="0" fillId="0" borderId="0" xfId="0" applyNumberFormat="1"/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2" fontId="4" fillId="0" borderId="0" xfId="0" applyNumberFormat="1" applyFont="1"/>
    <xf numFmtId="2" fontId="6" fillId="0" borderId="0" xfId="0" applyNumberFormat="1" applyFont="1"/>
    <xf numFmtId="10" fontId="0" fillId="0" borderId="0" xfId="2" applyNumberFormat="1" applyFont="1" applyBorder="1"/>
    <xf numFmtId="0" fontId="0" fillId="0" borderId="0" xfId="0" quotePrefix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/>
    <xf numFmtId="166" fontId="0" fillId="0" borderId="2" xfId="0" applyNumberFormat="1" applyBorder="1"/>
    <xf numFmtId="165" fontId="0" fillId="0" borderId="2" xfId="0" applyNumberFormat="1" applyBorder="1"/>
    <xf numFmtId="165" fontId="0" fillId="0" borderId="2" xfId="0" applyNumberFormat="1" applyBorder="1" applyAlignment="1">
      <alignment horizontal="right"/>
    </xf>
    <xf numFmtId="167" fontId="0" fillId="0" borderId="2" xfId="0" applyNumberFormat="1" applyBorder="1"/>
    <xf numFmtId="10" fontId="0" fillId="0" borderId="2" xfId="0" applyNumberFormat="1" applyBorder="1"/>
    <xf numFmtId="2" fontId="0" fillId="0" borderId="2" xfId="0" applyNumberFormat="1" applyBorder="1"/>
    <xf numFmtId="2" fontId="4" fillId="0" borderId="2" xfId="0" applyNumberFormat="1" applyFont="1" applyBorder="1"/>
    <xf numFmtId="2" fontId="6" fillId="0" borderId="2" xfId="0" applyNumberFormat="1" applyFont="1" applyBorder="1"/>
    <xf numFmtId="10" fontId="0" fillId="0" borderId="2" xfId="2" applyNumberFormat="1" applyFont="1" applyBorder="1"/>
    <xf numFmtId="165" fontId="0" fillId="0" borderId="0" xfId="0" applyNumberFormat="1" applyAlignment="1">
      <alignment horizontal="left"/>
    </xf>
    <xf numFmtId="165" fontId="0" fillId="0" borderId="0" xfId="2" applyNumberFormat="1" applyFont="1" applyAlignment="1">
      <alignment horizontal="right"/>
    </xf>
    <xf numFmtId="168" fontId="0" fillId="0" borderId="0" xfId="0" applyNumberFormat="1"/>
    <xf numFmtId="165" fontId="0" fillId="0" borderId="0" xfId="2" applyNumberFormat="1" applyFont="1"/>
    <xf numFmtId="165" fontId="2" fillId="0" borderId="0" xfId="0" applyNumberFormat="1" applyFont="1" applyAlignment="1">
      <alignment horizontal="left"/>
    </xf>
    <xf numFmtId="0" fontId="3" fillId="0" borderId="0" xfId="0" applyFont="1"/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16" fontId="6" fillId="0" borderId="0" xfId="0" applyNumberFormat="1" applyFont="1" applyAlignment="1">
      <alignment horizontal="center"/>
    </xf>
    <xf numFmtId="3" fontId="0" fillId="0" borderId="0" xfId="0" applyNumberFormat="1"/>
    <xf numFmtId="16" fontId="2" fillId="0" borderId="0" xfId="0" applyNumberFormat="1" applyFont="1" applyAlignment="1">
      <alignment horizontal="center"/>
    </xf>
    <xf numFmtId="169" fontId="0" fillId="0" borderId="0" xfId="2" applyNumberFormat="1" applyFont="1"/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0" borderId="2" xfId="0" applyFont="1" applyBorder="1" applyAlignment="1">
      <alignment horizontal="center"/>
    </xf>
    <xf numFmtId="16" fontId="6" fillId="0" borderId="0" xfId="0" quotePrefix="1" applyNumberFormat="1" applyFont="1" applyAlignment="1">
      <alignment horizontal="center"/>
    </xf>
    <xf numFmtId="3" fontId="0" fillId="0" borderId="3" xfId="0" applyNumberFormat="1" applyBorder="1"/>
    <xf numFmtId="9" fontId="0" fillId="0" borderId="0" xfId="2" applyFont="1"/>
    <xf numFmtId="2" fontId="0" fillId="0" borderId="0" xfId="2" applyNumberFormat="1" applyFont="1"/>
    <xf numFmtId="16" fontId="0" fillId="0" borderId="0" xfId="0" applyNumberFormat="1"/>
    <xf numFmtId="16" fontId="2" fillId="0" borderId="0" xfId="0" quotePrefix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2229-82FF-4A17-B6D9-DC71C2BDC1B4}">
  <sheetPr>
    <pageSetUpPr fitToPage="1"/>
  </sheetPr>
  <dimension ref="A1:AC104"/>
  <sheetViews>
    <sheetView workbookViewId="0">
      <selection activeCell="L21" sqref="L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46022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56</v>
      </c>
      <c r="B7" t="s">
        <v>29</v>
      </c>
      <c r="C7" s="25" t="s">
        <v>57</v>
      </c>
      <c r="D7" s="2">
        <v>288.58530000000002</v>
      </c>
      <c r="E7" s="26">
        <v>271.86</v>
      </c>
      <c r="F7" s="3">
        <f>E7*D7</f>
        <v>78454.799658000004</v>
      </c>
      <c r="G7" s="3">
        <v>78305</v>
      </c>
      <c r="H7" s="4">
        <f>G7/D7</f>
        <v>271.34091722620656</v>
      </c>
      <c r="I7" s="3">
        <f>F7-G7</f>
        <v>149.79965800000355</v>
      </c>
      <c r="J7" s="26">
        <f>E7-H7</f>
        <v>0.51908277379345691</v>
      </c>
      <c r="K7" s="27">
        <v>45971</v>
      </c>
      <c r="L7">
        <f>DAYS360(K7,$C$1)</f>
        <v>51</v>
      </c>
      <c r="M7" s="5">
        <f>(I7/G7)</f>
        <v>1.9130280058745105E-3</v>
      </c>
      <c r="N7" s="9">
        <v>138</v>
      </c>
      <c r="O7">
        <v>79</v>
      </c>
      <c r="P7" s="59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265</v>
      </c>
      <c r="Y7" s="5">
        <f>(X7-H7)/H7</f>
        <v>-2.3368820637251611E-2</v>
      </c>
      <c r="Z7" s="6">
        <f>F7/F$20</f>
        <v>0.13039822416484789</v>
      </c>
      <c r="AB7" s="55">
        <v>46051</v>
      </c>
      <c r="AC7" s="59">
        <v>88</v>
      </c>
    </row>
    <row r="8" spans="1:29" x14ac:dyDescent="0.25">
      <c r="A8" t="s">
        <v>55</v>
      </c>
      <c r="B8" t="s">
        <v>29</v>
      </c>
      <c r="C8" s="25" t="s">
        <v>58</v>
      </c>
      <c r="D8" s="2">
        <v>90.343400000000003</v>
      </c>
      <c r="E8" s="26">
        <v>673.82</v>
      </c>
      <c r="F8" s="3">
        <f>E8*D8</f>
        <v>60875.189788000003</v>
      </c>
      <c r="G8" s="3">
        <v>61276.76</v>
      </c>
      <c r="H8" s="4">
        <f>G8/D8</f>
        <v>678.26493136189254</v>
      </c>
      <c r="I8" s="3">
        <f>F8-G8</f>
        <v>-401.57021199999872</v>
      </c>
      <c r="J8" s="26">
        <f>E8-H8</f>
        <v>-4.4449313618924862</v>
      </c>
      <c r="K8" s="27">
        <v>45995</v>
      </c>
      <c r="L8">
        <f t="shared" ref="L8:L9" si="0">DAYS360(K8,$C$1)</f>
        <v>27</v>
      </c>
      <c r="M8" s="5">
        <f>(I8/G8)</f>
        <v>-6.5533851985646553E-3</v>
      </c>
      <c r="N8" s="9">
        <v>33</v>
      </c>
      <c r="O8">
        <v>95</v>
      </c>
      <c r="P8" s="32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650</v>
      </c>
      <c r="Y8" s="5">
        <f>(X8-H8)/H8</f>
        <v>-4.1672405655912653E-2</v>
      </c>
      <c r="Z8" s="31">
        <f>F8/F$20</f>
        <v>0.10117949033910825</v>
      </c>
      <c r="AB8" s="55">
        <v>46071</v>
      </c>
      <c r="AC8" s="9">
        <v>99</v>
      </c>
    </row>
    <row r="9" spans="1:29" x14ac:dyDescent="0.25">
      <c r="A9" t="s">
        <v>52</v>
      </c>
      <c r="B9" t="s">
        <v>29</v>
      </c>
      <c r="C9" s="25" t="s">
        <v>53</v>
      </c>
      <c r="D9" s="2">
        <f>97.1506+30.2251</f>
        <v>127.37569999999999</v>
      </c>
      <c r="E9" s="26">
        <v>653.57000000000005</v>
      </c>
      <c r="F9" s="3">
        <f>E9*D9</f>
        <v>83248.936249000006</v>
      </c>
      <c r="G9" s="3">
        <f>61467.93+20488.3849</f>
        <v>81956.314899999998</v>
      </c>
      <c r="H9" s="4">
        <f>G9/D9</f>
        <v>643.42189993852833</v>
      </c>
      <c r="I9" s="3">
        <f>F9-G9</f>
        <v>1292.6213490000082</v>
      </c>
      <c r="J9" s="26">
        <f>E9-H9</f>
        <v>10.148100061471723</v>
      </c>
      <c r="K9" s="27">
        <v>46000</v>
      </c>
      <c r="L9">
        <f t="shared" si="0"/>
        <v>22</v>
      </c>
      <c r="M9" s="5">
        <f>(I9/G9)</f>
        <v>1.577207748514823E-2</v>
      </c>
      <c r="N9" s="9">
        <v>49</v>
      </c>
      <c r="O9">
        <v>93</v>
      </c>
      <c r="P9" s="59">
        <v>40</v>
      </c>
      <c r="Q9" s="28">
        <v>664.69</v>
      </c>
      <c r="R9" s="29">
        <f>Q9*0.93</f>
        <v>618.16170000000011</v>
      </c>
      <c r="S9" s="29">
        <v>555.84</v>
      </c>
      <c r="T9" s="28">
        <f>Q9*1.25</f>
        <v>830.86250000000007</v>
      </c>
      <c r="U9" s="28">
        <f>Q9*1.5</f>
        <v>997.03500000000008</v>
      </c>
      <c r="V9" s="28">
        <f>Q9*2</f>
        <v>1329.38</v>
      </c>
      <c r="W9" s="28">
        <f>H9-(H9*0.07)</f>
        <v>598.38236694283137</v>
      </c>
      <c r="X9" s="29">
        <v>630</v>
      </c>
      <c r="Y9" s="5">
        <f>(X9-H9)/H9</f>
        <v>-2.0860185113081537E-2</v>
      </c>
      <c r="Z9" s="6">
        <f>F9/F$20</f>
        <v>0.13836646703329261</v>
      </c>
      <c r="AB9" s="55">
        <v>46050</v>
      </c>
      <c r="AC9" s="9">
        <v>82</v>
      </c>
    </row>
    <row r="10" spans="1:29" x14ac:dyDescent="0.25">
      <c r="A10" t="s">
        <v>59</v>
      </c>
      <c r="B10" t="s">
        <v>29</v>
      </c>
      <c r="C10" s="25" t="s">
        <v>60</v>
      </c>
      <c r="D10" s="2">
        <v>129.2645</v>
      </c>
      <c r="E10" s="26">
        <v>449.72</v>
      </c>
      <c r="F10" s="3">
        <f>E10*D10</f>
        <v>58132.83094</v>
      </c>
      <c r="G10" s="3">
        <v>61897.919999999998</v>
      </c>
      <c r="H10" s="4">
        <f>G10/D10</f>
        <v>478.84701522846564</v>
      </c>
      <c r="I10" s="3">
        <f>F10-G10</f>
        <v>-3765.0890599999984</v>
      </c>
      <c r="J10" s="26">
        <f>E10-H10</f>
        <v>-29.127015228465609</v>
      </c>
      <c r="K10" s="27">
        <v>46006</v>
      </c>
      <c r="L10">
        <f>DAYS360(K10,$C$1)</f>
        <v>16</v>
      </c>
      <c r="M10" s="5">
        <f>(I10/G10)</f>
        <v>-6.0827392261323138E-2</v>
      </c>
      <c r="N10" s="32">
        <v>23</v>
      </c>
      <c r="O10">
        <v>85</v>
      </c>
      <c r="P10" s="60">
        <v>46</v>
      </c>
      <c r="Q10" s="28">
        <v>458.87</v>
      </c>
      <c r="R10" s="29">
        <f>Q10*0.93</f>
        <v>426.7491</v>
      </c>
      <c r="S10" s="29">
        <v>435.25</v>
      </c>
      <c r="T10" s="30">
        <f>Q10*1.25</f>
        <v>573.58749999999998</v>
      </c>
      <c r="U10" s="28">
        <f>Q10*1.5</f>
        <v>688.30500000000006</v>
      </c>
      <c r="V10" s="28">
        <f>Q10*2</f>
        <v>917.74</v>
      </c>
      <c r="W10" s="28">
        <f>H10-(H10*0.07)</f>
        <v>445.32772416247303</v>
      </c>
      <c r="X10" s="29">
        <v>445</v>
      </c>
      <c r="Y10" s="5">
        <f>(X10-H10)/H10</f>
        <v>-7.0684402642285829E-2</v>
      </c>
      <c r="Z10" s="6">
        <f>F10/F$20</f>
        <v>9.6621468072009206E-2</v>
      </c>
      <c r="AB10" s="62">
        <v>46050</v>
      </c>
      <c r="AC10" s="32">
        <v>77</v>
      </c>
    </row>
    <row r="11" spans="1:29" x14ac:dyDescent="0.25">
      <c r="A11" t="s">
        <v>61</v>
      </c>
      <c r="B11" t="s">
        <v>29</v>
      </c>
      <c r="C11" s="25" t="s">
        <v>62</v>
      </c>
      <c r="D11" s="2">
        <v>747.35059999999999</v>
      </c>
      <c r="E11" s="26">
        <v>75.260000000000005</v>
      </c>
      <c r="F11" s="3">
        <f>E11*D11</f>
        <v>56245.606156000002</v>
      </c>
      <c r="G11" s="3">
        <v>61420</v>
      </c>
      <c r="H11" s="4">
        <f>G11/D11</f>
        <v>82.183649815762507</v>
      </c>
      <c r="I11" s="3">
        <f>F11-G11</f>
        <v>-5174.3938439999984</v>
      </c>
      <c r="J11" s="26">
        <f>E11-H11</f>
        <v>-6.9236498157625022</v>
      </c>
      <c r="K11" s="27">
        <v>46009</v>
      </c>
      <c r="L11">
        <f>DAYS360(K11,$C$1)</f>
        <v>13</v>
      </c>
      <c r="M11" s="5">
        <f>(I11/G11)</f>
        <v>-8.4246073656789294E-2</v>
      </c>
      <c r="N11" s="9">
        <v>36</v>
      </c>
      <c r="O11">
        <v>81</v>
      </c>
      <c r="P11" s="60">
        <v>94</v>
      </c>
      <c r="Q11" s="28">
        <v>79.92</v>
      </c>
      <c r="R11" s="29">
        <f>Q11*0.93</f>
        <v>74.325600000000009</v>
      </c>
      <c r="S11" s="29">
        <v>73.66</v>
      </c>
      <c r="T11" s="30">
        <f>Q11*1.25</f>
        <v>99.9</v>
      </c>
      <c r="U11" s="28">
        <f>Q11*1.5</f>
        <v>119.88</v>
      </c>
      <c r="V11" s="28">
        <f>Q11*2</f>
        <v>159.84</v>
      </c>
      <c r="W11" s="28">
        <f>H11-(H11*0.07)</f>
        <v>76.430794328659132</v>
      </c>
      <c r="X11" s="29">
        <v>77</v>
      </c>
      <c r="Y11" s="5">
        <f>(X11-H11)/H11</f>
        <v>-6.3073979159882762E-2</v>
      </c>
      <c r="Z11" s="6">
        <f>F11/F$20</f>
        <v>9.3484747801149459E-2</v>
      </c>
      <c r="AB11" s="55">
        <v>46084</v>
      </c>
      <c r="AC11" s="9">
        <v>98</v>
      </c>
    </row>
    <row r="12" spans="1:29" x14ac:dyDescent="0.25">
      <c r="A12" t="s">
        <v>63</v>
      </c>
      <c r="B12" t="s">
        <v>29</v>
      </c>
      <c r="C12" s="25" t="s">
        <v>64</v>
      </c>
      <c r="D12" s="2">
        <v>774.82709999999997</v>
      </c>
      <c r="E12" s="26">
        <v>38.65</v>
      </c>
      <c r="F12" s="3">
        <f t="shared" ref="F12:F17" si="1">E12*D12</f>
        <v>29947.067414999998</v>
      </c>
      <c r="G12" s="3">
        <v>30380.12</v>
      </c>
      <c r="H12" s="4">
        <f t="shared" ref="H12:H17" si="2">G12/D12</f>
        <v>39.20890221831425</v>
      </c>
      <c r="I12" s="3">
        <f t="shared" ref="I12:I17" si="3">F12-G12</f>
        <v>-433.05258500000127</v>
      </c>
      <c r="J12" s="26">
        <f t="shared" ref="J12:J17" si="4">E12-H12</f>
        <v>-0.5589022183142518</v>
      </c>
      <c r="K12" s="27">
        <v>46021</v>
      </c>
      <c r="L12">
        <f t="shared" ref="L12:L17" si="5">DAYS360(K12,$C$1)</f>
        <v>0</v>
      </c>
      <c r="M12" s="5">
        <f t="shared" ref="M12:M17" si="6">(I12/G12)</f>
        <v>-1.4254472497146202E-2</v>
      </c>
      <c r="N12" s="32" t="s">
        <v>30</v>
      </c>
      <c r="O12">
        <v>91</v>
      </c>
      <c r="P12" s="60" t="s">
        <v>30</v>
      </c>
      <c r="Q12" s="28">
        <v>40.68</v>
      </c>
      <c r="R12" s="29">
        <f t="shared" ref="R12:R17" si="7">Q12*0.93</f>
        <v>37.8324</v>
      </c>
      <c r="S12" s="29">
        <v>35.32</v>
      </c>
      <c r="T12" s="30">
        <f t="shared" ref="T12:T17" si="8">Q12*1.25</f>
        <v>50.85</v>
      </c>
      <c r="U12" s="28">
        <f t="shared" ref="U12:U17" si="9">Q12*1.5</f>
        <v>61.019999999999996</v>
      </c>
      <c r="V12" s="28">
        <f t="shared" ref="V12:V17" si="10">Q12*2</f>
        <v>81.36</v>
      </c>
      <c r="W12" s="28">
        <f t="shared" ref="W12:W17" si="11">H12-(H12*0.07)</f>
        <v>36.464279063032251</v>
      </c>
      <c r="X12" s="29">
        <v>37</v>
      </c>
      <c r="Y12" s="5">
        <f t="shared" ref="Y12:Y17" si="12">(X12-H12)/H12</f>
        <v>-5.6336752455223932E-2</v>
      </c>
      <c r="Z12" s="6">
        <f t="shared" ref="Z12:Z17" si="13">F12/F$20</f>
        <v>4.9774448814907987E-2</v>
      </c>
      <c r="AB12" s="62" t="s">
        <v>30</v>
      </c>
      <c r="AC12" s="32" t="s">
        <v>30</v>
      </c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45361</v>
      </c>
      <c r="M13" s="5" t="e">
        <f t="shared" si="6"/>
        <v>#DIV/0!</v>
      </c>
      <c r="P13" s="59"/>
      <c r="Q13" s="28"/>
      <c r="R13" s="29">
        <f t="shared" si="7"/>
        <v>0</v>
      </c>
      <c r="S13" s="29"/>
      <c r="T13" s="30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1">
        <f t="shared" si="13"/>
        <v>0</v>
      </c>
      <c r="AB13" s="55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45361</v>
      </c>
      <c r="M14" s="5" t="e">
        <f t="shared" si="6"/>
        <v>#DIV/0!</v>
      </c>
      <c r="P14" s="59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5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45361</v>
      </c>
      <c r="M15" s="5" t="e">
        <f t="shared" si="6"/>
        <v>#DIV/0!</v>
      </c>
      <c r="P15" s="59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1">
        <f t="shared" si="13"/>
        <v>0</v>
      </c>
      <c r="AB15" s="55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45361</v>
      </c>
      <c r="M16" s="5" t="e">
        <f t="shared" si="6"/>
        <v>#DIV/0!</v>
      </c>
      <c r="P16" s="59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1">
        <f t="shared" si="13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"/>
        <v>0</v>
      </c>
      <c r="G17" s="37"/>
      <c r="H17" s="38" t="e">
        <f t="shared" si="2"/>
        <v>#DIV/0!</v>
      </c>
      <c r="I17" s="37">
        <f t="shared" si="3"/>
        <v>0</v>
      </c>
      <c r="J17" s="36" t="e">
        <f t="shared" si="4"/>
        <v>#DIV/0!</v>
      </c>
      <c r="K17" s="39"/>
      <c r="L17" s="33">
        <f t="shared" si="5"/>
        <v>45361</v>
      </c>
      <c r="M17" s="40" t="e">
        <f t="shared" si="6"/>
        <v>#DIV/0!</v>
      </c>
      <c r="N17" s="33"/>
      <c r="O17" s="33"/>
      <c r="P17" s="61"/>
      <c r="Q17" s="41"/>
      <c r="R17" s="42">
        <f t="shared" si="7"/>
        <v>0</v>
      </c>
      <c r="S17" s="42"/>
      <c r="T17" s="43">
        <f t="shared" si="8"/>
        <v>0</v>
      </c>
      <c r="U17" s="41">
        <f t="shared" si="9"/>
        <v>0</v>
      </c>
      <c r="V17" s="41">
        <f t="shared" si="10"/>
        <v>0</v>
      </c>
      <c r="W17" s="41" t="e">
        <f t="shared" si="11"/>
        <v>#DIV/0!</v>
      </c>
      <c r="X17" s="42"/>
      <c r="Y17" s="40" t="e">
        <f t="shared" si="12"/>
        <v>#DIV/0!</v>
      </c>
      <c r="Z17" s="44">
        <f t="shared" si="13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366904.43020600005</v>
      </c>
      <c r="G18" s="3">
        <f>SUM(G6:G17)</f>
        <v>375236.11489999999</v>
      </c>
      <c r="H18" s="4"/>
      <c r="I18" s="3">
        <f>SUM(I6:I17)</f>
        <v>-8331.684693999985</v>
      </c>
      <c r="M18" s="5"/>
      <c r="Z18" s="6"/>
    </row>
    <row r="19" spans="1:29" x14ac:dyDescent="0.25">
      <c r="D19" s="2" t="s">
        <v>32</v>
      </c>
      <c r="F19" s="3">
        <v>234751</v>
      </c>
      <c r="G19" s="6">
        <f>F19/F20</f>
        <v>0.39017515377468442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601655.43020600011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 t="e">
        <f>#REF!</f>
        <v>#REF!</v>
      </c>
      <c r="K21" s="1">
        <v>45657</v>
      </c>
      <c r="L21" s="47">
        <v>170762</v>
      </c>
      <c r="M21" s="47">
        <v>208334</v>
      </c>
      <c r="Z21" s="6"/>
    </row>
    <row r="22" spans="1:29" x14ac:dyDescent="0.25">
      <c r="D22" s="2"/>
      <c r="F22" s="3"/>
      <c r="G22" s="48"/>
      <c r="H22" s="4" t="s">
        <v>37</v>
      </c>
      <c r="I22" s="6" t="e">
        <f>(F20-I21)/I21</f>
        <v>#REF!</v>
      </c>
      <c r="K22" s="9" t="s">
        <v>54</v>
      </c>
      <c r="L22" s="6">
        <f>(M21-L21)/L21</f>
        <v>0.22002553261264216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C26" s="25"/>
      <c r="D26" s="2"/>
      <c r="E26" s="54" t="e">
        <f>F26/D26</f>
        <v>#DIV/0!</v>
      </c>
      <c r="F26" s="53"/>
      <c r="G26" s="53"/>
      <c r="H26" s="54" t="e">
        <f>G26/D26</f>
        <v>#DIV/0!</v>
      </c>
      <c r="I26" s="54">
        <f>G26-F26</f>
        <v>0</v>
      </c>
      <c r="J26" s="6" t="e">
        <f>I26/F26</f>
        <v>#DIV/0!</v>
      </c>
      <c r="K26" s="1"/>
      <c r="L26" s="1"/>
      <c r="M26">
        <f t="shared" ref="M26:M38" si="14">DAYS360(K26,L26)</f>
        <v>0</v>
      </c>
      <c r="Q26" s="28"/>
      <c r="S26" s="58"/>
    </row>
    <row r="27" spans="1:29" x14ac:dyDescent="0.25">
      <c r="C27" s="25"/>
      <c r="D27" s="2"/>
      <c r="E27" s="54" t="e">
        <f>F27/D27</f>
        <v>#DIV/0!</v>
      </c>
      <c r="F27" s="3"/>
      <c r="G27" s="53"/>
      <c r="H27" s="54" t="e">
        <f>G27/D27</f>
        <v>#DIV/0!</v>
      </c>
      <c r="I27" s="54">
        <f>G27-F27</f>
        <v>0</v>
      </c>
      <c r="J27" s="6" t="e">
        <f>I27/F27</f>
        <v>#DIV/0!</v>
      </c>
      <c r="K27" s="1"/>
      <c r="L27" s="1"/>
      <c r="M27">
        <f t="shared" si="14"/>
        <v>0</v>
      </c>
      <c r="Q27" s="28"/>
      <c r="S27" s="58"/>
    </row>
    <row r="28" spans="1:29" x14ac:dyDescent="0.25">
      <c r="C28" s="25"/>
      <c r="D28" s="2"/>
      <c r="E28" s="54" t="e">
        <f t="shared" ref="E28:E37" si="15">F28/D28</f>
        <v>#DIV/0!</v>
      </c>
      <c r="F28" s="3"/>
      <c r="G28" s="53"/>
      <c r="H28" s="54" t="e">
        <f t="shared" ref="H28:H70" si="16">G28/D28</f>
        <v>#DIV/0!</v>
      </c>
      <c r="I28" s="54">
        <f t="shared" ref="I28:I70" si="17">G28-F28</f>
        <v>0</v>
      </c>
      <c r="J28" s="6" t="e">
        <f t="shared" ref="J28:J70" si="18">I28/F28</f>
        <v>#DIV/0!</v>
      </c>
      <c r="K28" s="1"/>
      <c r="L28" s="1"/>
      <c r="M28">
        <f t="shared" si="14"/>
        <v>0</v>
      </c>
      <c r="Q28" s="28"/>
      <c r="S28" s="58"/>
    </row>
    <row r="29" spans="1:29" x14ac:dyDescent="0.25">
      <c r="C29" s="25"/>
      <c r="D29" s="2"/>
      <c r="E29" s="54" t="e">
        <f t="shared" si="15"/>
        <v>#DIV/0!</v>
      </c>
      <c r="F29" s="3"/>
      <c r="G29" s="53"/>
      <c r="H29" s="54" t="e">
        <f t="shared" si="16"/>
        <v>#DIV/0!</v>
      </c>
      <c r="I29" s="54">
        <f t="shared" si="17"/>
        <v>0</v>
      </c>
      <c r="J29" s="6" t="e">
        <f t="shared" si="18"/>
        <v>#DIV/0!</v>
      </c>
      <c r="K29" s="1"/>
      <c r="L29" s="1"/>
      <c r="M29">
        <f t="shared" si="14"/>
        <v>0</v>
      </c>
      <c r="Q29" s="28"/>
      <c r="S29" s="58"/>
    </row>
    <row r="30" spans="1:29" x14ac:dyDescent="0.25">
      <c r="C30" s="25"/>
      <c r="D30" s="2"/>
      <c r="E30" s="54" t="e">
        <f t="shared" si="15"/>
        <v>#DIV/0!</v>
      </c>
      <c r="F30" s="3"/>
      <c r="G30" s="53"/>
      <c r="H30" s="54" t="e">
        <f t="shared" si="16"/>
        <v>#DIV/0!</v>
      </c>
      <c r="I30" s="54">
        <f t="shared" si="17"/>
        <v>0</v>
      </c>
      <c r="J30" s="6" t="e">
        <f t="shared" si="18"/>
        <v>#DIV/0!</v>
      </c>
      <c r="K30" s="1"/>
      <c r="L30" s="1"/>
      <c r="M30">
        <f t="shared" si="14"/>
        <v>0</v>
      </c>
      <c r="Q30" s="28"/>
      <c r="S30" s="58"/>
    </row>
    <row r="31" spans="1:29" x14ac:dyDescent="0.25">
      <c r="C31" s="25"/>
      <c r="D31" s="2"/>
      <c r="E31" s="54" t="e">
        <f t="shared" si="15"/>
        <v>#DIV/0!</v>
      </c>
      <c r="F31" s="3"/>
      <c r="G31" s="53"/>
      <c r="H31" s="54" t="e">
        <f t="shared" si="16"/>
        <v>#DIV/0!</v>
      </c>
      <c r="I31" s="54">
        <f t="shared" si="17"/>
        <v>0</v>
      </c>
      <c r="J31" s="6" t="e">
        <f t="shared" si="18"/>
        <v>#DIV/0!</v>
      </c>
      <c r="K31" s="1"/>
      <c r="L31" s="1"/>
      <c r="M31">
        <f t="shared" si="14"/>
        <v>0</v>
      </c>
      <c r="Q31" s="28"/>
      <c r="S31" s="58"/>
    </row>
    <row r="32" spans="1:29" x14ac:dyDescent="0.25">
      <c r="C32" s="25"/>
      <c r="D32" s="2"/>
      <c r="E32" s="54" t="e">
        <f t="shared" si="15"/>
        <v>#DIV/0!</v>
      </c>
      <c r="F32" s="3"/>
      <c r="G32" s="53"/>
      <c r="H32" s="54" t="e">
        <f t="shared" si="16"/>
        <v>#DIV/0!</v>
      </c>
      <c r="I32" s="54">
        <f t="shared" si="17"/>
        <v>0</v>
      </c>
      <c r="J32" s="6" t="e">
        <f t="shared" si="18"/>
        <v>#DIV/0!</v>
      </c>
      <c r="K32" s="1"/>
      <c r="L32" s="1"/>
      <c r="M32">
        <f t="shared" si="14"/>
        <v>0</v>
      </c>
      <c r="Q32" s="28"/>
      <c r="S32" s="58"/>
    </row>
    <row r="33" spans="3:19" x14ac:dyDescent="0.25">
      <c r="C33" s="25"/>
      <c r="D33" s="2"/>
      <c r="E33" s="54" t="e">
        <f t="shared" si="15"/>
        <v>#DIV/0!</v>
      </c>
      <c r="F33" s="3"/>
      <c r="G33" s="53"/>
      <c r="H33" s="54" t="e">
        <f t="shared" si="16"/>
        <v>#DIV/0!</v>
      </c>
      <c r="I33" s="54">
        <f t="shared" si="17"/>
        <v>0</v>
      </c>
      <c r="J33" s="6" t="e">
        <f t="shared" si="18"/>
        <v>#DIV/0!</v>
      </c>
      <c r="K33" s="1"/>
      <c r="L33" s="1"/>
      <c r="M33">
        <f t="shared" si="14"/>
        <v>0</v>
      </c>
      <c r="Q33" s="28"/>
      <c r="S33" s="58"/>
    </row>
    <row r="34" spans="3:19" x14ac:dyDescent="0.25">
      <c r="C34" s="25"/>
      <c r="D34" s="2"/>
      <c r="E34" s="54" t="e">
        <f t="shared" si="15"/>
        <v>#DIV/0!</v>
      </c>
      <c r="F34" s="3"/>
      <c r="G34" s="53"/>
      <c r="H34" s="54" t="e">
        <f t="shared" si="16"/>
        <v>#DIV/0!</v>
      </c>
      <c r="I34" s="54">
        <f t="shared" si="17"/>
        <v>0</v>
      </c>
      <c r="J34" s="6" t="e">
        <f t="shared" si="18"/>
        <v>#DIV/0!</v>
      </c>
      <c r="K34" s="1"/>
      <c r="L34" s="1"/>
      <c r="M34">
        <f t="shared" si="14"/>
        <v>0</v>
      </c>
      <c r="Q34" s="28"/>
      <c r="S34" s="58"/>
    </row>
    <row r="35" spans="3:19" x14ac:dyDescent="0.25">
      <c r="C35" s="25"/>
      <c r="D35" s="2"/>
      <c r="E35" s="54" t="e">
        <f t="shared" si="15"/>
        <v>#DIV/0!</v>
      </c>
      <c r="F35" s="3"/>
      <c r="G35" s="53"/>
      <c r="H35" s="54" t="e">
        <f t="shared" si="16"/>
        <v>#DIV/0!</v>
      </c>
      <c r="I35" s="54">
        <f t="shared" si="17"/>
        <v>0</v>
      </c>
      <c r="J35" s="6" t="e">
        <f t="shared" si="18"/>
        <v>#DIV/0!</v>
      </c>
      <c r="K35" s="1"/>
      <c r="L35" s="1"/>
      <c r="M35">
        <f t="shared" si="14"/>
        <v>0</v>
      </c>
      <c r="Q35" s="28"/>
      <c r="S35" s="58"/>
    </row>
    <row r="36" spans="3:19" x14ac:dyDescent="0.25">
      <c r="C36" s="25"/>
      <c r="D36" s="2"/>
      <c r="E36" s="54" t="e">
        <f t="shared" si="15"/>
        <v>#DIV/0!</v>
      </c>
      <c r="F36" s="3"/>
      <c r="G36" s="53"/>
      <c r="H36" s="54" t="e">
        <f t="shared" si="16"/>
        <v>#DIV/0!</v>
      </c>
      <c r="I36" s="54">
        <f t="shared" si="17"/>
        <v>0</v>
      </c>
      <c r="J36" s="6" t="e">
        <f t="shared" si="18"/>
        <v>#DIV/0!</v>
      </c>
      <c r="K36" s="1"/>
      <c r="L36" s="1"/>
      <c r="M36">
        <f t="shared" si="14"/>
        <v>0</v>
      </c>
      <c r="Q36" s="28"/>
      <c r="S36" s="58"/>
    </row>
    <row r="37" spans="3:19" x14ac:dyDescent="0.25">
      <c r="C37" s="25"/>
      <c r="D37" s="2"/>
      <c r="E37" s="54" t="e">
        <f t="shared" si="15"/>
        <v>#DIV/0!</v>
      </c>
      <c r="F37" s="3"/>
      <c r="G37" s="53"/>
      <c r="H37" s="54" t="e">
        <f t="shared" si="16"/>
        <v>#DIV/0!</v>
      </c>
      <c r="I37" s="54">
        <f t="shared" si="17"/>
        <v>0</v>
      </c>
      <c r="J37" s="6" t="e">
        <f t="shared" si="18"/>
        <v>#DIV/0!</v>
      </c>
      <c r="K37" s="1"/>
      <c r="L37" s="1"/>
      <c r="M37">
        <f t="shared" si="14"/>
        <v>0</v>
      </c>
      <c r="Q37" s="28"/>
      <c r="S37" s="58"/>
    </row>
    <row r="38" spans="3:19" x14ac:dyDescent="0.25">
      <c r="D38" s="2"/>
      <c r="E38" s="54" t="e">
        <f>F38/D38</f>
        <v>#DIV/0!</v>
      </c>
      <c r="F38" s="3"/>
      <c r="G38" s="53"/>
      <c r="H38" s="54" t="e">
        <f t="shared" si="16"/>
        <v>#DIV/0!</v>
      </c>
      <c r="I38" s="54">
        <f t="shared" si="17"/>
        <v>0</v>
      </c>
      <c r="J38" s="6" t="e">
        <f t="shared" si="18"/>
        <v>#DIV/0!</v>
      </c>
      <c r="K38" s="1"/>
      <c r="L38" s="1"/>
      <c r="M38">
        <f t="shared" si="14"/>
        <v>0</v>
      </c>
      <c r="Q38" s="28"/>
      <c r="S38" s="58"/>
    </row>
    <row r="39" spans="3:19" x14ac:dyDescent="0.25">
      <c r="C39" s="25"/>
      <c r="D39" s="2"/>
      <c r="E39" s="54" t="e">
        <f>F39/D39</f>
        <v>#DIV/0!</v>
      </c>
      <c r="F39" s="3"/>
      <c r="G39" s="53"/>
      <c r="H39" s="54" t="e">
        <f t="shared" si="16"/>
        <v>#DIV/0!</v>
      </c>
      <c r="I39" s="54">
        <f t="shared" si="17"/>
        <v>0</v>
      </c>
      <c r="J39" s="6" t="e">
        <f t="shared" si="18"/>
        <v>#DIV/0!</v>
      </c>
      <c r="K39" s="1"/>
      <c r="L39" s="1"/>
      <c r="M39">
        <f>DAYS360(K39,L39)</f>
        <v>0</v>
      </c>
      <c r="Q39" s="28"/>
      <c r="S39" s="58"/>
    </row>
    <row r="40" spans="3:19" x14ac:dyDescent="0.25">
      <c r="C40" s="25"/>
      <c r="D40" s="2"/>
      <c r="E40" s="54" t="e">
        <f>F40/D40</f>
        <v>#DIV/0!</v>
      </c>
      <c r="F40" s="3"/>
      <c r="G40" s="53"/>
      <c r="H40" s="54" t="e">
        <f t="shared" si="16"/>
        <v>#DIV/0!</v>
      </c>
      <c r="I40" s="54">
        <f t="shared" si="17"/>
        <v>0</v>
      </c>
      <c r="J40" s="6" t="e">
        <f t="shared" si="18"/>
        <v>#DIV/0!</v>
      </c>
      <c r="K40" s="1"/>
      <c r="L40" s="1"/>
      <c r="M40">
        <f>DAYS360(K40,L40)</f>
        <v>0</v>
      </c>
      <c r="Q40" s="28"/>
      <c r="S40" s="58"/>
    </row>
    <row r="41" spans="3:19" x14ac:dyDescent="0.25">
      <c r="D41" s="2"/>
      <c r="E41" s="54" t="e">
        <f t="shared" ref="E41:E70" si="19">F41/D41</f>
        <v>#DIV/0!</v>
      </c>
      <c r="F41" s="3"/>
      <c r="G41" s="53"/>
      <c r="H41" s="54" t="e">
        <f t="shared" si="16"/>
        <v>#DIV/0!</v>
      </c>
      <c r="I41" s="54">
        <f t="shared" si="17"/>
        <v>0</v>
      </c>
      <c r="J41" s="6" t="e">
        <f t="shared" si="18"/>
        <v>#DIV/0!</v>
      </c>
      <c r="K41" s="1"/>
      <c r="L41" s="1"/>
      <c r="M41">
        <f t="shared" ref="M41:M70" si="20">DAYS360(K41,L41)</f>
        <v>0</v>
      </c>
      <c r="Q41" s="28"/>
      <c r="S41" s="58"/>
    </row>
    <row r="42" spans="3:19" x14ac:dyDescent="0.25">
      <c r="C42" s="25"/>
      <c r="D42" s="2"/>
      <c r="E42" s="54" t="e">
        <f t="shared" si="19"/>
        <v>#DIV/0!</v>
      </c>
      <c r="F42" s="3"/>
      <c r="G42" s="53"/>
      <c r="H42" s="54" t="e">
        <f t="shared" si="16"/>
        <v>#DIV/0!</v>
      </c>
      <c r="I42" s="54">
        <f t="shared" si="17"/>
        <v>0</v>
      </c>
      <c r="J42" s="6" t="e">
        <f t="shared" si="18"/>
        <v>#DIV/0!</v>
      </c>
      <c r="K42" s="1"/>
      <c r="L42" s="1"/>
      <c r="M42">
        <f t="shared" si="20"/>
        <v>0</v>
      </c>
      <c r="Q42" s="28"/>
      <c r="S42" s="58"/>
    </row>
    <row r="43" spans="3:19" x14ac:dyDescent="0.25">
      <c r="C43" s="25"/>
      <c r="D43" s="2"/>
      <c r="E43" s="54" t="e">
        <f t="shared" si="19"/>
        <v>#DIV/0!</v>
      </c>
      <c r="F43" s="3"/>
      <c r="G43" s="53"/>
      <c r="H43" s="54" t="e">
        <f t="shared" si="16"/>
        <v>#DIV/0!</v>
      </c>
      <c r="I43" s="54">
        <f t="shared" si="17"/>
        <v>0</v>
      </c>
      <c r="J43" s="6" t="e">
        <f t="shared" si="18"/>
        <v>#DIV/0!</v>
      </c>
      <c r="K43" s="1"/>
      <c r="L43" s="1"/>
      <c r="M43">
        <f t="shared" si="20"/>
        <v>0</v>
      </c>
      <c r="Q43" s="28"/>
      <c r="S43" s="58"/>
    </row>
    <row r="44" spans="3:19" x14ac:dyDescent="0.25">
      <c r="C44" s="25"/>
      <c r="D44" s="2"/>
      <c r="E44" s="54" t="e">
        <f t="shared" si="19"/>
        <v>#DIV/0!</v>
      </c>
      <c r="F44" s="3"/>
      <c r="G44" s="53"/>
      <c r="H44" s="54" t="e">
        <f t="shared" si="16"/>
        <v>#DIV/0!</v>
      </c>
      <c r="I44" s="54">
        <f t="shared" si="17"/>
        <v>0</v>
      </c>
      <c r="J44" s="6" t="e">
        <f t="shared" si="18"/>
        <v>#DIV/0!</v>
      </c>
      <c r="K44" s="1"/>
      <c r="L44" s="1"/>
      <c r="M44">
        <f t="shared" si="20"/>
        <v>0</v>
      </c>
      <c r="Q44" s="28"/>
      <c r="S44" s="58"/>
    </row>
    <row r="45" spans="3:19" x14ac:dyDescent="0.25">
      <c r="C45" s="25"/>
      <c r="D45" s="2"/>
      <c r="E45" s="54" t="e">
        <f t="shared" si="19"/>
        <v>#DIV/0!</v>
      </c>
      <c r="F45" s="3"/>
      <c r="G45" s="53"/>
      <c r="H45" s="54" t="e">
        <f t="shared" si="16"/>
        <v>#DIV/0!</v>
      </c>
      <c r="I45" s="54">
        <f t="shared" si="17"/>
        <v>0</v>
      </c>
      <c r="J45" s="6" t="e">
        <f t="shared" si="18"/>
        <v>#DIV/0!</v>
      </c>
      <c r="K45" s="1"/>
      <c r="L45" s="1"/>
      <c r="M45">
        <f t="shared" si="20"/>
        <v>0</v>
      </c>
    </row>
    <row r="46" spans="3:19" x14ac:dyDescent="0.25">
      <c r="C46" s="25"/>
      <c r="D46" s="2"/>
      <c r="E46" s="54" t="e">
        <f t="shared" si="19"/>
        <v>#DIV/0!</v>
      </c>
      <c r="F46" s="3"/>
      <c r="G46" s="53"/>
      <c r="H46" s="54" t="e">
        <f t="shared" si="16"/>
        <v>#DIV/0!</v>
      </c>
      <c r="I46" s="54">
        <f t="shared" si="17"/>
        <v>0</v>
      </c>
      <c r="J46" s="6" t="e">
        <f t="shared" si="18"/>
        <v>#DIV/0!</v>
      </c>
      <c r="K46" s="1"/>
      <c r="L46" s="1"/>
      <c r="M46">
        <f t="shared" si="20"/>
        <v>0</v>
      </c>
    </row>
    <row r="47" spans="3:19" x14ac:dyDescent="0.25">
      <c r="C47" s="25"/>
      <c r="D47" s="2"/>
      <c r="E47" s="54" t="e">
        <f t="shared" si="19"/>
        <v>#DIV/0!</v>
      </c>
      <c r="F47" s="3"/>
      <c r="G47" s="53"/>
      <c r="H47" s="54" t="e">
        <f t="shared" si="16"/>
        <v>#DIV/0!</v>
      </c>
      <c r="I47" s="54">
        <f t="shared" si="17"/>
        <v>0</v>
      </c>
      <c r="J47" s="6" t="e">
        <f t="shared" si="18"/>
        <v>#DIV/0!</v>
      </c>
      <c r="K47" s="1"/>
      <c r="L47" s="1"/>
      <c r="M47">
        <f t="shared" si="20"/>
        <v>0</v>
      </c>
    </row>
    <row r="48" spans="3:19" x14ac:dyDescent="0.25">
      <c r="C48" s="25"/>
      <c r="D48" s="2"/>
      <c r="E48" s="54" t="e">
        <f t="shared" si="19"/>
        <v>#DIV/0!</v>
      </c>
      <c r="F48" s="3"/>
      <c r="G48" s="53"/>
      <c r="H48" s="54" t="e">
        <f t="shared" si="16"/>
        <v>#DIV/0!</v>
      </c>
      <c r="I48" s="54">
        <f t="shared" si="17"/>
        <v>0</v>
      </c>
      <c r="J48" s="6" t="e">
        <f t="shared" si="18"/>
        <v>#DIV/0!</v>
      </c>
      <c r="K48" s="1"/>
      <c r="L48" s="1"/>
      <c r="M48">
        <f t="shared" si="20"/>
        <v>0</v>
      </c>
    </row>
    <row r="49" spans="3:13" x14ac:dyDescent="0.25">
      <c r="C49" s="25"/>
      <c r="D49" s="2"/>
      <c r="E49" s="54" t="e">
        <f t="shared" si="19"/>
        <v>#DIV/0!</v>
      </c>
      <c r="F49" s="3"/>
      <c r="G49" s="53"/>
      <c r="H49" s="54" t="e">
        <f t="shared" si="16"/>
        <v>#DIV/0!</v>
      </c>
      <c r="I49" s="54">
        <f t="shared" si="17"/>
        <v>0</v>
      </c>
      <c r="J49" s="6" t="e">
        <f t="shared" si="18"/>
        <v>#DIV/0!</v>
      </c>
      <c r="K49" s="1"/>
      <c r="L49" s="1"/>
      <c r="M49">
        <f t="shared" si="20"/>
        <v>0</v>
      </c>
    </row>
    <row r="50" spans="3:13" x14ac:dyDescent="0.25">
      <c r="C50" s="25"/>
      <c r="D50" s="2"/>
      <c r="E50" s="54" t="e">
        <f t="shared" si="19"/>
        <v>#DIV/0!</v>
      </c>
      <c r="F50" s="3"/>
      <c r="G50" s="53"/>
      <c r="H50" s="54" t="e">
        <f t="shared" si="16"/>
        <v>#DIV/0!</v>
      </c>
      <c r="I50" s="54">
        <f t="shared" si="17"/>
        <v>0</v>
      </c>
      <c r="J50" s="6" t="e">
        <f t="shared" si="18"/>
        <v>#DIV/0!</v>
      </c>
      <c r="K50" s="1"/>
      <c r="L50" s="1"/>
      <c r="M50">
        <f t="shared" si="20"/>
        <v>0</v>
      </c>
    </row>
    <row r="51" spans="3:13" x14ac:dyDescent="0.25">
      <c r="C51" s="25"/>
      <c r="D51" s="2"/>
      <c r="E51" s="54" t="e">
        <f t="shared" si="19"/>
        <v>#DIV/0!</v>
      </c>
      <c r="F51" s="3"/>
      <c r="G51" s="53"/>
      <c r="H51" s="54" t="e">
        <f t="shared" si="16"/>
        <v>#DIV/0!</v>
      </c>
      <c r="I51" s="54">
        <f t="shared" si="17"/>
        <v>0</v>
      </c>
      <c r="J51" s="6" t="e">
        <f t="shared" si="18"/>
        <v>#DIV/0!</v>
      </c>
      <c r="K51" s="1"/>
      <c r="L51" s="1"/>
      <c r="M51">
        <f t="shared" si="20"/>
        <v>0</v>
      </c>
    </row>
    <row r="52" spans="3:13" x14ac:dyDescent="0.25">
      <c r="C52" s="25"/>
      <c r="D52" s="2"/>
      <c r="E52" s="54" t="e">
        <f t="shared" si="19"/>
        <v>#DIV/0!</v>
      </c>
      <c r="F52" s="3"/>
      <c r="G52" s="53"/>
      <c r="H52" s="54" t="e">
        <f t="shared" si="16"/>
        <v>#DIV/0!</v>
      </c>
      <c r="I52" s="54">
        <f t="shared" si="17"/>
        <v>0</v>
      </c>
      <c r="J52" s="6" t="e">
        <f t="shared" si="18"/>
        <v>#DIV/0!</v>
      </c>
      <c r="K52" s="1"/>
      <c r="L52" s="1"/>
      <c r="M52">
        <f t="shared" si="20"/>
        <v>0</v>
      </c>
    </row>
    <row r="53" spans="3:13" x14ac:dyDescent="0.25">
      <c r="C53" s="25"/>
      <c r="D53" s="2"/>
      <c r="E53" s="54" t="e">
        <f t="shared" si="19"/>
        <v>#DIV/0!</v>
      </c>
      <c r="F53" s="3"/>
      <c r="G53" s="53"/>
      <c r="H53" s="54" t="e">
        <f t="shared" si="16"/>
        <v>#DIV/0!</v>
      </c>
      <c r="I53" s="54">
        <f t="shared" si="17"/>
        <v>0</v>
      </c>
      <c r="J53" s="6" t="e">
        <f t="shared" si="18"/>
        <v>#DIV/0!</v>
      </c>
      <c r="K53" s="1"/>
      <c r="L53" s="1"/>
      <c r="M53">
        <f t="shared" si="20"/>
        <v>0</v>
      </c>
    </row>
    <row r="54" spans="3:13" x14ac:dyDescent="0.25">
      <c r="C54" s="25"/>
      <c r="D54" s="2"/>
      <c r="E54" s="54" t="e">
        <f t="shared" si="19"/>
        <v>#DIV/0!</v>
      </c>
      <c r="F54" s="3"/>
      <c r="G54" s="53"/>
      <c r="H54" s="54" t="e">
        <f t="shared" si="16"/>
        <v>#DIV/0!</v>
      </c>
      <c r="I54" s="54">
        <f t="shared" si="17"/>
        <v>0</v>
      </c>
      <c r="J54" s="6" t="e">
        <f t="shared" si="18"/>
        <v>#DIV/0!</v>
      </c>
      <c r="K54" s="1"/>
      <c r="L54" s="1"/>
      <c r="M54">
        <f t="shared" si="20"/>
        <v>0</v>
      </c>
    </row>
    <row r="55" spans="3:13" x14ac:dyDescent="0.25">
      <c r="C55" s="25"/>
      <c r="D55" s="2"/>
      <c r="E55" s="54" t="e">
        <f t="shared" si="19"/>
        <v>#DIV/0!</v>
      </c>
      <c r="F55" s="3"/>
      <c r="G55" s="53"/>
      <c r="H55" s="54" t="e">
        <f t="shared" si="16"/>
        <v>#DIV/0!</v>
      </c>
      <c r="I55" s="54">
        <f t="shared" si="17"/>
        <v>0</v>
      </c>
      <c r="J55" s="6" t="e">
        <f t="shared" si="18"/>
        <v>#DIV/0!</v>
      </c>
      <c r="K55" s="1"/>
      <c r="L55" s="1"/>
      <c r="M55">
        <f t="shared" si="20"/>
        <v>0</v>
      </c>
    </row>
    <row r="56" spans="3:13" x14ac:dyDescent="0.25">
      <c r="D56" s="2"/>
      <c r="E56" s="54" t="e">
        <f t="shared" si="19"/>
        <v>#DIV/0!</v>
      </c>
      <c r="F56" s="3"/>
      <c r="G56" s="53"/>
      <c r="H56" s="54" t="e">
        <f t="shared" si="16"/>
        <v>#DIV/0!</v>
      </c>
      <c r="I56" s="54">
        <f t="shared" si="17"/>
        <v>0</v>
      </c>
      <c r="J56" s="6" t="e">
        <f t="shared" si="18"/>
        <v>#DIV/0!</v>
      </c>
      <c r="K56" s="1"/>
      <c r="L56" s="1"/>
      <c r="M56">
        <f t="shared" si="20"/>
        <v>0</v>
      </c>
    </row>
    <row r="57" spans="3:13" x14ac:dyDescent="0.25">
      <c r="C57" s="25"/>
      <c r="D57" s="2"/>
      <c r="E57" s="54" t="e">
        <f t="shared" si="19"/>
        <v>#DIV/0!</v>
      </c>
      <c r="F57" s="3"/>
      <c r="G57" s="53"/>
      <c r="H57" s="54" t="e">
        <f t="shared" si="16"/>
        <v>#DIV/0!</v>
      </c>
      <c r="I57" s="54">
        <f t="shared" si="17"/>
        <v>0</v>
      </c>
      <c r="J57" s="6" t="e">
        <f t="shared" si="18"/>
        <v>#DIV/0!</v>
      </c>
      <c r="K57" s="1"/>
      <c r="L57" s="1"/>
      <c r="M57">
        <f t="shared" si="20"/>
        <v>0</v>
      </c>
    </row>
    <row r="58" spans="3:13" x14ac:dyDescent="0.25">
      <c r="C58" s="25"/>
      <c r="D58" s="2"/>
      <c r="E58" s="54" t="e">
        <f t="shared" si="19"/>
        <v>#DIV/0!</v>
      </c>
      <c r="F58" s="3"/>
      <c r="G58" s="53"/>
      <c r="H58" s="54" t="e">
        <f t="shared" si="16"/>
        <v>#DIV/0!</v>
      </c>
      <c r="I58" s="54">
        <f t="shared" si="17"/>
        <v>0</v>
      </c>
      <c r="J58" s="6" t="e">
        <f t="shared" si="18"/>
        <v>#DIV/0!</v>
      </c>
      <c r="K58" s="1"/>
      <c r="L58" s="1"/>
      <c r="M58">
        <f t="shared" si="20"/>
        <v>0</v>
      </c>
    </row>
    <row r="59" spans="3:13" x14ac:dyDescent="0.25">
      <c r="C59" s="25"/>
      <c r="D59" s="2"/>
      <c r="E59" s="54" t="e">
        <f t="shared" si="19"/>
        <v>#DIV/0!</v>
      </c>
      <c r="F59" s="3"/>
      <c r="G59" s="53"/>
      <c r="H59" s="54" t="e">
        <f t="shared" si="16"/>
        <v>#DIV/0!</v>
      </c>
      <c r="I59" s="54">
        <f t="shared" si="17"/>
        <v>0</v>
      </c>
      <c r="J59" s="6" t="e">
        <f t="shared" si="18"/>
        <v>#DIV/0!</v>
      </c>
      <c r="K59" s="1"/>
      <c r="L59" s="1"/>
      <c r="M59">
        <f t="shared" si="20"/>
        <v>0</v>
      </c>
    </row>
    <row r="60" spans="3:13" x14ac:dyDescent="0.25">
      <c r="C60" s="25"/>
      <c r="D60" s="2"/>
      <c r="E60" s="54" t="e">
        <f t="shared" si="19"/>
        <v>#DIV/0!</v>
      </c>
      <c r="F60" s="3"/>
      <c r="G60" s="53"/>
      <c r="H60" s="54" t="e">
        <f t="shared" si="16"/>
        <v>#DIV/0!</v>
      </c>
      <c r="I60" s="54">
        <f t="shared" si="17"/>
        <v>0</v>
      </c>
      <c r="J60" s="6" t="e">
        <f t="shared" si="18"/>
        <v>#DIV/0!</v>
      </c>
      <c r="K60" s="1"/>
      <c r="L60" s="1"/>
      <c r="M60">
        <f t="shared" si="20"/>
        <v>0</v>
      </c>
    </row>
    <row r="61" spans="3:13" x14ac:dyDescent="0.25">
      <c r="C61" s="25"/>
      <c r="D61" s="2"/>
      <c r="E61" s="54" t="e">
        <f t="shared" si="19"/>
        <v>#DIV/0!</v>
      </c>
      <c r="F61" s="3"/>
      <c r="G61" s="53"/>
      <c r="H61" s="54" t="e">
        <f t="shared" si="16"/>
        <v>#DIV/0!</v>
      </c>
      <c r="I61" s="54">
        <f t="shared" si="17"/>
        <v>0</v>
      </c>
      <c r="J61" s="6" t="e">
        <f t="shared" si="18"/>
        <v>#DIV/0!</v>
      </c>
      <c r="K61" s="1"/>
      <c r="L61" s="1"/>
      <c r="M61">
        <f t="shared" si="20"/>
        <v>0</v>
      </c>
    </row>
    <row r="62" spans="3:13" x14ac:dyDescent="0.25">
      <c r="C62" s="25"/>
      <c r="D62" s="2"/>
      <c r="E62" s="54" t="e">
        <f t="shared" si="19"/>
        <v>#DIV/0!</v>
      </c>
      <c r="F62" s="3"/>
      <c r="G62" s="53"/>
      <c r="H62" s="54" t="e">
        <f t="shared" si="16"/>
        <v>#DIV/0!</v>
      </c>
      <c r="I62" s="54">
        <f t="shared" si="17"/>
        <v>0</v>
      </c>
      <c r="J62" s="6" t="e">
        <f t="shared" si="18"/>
        <v>#DIV/0!</v>
      </c>
      <c r="K62" s="1"/>
      <c r="L62" s="1"/>
      <c r="M62">
        <f t="shared" si="20"/>
        <v>0</v>
      </c>
    </row>
    <row r="63" spans="3:13" x14ac:dyDescent="0.25">
      <c r="C63" s="25"/>
      <c r="D63" s="2"/>
      <c r="E63" s="54" t="e">
        <f t="shared" si="19"/>
        <v>#DIV/0!</v>
      </c>
      <c r="F63" s="3"/>
      <c r="G63" s="53"/>
      <c r="H63" s="54" t="e">
        <f t="shared" si="16"/>
        <v>#DIV/0!</v>
      </c>
      <c r="I63" s="54">
        <f t="shared" si="17"/>
        <v>0</v>
      </c>
      <c r="J63" s="6" t="e">
        <f t="shared" si="18"/>
        <v>#DIV/0!</v>
      </c>
      <c r="K63" s="1"/>
      <c r="L63" s="1"/>
      <c r="M63">
        <f t="shared" si="20"/>
        <v>0</v>
      </c>
    </row>
    <row r="64" spans="3:13" x14ac:dyDescent="0.25">
      <c r="C64" s="25"/>
      <c r="D64" s="2"/>
      <c r="E64" s="54" t="e">
        <f t="shared" si="19"/>
        <v>#DIV/0!</v>
      </c>
      <c r="F64" s="3"/>
      <c r="G64" s="53"/>
      <c r="H64" s="54" t="e">
        <f t="shared" si="16"/>
        <v>#DIV/0!</v>
      </c>
      <c r="I64" s="54">
        <f t="shared" si="17"/>
        <v>0</v>
      </c>
      <c r="J64" s="6" t="e">
        <f t="shared" si="18"/>
        <v>#DIV/0!</v>
      </c>
      <c r="K64" s="1"/>
      <c r="L64" s="1"/>
      <c r="M64">
        <f t="shared" si="20"/>
        <v>0</v>
      </c>
    </row>
    <row r="65" spans="3:13" x14ac:dyDescent="0.25">
      <c r="C65" s="25"/>
      <c r="D65" s="2"/>
      <c r="E65" s="54" t="e">
        <f t="shared" si="19"/>
        <v>#DIV/0!</v>
      </c>
      <c r="F65" s="3"/>
      <c r="G65" s="53"/>
      <c r="H65" s="54" t="e">
        <f t="shared" si="16"/>
        <v>#DIV/0!</v>
      </c>
      <c r="I65" s="54">
        <f t="shared" si="17"/>
        <v>0</v>
      </c>
      <c r="J65" s="6" t="e">
        <f t="shared" si="18"/>
        <v>#DIV/0!</v>
      </c>
      <c r="K65" s="1"/>
      <c r="L65" s="1"/>
      <c r="M65">
        <f t="shared" si="20"/>
        <v>0</v>
      </c>
    </row>
    <row r="66" spans="3:13" x14ac:dyDescent="0.25">
      <c r="C66" s="25"/>
      <c r="D66" s="2"/>
      <c r="E66" s="54" t="e">
        <f t="shared" si="19"/>
        <v>#DIV/0!</v>
      </c>
      <c r="F66" s="3"/>
      <c r="G66" s="53"/>
      <c r="H66" s="54" t="e">
        <f t="shared" si="16"/>
        <v>#DIV/0!</v>
      </c>
      <c r="I66" s="54">
        <f t="shared" si="17"/>
        <v>0</v>
      </c>
      <c r="J66" s="6" t="e">
        <f t="shared" si="18"/>
        <v>#DIV/0!</v>
      </c>
      <c r="K66" s="1"/>
      <c r="L66" s="1"/>
      <c r="M66">
        <f t="shared" si="20"/>
        <v>0</v>
      </c>
    </row>
    <row r="67" spans="3:13" x14ac:dyDescent="0.25">
      <c r="C67" s="25"/>
      <c r="D67" s="2"/>
      <c r="E67" s="54" t="e">
        <f t="shared" si="19"/>
        <v>#DIV/0!</v>
      </c>
      <c r="F67" s="3"/>
      <c r="G67" s="53"/>
      <c r="H67" s="54" t="e">
        <f t="shared" si="16"/>
        <v>#DIV/0!</v>
      </c>
      <c r="I67" s="54">
        <f t="shared" si="17"/>
        <v>0</v>
      </c>
      <c r="J67" s="6" t="e">
        <f t="shared" si="18"/>
        <v>#DIV/0!</v>
      </c>
      <c r="K67" s="1"/>
      <c r="L67" s="1"/>
      <c r="M67">
        <f t="shared" si="20"/>
        <v>0</v>
      </c>
    </row>
    <row r="68" spans="3:13" x14ac:dyDescent="0.25">
      <c r="C68" s="25"/>
      <c r="D68" s="2"/>
      <c r="E68" s="54" t="e">
        <f t="shared" si="19"/>
        <v>#DIV/0!</v>
      </c>
      <c r="F68" s="3"/>
      <c r="G68" s="53"/>
      <c r="H68" s="54" t="e">
        <f t="shared" si="16"/>
        <v>#DIV/0!</v>
      </c>
      <c r="I68" s="54">
        <f t="shared" si="17"/>
        <v>0</v>
      </c>
      <c r="J68" s="6" t="e">
        <f t="shared" si="18"/>
        <v>#DIV/0!</v>
      </c>
      <c r="K68" s="1"/>
      <c r="L68" s="1"/>
      <c r="M68">
        <f t="shared" si="20"/>
        <v>0</v>
      </c>
    </row>
    <row r="69" spans="3:13" x14ac:dyDescent="0.25">
      <c r="C69" s="25"/>
      <c r="D69" s="2"/>
      <c r="E69" s="54" t="e">
        <f t="shared" si="19"/>
        <v>#DIV/0!</v>
      </c>
      <c r="F69" s="3"/>
      <c r="G69" s="53"/>
      <c r="H69" s="54" t="e">
        <f t="shared" si="16"/>
        <v>#DIV/0!</v>
      </c>
      <c r="I69" s="54">
        <f t="shared" si="17"/>
        <v>0</v>
      </c>
      <c r="J69" s="6" t="e">
        <f t="shared" si="18"/>
        <v>#DIV/0!</v>
      </c>
      <c r="K69" s="1"/>
      <c r="L69" s="1"/>
      <c r="M69">
        <f t="shared" si="20"/>
        <v>0</v>
      </c>
    </row>
    <row r="70" spans="3:13" x14ac:dyDescent="0.25">
      <c r="C70" s="25"/>
      <c r="D70" s="2"/>
      <c r="E70" s="54" t="e">
        <f t="shared" si="19"/>
        <v>#DIV/0!</v>
      </c>
      <c r="F70" s="3"/>
      <c r="G70" s="53"/>
      <c r="H70" s="54" t="e">
        <f t="shared" si="16"/>
        <v>#DIV/0!</v>
      </c>
      <c r="I70" s="54">
        <f t="shared" si="17"/>
        <v>0</v>
      </c>
      <c r="J70" s="6" t="e">
        <f t="shared" si="18"/>
        <v>#DIV/0!</v>
      </c>
      <c r="K70" s="1"/>
      <c r="L70" s="1"/>
      <c r="M70">
        <f t="shared" si="20"/>
        <v>0</v>
      </c>
    </row>
    <row r="71" spans="3:13" x14ac:dyDescent="0.25">
      <c r="C71" s="25"/>
      <c r="D71" s="2"/>
      <c r="E71" s="54"/>
      <c r="F71" s="3"/>
      <c r="G71" s="53"/>
      <c r="H71" s="54"/>
      <c r="I71" s="54"/>
      <c r="J71" s="6"/>
      <c r="K71" s="1"/>
      <c r="L71" s="1"/>
    </row>
    <row r="72" spans="3:13" x14ac:dyDescent="0.25">
      <c r="C72" s="25"/>
      <c r="D72" s="2"/>
      <c r="E72" s="54"/>
      <c r="F72" s="3"/>
      <c r="G72" s="53"/>
      <c r="H72" s="54"/>
      <c r="I72" s="54"/>
      <c r="J72" s="6"/>
      <c r="K72" s="1"/>
      <c r="L72" s="1"/>
    </row>
    <row r="73" spans="3:13" x14ac:dyDescent="0.25">
      <c r="F73" s="53"/>
      <c r="G73" s="53"/>
      <c r="H73" s="3" t="s">
        <v>66</v>
      </c>
      <c r="I73" s="3">
        <f>SUM(I26:I70)</f>
        <v>0</v>
      </c>
      <c r="J73" s="13" t="s">
        <v>49</v>
      </c>
    </row>
    <row r="74" spans="3:13" x14ac:dyDescent="0.25">
      <c r="F74" s="53"/>
      <c r="G74" s="53"/>
      <c r="H74" s="3" t="s">
        <v>50</v>
      </c>
      <c r="I74" s="56"/>
      <c r="J74" s="5"/>
    </row>
    <row r="75" spans="3:13" x14ac:dyDescent="0.25">
      <c r="F75" s="53"/>
      <c r="G75" s="53"/>
      <c r="H75" s="3" t="s">
        <v>51</v>
      </c>
      <c r="I75" s="63"/>
      <c r="J75" s="5"/>
    </row>
    <row r="76" spans="3:13" x14ac:dyDescent="0.25">
      <c r="F76" s="53"/>
      <c r="G76" s="53"/>
      <c r="I76" s="56">
        <f>SUM(I74:I75)</f>
        <v>0</v>
      </c>
      <c r="J76" s="6"/>
    </row>
    <row r="77" spans="3:13" x14ac:dyDescent="0.25">
      <c r="F77" s="53"/>
      <c r="G77" s="53"/>
      <c r="H77" t="s">
        <v>65</v>
      </c>
      <c r="I77" s="64" t="e">
        <f>I75/I76</f>
        <v>#DIV/0!</v>
      </c>
      <c r="J77" s="65" t="e">
        <f>J75/J74*-1</f>
        <v>#DIV/0!</v>
      </c>
    </row>
    <row r="78" spans="3:13" x14ac:dyDescent="0.25">
      <c r="F78" s="53"/>
      <c r="G78" s="53"/>
      <c r="J78" s="6"/>
    </row>
    <row r="79" spans="3:13" x14ac:dyDescent="0.25">
      <c r="F79" s="53"/>
      <c r="G79" s="53"/>
      <c r="J79" s="6"/>
    </row>
    <row r="80" spans="3:13" x14ac:dyDescent="0.25">
      <c r="F80" s="53"/>
      <c r="G80" s="53"/>
      <c r="J80" s="6"/>
    </row>
    <row r="81" spans="6:10" x14ac:dyDescent="0.25">
      <c r="F81" s="53"/>
      <c r="G81" s="53"/>
      <c r="J81" s="6"/>
    </row>
    <row r="82" spans="6:10" x14ac:dyDescent="0.25">
      <c r="F82" s="53"/>
      <c r="G82" s="53"/>
      <c r="J82" s="6"/>
    </row>
    <row r="83" spans="6:10" x14ac:dyDescent="0.25">
      <c r="F83" s="53"/>
      <c r="G83" s="53"/>
      <c r="J83" s="6"/>
    </row>
    <row r="84" spans="6:10" x14ac:dyDescent="0.25">
      <c r="F84" s="53"/>
      <c r="G84" s="53"/>
      <c r="J84" s="6"/>
    </row>
    <row r="85" spans="6:10" x14ac:dyDescent="0.25">
      <c r="F85" s="53"/>
      <c r="G85" s="53"/>
      <c r="J85" s="6"/>
    </row>
    <row r="86" spans="6:10" x14ac:dyDescent="0.25">
      <c r="F86" s="53"/>
      <c r="G86" s="53"/>
      <c r="J86" s="6"/>
    </row>
    <row r="87" spans="6:10" x14ac:dyDescent="0.25">
      <c r="F87" s="53"/>
      <c r="G87" s="53"/>
      <c r="J87" s="6"/>
    </row>
    <row r="88" spans="6:10" x14ac:dyDescent="0.25">
      <c r="F88" s="53"/>
      <c r="G88" s="53"/>
      <c r="J88" s="6"/>
    </row>
    <row r="89" spans="6:10" x14ac:dyDescent="0.25">
      <c r="F89" s="53"/>
      <c r="G89" s="53"/>
      <c r="J89" s="6"/>
    </row>
    <row r="90" spans="6:10" x14ac:dyDescent="0.25">
      <c r="F90" s="53"/>
      <c r="G90" s="53"/>
      <c r="J90" s="6"/>
    </row>
    <row r="91" spans="6:10" x14ac:dyDescent="0.25">
      <c r="F91" s="53"/>
      <c r="G91" s="53"/>
      <c r="J91" s="6"/>
    </row>
    <row r="92" spans="6:10" x14ac:dyDescent="0.25">
      <c r="F92" s="53"/>
      <c r="G92" s="53"/>
      <c r="J92" s="6"/>
    </row>
    <row r="93" spans="6:10" x14ac:dyDescent="0.25">
      <c r="F93" s="53"/>
      <c r="G93" s="53"/>
      <c r="J93" s="6"/>
    </row>
    <row r="94" spans="6:10" x14ac:dyDescent="0.25">
      <c r="F94" s="53"/>
      <c r="G94" s="53"/>
      <c r="J94" s="6"/>
    </row>
    <row r="95" spans="6:10" x14ac:dyDescent="0.25">
      <c r="F95" s="53"/>
      <c r="G95" s="53"/>
      <c r="J95" s="6"/>
    </row>
    <row r="96" spans="6:10" x14ac:dyDescent="0.25">
      <c r="F96" s="53"/>
      <c r="G96" s="53"/>
      <c r="J96" s="6"/>
    </row>
    <row r="97" spans="6:10" x14ac:dyDescent="0.25">
      <c r="F97" s="53"/>
      <c r="G97" s="53"/>
      <c r="J97" s="6"/>
    </row>
    <row r="98" spans="6:10" x14ac:dyDescent="0.25">
      <c r="F98" s="53"/>
      <c r="G98" s="53"/>
      <c r="J98" s="6"/>
    </row>
    <row r="99" spans="6:10" x14ac:dyDescent="0.25">
      <c r="F99" s="53"/>
      <c r="G99" s="53"/>
    </row>
    <row r="100" spans="6:10" x14ac:dyDescent="0.25">
      <c r="F100" s="53"/>
      <c r="G100" s="53"/>
    </row>
    <row r="101" spans="6:10" x14ac:dyDescent="0.25">
      <c r="F101" s="53"/>
      <c r="G101" s="53"/>
    </row>
    <row r="102" spans="6:10" x14ac:dyDescent="0.25">
      <c r="F102" s="53"/>
      <c r="G102" s="53"/>
    </row>
    <row r="103" spans="6:10" x14ac:dyDescent="0.25">
      <c r="F103" s="53"/>
      <c r="G103" s="53"/>
    </row>
    <row r="104" spans="6:10" x14ac:dyDescent="0.25">
      <c r="F104" s="53"/>
      <c r="G104" s="53"/>
    </row>
  </sheetData>
  <pageMargins left="0.25" right="0.25" top="0.75" bottom="0.75" header="0.3" footer="0.3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A3E7-5D4B-446D-9597-F407EB5D16DA}">
  <dimension ref="A1:AC6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C1" s="1">
        <v>46024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56</v>
      </c>
      <c r="B7" t="s">
        <v>29</v>
      </c>
      <c r="C7" s="25" t="s">
        <v>57</v>
      </c>
      <c r="D7" s="2">
        <v>288.58530000000002</v>
      </c>
      <c r="E7" s="26">
        <v>271.86</v>
      </c>
      <c r="F7" s="3">
        <f>E7*D7</f>
        <v>78454.799658000004</v>
      </c>
      <c r="G7" s="3">
        <v>78305</v>
      </c>
      <c r="H7" s="4">
        <f>G7/D7</f>
        <v>271.34091722620656</v>
      </c>
      <c r="I7" s="3">
        <f>F7-G7</f>
        <v>149.79965800000355</v>
      </c>
      <c r="J7" s="26">
        <f>E7-H7</f>
        <v>0.51908277379345691</v>
      </c>
      <c r="K7" s="27">
        <v>45971</v>
      </c>
      <c r="L7">
        <f>DAYS360(K7,$C$1)</f>
        <v>52</v>
      </c>
      <c r="M7" s="5">
        <f>(I7/G7)</f>
        <v>1.9130280058745105E-3</v>
      </c>
      <c r="N7" s="9">
        <v>147</v>
      </c>
      <c r="O7">
        <v>80</v>
      </c>
      <c r="P7" s="59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265</v>
      </c>
      <c r="Y7" s="5">
        <f>(X7-H7)/H7</f>
        <v>-2.3368820637251611E-2</v>
      </c>
      <c r="Z7" s="6">
        <f>F7/F$20</f>
        <v>0.13084971948473548</v>
      </c>
      <c r="AB7" s="55">
        <v>46051</v>
      </c>
      <c r="AC7" s="59">
        <v>87</v>
      </c>
    </row>
    <row r="8" spans="1:29" x14ac:dyDescent="0.25">
      <c r="A8" t="s">
        <v>55</v>
      </c>
      <c r="B8" t="s">
        <v>29</v>
      </c>
      <c r="C8" s="25" t="s">
        <v>58</v>
      </c>
      <c r="D8" s="2">
        <v>90.343400000000003</v>
      </c>
      <c r="E8" s="26">
        <v>618.32000000000005</v>
      </c>
      <c r="F8" s="3">
        <f>E8*D8</f>
        <v>55861.131088000009</v>
      </c>
      <c r="G8" s="3">
        <v>61276.76</v>
      </c>
      <c r="H8" s="4">
        <f>G8/D8</f>
        <v>678.26493136189254</v>
      </c>
      <c r="I8" s="3">
        <f>F8-G8</f>
        <v>-5415.6289119999929</v>
      </c>
      <c r="J8" s="26">
        <f>E8-H8</f>
        <v>-59.944931361892486</v>
      </c>
      <c r="K8" s="27">
        <v>45995</v>
      </c>
      <c r="L8">
        <f t="shared" ref="L8:L9" si="0">DAYS360(K8,$C$1)</f>
        <v>28</v>
      </c>
      <c r="M8" s="5">
        <f>(I8/G8)</f>
        <v>-8.8379818254098172E-2</v>
      </c>
      <c r="N8" s="9">
        <v>57</v>
      </c>
      <c r="O8">
        <v>94</v>
      </c>
      <c r="P8" s="32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650</v>
      </c>
      <c r="Y8" s="5">
        <f>(X8-H8)/H8</f>
        <v>-4.1672405655912653E-2</v>
      </c>
      <c r="Z8" s="31">
        <f>F8/F$20</f>
        <v>9.3167191361497523E-2</v>
      </c>
      <c r="AB8" s="55">
        <v>46071</v>
      </c>
      <c r="AC8" s="9">
        <v>98</v>
      </c>
    </row>
    <row r="9" spans="1:29" x14ac:dyDescent="0.25">
      <c r="A9" t="s">
        <v>52</v>
      </c>
      <c r="B9" t="s">
        <v>29</v>
      </c>
      <c r="C9" s="25" t="s">
        <v>53</v>
      </c>
      <c r="D9" s="2">
        <f>97.1506+30.2251</f>
        <v>127.37569999999999</v>
      </c>
      <c r="E9" s="26">
        <v>679.55</v>
      </c>
      <c r="F9" s="3">
        <f>E9*D9</f>
        <v>86558.156934999992</v>
      </c>
      <c r="G9" s="3">
        <f>61467.93+20488.3849</f>
        <v>81956.314899999998</v>
      </c>
      <c r="H9" s="4">
        <f>G9/D9</f>
        <v>643.42189993852833</v>
      </c>
      <c r="I9" s="3">
        <f>F9-G9</f>
        <v>4601.8420349999942</v>
      </c>
      <c r="J9" s="26">
        <f>E9-H9</f>
        <v>36.128100061471628</v>
      </c>
      <c r="K9" s="27">
        <v>46000</v>
      </c>
      <c r="L9">
        <f t="shared" si="0"/>
        <v>23</v>
      </c>
      <c r="M9" s="5">
        <f>(I9/G9)</f>
        <v>5.6149938422865746E-2</v>
      </c>
      <c r="N9" s="9">
        <v>43</v>
      </c>
      <c r="O9">
        <v>94</v>
      </c>
      <c r="P9" s="59">
        <v>40</v>
      </c>
      <c r="Q9" s="28">
        <v>664.69</v>
      </c>
      <c r="R9" s="29">
        <f>Q9*0.93</f>
        <v>618.16170000000011</v>
      </c>
      <c r="S9" s="29">
        <v>555.84</v>
      </c>
      <c r="T9" s="28">
        <f>Q9*1.25</f>
        <v>830.86250000000007</v>
      </c>
      <c r="U9" s="28">
        <f>Q9*1.5</f>
        <v>997.03500000000008</v>
      </c>
      <c r="V9" s="28">
        <f>Q9*2</f>
        <v>1329.38</v>
      </c>
      <c r="W9" s="28">
        <f>H9-(H9*0.07)</f>
        <v>598.38236694283137</v>
      </c>
      <c r="X9" s="29">
        <v>630</v>
      </c>
      <c r="Y9" s="5">
        <f>(X9-H9)/H9</f>
        <v>-2.0860185113081537E-2</v>
      </c>
      <c r="Z9" s="6">
        <f>F9/F$20</f>
        <v>0.14436478843146902</v>
      </c>
      <c r="AB9" s="55">
        <v>46050</v>
      </c>
      <c r="AC9" s="9">
        <v>84</v>
      </c>
    </row>
    <row r="10" spans="1:29" x14ac:dyDescent="0.25">
      <c r="A10" t="s">
        <v>59</v>
      </c>
      <c r="B10" t="s">
        <v>29</v>
      </c>
      <c r="C10" s="25" t="s">
        <v>60</v>
      </c>
      <c r="D10" s="2">
        <v>129.2645</v>
      </c>
      <c r="E10" s="26">
        <v>438.07</v>
      </c>
      <c r="F10" s="3">
        <f>E10*D10</f>
        <v>56626.899514999997</v>
      </c>
      <c r="G10" s="3">
        <v>61897.919999999998</v>
      </c>
      <c r="H10" s="4">
        <f>G10/D10</f>
        <v>478.84701522846564</v>
      </c>
      <c r="I10" s="3">
        <f>F10-G10</f>
        <v>-5271.0204850000009</v>
      </c>
      <c r="J10" s="26">
        <f>E10-H10</f>
        <v>-40.777015228465643</v>
      </c>
      <c r="K10" s="27">
        <v>46006</v>
      </c>
      <c r="L10">
        <f>DAYS360(K10,$C$1)</f>
        <v>17</v>
      </c>
      <c r="M10" s="5">
        <f>(I10/G10)</f>
        <v>-8.5156665765182438E-2</v>
      </c>
      <c r="N10" s="32">
        <v>30</v>
      </c>
      <c r="O10">
        <v>86</v>
      </c>
      <c r="P10" s="60">
        <v>45</v>
      </c>
      <c r="Q10" s="28">
        <v>458.87</v>
      </c>
      <c r="R10" s="29">
        <f>Q10*0.93</f>
        <v>426.7491</v>
      </c>
      <c r="S10" s="29">
        <v>435.25</v>
      </c>
      <c r="T10" s="30">
        <f>Q10*1.25</f>
        <v>573.58749999999998</v>
      </c>
      <c r="U10" s="28">
        <f>Q10*1.5</f>
        <v>688.30500000000006</v>
      </c>
      <c r="V10" s="28">
        <f>Q10*2</f>
        <v>917.74</v>
      </c>
      <c r="W10" s="28">
        <f>H10-(H10*0.07)</f>
        <v>445.32772416247303</v>
      </c>
      <c r="X10" s="29">
        <v>445</v>
      </c>
      <c r="Y10" s="5">
        <f>(X10-H10)/H10</f>
        <v>-7.0684402642285829E-2</v>
      </c>
      <c r="Z10" s="6">
        <f>F10/F$20</f>
        <v>9.4444367318864186E-2</v>
      </c>
      <c r="AB10" s="62">
        <v>46050</v>
      </c>
      <c r="AC10" s="32">
        <v>75</v>
      </c>
    </row>
    <row r="11" spans="1:29" x14ac:dyDescent="0.25">
      <c r="A11" t="s">
        <v>61</v>
      </c>
      <c r="B11" t="s">
        <v>29</v>
      </c>
      <c r="C11" s="25" t="s">
        <v>62</v>
      </c>
      <c r="D11" s="2">
        <v>747.35059999999999</v>
      </c>
      <c r="E11" s="26">
        <v>75.260000000000005</v>
      </c>
      <c r="F11" s="3">
        <f>E11*D11</f>
        <v>56245.606156000002</v>
      </c>
      <c r="G11" s="3">
        <v>61420</v>
      </c>
      <c r="H11" s="4">
        <f>G11/D11</f>
        <v>82.183649815762507</v>
      </c>
      <c r="I11" s="3">
        <f>F11-G11</f>
        <v>-5174.3938439999984</v>
      </c>
      <c r="J11" s="26">
        <f>E11-H11</f>
        <v>-6.9236498157625022</v>
      </c>
      <c r="K11" s="27">
        <v>46009</v>
      </c>
      <c r="L11">
        <f>DAYS360(K11,$C$1)</f>
        <v>14</v>
      </c>
      <c r="M11" s="5">
        <f>(I11/G11)</f>
        <v>-8.4246073656789294E-2</v>
      </c>
      <c r="N11" s="9">
        <v>36</v>
      </c>
      <c r="O11">
        <v>81</v>
      </c>
      <c r="P11" s="60">
        <v>94</v>
      </c>
      <c r="Q11" s="28">
        <v>79.92</v>
      </c>
      <c r="R11" s="29">
        <f>Q11*0.93</f>
        <v>74.325600000000009</v>
      </c>
      <c r="S11" s="29">
        <v>73.66</v>
      </c>
      <c r="T11" s="30">
        <f>Q11*1.25</f>
        <v>99.9</v>
      </c>
      <c r="U11" s="28">
        <f>Q11*1.5</f>
        <v>119.88</v>
      </c>
      <c r="V11" s="28">
        <f>Q11*2</f>
        <v>159.84</v>
      </c>
      <c r="W11" s="28">
        <f>H11-(H11*0.07)</f>
        <v>76.430794328659132</v>
      </c>
      <c r="X11" s="29">
        <v>77</v>
      </c>
      <c r="Y11" s="5">
        <f>(X11-H11)/H11</f>
        <v>-6.3073979159882762E-2</v>
      </c>
      <c r="Z11" s="6">
        <f>F11/F$20</f>
        <v>9.3808432624186075E-2</v>
      </c>
      <c r="AB11" s="55">
        <v>46084</v>
      </c>
      <c r="AC11" s="9">
        <v>98</v>
      </c>
    </row>
    <row r="12" spans="1:29" x14ac:dyDescent="0.25">
      <c r="A12" t="s">
        <v>63</v>
      </c>
      <c r="B12" t="s">
        <v>29</v>
      </c>
      <c r="C12" s="25" t="s">
        <v>64</v>
      </c>
      <c r="D12" s="2">
        <f>774.8271+421.3989</f>
        <v>1196.2260000000001</v>
      </c>
      <c r="E12" s="26">
        <v>40.32</v>
      </c>
      <c r="F12" s="3">
        <f t="shared" ref="F12:F17" si="1">E12*D12</f>
        <v>48231.832320000001</v>
      </c>
      <c r="G12" s="3">
        <f>30380.12+16944.65</f>
        <v>47324.770000000004</v>
      </c>
      <c r="H12" s="4">
        <f t="shared" ref="H12:H17" si="2">G12/D12</f>
        <v>39.561729974101887</v>
      </c>
      <c r="I12" s="3">
        <f t="shared" ref="I12:I17" si="3">F12-G12</f>
        <v>907.06231999999727</v>
      </c>
      <c r="J12" s="26">
        <f t="shared" ref="J12:J17" si="4">E12-H12</f>
        <v>0.75827002589811343</v>
      </c>
      <c r="K12" s="27">
        <v>46021</v>
      </c>
      <c r="L12">
        <f t="shared" ref="L12:L17" si="5">DAYS360(K12,$C$1)</f>
        <v>2</v>
      </c>
      <c r="M12" s="5">
        <f t="shared" ref="M12:M17" si="6">(I12/G12)</f>
        <v>1.9166756013816805E-2</v>
      </c>
      <c r="N12" s="32" t="s">
        <v>30</v>
      </c>
      <c r="O12">
        <v>92</v>
      </c>
      <c r="P12" s="60" t="s">
        <v>30</v>
      </c>
      <c r="Q12" s="28">
        <v>40.68</v>
      </c>
      <c r="R12" s="29">
        <f t="shared" ref="R12:R17" si="7">Q12*0.93</f>
        <v>37.8324</v>
      </c>
      <c r="S12" s="29">
        <v>35.32</v>
      </c>
      <c r="T12" s="30">
        <f t="shared" ref="T12:T17" si="8">Q12*1.25</f>
        <v>50.85</v>
      </c>
      <c r="U12" s="28">
        <f t="shared" ref="U12:U17" si="9">Q12*1.5</f>
        <v>61.019999999999996</v>
      </c>
      <c r="V12" s="28">
        <f t="shared" ref="V12:V17" si="10">Q12*2</f>
        <v>81.36</v>
      </c>
      <c r="W12" s="28">
        <f t="shared" ref="W12:W17" si="11">H12-(H12*0.07)</f>
        <v>36.792408875914752</v>
      </c>
      <c r="X12" s="29">
        <v>37</v>
      </c>
      <c r="Y12" s="5">
        <f t="shared" ref="Y12:Y17" si="12">(X12-H12)/H12</f>
        <v>-6.4752728856368527E-2</v>
      </c>
      <c r="Z12" s="6">
        <f t="shared" ref="Z12:Z17" si="13">F12/F$20</f>
        <v>8.0442774142795936E-2</v>
      </c>
      <c r="AB12" s="62" t="s">
        <v>30</v>
      </c>
      <c r="AC12" s="32" t="s">
        <v>30</v>
      </c>
    </row>
    <row r="13" spans="1:29" x14ac:dyDescent="0.25">
      <c r="C13" s="25"/>
      <c r="D13" s="2"/>
      <c r="E13" s="26"/>
      <c r="F13" s="3">
        <f t="shared" si="1"/>
        <v>0</v>
      </c>
      <c r="G13" s="3"/>
      <c r="H13" s="4" t="e">
        <f t="shared" si="2"/>
        <v>#DIV/0!</v>
      </c>
      <c r="I13" s="3">
        <f t="shared" si="3"/>
        <v>0</v>
      </c>
      <c r="J13" s="26" t="e">
        <f t="shared" si="4"/>
        <v>#DIV/0!</v>
      </c>
      <c r="K13" s="27"/>
      <c r="L13">
        <f t="shared" si="5"/>
        <v>45362</v>
      </c>
      <c r="M13" s="5" t="e">
        <f t="shared" si="6"/>
        <v>#DIV/0!</v>
      </c>
      <c r="P13" s="59"/>
      <c r="Q13" s="28"/>
      <c r="R13" s="29">
        <f t="shared" si="7"/>
        <v>0</v>
      </c>
      <c r="S13" s="29"/>
      <c r="T13" s="30">
        <f t="shared" si="8"/>
        <v>0</v>
      </c>
      <c r="U13" s="28">
        <f t="shared" si="9"/>
        <v>0</v>
      </c>
      <c r="V13" s="28">
        <f t="shared" si="10"/>
        <v>0</v>
      </c>
      <c r="W13" s="28" t="e">
        <f t="shared" si="11"/>
        <v>#DIV/0!</v>
      </c>
      <c r="X13" s="29"/>
      <c r="Y13" s="5" t="e">
        <f t="shared" si="12"/>
        <v>#DIV/0!</v>
      </c>
      <c r="Z13" s="31">
        <f t="shared" si="13"/>
        <v>0</v>
      </c>
      <c r="AB13" s="55"/>
      <c r="AC13" s="9"/>
    </row>
    <row r="14" spans="1:29" x14ac:dyDescent="0.25">
      <c r="C14" s="25"/>
      <c r="D14" s="2"/>
      <c r="E14" s="26"/>
      <c r="F14" s="3">
        <f t="shared" si="1"/>
        <v>0</v>
      </c>
      <c r="G14" s="3"/>
      <c r="H14" s="4" t="e">
        <f t="shared" si="2"/>
        <v>#DIV/0!</v>
      </c>
      <c r="I14" s="3">
        <f t="shared" si="3"/>
        <v>0</v>
      </c>
      <c r="J14" s="26" t="e">
        <f t="shared" si="4"/>
        <v>#DIV/0!</v>
      </c>
      <c r="K14" s="27"/>
      <c r="L14">
        <f t="shared" si="5"/>
        <v>45362</v>
      </c>
      <c r="M14" s="5" t="e">
        <f t="shared" si="6"/>
        <v>#DIV/0!</v>
      </c>
      <c r="P14" s="59"/>
      <c r="Q14" s="28"/>
      <c r="R14" s="29">
        <f t="shared" si="7"/>
        <v>0</v>
      </c>
      <c r="S14" s="29"/>
      <c r="T14" s="28">
        <f t="shared" si="8"/>
        <v>0</v>
      </c>
      <c r="U14" s="28">
        <f t="shared" si="9"/>
        <v>0</v>
      </c>
      <c r="V14" s="28">
        <f t="shared" si="10"/>
        <v>0</v>
      </c>
      <c r="W14" s="28" t="e">
        <f t="shared" si="11"/>
        <v>#DIV/0!</v>
      </c>
      <c r="X14" s="29"/>
      <c r="Y14" s="5" t="e">
        <f t="shared" si="12"/>
        <v>#DIV/0!</v>
      </c>
      <c r="Z14" s="6">
        <f t="shared" si="13"/>
        <v>0</v>
      </c>
      <c r="AB14" s="55"/>
      <c r="AC14" s="9"/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45362</v>
      </c>
      <c r="M15" s="5" t="e">
        <f t="shared" si="6"/>
        <v>#DIV/0!</v>
      </c>
      <c r="P15" s="59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1">
        <f t="shared" si="13"/>
        <v>0</v>
      </c>
      <c r="AB15" s="55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45362</v>
      </c>
      <c r="M16" s="5" t="e">
        <f t="shared" si="6"/>
        <v>#DIV/0!</v>
      </c>
      <c r="P16" s="59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1">
        <f t="shared" si="13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"/>
        <v>0</v>
      </c>
      <c r="G17" s="37"/>
      <c r="H17" s="38" t="e">
        <f t="shared" si="2"/>
        <v>#DIV/0!</v>
      </c>
      <c r="I17" s="37">
        <f t="shared" si="3"/>
        <v>0</v>
      </c>
      <c r="J17" s="36" t="e">
        <f t="shared" si="4"/>
        <v>#DIV/0!</v>
      </c>
      <c r="K17" s="39"/>
      <c r="L17" s="33">
        <f t="shared" si="5"/>
        <v>45362</v>
      </c>
      <c r="M17" s="40" t="e">
        <f t="shared" si="6"/>
        <v>#DIV/0!</v>
      </c>
      <c r="N17" s="33"/>
      <c r="O17" s="33"/>
      <c r="P17" s="61"/>
      <c r="Q17" s="41"/>
      <c r="R17" s="42">
        <f t="shared" si="7"/>
        <v>0</v>
      </c>
      <c r="S17" s="42"/>
      <c r="T17" s="43">
        <f t="shared" si="8"/>
        <v>0</v>
      </c>
      <c r="U17" s="41">
        <f t="shared" si="9"/>
        <v>0</v>
      </c>
      <c r="V17" s="41">
        <f t="shared" si="10"/>
        <v>0</v>
      </c>
      <c r="W17" s="41" t="e">
        <f t="shared" si="11"/>
        <v>#DIV/0!</v>
      </c>
      <c r="X17" s="42"/>
      <c r="Y17" s="40" t="e">
        <f t="shared" si="12"/>
        <v>#DIV/0!</v>
      </c>
      <c r="Z17" s="44">
        <f t="shared" si="13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381978.42567199998</v>
      </c>
      <c r="G18" s="3">
        <f>SUM(G6:G17)</f>
        <v>392180.76490000001</v>
      </c>
      <c r="H18" s="4"/>
      <c r="I18" s="3">
        <f>SUM(I6:I17)</f>
        <v>-10202.339227999997</v>
      </c>
      <c r="M18" s="5"/>
      <c r="Z18" s="6"/>
    </row>
    <row r="19" spans="1:29" x14ac:dyDescent="0.25">
      <c r="D19" s="2" t="s">
        <v>32</v>
      </c>
      <c r="F19" s="3">
        <v>217601</v>
      </c>
      <c r="G19" s="6">
        <f>F19/F20</f>
        <v>0.36292272663645175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599579.42567200004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v>612079</v>
      </c>
      <c r="K21" s="1">
        <v>45657</v>
      </c>
      <c r="L21" s="47">
        <v>208334</v>
      </c>
      <c r="M21" s="47">
        <v>207891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-2.0421504949524421E-2</v>
      </c>
      <c r="K22" s="9" t="s">
        <v>54</v>
      </c>
      <c r="L22" s="6">
        <f>(M21-L21)/L21</f>
        <v>-2.1263931955417745E-3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C26" s="25"/>
      <c r="D26" s="2"/>
      <c r="E26" s="54" t="e">
        <f>F26/D26</f>
        <v>#DIV/0!</v>
      </c>
      <c r="F26" s="53"/>
      <c r="G26" s="53"/>
      <c r="H26" s="54" t="e">
        <f>G26/D26</f>
        <v>#DIV/0!</v>
      </c>
      <c r="I26" s="54">
        <f>G26-F26</f>
        <v>0</v>
      </c>
      <c r="J26" s="6" t="e">
        <f>I26/F26</f>
        <v>#DIV/0!</v>
      </c>
      <c r="K26" s="1"/>
      <c r="L26" s="1"/>
      <c r="M26">
        <f t="shared" ref="M26:M32" si="14">DAYS360(K26,L26)</f>
        <v>0</v>
      </c>
      <c r="Q26" s="28"/>
      <c r="S26" s="58"/>
    </row>
    <row r="27" spans="1:29" x14ac:dyDescent="0.25">
      <c r="C27" s="25"/>
      <c r="D27" s="2"/>
      <c r="E27" s="54" t="e">
        <f>F27/D27</f>
        <v>#DIV/0!</v>
      </c>
      <c r="F27" s="3"/>
      <c r="G27" s="53"/>
      <c r="H27" s="54" t="e">
        <f>G27/D27</f>
        <v>#DIV/0!</v>
      </c>
      <c r="I27" s="54">
        <f>G27-F27</f>
        <v>0</v>
      </c>
      <c r="J27" s="6" t="e">
        <f>I27/F27</f>
        <v>#DIV/0!</v>
      </c>
      <c r="K27" s="1"/>
      <c r="L27" s="1"/>
      <c r="M27">
        <f t="shared" si="14"/>
        <v>0</v>
      </c>
      <c r="Q27" s="28"/>
      <c r="S27" s="58"/>
    </row>
    <row r="28" spans="1:29" x14ac:dyDescent="0.25">
      <c r="C28" s="25"/>
      <c r="D28" s="2"/>
      <c r="E28" s="54" t="e">
        <f t="shared" ref="E28:E32" si="15">F28/D28</f>
        <v>#DIV/0!</v>
      </c>
      <c r="F28" s="3"/>
      <c r="G28" s="53"/>
      <c r="H28" s="54" t="e">
        <f t="shared" ref="H28:H32" si="16">G28/D28</f>
        <v>#DIV/0!</v>
      </c>
      <c r="I28" s="54">
        <f t="shared" ref="I28:I32" si="17">G28-F28</f>
        <v>0</v>
      </c>
      <c r="J28" s="6" t="e">
        <f t="shared" ref="J28:J32" si="18">I28/F28</f>
        <v>#DIV/0!</v>
      </c>
      <c r="K28" s="1"/>
      <c r="L28" s="1"/>
      <c r="M28">
        <f t="shared" si="14"/>
        <v>0</v>
      </c>
      <c r="Q28" s="28"/>
      <c r="S28" s="58"/>
    </row>
    <row r="29" spans="1:29" x14ac:dyDescent="0.25">
      <c r="C29" s="25"/>
      <c r="D29" s="2"/>
      <c r="E29" s="54" t="e">
        <f t="shared" si="15"/>
        <v>#DIV/0!</v>
      </c>
      <c r="F29" s="3"/>
      <c r="G29" s="53"/>
      <c r="H29" s="54" t="e">
        <f t="shared" si="16"/>
        <v>#DIV/0!</v>
      </c>
      <c r="I29" s="54">
        <f t="shared" si="17"/>
        <v>0</v>
      </c>
      <c r="J29" s="6" t="e">
        <f t="shared" si="18"/>
        <v>#DIV/0!</v>
      </c>
      <c r="K29" s="1"/>
      <c r="L29" s="1"/>
      <c r="M29">
        <f t="shared" si="14"/>
        <v>0</v>
      </c>
      <c r="Q29" s="28"/>
      <c r="S29" s="58"/>
    </row>
    <row r="30" spans="1:29" x14ac:dyDescent="0.25">
      <c r="C30" s="25"/>
      <c r="D30" s="2"/>
      <c r="E30" s="54" t="e">
        <f t="shared" si="15"/>
        <v>#DIV/0!</v>
      </c>
      <c r="F30" s="3"/>
      <c r="G30" s="53"/>
      <c r="H30" s="54" t="e">
        <f t="shared" si="16"/>
        <v>#DIV/0!</v>
      </c>
      <c r="I30" s="54">
        <f t="shared" si="17"/>
        <v>0</v>
      </c>
      <c r="J30" s="6" t="e">
        <f t="shared" si="18"/>
        <v>#DIV/0!</v>
      </c>
      <c r="K30" s="1"/>
      <c r="L30" s="1"/>
      <c r="M30">
        <f t="shared" si="14"/>
        <v>0</v>
      </c>
      <c r="Q30" s="28"/>
      <c r="S30" s="58"/>
    </row>
    <row r="31" spans="1:29" x14ac:dyDescent="0.25">
      <c r="C31" s="25"/>
      <c r="D31" s="2"/>
      <c r="E31" s="54" t="e">
        <f t="shared" si="15"/>
        <v>#DIV/0!</v>
      </c>
      <c r="F31" s="3"/>
      <c r="G31" s="53"/>
      <c r="H31" s="54" t="e">
        <f t="shared" si="16"/>
        <v>#DIV/0!</v>
      </c>
      <c r="I31" s="54">
        <f t="shared" si="17"/>
        <v>0</v>
      </c>
      <c r="J31" s="6" t="e">
        <f t="shared" si="18"/>
        <v>#DIV/0!</v>
      </c>
      <c r="K31" s="1"/>
      <c r="L31" s="1"/>
      <c r="M31">
        <f t="shared" si="14"/>
        <v>0</v>
      </c>
      <c r="Q31" s="28"/>
      <c r="S31" s="58"/>
    </row>
    <row r="32" spans="1:29" x14ac:dyDescent="0.25">
      <c r="C32" s="25"/>
      <c r="D32" s="2"/>
      <c r="E32" s="54" t="e">
        <f t="shared" si="15"/>
        <v>#DIV/0!</v>
      </c>
      <c r="F32" s="3"/>
      <c r="G32" s="53"/>
      <c r="H32" s="54" t="e">
        <f t="shared" si="16"/>
        <v>#DIV/0!</v>
      </c>
      <c r="I32" s="54">
        <f t="shared" si="17"/>
        <v>0</v>
      </c>
      <c r="J32" s="6" t="e">
        <f t="shared" si="18"/>
        <v>#DIV/0!</v>
      </c>
      <c r="K32" s="1"/>
      <c r="L32" s="1"/>
      <c r="M32">
        <f t="shared" si="14"/>
        <v>0</v>
      </c>
      <c r="Q32" s="28"/>
      <c r="S32" s="58"/>
    </row>
    <row r="33" spans="3:12" x14ac:dyDescent="0.25">
      <c r="C33" s="25"/>
      <c r="D33" s="2"/>
      <c r="E33" s="54"/>
      <c r="F33" s="3"/>
      <c r="G33" s="53"/>
      <c r="H33" s="54"/>
      <c r="I33" s="54"/>
      <c r="J33" s="6"/>
      <c r="K33" s="1"/>
      <c r="L33" s="1"/>
    </row>
    <row r="34" spans="3:12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3:12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3:12" x14ac:dyDescent="0.25">
      <c r="F36" s="53"/>
      <c r="G36" s="53"/>
      <c r="H36" s="3" t="s">
        <v>66</v>
      </c>
      <c r="I36" s="3">
        <f>SUM(I26:I33)</f>
        <v>0</v>
      </c>
      <c r="J36" s="13" t="s">
        <v>49</v>
      </c>
    </row>
    <row r="37" spans="3:12" x14ac:dyDescent="0.25">
      <c r="F37" s="53"/>
      <c r="G37" s="53"/>
      <c r="H37" s="3" t="s">
        <v>50</v>
      </c>
      <c r="I37" s="56"/>
      <c r="J37" s="5"/>
    </row>
    <row r="38" spans="3:12" x14ac:dyDescent="0.25">
      <c r="F38" s="53"/>
      <c r="G38" s="53"/>
      <c r="H38" s="3" t="s">
        <v>51</v>
      </c>
      <c r="I38" s="63"/>
      <c r="J38" s="5"/>
    </row>
    <row r="39" spans="3:12" x14ac:dyDescent="0.25">
      <c r="F39" s="53"/>
      <c r="G39" s="53"/>
      <c r="I39" s="56">
        <f>SUM(I37:I38)</f>
        <v>0</v>
      </c>
      <c r="J39" s="6"/>
    </row>
    <row r="40" spans="3:12" x14ac:dyDescent="0.25">
      <c r="F40" s="53"/>
      <c r="G40" s="53"/>
      <c r="H40" t="s">
        <v>65</v>
      </c>
      <c r="I40" s="64" t="e">
        <f>I38/I39</f>
        <v>#DIV/0!</v>
      </c>
      <c r="J40" s="65" t="e">
        <f>J38/J37*-1</f>
        <v>#DIV/0!</v>
      </c>
    </row>
    <row r="41" spans="3:12" x14ac:dyDescent="0.25">
      <c r="F41" s="53"/>
      <c r="G41" s="53"/>
      <c r="J41" s="6"/>
    </row>
    <row r="42" spans="3:12" x14ac:dyDescent="0.25">
      <c r="F42" s="53"/>
      <c r="G42" s="53"/>
      <c r="J42" s="6"/>
    </row>
    <row r="43" spans="3:12" x14ac:dyDescent="0.25">
      <c r="F43" s="53"/>
      <c r="G43" s="53"/>
      <c r="J43" s="6"/>
    </row>
    <row r="44" spans="3:12" x14ac:dyDescent="0.25">
      <c r="F44" s="53"/>
      <c r="G44" s="53"/>
      <c r="J44" s="6"/>
    </row>
    <row r="45" spans="3:12" x14ac:dyDescent="0.25">
      <c r="F45" s="53"/>
      <c r="G45" s="53"/>
      <c r="J45" s="6"/>
    </row>
    <row r="46" spans="3:12" x14ac:dyDescent="0.25">
      <c r="F46" s="53"/>
      <c r="G46" s="53"/>
      <c r="J46" s="6"/>
    </row>
    <row r="47" spans="3:12" x14ac:dyDescent="0.25">
      <c r="F47" s="53"/>
      <c r="G47" s="53"/>
      <c r="J47" s="6"/>
    </row>
    <row r="48" spans="3:12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2371-9231-4CC8-8397-5F5515B8522D}">
  <dimension ref="A1:AC67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46031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56</v>
      </c>
      <c r="B7" t="s">
        <v>29</v>
      </c>
      <c r="C7" s="25" t="s">
        <v>57</v>
      </c>
      <c r="D7" s="2">
        <v>288.58530000000002</v>
      </c>
      <c r="E7" s="26">
        <v>259.31</v>
      </c>
      <c r="F7" s="3">
        <f>E7*D7</f>
        <v>74833.054143000001</v>
      </c>
      <c r="G7" s="3">
        <v>78305</v>
      </c>
      <c r="H7" s="4">
        <f>G7/D7</f>
        <v>271.34091722620656</v>
      </c>
      <c r="I7" s="3">
        <f>F7-G7</f>
        <v>-3471.9458569999988</v>
      </c>
      <c r="J7" s="26">
        <f>E7-H7</f>
        <v>-12.030917226206554</v>
      </c>
      <c r="K7" s="27">
        <v>45971</v>
      </c>
      <c r="L7">
        <f>DAYS360(K7,$C$1)</f>
        <v>59</v>
      </c>
      <c r="M7" s="5">
        <f>(I7/G7)</f>
        <v>-4.4338750488474542E-2</v>
      </c>
      <c r="N7" s="9">
        <v>76</v>
      </c>
      <c r="O7">
        <v>71</v>
      </c>
      <c r="P7" s="59">
        <v>84</v>
      </c>
      <c r="Q7" s="28">
        <v>259.24</v>
      </c>
      <c r="R7" s="29">
        <f>Q7*0.93</f>
        <v>241.09320000000002</v>
      </c>
      <c r="S7" s="29">
        <v>255.43</v>
      </c>
      <c r="T7" s="28">
        <f>Q7*1.25</f>
        <v>324.05</v>
      </c>
      <c r="U7" s="28">
        <f>Q7*1.5</f>
        <v>388.86</v>
      </c>
      <c r="V7" s="28">
        <f>Q7*2</f>
        <v>518.48</v>
      </c>
      <c r="W7" s="28">
        <f>H7-(H7*0.07)</f>
        <v>252.3470530203721</v>
      </c>
      <c r="X7" s="29">
        <v>265</v>
      </c>
      <c r="Y7" s="5">
        <f>(X7-H7)/H7</f>
        <v>-2.3368820637251611E-2</v>
      </c>
      <c r="Z7" s="6">
        <f>F7/F$20</f>
        <v>0.12066115236020049</v>
      </c>
      <c r="AB7" s="55">
        <v>46051</v>
      </c>
      <c r="AC7" s="59">
        <v>81</v>
      </c>
    </row>
    <row r="8" spans="1:29" x14ac:dyDescent="0.25">
      <c r="A8" t="s">
        <v>55</v>
      </c>
      <c r="B8" t="s">
        <v>29</v>
      </c>
      <c r="C8" s="25" t="s">
        <v>58</v>
      </c>
      <c r="D8" s="2">
        <v>90.343400000000003</v>
      </c>
      <c r="E8" s="26">
        <v>647.72</v>
      </c>
      <c r="F8" s="3">
        <f>E8*D8</f>
        <v>58517.227048000001</v>
      </c>
      <c r="G8" s="3">
        <v>61276.76</v>
      </c>
      <c r="H8" s="4">
        <f>G8/D8</f>
        <v>678.26493136189254</v>
      </c>
      <c r="I8" s="3">
        <f>F8-G8</f>
        <v>-2759.5329520000014</v>
      </c>
      <c r="J8" s="26">
        <f>E8-H8</f>
        <v>-30.544931361892509</v>
      </c>
      <c r="K8" s="27">
        <v>45995</v>
      </c>
      <c r="L8">
        <f t="shared" ref="L8:L9" si="0">DAYS360(K8,$C$1)</f>
        <v>35</v>
      </c>
      <c r="M8" s="5">
        <f>(I8/G8)</f>
        <v>-4.5033923986842667E-2</v>
      </c>
      <c r="N8" s="9">
        <v>55</v>
      </c>
      <c r="O8">
        <v>93</v>
      </c>
      <c r="P8" s="32">
        <v>80</v>
      </c>
      <c r="Q8" s="28">
        <v>675</v>
      </c>
      <c r="R8" s="29">
        <f>Q8*0.93</f>
        <v>627.75</v>
      </c>
      <c r="S8" s="29">
        <v>489.3</v>
      </c>
      <c r="T8" s="28">
        <f>Q8*1.25</f>
        <v>843.75</v>
      </c>
      <c r="U8" s="28">
        <f>Q8*1.5</f>
        <v>1012.5</v>
      </c>
      <c r="V8" s="28">
        <f>Q8*2</f>
        <v>1350</v>
      </c>
      <c r="W8" s="28">
        <f>H8-(H8*0.07)</f>
        <v>630.78638616656008</v>
      </c>
      <c r="X8" s="29">
        <v>650</v>
      </c>
      <c r="Y8" s="5">
        <f>(X8-H8)/H8</f>
        <v>-4.1672405655912653E-2</v>
      </c>
      <c r="Z8" s="31">
        <f>F8/F$20</f>
        <v>9.4353439524767102E-2</v>
      </c>
      <c r="AB8" s="55">
        <v>46064</v>
      </c>
      <c r="AC8" s="9">
        <v>98</v>
      </c>
    </row>
    <row r="9" spans="1:29" x14ac:dyDescent="0.25">
      <c r="A9" t="s">
        <v>52</v>
      </c>
      <c r="B9" t="s">
        <v>29</v>
      </c>
      <c r="C9" s="25" t="s">
        <v>53</v>
      </c>
      <c r="D9" s="2">
        <f>97.1506+30.2251</f>
        <v>127.37569999999999</v>
      </c>
      <c r="E9" s="26">
        <v>622.5</v>
      </c>
      <c r="F9" s="3">
        <f>E9*D9</f>
        <v>79291.37324999999</v>
      </c>
      <c r="G9" s="3">
        <f>61467.93+20488.3849</f>
        <v>81956.314899999998</v>
      </c>
      <c r="H9" s="4">
        <f>G9/D9</f>
        <v>643.42189993852833</v>
      </c>
      <c r="I9" s="3">
        <f>F9-G9</f>
        <v>-2664.9416500000079</v>
      </c>
      <c r="J9" s="26">
        <f>E9-H9</f>
        <v>-20.921899938528327</v>
      </c>
      <c r="K9" s="27">
        <v>46000</v>
      </c>
      <c r="L9">
        <f t="shared" si="0"/>
        <v>30</v>
      </c>
      <c r="M9" s="5">
        <f>(I9/G9)</f>
        <v>-3.2516611480783011E-2</v>
      </c>
      <c r="N9" s="9">
        <v>56</v>
      </c>
      <c r="O9">
        <v>89</v>
      </c>
      <c r="P9" s="59">
        <v>40</v>
      </c>
      <c r="Q9" s="28">
        <v>664.69</v>
      </c>
      <c r="R9" s="29">
        <f>Q9*0.93</f>
        <v>618.16170000000011</v>
      </c>
      <c r="S9" s="29">
        <v>555.84</v>
      </c>
      <c r="T9" s="28">
        <f>Q9*1.25</f>
        <v>830.86250000000007</v>
      </c>
      <c r="U9" s="28">
        <f>Q9*1.5</f>
        <v>997.03500000000008</v>
      </c>
      <c r="V9" s="28">
        <f>Q9*2</f>
        <v>1329.38</v>
      </c>
      <c r="W9" s="28">
        <f>H9-(H9*0.07)</f>
        <v>598.38236694283137</v>
      </c>
      <c r="X9" s="29">
        <v>630</v>
      </c>
      <c r="Y9" s="5">
        <f>(X9-H9)/H9</f>
        <v>-2.0860185113081537E-2</v>
      </c>
      <c r="Z9" s="6">
        <f>F9/F$20</f>
        <v>0.12784976609781631</v>
      </c>
      <c r="AB9" s="55">
        <v>46050</v>
      </c>
      <c r="AC9" s="9">
        <v>75</v>
      </c>
    </row>
    <row r="10" spans="1:29" x14ac:dyDescent="0.25">
      <c r="A10" t="s">
        <v>59</v>
      </c>
      <c r="B10" t="s">
        <v>29</v>
      </c>
      <c r="C10" s="25" t="s">
        <v>60</v>
      </c>
      <c r="D10" s="2">
        <v>129.2645</v>
      </c>
      <c r="E10" s="26">
        <v>445</v>
      </c>
      <c r="F10" s="3">
        <f>E10*D10</f>
        <v>57522.702499999999</v>
      </c>
      <c r="G10" s="3">
        <v>61897.919999999998</v>
      </c>
      <c r="H10" s="4">
        <f>G10/D10</f>
        <v>478.84701522846564</v>
      </c>
      <c r="I10" s="3">
        <f>F10-G10</f>
        <v>-4375.2174999999988</v>
      </c>
      <c r="J10" s="26">
        <f>E10-H10</f>
        <v>-33.847015228465636</v>
      </c>
      <c r="K10" s="27">
        <v>46006</v>
      </c>
      <c r="L10">
        <f>DAYS360(K10,$C$1)</f>
        <v>24</v>
      </c>
      <c r="M10" s="5">
        <f>(I10/G10)</f>
        <v>-7.0684402642285857E-2</v>
      </c>
      <c r="N10" s="32">
        <v>35</v>
      </c>
      <c r="O10">
        <v>83</v>
      </c>
      <c r="P10" s="60">
        <v>45</v>
      </c>
      <c r="Q10" s="28">
        <v>458.87</v>
      </c>
      <c r="R10" s="29">
        <f>Q10*0.93</f>
        <v>426.7491</v>
      </c>
      <c r="S10" s="29">
        <v>435.25</v>
      </c>
      <c r="T10" s="30">
        <f>Q10*1.25</f>
        <v>573.58749999999998</v>
      </c>
      <c r="U10" s="28">
        <f>Q10*1.5</f>
        <v>688.30500000000006</v>
      </c>
      <c r="V10" s="28">
        <f>Q10*2</f>
        <v>917.74</v>
      </c>
      <c r="W10" s="28">
        <f>H10-(H10*0.07)</f>
        <v>445.32772416247303</v>
      </c>
      <c r="X10" s="29">
        <v>445</v>
      </c>
      <c r="Y10" s="5">
        <f>(X10-H10)/H10</f>
        <v>-7.0684402642285829E-2</v>
      </c>
      <c r="Z10" s="6">
        <f>F10/F$20</f>
        <v>9.2749863680022401E-2</v>
      </c>
      <c r="AB10" s="62">
        <v>46050</v>
      </c>
      <c r="AC10" s="32">
        <v>67</v>
      </c>
    </row>
    <row r="11" spans="1:29" x14ac:dyDescent="0.25">
      <c r="A11" t="s">
        <v>61</v>
      </c>
      <c r="B11" t="s">
        <v>29</v>
      </c>
      <c r="C11" s="25" t="s">
        <v>62</v>
      </c>
      <c r="D11" s="2">
        <v>747.35059999999999</v>
      </c>
      <c r="E11" s="26">
        <v>81.56</v>
      </c>
      <c r="F11" s="3">
        <f>E11*D11</f>
        <v>60953.914936000001</v>
      </c>
      <c r="G11" s="3">
        <v>61420</v>
      </c>
      <c r="H11" s="4">
        <f>G11/D11</f>
        <v>82.183649815762507</v>
      </c>
      <c r="I11" s="3">
        <f>F11-G11</f>
        <v>-466.08506399999897</v>
      </c>
      <c r="J11" s="26">
        <f>E11-H11</f>
        <v>-0.623649815762505</v>
      </c>
      <c r="K11" s="27">
        <v>46009</v>
      </c>
      <c r="L11">
        <f>DAYS360(K11,$C$1)</f>
        <v>21</v>
      </c>
      <c r="M11" s="5">
        <f>(I11/G11)</f>
        <v>-7.5884901335069839E-3</v>
      </c>
      <c r="N11" s="9">
        <v>33</v>
      </c>
      <c r="O11">
        <v>86</v>
      </c>
      <c r="P11" s="60">
        <v>94</v>
      </c>
      <c r="Q11" s="28">
        <v>79.92</v>
      </c>
      <c r="R11" s="29">
        <f>Q11*0.93</f>
        <v>74.325600000000009</v>
      </c>
      <c r="S11" s="29">
        <v>73.66</v>
      </c>
      <c r="T11" s="30">
        <f>Q11*1.25</f>
        <v>99.9</v>
      </c>
      <c r="U11" s="28">
        <f>Q11*1.5</f>
        <v>119.88</v>
      </c>
      <c r="V11" s="28">
        <f>Q11*2</f>
        <v>159.84</v>
      </c>
      <c r="W11" s="28">
        <f>H11-(H11*0.07)</f>
        <v>76.430794328659132</v>
      </c>
      <c r="X11" s="29">
        <v>77</v>
      </c>
      <c r="Y11" s="5">
        <f>(X11-H11)/H11</f>
        <v>-6.3073979159882762E-2</v>
      </c>
      <c r="Z11" s="6">
        <f>F11/F$20</f>
        <v>9.8282366011535727E-2</v>
      </c>
      <c r="AB11" s="55">
        <v>46084</v>
      </c>
      <c r="AC11" s="9">
        <v>98</v>
      </c>
    </row>
    <row r="12" spans="1:29" x14ac:dyDescent="0.25">
      <c r="A12" t="s">
        <v>63</v>
      </c>
      <c r="B12" t="s">
        <v>29</v>
      </c>
      <c r="C12" s="25" t="s">
        <v>64</v>
      </c>
      <c r="D12" s="2">
        <f>774.8271+421.3989</f>
        <v>1196.2260000000001</v>
      </c>
      <c r="E12" s="26">
        <v>43.88</v>
      </c>
      <c r="F12" s="3">
        <f t="shared" ref="F12:F17" si="1">E12*D12</f>
        <v>52490.396880000008</v>
      </c>
      <c r="G12" s="3">
        <f>30380.12+16944.65</f>
        <v>47324.770000000004</v>
      </c>
      <c r="H12" s="4">
        <f t="shared" ref="H12:H17" si="2">G12/D12</f>
        <v>39.561729974101887</v>
      </c>
      <c r="I12" s="3">
        <f t="shared" ref="I12:I17" si="3">F12-G12</f>
        <v>5165.6268800000034</v>
      </c>
      <c r="J12" s="26">
        <f t="shared" ref="J12:J17" si="4">E12-H12</f>
        <v>4.3182700258981157</v>
      </c>
      <c r="K12" s="27">
        <v>46021</v>
      </c>
      <c r="L12">
        <f t="shared" ref="L12:L17" si="5">DAYS360(K12,$C$1)</f>
        <v>9</v>
      </c>
      <c r="M12" s="5">
        <f t="shared" ref="M12:M17" si="6">(I12/G12)</f>
        <v>0.10915270966979877</v>
      </c>
      <c r="N12" s="32" t="s">
        <v>30</v>
      </c>
      <c r="O12">
        <v>92</v>
      </c>
      <c r="P12" s="60" t="s">
        <v>30</v>
      </c>
      <c r="Q12" s="28">
        <v>40.68</v>
      </c>
      <c r="R12" s="29">
        <f t="shared" ref="R12:R17" si="7">Q12*0.93</f>
        <v>37.8324</v>
      </c>
      <c r="S12" s="29">
        <v>35.32</v>
      </c>
      <c r="T12" s="30">
        <f t="shared" ref="T12:T17" si="8">Q12*1.25</f>
        <v>50.85</v>
      </c>
      <c r="U12" s="28">
        <f t="shared" ref="U12:U17" si="9">Q12*1.5</f>
        <v>61.019999999999996</v>
      </c>
      <c r="V12" s="28">
        <f t="shared" ref="V12:V17" si="10">Q12*2</f>
        <v>81.36</v>
      </c>
      <c r="W12" s="28">
        <f t="shared" ref="W12:W17" si="11">H12-(H12*0.07)</f>
        <v>36.792408875914752</v>
      </c>
      <c r="X12" s="29">
        <v>39</v>
      </c>
      <c r="Y12" s="5">
        <f t="shared" ref="Y12:Y17" si="12">(X12-H12)/H12</f>
        <v>-1.4198822308064121E-2</v>
      </c>
      <c r="Z12" s="6">
        <f t="shared" ref="Z12:Z17" si="13">F12/F$20</f>
        <v>8.4635751512722707E-2</v>
      </c>
      <c r="AB12" s="62" t="s">
        <v>30</v>
      </c>
      <c r="AC12" s="32" t="s">
        <v>30</v>
      </c>
    </row>
    <row r="13" spans="1:29" x14ac:dyDescent="0.25">
      <c r="A13" t="s">
        <v>68</v>
      </c>
      <c r="B13" t="s">
        <v>29</v>
      </c>
      <c r="C13" s="25" t="s">
        <v>69</v>
      </c>
      <c r="D13" s="2">
        <v>451.9359</v>
      </c>
      <c r="E13" s="26">
        <v>106.22</v>
      </c>
      <c r="F13" s="3">
        <f t="shared" si="1"/>
        <v>48004.631298</v>
      </c>
      <c r="G13" s="3">
        <v>36213.629999999997</v>
      </c>
      <c r="H13" s="4">
        <f t="shared" si="2"/>
        <v>80.130014013049191</v>
      </c>
      <c r="I13" s="3">
        <f t="shared" si="3"/>
        <v>11791.001298000003</v>
      </c>
      <c r="J13" s="26">
        <f t="shared" si="4"/>
        <v>26.089985986950808</v>
      </c>
      <c r="K13" s="27">
        <v>46027</v>
      </c>
      <c r="L13">
        <f t="shared" si="5"/>
        <v>4</v>
      </c>
      <c r="M13" s="5">
        <f t="shared" si="6"/>
        <v>0.32559567483292901</v>
      </c>
      <c r="N13" s="9">
        <v>37</v>
      </c>
      <c r="O13">
        <v>98</v>
      </c>
      <c r="P13" s="59">
        <v>80</v>
      </c>
      <c r="Q13" s="28">
        <v>81</v>
      </c>
      <c r="R13" s="29">
        <f t="shared" si="7"/>
        <v>75.33</v>
      </c>
      <c r="S13" s="29">
        <v>72</v>
      </c>
      <c r="T13" s="30">
        <f t="shared" si="8"/>
        <v>101.25</v>
      </c>
      <c r="U13" s="28">
        <f t="shared" si="9"/>
        <v>121.5</v>
      </c>
      <c r="V13" s="28">
        <f t="shared" si="10"/>
        <v>162</v>
      </c>
      <c r="W13" s="28">
        <f t="shared" si="11"/>
        <v>74.520913032135752</v>
      </c>
      <c r="X13" s="29">
        <v>85</v>
      </c>
      <c r="Y13" s="5">
        <f t="shared" si="12"/>
        <v>6.0776053104866931E-2</v>
      </c>
      <c r="Z13" s="31">
        <f t="shared" si="13"/>
        <v>7.7402882955633676E-2</v>
      </c>
      <c r="AB13" s="55">
        <v>46126</v>
      </c>
      <c r="AC13" s="9">
        <v>99</v>
      </c>
    </row>
    <row r="14" spans="1:29" x14ac:dyDescent="0.25">
      <c r="A14" t="s">
        <v>70</v>
      </c>
      <c r="B14" t="s">
        <v>29</v>
      </c>
      <c r="C14" s="25" t="s">
        <v>71</v>
      </c>
      <c r="D14" s="2">
        <f>1733.9964+1138.3726</f>
        <v>2872.3689999999997</v>
      </c>
      <c r="E14" s="26">
        <v>23.29</v>
      </c>
      <c r="F14" s="3">
        <f t="shared" si="1"/>
        <v>66897.474009999991</v>
      </c>
      <c r="G14" s="3">
        <f>36288.78+24176.77</f>
        <v>60465.55</v>
      </c>
      <c r="H14" s="4">
        <f t="shared" si="2"/>
        <v>21.050759843181712</v>
      </c>
      <c r="I14" s="3">
        <f t="shared" si="3"/>
        <v>6431.9240099999879</v>
      </c>
      <c r="J14" s="26">
        <f t="shared" si="4"/>
        <v>2.2392401568182869</v>
      </c>
      <c r="K14" s="27">
        <v>46027</v>
      </c>
      <c r="L14">
        <f t="shared" si="5"/>
        <v>4</v>
      </c>
      <c r="M14" s="5">
        <f t="shared" si="6"/>
        <v>0.10637336483336358</v>
      </c>
      <c r="N14" s="9">
        <v>58</v>
      </c>
      <c r="O14">
        <v>94</v>
      </c>
      <c r="P14" s="59">
        <v>15</v>
      </c>
      <c r="Q14" s="28">
        <v>20.6</v>
      </c>
      <c r="R14" s="29">
        <f t="shared" si="7"/>
        <v>19.158000000000001</v>
      </c>
      <c r="S14" s="29">
        <v>17.760000000000002</v>
      </c>
      <c r="T14" s="28">
        <f t="shared" si="8"/>
        <v>25.75</v>
      </c>
      <c r="U14" s="28">
        <f t="shared" si="9"/>
        <v>30.900000000000002</v>
      </c>
      <c r="V14" s="28">
        <f t="shared" si="10"/>
        <v>41.2</v>
      </c>
      <c r="W14" s="28">
        <f t="shared" si="11"/>
        <v>19.577206654158992</v>
      </c>
      <c r="X14" s="29">
        <v>20.5</v>
      </c>
      <c r="Y14" s="5">
        <f t="shared" si="12"/>
        <v>-2.6163418673939315E-2</v>
      </c>
      <c r="Z14" s="6">
        <f t="shared" si="13"/>
        <v>0.10786578733788352</v>
      </c>
      <c r="AB14" s="55">
        <v>46072</v>
      </c>
      <c r="AC14" s="9">
        <v>81</v>
      </c>
    </row>
    <row r="15" spans="1:29" x14ac:dyDescent="0.25">
      <c r="C15" s="25"/>
      <c r="D15" s="2"/>
      <c r="E15" s="26"/>
      <c r="F15" s="3">
        <f t="shared" si="1"/>
        <v>0</v>
      </c>
      <c r="G15" s="3"/>
      <c r="H15" s="4" t="e">
        <f t="shared" si="2"/>
        <v>#DIV/0!</v>
      </c>
      <c r="I15" s="3">
        <f t="shared" si="3"/>
        <v>0</v>
      </c>
      <c r="J15" s="26" t="e">
        <f t="shared" si="4"/>
        <v>#DIV/0!</v>
      </c>
      <c r="K15" s="27"/>
      <c r="L15">
        <f t="shared" si="5"/>
        <v>45369</v>
      </c>
      <c r="M15" s="5" t="e">
        <f t="shared" si="6"/>
        <v>#DIV/0!</v>
      </c>
      <c r="P15" s="59"/>
      <c r="Q15" s="28"/>
      <c r="R15" s="29">
        <f t="shared" si="7"/>
        <v>0</v>
      </c>
      <c r="S15" s="29"/>
      <c r="T15" s="28">
        <f t="shared" si="8"/>
        <v>0</v>
      </c>
      <c r="U15" s="28">
        <f t="shared" si="9"/>
        <v>0</v>
      </c>
      <c r="V15" s="28">
        <f t="shared" si="10"/>
        <v>0</v>
      </c>
      <c r="W15" s="28" t="e">
        <f t="shared" si="11"/>
        <v>#DIV/0!</v>
      </c>
      <c r="X15" s="29"/>
      <c r="Y15" s="5" t="e">
        <f t="shared" si="12"/>
        <v>#DIV/0!</v>
      </c>
      <c r="Z15" s="31">
        <f t="shared" si="13"/>
        <v>0</v>
      </c>
      <c r="AB15" s="55"/>
      <c r="AC15" s="9"/>
    </row>
    <row r="16" spans="1:29" x14ac:dyDescent="0.25">
      <c r="C16" s="25"/>
      <c r="D16" s="2"/>
      <c r="E16" s="26"/>
      <c r="F16" s="3">
        <f t="shared" si="1"/>
        <v>0</v>
      </c>
      <c r="G16" s="3"/>
      <c r="H16" s="4" t="e">
        <f t="shared" si="2"/>
        <v>#DIV/0!</v>
      </c>
      <c r="I16" s="3">
        <f t="shared" si="3"/>
        <v>0</v>
      </c>
      <c r="J16" s="26" t="e">
        <f t="shared" si="4"/>
        <v>#DIV/0!</v>
      </c>
      <c r="K16" s="27"/>
      <c r="L16">
        <f t="shared" si="5"/>
        <v>45369</v>
      </c>
      <c r="M16" s="5" t="e">
        <f t="shared" si="6"/>
        <v>#DIV/0!</v>
      </c>
      <c r="P16" s="59"/>
      <c r="Q16" s="28"/>
      <c r="R16" s="29">
        <f t="shared" si="7"/>
        <v>0</v>
      </c>
      <c r="S16" s="29"/>
      <c r="T16" s="28">
        <f t="shared" si="8"/>
        <v>0</v>
      </c>
      <c r="U16" s="28">
        <f t="shared" si="9"/>
        <v>0</v>
      </c>
      <c r="V16" s="28">
        <f t="shared" si="10"/>
        <v>0</v>
      </c>
      <c r="W16" s="28" t="e">
        <f t="shared" si="11"/>
        <v>#DIV/0!</v>
      </c>
      <c r="X16" s="29"/>
      <c r="Y16" s="5" t="e">
        <f t="shared" si="12"/>
        <v>#DIV/0!</v>
      </c>
      <c r="Z16" s="31">
        <f t="shared" si="13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"/>
        <v>0</v>
      </c>
      <c r="G17" s="37"/>
      <c r="H17" s="38" t="e">
        <f t="shared" si="2"/>
        <v>#DIV/0!</v>
      </c>
      <c r="I17" s="37">
        <f t="shared" si="3"/>
        <v>0</v>
      </c>
      <c r="J17" s="36" t="e">
        <f t="shared" si="4"/>
        <v>#DIV/0!</v>
      </c>
      <c r="K17" s="39"/>
      <c r="L17" s="33">
        <f t="shared" si="5"/>
        <v>45369</v>
      </c>
      <c r="M17" s="40" t="e">
        <f t="shared" si="6"/>
        <v>#DIV/0!</v>
      </c>
      <c r="N17" s="33"/>
      <c r="O17" s="33"/>
      <c r="P17" s="61"/>
      <c r="Q17" s="41"/>
      <c r="R17" s="42">
        <f t="shared" si="7"/>
        <v>0</v>
      </c>
      <c r="S17" s="42"/>
      <c r="T17" s="43">
        <f t="shared" si="8"/>
        <v>0</v>
      </c>
      <c r="U17" s="41">
        <f t="shared" si="9"/>
        <v>0</v>
      </c>
      <c r="V17" s="41">
        <f t="shared" si="10"/>
        <v>0</v>
      </c>
      <c r="W17" s="41" t="e">
        <f t="shared" si="11"/>
        <v>#DIV/0!</v>
      </c>
      <c r="X17" s="42"/>
      <c r="Y17" s="40" t="e">
        <f t="shared" si="12"/>
        <v>#DIV/0!</v>
      </c>
      <c r="Z17" s="44">
        <f t="shared" si="13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498510.77406500006</v>
      </c>
      <c r="G18" s="3">
        <f>SUM(G6:G17)</f>
        <v>488859.9449</v>
      </c>
      <c r="H18" s="4"/>
      <c r="I18" s="3">
        <f>SUM(I6:I17)</f>
        <v>9650.8291649999883</v>
      </c>
      <c r="M18" s="5"/>
      <c r="Z18" s="6"/>
    </row>
    <row r="19" spans="1:29" x14ac:dyDescent="0.25">
      <c r="D19" s="2" t="s">
        <v>32</v>
      </c>
      <c r="F19" s="3">
        <v>121681</v>
      </c>
      <c r="G19" s="6">
        <f>F19/F20</f>
        <v>0.19619899051941805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620191.77406500001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'01-02-26'!F20</f>
        <v>599579.42567200004</v>
      </c>
      <c r="K21" s="1">
        <v>45657</v>
      </c>
      <c r="L21" s="47">
        <v>208334</v>
      </c>
      <c r="M21" s="47">
        <v>215042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3.4378011503476691E-2</v>
      </c>
      <c r="K22" s="9" t="s">
        <v>54</v>
      </c>
      <c r="L22" s="6">
        <f>(M21-L21)/L21</f>
        <v>3.2198296965449708E-2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C26" s="25"/>
      <c r="D26" s="2"/>
      <c r="E26" s="54" t="e">
        <f>F26/D26</f>
        <v>#DIV/0!</v>
      </c>
      <c r="F26" s="53"/>
      <c r="G26" s="53"/>
      <c r="H26" s="54" t="e">
        <f>G26/D26</f>
        <v>#DIV/0!</v>
      </c>
      <c r="I26" s="54">
        <f>G26-F26</f>
        <v>0</v>
      </c>
      <c r="J26" s="6" t="e">
        <f>I26/F26</f>
        <v>#DIV/0!</v>
      </c>
      <c r="K26" s="1"/>
      <c r="L26" s="1"/>
      <c r="M26">
        <f t="shared" ref="M26:M32" si="14">DAYS360(K26,L26)</f>
        <v>0</v>
      </c>
      <c r="Q26" s="28"/>
      <c r="S26" s="58"/>
    </row>
    <row r="27" spans="1:29" x14ac:dyDescent="0.25">
      <c r="C27" s="25"/>
      <c r="D27" s="2"/>
      <c r="E27" s="54" t="e">
        <f>F27/D27</f>
        <v>#DIV/0!</v>
      </c>
      <c r="F27" s="3"/>
      <c r="G27" s="53"/>
      <c r="H27" s="54" t="e">
        <f>G27/D27</f>
        <v>#DIV/0!</v>
      </c>
      <c r="I27" s="54">
        <f>G27-F27</f>
        <v>0</v>
      </c>
      <c r="J27" s="6" t="e">
        <f>I27/F27</f>
        <v>#DIV/0!</v>
      </c>
      <c r="K27" s="1"/>
      <c r="L27" s="1"/>
      <c r="M27">
        <f t="shared" si="14"/>
        <v>0</v>
      </c>
      <c r="Q27" s="28"/>
      <c r="S27" s="58"/>
    </row>
    <row r="28" spans="1:29" x14ac:dyDescent="0.25">
      <c r="C28" s="25"/>
      <c r="D28" s="2"/>
      <c r="E28" s="54" t="e">
        <f t="shared" ref="E28:E32" si="15">F28/D28</f>
        <v>#DIV/0!</v>
      </c>
      <c r="F28" s="3"/>
      <c r="G28" s="53"/>
      <c r="H28" s="54" t="e">
        <f t="shared" ref="H28:H32" si="16">G28/D28</f>
        <v>#DIV/0!</v>
      </c>
      <c r="I28" s="54">
        <f t="shared" ref="I28:I32" si="17">G28-F28</f>
        <v>0</v>
      </c>
      <c r="J28" s="6" t="e">
        <f t="shared" ref="J28:J32" si="18">I28/F28</f>
        <v>#DIV/0!</v>
      </c>
      <c r="K28" s="1"/>
      <c r="L28" s="1"/>
      <c r="M28">
        <f t="shared" si="14"/>
        <v>0</v>
      </c>
      <c r="Q28" s="28"/>
      <c r="S28" s="58"/>
    </row>
    <row r="29" spans="1:29" x14ac:dyDescent="0.25">
      <c r="C29" s="25"/>
      <c r="D29" s="2"/>
      <c r="E29" s="54" t="e">
        <f t="shared" si="15"/>
        <v>#DIV/0!</v>
      </c>
      <c r="F29" s="3"/>
      <c r="G29" s="53"/>
      <c r="H29" s="54" t="e">
        <f t="shared" si="16"/>
        <v>#DIV/0!</v>
      </c>
      <c r="I29" s="54">
        <f t="shared" si="17"/>
        <v>0</v>
      </c>
      <c r="J29" s="6" t="e">
        <f t="shared" si="18"/>
        <v>#DIV/0!</v>
      </c>
      <c r="K29" s="1"/>
      <c r="L29" s="1"/>
      <c r="M29">
        <f t="shared" si="14"/>
        <v>0</v>
      </c>
      <c r="Q29" s="28"/>
      <c r="S29" s="58"/>
    </row>
    <row r="30" spans="1:29" x14ac:dyDescent="0.25">
      <c r="C30" s="25"/>
      <c r="D30" s="2"/>
      <c r="E30" s="54" t="e">
        <f t="shared" si="15"/>
        <v>#DIV/0!</v>
      </c>
      <c r="F30" s="3"/>
      <c r="G30" s="53"/>
      <c r="H30" s="54" t="e">
        <f t="shared" si="16"/>
        <v>#DIV/0!</v>
      </c>
      <c r="I30" s="54">
        <f t="shared" si="17"/>
        <v>0</v>
      </c>
      <c r="J30" s="6" t="e">
        <f t="shared" si="18"/>
        <v>#DIV/0!</v>
      </c>
      <c r="K30" s="1"/>
      <c r="L30" s="1"/>
      <c r="M30">
        <f t="shared" si="14"/>
        <v>0</v>
      </c>
      <c r="Q30" s="28"/>
      <c r="S30" s="58"/>
    </row>
    <row r="31" spans="1:29" x14ac:dyDescent="0.25">
      <c r="C31" s="25"/>
      <c r="D31" s="2"/>
      <c r="E31" s="54" t="e">
        <f t="shared" si="15"/>
        <v>#DIV/0!</v>
      </c>
      <c r="F31" s="3"/>
      <c r="G31" s="53"/>
      <c r="H31" s="54" t="e">
        <f t="shared" si="16"/>
        <v>#DIV/0!</v>
      </c>
      <c r="I31" s="54">
        <f t="shared" si="17"/>
        <v>0</v>
      </c>
      <c r="J31" s="6" t="e">
        <f t="shared" si="18"/>
        <v>#DIV/0!</v>
      </c>
      <c r="K31" s="1"/>
      <c r="L31" s="1"/>
      <c r="M31">
        <f t="shared" si="14"/>
        <v>0</v>
      </c>
      <c r="Q31" s="28"/>
      <c r="S31" s="58"/>
    </row>
    <row r="32" spans="1:29" x14ac:dyDescent="0.25">
      <c r="C32" s="25"/>
      <c r="D32" s="2"/>
      <c r="E32" s="54" t="e">
        <f t="shared" si="15"/>
        <v>#DIV/0!</v>
      </c>
      <c r="F32" s="3"/>
      <c r="G32" s="53"/>
      <c r="H32" s="54" t="e">
        <f t="shared" si="16"/>
        <v>#DIV/0!</v>
      </c>
      <c r="I32" s="54">
        <f t="shared" si="17"/>
        <v>0</v>
      </c>
      <c r="J32" s="6" t="e">
        <f t="shared" si="18"/>
        <v>#DIV/0!</v>
      </c>
      <c r="K32" s="1"/>
      <c r="L32" s="1"/>
      <c r="M32">
        <f t="shared" si="14"/>
        <v>0</v>
      </c>
      <c r="Q32" s="28"/>
      <c r="S32" s="58"/>
    </row>
    <row r="33" spans="3:12" x14ac:dyDescent="0.25">
      <c r="C33" s="25"/>
      <c r="D33" s="2"/>
      <c r="E33" s="54"/>
      <c r="F33" s="3"/>
      <c r="G33" s="53"/>
      <c r="H33" s="54"/>
      <c r="I33" s="54"/>
      <c r="J33" s="6"/>
      <c r="K33" s="1"/>
      <c r="L33" s="1"/>
    </row>
    <row r="34" spans="3:12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3:12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3:12" x14ac:dyDescent="0.25">
      <c r="F36" s="53"/>
      <c r="G36" s="53"/>
      <c r="H36" s="3" t="s">
        <v>66</v>
      </c>
      <c r="I36" s="3">
        <f>SUM(I26:I33)</f>
        <v>0</v>
      </c>
      <c r="J36" s="13" t="s">
        <v>49</v>
      </c>
    </row>
    <row r="37" spans="3:12" x14ac:dyDescent="0.25">
      <c r="F37" s="53"/>
      <c r="G37" s="53"/>
      <c r="H37" s="3" t="s">
        <v>50</v>
      </c>
      <c r="I37" s="56"/>
      <c r="J37" s="5"/>
    </row>
    <row r="38" spans="3:12" x14ac:dyDescent="0.25">
      <c r="F38" s="53"/>
      <c r="G38" s="53"/>
      <c r="H38" s="3" t="s">
        <v>51</v>
      </c>
      <c r="I38" s="63"/>
      <c r="J38" s="5"/>
    </row>
    <row r="39" spans="3:12" x14ac:dyDescent="0.25">
      <c r="F39" s="53"/>
      <c r="G39" s="53"/>
      <c r="I39" s="56">
        <f>SUM(I37:I38)</f>
        <v>0</v>
      </c>
      <c r="J39" s="6"/>
    </row>
    <row r="40" spans="3:12" x14ac:dyDescent="0.25">
      <c r="F40" s="53"/>
      <c r="G40" s="53"/>
      <c r="H40" t="s">
        <v>65</v>
      </c>
      <c r="I40" s="64" t="e">
        <f>I38/I39</f>
        <v>#DIV/0!</v>
      </c>
      <c r="J40" s="65" t="e">
        <f>J38/J37*-1</f>
        <v>#DIV/0!</v>
      </c>
    </row>
    <row r="41" spans="3:12" x14ac:dyDescent="0.25">
      <c r="F41" s="53"/>
      <c r="G41" s="53"/>
      <c r="J41" s="6"/>
    </row>
    <row r="42" spans="3:12" x14ac:dyDescent="0.25">
      <c r="F42" s="53"/>
      <c r="G42" s="53"/>
      <c r="J42" s="6"/>
    </row>
    <row r="43" spans="3:12" x14ac:dyDescent="0.25">
      <c r="F43" s="53"/>
      <c r="G43" s="53"/>
      <c r="J43" s="6"/>
    </row>
    <row r="44" spans="3:12" x14ac:dyDescent="0.25">
      <c r="F44" s="53"/>
      <c r="G44" s="53"/>
      <c r="J44" s="6"/>
    </row>
    <row r="45" spans="3:12" x14ac:dyDescent="0.25">
      <c r="F45" s="53"/>
      <c r="G45" s="53"/>
      <c r="J45" s="6"/>
    </row>
    <row r="46" spans="3:12" x14ac:dyDescent="0.25">
      <c r="F46" s="53"/>
      <c r="G46" s="53"/>
      <c r="J46" s="6"/>
    </row>
    <row r="47" spans="3:12" x14ac:dyDescent="0.25">
      <c r="F47" s="53"/>
      <c r="G47" s="53"/>
      <c r="J47" s="6"/>
    </row>
    <row r="48" spans="3:12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0603-3DEC-4FA8-AF21-68E9753CE1D5}">
  <dimension ref="A1:AC6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46038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681.55</v>
      </c>
      <c r="F7" s="3">
        <f t="shared" ref="F7:F14" si="0">E7*D7</f>
        <v>86812.908334999986</v>
      </c>
      <c r="G7" s="3">
        <f>61467.93+20488.3849</f>
        <v>81956.314899999998</v>
      </c>
      <c r="H7" s="4">
        <f t="shared" ref="H7:H14" si="1">G7/D7</f>
        <v>643.42189993852833</v>
      </c>
      <c r="I7" s="3">
        <f t="shared" ref="I7:I14" si="2">F7-G7</f>
        <v>4856.5934349999879</v>
      </c>
      <c r="J7" s="26">
        <f t="shared" ref="J7:J14" si="3">E7-H7</f>
        <v>38.128100061471628</v>
      </c>
      <c r="K7" s="27">
        <v>46000</v>
      </c>
      <c r="L7">
        <f t="shared" ref="L7:L14" si="4">DAYS360(K7,$C$1)</f>
        <v>37</v>
      </c>
      <c r="M7" s="5">
        <f t="shared" ref="M7:M14" si="5">(I7/G7)</f>
        <v>5.9258318787586042E-2</v>
      </c>
      <c r="N7" s="9">
        <v>72</v>
      </c>
      <c r="O7">
        <v>88</v>
      </c>
      <c r="P7" s="59">
        <v>40</v>
      </c>
      <c r="Q7" s="28">
        <v>664.69</v>
      </c>
      <c r="R7" s="29">
        <f t="shared" ref="R7:R14" si="6">Q7*0.93</f>
        <v>618.16170000000011</v>
      </c>
      <c r="S7" s="29">
        <v>555.84</v>
      </c>
      <c r="T7" s="28">
        <f t="shared" ref="T7:T14" si="7">Q7*1.25</f>
        <v>830.86250000000007</v>
      </c>
      <c r="U7" s="28">
        <f t="shared" ref="U7:U14" si="8">Q7*1.5</f>
        <v>997.03500000000008</v>
      </c>
      <c r="V7" s="28">
        <f t="shared" ref="V7:V14" si="9">Q7*2</f>
        <v>1329.38</v>
      </c>
      <c r="W7" s="28">
        <f t="shared" ref="W7:W14" si="10">H7-(H7*0.07)</f>
        <v>598.38236694283137</v>
      </c>
      <c r="X7" s="29">
        <v>630</v>
      </c>
      <c r="Y7" s="5">
        <f t="shared" ref="Y7:Y14" si="11">(X7-H7)/H7</f>
        <v>-2.0860185113081537E-2</v>
      </c>
      <c r="Z7" s="6">
        <f t="shared" ref="Z7:Z14" si="12">F7/F$20</f>
        <v>0.1387394296319103</v>
      </c>
      <c r="AB7" s="55">
        <v>46050</v>
      </c>
      <c r="AC7" s="9">
        <v>74</v>
      </c>
    </row>
    <row r="8" spans="1:29" x14ac:dyDescent="0.25">
      <c r="A8" t="s">
        <v>59</v>
      </c>
      <c r="B8" t="s">
        <v>29</v>
      </c>
      <c r="C8" s="25" t="s">
        <v>60</v>
      </c>
      <c r="D8" s="2">
        <v>129.2645</v>
      </c>
      <c r="E8" s="26">
        <v>437.56</v>
      </c>
      <c r="F8" s="3">
        <f t="shared" si="0"/>
        <v>56560.974620000001</v>
      </c>
      <c r="G8" s="3">
        <v>61897.919999999998</v>
      </c>
      <c r="H8" s="4">
        <f t="shared" si="1"/>
        <v>478.84701522846564</v>
      </c>
      <c r="I8" s="3">
        <f t="shared" si="2"/>
        <v>-5336.9453799999974</v>
      </c>
      <c r="J8" s="26">
        <f t="shared" si="3"/>
        <v>-41.287015228465634</v>
      </c>
      <c r="K8" s="27">
        <v>46006</v>
      </c>
      <c r="L8">
        <f t="shared" si="4"/>
        <v>31</v>
      </c>
      <c r="M8" s="5">
        <f t="shared" si="5"/>
        <v>-8.622172409024402E-2</v>
      </c>
      <c r="N8" s="32">
        <v>44</v>
      </c>
      <c r="O8">
        <v>83</v>
      </c>
      <c r="P8" s="60">
        <v>46</v>
      </c>
      <c r="Q8" s="28">
        <v>458.87</v>
      </c>
      <c r="R8" s="29">
        <f t="shared" si="6"/>
        <v>426.7491</v>
      </c>
      <c r="S8" s="29">
        <v>435.25</v>
      </c>
      <c r="T8" s="30">
        <f t="shared" si="7"/>
        <v>573.58749999999998</v>
      </c>
      <c r="U8" s="28">
        <f t="shared" si="8"/>
        <v>688.30500000000006</v>
      </c>
      <c r="V8" s="28">
        <f t="shared" si="9"/>
        <v>917.74</v>
      </c>
      <c r="W8" s="28">
        <f t="shared" si="10"/>
        <v>445.32772416247303</v>
      </c>
      <c r="X8" s="29">
        <v>445</v>
      </c>
      <c r="Y8" s="5">
        <f t="shared" si="11"/>
        <v>-7.0684402642285829E-2</v>
      </c>
      <c r="Z8" s="6">
        <f t="shared" si="12"/>
        <v>9.0392517756947649E-2</v>
      </c>
      <c r="AB8" s="62">
        <v>46050</v>
      </c>
      <c r="AC8" s="32">
        <v>66</v>
      </c>
    </row>
    <row r="9" spans="1:29" x14ac:dyDescent="0.25">
      <c r="A9" t="s">
        <v>63</v>
      </c>
      <c r="B9" t="s">
        <v>29</v>
      </c>
      <c r="C9" s="25" t="s">
        <v>64</v>
      </c>
      <c r="D9" s="2">
        <f>774.8271+421.3989</f>
        <v>1196.2260000000001</v>
      </c>
      <c r="E9" s="26">
        <v>47.36</v>
      </c>
      <c r="F9" s="3">
        <f t="shared" si="0"/>
        <v>56653.263360000004</v>
      </c>
      <c r="G9" s="3">
        <f>30380.12+16944.65</f>
        <v>47324.770000000004</v>
      </c>
      <c r="H9" s="4">
        <f t="shared" si="1"/>
        <v>39.561729974101887</v>
      </c>
      <c r="I9" s="3">
        <f t="shared" si="2"/>
        <v>9328.4933600000004</v>
      </c>
      <c r="J9" s="26">
        <f t="shared" si="3"/>
        <v>7.7982700258981126</v>
      </c>
      <c r="K9" s="27">
        <v>46021</v>
      </c>
      <c r="L9">
        <f t="shared" si="4"/>
        <v>16</v>
      </c>
      <c r="M9" s="5">
        <f t="shared" si="5"/>
        <v>0.19711650706384837</v>
      </c>
      <c r="N9" s="32" t="s">
        <v>30</v>
      </c>
      <c r="O9">
        <v>93</v>
      </c>
      <c r="P9" s="60" t="s">
        <v>30</v>
      </c>
      <c r="Q9" s="28">
        <v>40.68</v>
      </c>
      <c r="R9" s="29">
        <f t="shared" si="6"/>
        <v>37.8324</v>
      </c>
      <c r="S9" s="29">
        <v>35.32</v>
      </c>
      <c r="T9" s="30">
        <f t="shared" si="7"/>
        <v>50.85</v>
      </c>
      <c r="U9" s="28">
        <f t="shared" si="8"/>
        <v>61.019999999999996</v>
      </c>
      <c r="V9" s="28">
        <f t="shared" si="9"/>
        <v>81.36</v>
      </c>
      <c r="W9" s="28">
        <f t="shared" si="10"/>
        <v>36.792408875914752</v>
      </c>
      <c r="X9" s="29">
        <v>39</v>
      </c>
      <c r="Y9" s="5">
        <f t="shared" si="11"/>
        <v>-1.4198822308064121E-2</v>
      </c>
      <c r="Z9" s="6">
        <f t="shared" si="12"/>
        <v>9.0540008347858844E-2</v>
      </c>
      <c r="AB9" s="62" t="s">
        <v>30</v>
      </c>
      <c r="AC9" s="32" t="s">
        <v>30</v>
      </c>
    </row>
    <row r="10" spans="1:29" x14ac:dyDescent="0.25">
      <c r="A10" t="s">
        <v>68</v>
      </c>
      <c r="B10" t="s">
        <v>29</v>
      </c>
      <c r="C10" s="25" t="s">
        <v>69</v>
      </c>
      <c r="D10" s="2">
        <v>451.9359</v>
      </c>
      <c r="E10" s="26">
        <v>108.5</v>
      </c>
      <c r="F10" s="3">
        <f t="shared" si="0"/>
        <v>49035.045149999998</v>
      </c>
      <c r="G10" s="3">
        <v>36213.629999999997</v>
      </c>
      <c r="H10" s="4">
        <f t="shared" si="1"/>
        <v>80.130014013049191</v>
      </c>
      <c r="I10" s="3">
        <f t="shared" si="2"/>
        <v>12821.415150000001</v>
      </c>
      <c r="J10" s="26">
        <f t="shared" si="3"/>
        <v>28.369985986950809</v>
      </c>
      <c r="K10" s="27">
        <v>46027</v>
      </c>
      <c r="L10">
        <f t="shared" si="4"/>
        <v>11</v>
      </c>
      <c r="M10" s="5">
        <f t="shared" si="5"/>
        <v>0.35404943249268306</v>
      </c>
      <c r="N10" s="9">
        <v>28</v>
      </c>
      <c r="O10">
        <v>98</v>
      </c>
      <c r="P10" s="59">
        <v>80</v>
      </c>
      <c r="Q10" s="28">
        <v>81</v>
      </c>
      <c r="R10" s="29">
        <f t="shared" si="6"/>
        <v>75.33</v>
      </c>
      <c r="S10" s="29">
        <v>72</v>
      </c>
      <c r="T10" s="30">
        <f t="shared" si="7"/>
        <v>101.25</v>
      </c>
      <c r="U10" s="28">
        <f t="shared" si="8"/>
        <v>121.5</v>
      </c>
      <c r="V10" s="28">
        <f t="shared" si="9"/>
        <v>162</v>
      </c>
      <c r="W10" s="28">
        <f t="shared" si="10"/>
        <v>74.520913032135752</v>
      </c>
      <c r="X10" s="29">
        <v>85</v>
      </c>
      <c r="Y10" s="5">
        <f t="shared" si="11"/>
        <v>6.0776053104866931E-2</v>
      </c>
      <c r="Z10" s="31">
        <f t="shared" si="12"/>
        <v>7.8365007307826778E-2</v>
      </c>
      <c r="AB10" s="55">
        <v>46126</v>
      </c>
      <c r="AC10" s="9">
        <v>99</v>
      </c>
    </row>
    <row r="11" spans="1:29" x14ac:dyDescent="0.25">
      <c r="A11" t="s">
        <v>70</v>
      </c>
      <c r="B11" t="s">
        <v>29</v>
      </c>
      <c r="C11" s="25" t="s">
        <v>71</v>
      </c>
      <c r="D11" s="2">
        <f>1733.9964+1138.3726</f>
        <v>2872.3689999999997</v>
      </c>
      <c r="E11" s="26">
        <v>23.24</v>
      </c>
      <c r="F11" s="3">
        <f t="shared" si="0"/>
        <v>66753.855559999982</v>
      </c>
      <c r="G11" s="3">
        <f>36288.78+24176.77</f>
        <v>60465.55</v>
      </c>
      <c r="H11" s="4">
        <f t="shared" si="1"/>
        <v>21.050759843181712</v>
      </c>
      <c r="I11" s="3">
        <f t="shared" si="2"/>
        <v>6288.3055599999789</v>
      </c>
      <c r="J11" s="26">
        <f t="shared" si="3"/>
        <v>2.1892401568182862</v>
      </c>
      <c r="K11" s="27">
        <v>46027</v>
      </c>
      <c r="L11">
        <f t="shared" si="4"/>
        <v>11</v>
      </c>
      <c r="M11" s="5">
        <f t="shared" si="5"/>
        <v>0.10399815365939744</v>
      </c>
      <c r="N11" s="9">
        <v>55</v>
      </c>
      <c r="O11">
        <v>94</v>
      </c>
      <c r="P11" s="59">
        <v>15</v>
      </c>
      <c r="Q11" s="28">
        <v>20.6</v>
      </c>
      <c r="R11" s="29">
        <f t="shared" si="6"/>
        <v>19.158000000000001</v>
      </c>
      <c r="S11" s="29">
        <v>17.760000000000002</v>
      </c>
      <c r="T11" s="28">
        <f t="shared" si="7"/>
        <v>25.75</v>
      </c>
      <c r="U11" s="28">
        <f t="shared" si="8"/>
        <v>30.900000000000002</v>
      </c>
      <c r="V11" s="28">
        <f t="shared" si="9"/>
        <v>41.2</v>
      </c>
      <c r="W11" s="28">
        <f t="shared" si="10"/>
        <v>19.577206654158992</v>
      </c>
      <c r="X11" s="29">
        <v>20.5</v>
      </c>
      <c r="Y11" s="5">
        <f t="shared" si="11"/>
        <v>-2.6163418673939315E-2</v>
      </c>
      <c r="Z11" s="6">
        <f t="shared" si="12"/>
        <v>0.10668219765644514</v>
      </c>
      <c r="AB11" s="55">
        <v>46072</v>
      </c>
      <c r="AC11" s="9">
        <v>81</v>
      </c>
    </row>
    <row r="12" spans="1:29" x14ac:dyDescent="0.25">
      <c r="A12" t="s">
        <v>72</v>
      </c>
      <c r="B12" t="s">
        <v>29</v>
      </c>
      <c r="C12" s="25" t="s">
        <v>73</v>
      </c>
      <c r="D12" s="2">
        <v>424.72669999999999</v>
      </c>
      <c r="E12" s="26">
        <v>154.38999999999999</v>
      </c>
      <c r="F12" s="3">
        <f t="shared" si="0"/>
        <v>65573.555213</v>
      </c>
      <c r="G12" s="3">
        <v>61848.7</v>
      </c>
      <c r="H12" s="4">
        <f t="shared" si="1"/>
        <v>145.61999516394894</v>
      </c>
      <c r="I12" s="3">
        <f t="shared" si="2"/>
        <v>3724.8552130000025</v>
      </c>
      <c r="J12" s="26">
        <f t="shared" si="3"/>
        <v>8.7700048360510436</v>
      </c>
      <c r="K12" s="27">
        <v>46034</v>
      </c>
      <c r="L12">
        <f t="shared" si="4"/>
        <v>4</v>
      </c>
      <c r="M12" s="5">
        <f t="shared" si="5"/>
        <v>6.022527899535484E-2</v>
      </c>
      <c r="N12" s="9">
        <v>11</v>
      </c>
      <c r="O12">
        <v>94</v>
      </c>
      <c r="P12" s="60">
        <v>99</v>
      </c>
      <c r="Q12" s="28">
        <v>143.30000000000001</v>
      </c>
      <c r="R12" s="29">
        <f t="shared" si="6"/>
        <v>133.26900000000001</v>
      </c>
      <c r="S12" s="29">
        <v>130.62</v>
      </c>
      <c r="T12" s="30">
        <f t="shared" si="7"/>
        <v>179.125</v>
      </c>
      <c r="U12" s="28">
        <f t="shared" si="8"/>
        <v>214.95000000000002</v>
      </c>
      <c r="V12" s="28">
        <f t="shared" si="9"/>
        <v>286.60000000000002</v>
      </c>
      <c r="W12" s="28">
        <f t="shared" si="10"/>
        <v>135.42659550247251</v>
      </c>
      <c r="X12" s="29">
        <v>135</v>
      </c>
      <c r="Y12" s="5">
        <f t="shared" si="11"/>
        <v>-7.2929511857161011E-2</v>
      </c>
      <c r="Z12" s="6">
        <f t="shared" si="12"/>
        <v>0.10479590908395293</v>
      </c>
      <c r="AB12" s="55">
        <v>46050</v>
      </c>
      <c r="AC12" s="9">
        <v>99</v>
      </c>
    </row>
    <row r="13" spans="1:29" x14ac:dyDescent="0.25">
      <c r="A13" t="s">
        <v>74</v>
      </c>
      <c r="B13" t="s">
        <v>29</v>
      </c>
      <c r="C13" s="25" t="s">
        <v>75</v>
      </c>
      <c r="D13" s="2">
        <f>911.4227+399.4035</f>
        <v>1310.8262</v>
      </c>
      <c r="E13" s="26">
        <v>56.87</v>
      </c>
      <c r="F13" s="3">
        <f t="shared" si="0"/>
        <v>74546.685993999999</v>
      </c>
      <c r="G13" s="3">
        <f>49515.3+22851.93</f>
        <v>72367.23000000001</v>
      </c>
      <c r="H13" s="4">
        <f t="shared" si="1"/>
        <v>55.207341751332109</v>
      </c>
      <c r="I13" s="3">
        <f t="shared" si="2"/>
        <v>2179.455993999989</v>
      </c>
      <c r="J13" s="26">
        <f t="shared" si="3"/>
        <v>1.6626582486678885</v>
      </c>
      <c r="K13" s="27">
        <v>46035</v>
      </c>
      <c r="L13">
        <f t="shared" si="4"/>
        <v>3</v>
      </c>
      <c r="M13" s="5">
        <f t="shared" si="5"/>
        <v>3.0116614854541049E-2</v>
      </c>
      <c r="N13" s="9">
        <v>38</v>
      </c>
      <c r="O13">
        <v>94</v>
      </c>
      <c r="P13" s="59">
        <v>98</v>
      </c>
      <c r="Q13" s="28">
        <v>55.83</v>
      </c>
      <c r="R13" s="29">
        <f t="shared" si="6"/>
        <v>51.921900000000001</v>
      </c>
      <c r="S13" s="29">
        <v>49.72</v>
      </c>
      <c r="T13" s="28">
        <f t="shared" si="7"/>
        <v>69.787499999999994</v>
      </c>
      <c r="U13" s="28">
        <f t="shared" si="8"/>
        <v>83.745000000000005</v>
      </c>
      <c r="V13" s="28">
        <f t="shared" si="9"/>
        <v>111.66</v>
      </c>
      <c r="W13" s="28">
        <f t="shared" si="10"/>
        <v>51.342827828738862</v>
      </c>
      <c r="X13" s="29">
        <v>50</v>
      </c>
      <c r="Y13" s="5">
        <f t="shared" si="11"/>
        <v>-9.4323356027307001E-2</v>
      </c>
      <c r="Z13" s="31">
        <f t="shared" si="12"/>
        <v>0.11913625397557277</v>
      </c>
      <c r="AB13" s="55">
        <v>46077</v>
      </c>
      <c r="AC13" s="9">
        <v>99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45376</v>
      </c>
      <c r="M14" s="5" t="e">
        <f t="shared" si="5"/>
        <v>#DIV/0!</v>
      </c>
      <c r="N14" s="9"/>
      <c r="P14" s="59"/>
      <c r="Q14" s="28"/>
      <c r="R14" s="29">
        <f t="shared" si="6"/>
        <v>0</v>
      </c>
      <c r="S14" s="29"/>
      <c r="T14" s="28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55"/>
      <c r="AC14" s="59"/>
    </row>
    <row r="15" spans="1:29" x14ac:dyDescent="0.25">
      <c r="C15" s="25"/>
      <c r="D15" s="2"/>
      <c r="E15" s="26"/>
      <c r="F15" s="3">
        <f t="shared" ref="F15" si="13">E15*D15</f>
        <v>0</v>
      </c>
      <c r="G15" s="3"/>
      <c r="H15" s="4" t="e">
        <f t="shared" ref="H15" si="14">G15/D15</f>
        <v>#DIV/0!</v>
      </c>
      <c r="I15" s="3">
        <f t="shared" ref="I15" si="15">F15-G15</f>
        <v>0</v>
      </c>
      <c r="J15" s="26" t="e">
        <f t="shared" ref="J15" si="16">E15-H15</f>
        <v>#DIV/0!</v>
      </c>
      <c r="K15" s="27"/>
      <c r="L15">
        <f t="shared" ref="L15" si="17">DAYS360(K15,$C$1)</f>
        <v>45376</v>
      </c>
      <c r="M15" s="5" t="e">
        <f t="shared" ref="M15" si="18">(I15/G15)</f>
        <v>#DIV/0!</v>
      </c>
      <c r="N15" s="9"/>
      <c r="P15" s="32"/>
      <c r="Q15" s="28"/>
      <c r="R15" s="29">
        <f t="shared" ref="R15" si="19">Q15*0.93</f>
        <v>0</v>
      </c>
      <c r="S15" s="29"/>
      <c r="T15" s="28">
        <f t="shared" ref="T15" si="20">Q15*1.25</f>
        <v>0</v>
      </c>
      <c r="U15" s="28">
        <f t="shared" ref="U15" si="21">Q15*1.5</f>
        <v>0</v>
      </c>
      <c r="V15" s="28">
        <f t="shared" ref="V15" si="22">Q15*2</f>
        <v>0</v>
      </c>
      <c r="W15" s="28" t="e">
        <f t="shared" ref="W15" si="23">H15-(H15*0.07)</f>
        <v>#DIV/0!</v>
      </c>
      <c r="X15" s="29"/>
      <c r="Y15" s="5" t="e">
        <f t="shared" ref="Y15" si="24">(X15-H15)/H15</f>
        <v>#DIV/0!</v>
      </c>
      <c r="Z15" s="31">
        <f t="shared" ref="Z15" si="25">F15/F$20</f>
        <v>0</v>
      </c>
      <c r="AB15" s="55"/>
      <c r="AC15" s="9"/>
    </row>
    <row r="16" spans="1:29" x14ac:dyDescent="0.25">
      <c r="C16" s="25"/>
      <c r="D16" s="2"/>
      <c r="E16" s="26"/>
      <c r="F16" s="3">
        <f t="shared" ref="F16:F17" si="26">E16*D16</f>
        <v>0</v>
      </c>
      <c r="G16" s="3"/>
      <c r="H16" s="4" t="e">
        <f t="shared" ref="H16:H17" si="27">G16/D16</f>
        <v>#DIV/0!</v>
      </c>
      <c r="I16" s="3">
        <f t="shared" ref="I16:I17" si="28">F16-G16</f>
        <v>0</v>
      </c>
      <c r="J16" s="26" t="e">
        <f t="shared" ref="J16:J17" si="29">E16-H16</f>
        <v>#DIV/0!</v>
      </c>
      <c r="K16" s="27"/>
      <c r="L16">
        <f t="shared" ref="L16:L17" si="30">DAYS360(K16,$C$1)</f>
        <v>45376</v>
      </c>
      <c r="M16" s="5" t="e">
        <f t="shared" ref="M16:M17" si="31">(I16/G16)</f>
        <v>#DIV/0!</v>
      </c>
      <c r="P16" s="59"/>
      <c r="Q16" s="28"/>
      <c r="R16" s="29">
        <f t="shared" ref="R16:R17" si="32">Q16*0.93</f>
        <v>0</v>
      </c>
      <c r="S16" s="29"/>
      <c r="T16" s="28">
        <f t="shared" ref="T16:T17" si="33">Q16*1.25</f>
        <v>0</v>
      </c>
      <c r="U16" s="28">
        <f t="shared" ref="U16:U17" si="34">Q16*1.5</f>
        <v>0</v>
      </c>
      <c r="V16" s="28">
        <f t="shared" ref="V16:V17" si="35">Q16*2</f>
        <v>0</v>
      </c>
      <c r="W16" s="28" t="e">
        <f t="shared" ref="W16:W17" si="36">H16-(H16*0.07)</f>
        <v>#DIV/0!</v>
      </c>
      <c r="X16" s="29"/>
      <c r="Y16" s="5" t="e">
        <f t="shared" ref="Y16:Y17" si="37">(X16-H16)/H16</f>
        <v>#DIV/0!</v>
      </c>
      <c r="Z16" s="31">
        <f t="shared" ref="Z16:Z17" si="38">F16/F$20</f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26"/>
        <v>0</v>
      </c>
      <c r="G17" s="37"/>
      <c r="H17" s="38" t="e">
        <f t="shared" si="27"/>
        <v>#DIV/0!</v>
      </c>
      <c r="I17" s="37">
        <f t="shared" si="28"/>
        <v>0</v>
      </c>
      <c r="J17" s="36" t="e">
        <f t="shared" si="29"/>
        <v>#DIV/0!</v>
      </c>
      <c r="K17" s="39"/>
      <c r="L17" s="33">
        <f t="shared" si="30"/>
        <v>45376</v>
      </c>
      <c r="M17" s="40" t="e">
        <f t="shared" si="31"/>
        <v>#DIV/0!</v>
      </c>
      <c r="N17" s="33"/>
      <c r="O17" s="33"/>
      <c r="P17" s="61"/>
      <c r="Q17" s="41"/>
      <c r="R17" s="42">
        <f t="shared" si="32"/>
        <v>0</v>
      </c>
      <c r="S17" s="42"/>
      <c r="T17" s="43">
        <f t="shared" si="33"/>
        <v>0</v>
      </c>
      <c r="U17" s="41">
        <f t="shared" si="34"/>
        <v>0</v>
      </c>
      <c r="V17" s="41">
        <f t="shared" si="35"/>
        <v>0</v>
      </c>
      <c r="W17" s="41" t="e">
        <f t="shared" si="36"/>
        <v>#DIV/0!</v>
      </c>
      <c r="X17" s="42"/>
      <c r="Y17" s="40" t="e">
        <f t="shared" si="37"/>
        <v>#DIV/0!</v>
      </c>
      <c r="Z17" s="44">
        <f t="shared" si="38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455936.28823199996</v>
      </c>
      <c r="G18" s="3">
        <f>SUM(G6:G17)</f>
        <v>422074.11490000004</v>
      </c>
      <c r="H18" s="4"/>
      <c r="I18" s="3">
        <f>SUM(I6:I17)</f>
        <v>33862.173331999962</v>
      </c>
      <c r="M18" s="5"/>
      <c r="Z18" s="6"/>
    </row>
    <row r="19" spans="1:29" x14ac:dyDescent="0.25">
      <c r="D19" s="2" t="s">
        <v>32</v>
      </c>
      <c r="F19" s="3">
        <v>169790</v>
      </c>
      <c r="G19" s="6">
        <f>F19/F20</f>
        <v>0.27134867623948561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625726.28823199996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'01-09-26'!F20</f>
        <v>620191.77406500001</v>
      </c>
      <c r="K21" s="1">
        <v>45657</v>
      </c>
      <c r="L21" s="47">
        <v>208334</v>
      </c>
      <c r="M21" s="47">
        <v>216906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8.9238754824566661E-3</v>
      </c>
      <c r="K22" s="9" t="s">
        <v>54</v>
      </c>
      <c r="L22" s="6">
        <f>(M21-L21)/L21</f>
        <v>4.1145468334501327E-2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2" si="39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39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2" si="40">F28/D28</f>
        <v>271.34091722620656</v>
      </c>
      <c r="F28" s="3">
        <v>78305</v>
      </c>
      <c r="G28" s="53">
        <v>73933.25</v>
      </c>
      <c r="H28" s="54">
        <f t="shared" ref="H28:H32" si="41">G28/D28</f>
        <v>256.19201671048387</v>
      </c>
      <c r="I28" s="54">
        <f t="shared" ref="I28:I32" si="42">G28-F28</f>
        <v>-4371.75</v>
      </c>
      <c r="J28" s="6">
        <f t="shared" ref="J28:J32" si="43">I28/F28</f>
        <v>-5.5829768214034861E-2</v>
      </c>
      <c r="K28" s="1">
        <v>45971</v>
      </c>
      <c r="L28" s="1">
        <v>46038</v>
      </c>
      <c r="M28">
        <f t="shared" si="39"/>
        <v>66</v>
      </c>
      <c r="Q28" s="28"/>
      <c r="S28" s="58"/>
    </row>
    <row r="29" spans="1:29" x14ac:dyDescent="0.25">
      <c r="C29" s="25"/>
      <c r="D29" s="2"/>
      <c r="E29" s="54" t="e">
        <f t="shared" si="40"/>
        <v>#DIV/0!</v>
      </c>
      <c r="F29" s="3"/>
      <c r="G29" s="53"/>
      <c r="H29" s="54" t="e">
        <f t="shared" si="41"/>
        <v>#DIV/0!</v>
      </c>
      <c r="I29" s="54">
        <f t="shared" si="42"/>
        <v>0</v>
      </c>
      <c r="J29" s="6" t="e">
        <f t="shared" si="43"/>
        <v>#DIV/0!</v>
      </c>
      <c r="K29" s="1"/>
      <c r="L29" s="1"/>
      <c r="M29">
        <f t="shared" si="39"/>
        <v>0</v>
      </c>
      <c r="Q29" s="28"/>
      <c r="S29" s="58"/>
    </row>
    <row r="30" spans="1:29" x14ac:dyDescent="0.25">
      <c r="C30" s="25"/>
      <c r="D30" s="2"/>
      <c r="E30" s="54" t="e">
        <f t="shared" si="40"/>
        <v>#DIV/0!</v>
      </c>
      <c r="F30" s="3"/>
      <c r="G30" s="53"/>
      <c r="H30" s="54" t="e">
        <f t="shared" si="41"/>
        <v>#DIV/0!</v>
      </c>
      <c r="I30" s="54">
        <f t="shared" si="42"/>
        <v>0</v>
      </c>
      <c r="J30" s="6" t="e">
        <f t="shared" si="43"/>
        <v>#DIV/0!</v>
      </c>
      <c r="K30" s="1"/>
      <c r="L30" s="1"/>
      <c r="M30">
        <f t="shared" si="39"/>
        <v>0</v>
      </c>
      <c r="Q30" s="28"/>
      <c r="S30" s="58"/>
    </row>
    <row r="31" spans="1:29" x14ac:dyDescent="0.25">
      <c r="C31" s="25"/>
      <c r="D31" s="2"/>
      <c r="E31" s="54" t="e">
        <f t="shared" si="40"/>
        <v>#DIV/0!</v>
      </c>
      <c r="F31" s="3"/>
      <c r="G31" s="53"/>
      <c r="H31" s="54" t="e">
        <f t="shared" si="41"/>
        <v>#DIV/0!</v>
      </c>
      <c r="I31" s="54">
        <f t="shared" si="42"/>
        <v>0</v>
      </c>
      <c r="J31" s="6" t="e">
        <f t="shared" si="43"/>
        <v>#DIV/0!</v>
      </c>
      <c r="K31" s="1"/>
      <c r="L31" s="1"/>
      <c r="M31">
        <f t="shared" si="39"/>
        <v>0</v>
      </c>
      <c r="Q31" s="28"/>
      <c r="S31" s="58"/>
    </row>
    <row r="32" spans="1:29" x14ac:dyDescent="0.25">
      <c r="C32" s="25"/>
      <c r="D32" s="2"/>
      <c r="E32" s="54" t="e">
        <f t="shared" si="40"/>
        <v>#DIV/0!</v>
      </c>
      <c r="F32" s="3"/>
      <c r="G32" s="53"/>
      <c r="H32" s="54" t="e">
        <f t="shared" si="41"/>
        <v>#DIV/0!</v>
      </c>
      <c r="I32" s="54">
        <f t="shared" si="42"/>
        <v>0</v>
      </c>
      <c r="J32" s="6" t="e">
        <f t="shared" si="43"/>
        <v>#DIV/0!</v>
      </c>
      <c r="K32" s="1"/>
      <c r="L32" s="1"/>
      <c r="M32">
        <f t="shared" si="39"/>
        <v>0</v>
      </c>
      <c r="Q32" s="28"/>
      <c r="S32" s="58"/>
    </row>
    <row r="33" spans="3:12" x14ac:dyDescent="0.25">
      <c r="C33" s="25"/>
      <c r="D33" s="2"/>
      <c r="E33" s="54"/>
      <c r="F33" s="3"/>
      <c r="G33" s="53"/>
      <c r="H33" s="54"/>
      <c r="I33" s="54"/>
      <c r="J33" s="6"/>
      <c r="K33" s="1"/>
      <c r="L33" s="1"/>
    </row>
    <row r="34" spans="3:12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3:12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3:12" x14ac:dyDescent="0.25">
      <c r="F36" s="53"/>
      <c r="G36" s="53"/>
      <c r="H36" s="3" t="s">
        <v>66</v>
      </c>
      <c r="I36" s="3">
        <f>SUM(I26:I33)</f>
        <v>-19017.014600000002</v>
      </c>
      <c r="J36" s="13" t="s">
        <v>49</v>
      </c>
    </row>
    <row r="37" spans="3:12" x14ac:dyDescent="0.25">
      <c r="F37" s="53"/>
      <c r="G37" s="53"/>
      <c r="H37" s="3" t="s">
        <v>50</v>
      </c>
      <c r="I37" s="56">
        <v>3</v>
      </c>
      <c r="J37" s="5">
        <v>-9.8199999999999996E-2</v>
      </c>
    </row>
    <row r="38" spans="3:12" x14ac:dyDescent="0.25">
      <c r="F38" s="53"/>
      <c r="G38" s="53"/>
      <c r="H38" s="3" t="s">
        <v>51</v>
      </c>
      <c r="I38" s="63"/>
      <c r="J38" s="5"/>
    </row>
    <row r="39" spans="3:12" x14ac:dyDescent="0.25">
      <c r="F39" s="53"/>
      <c r="G39" s="53"/>
      <c r="I39" s="56">
        <f>SUM(I37:I38)</f>
        <v>3</v>
      </c>
      <c r="J39" s="6"/>
    </row>
    <row r="40" spans="3:12" x14ac:dyDescent="0.25">
      <c r="F40" s="53"/>
      <c r="G40" s="53"/>
      <c r="H40" t="s">
        <v>65</v>
      </c>
      <c r="I40" s="64">
        <f>I38/I39</f>
        <v>0</v>
      </c>
      <c r="J40" s="65">
        <f>J38/J37*-1</f>
        <v>0</v>
      </c>
    </row>
    <row r="41" spans="3:12" x14ac:dyDescent="0.25">
      <c r="F41" s="53"/>
      <c r="G41" s="53"/>
      <c r="J41" s="6"/>
    </row>
    <row r="42" spans="3:12" x14ac:dyDescent="0.25">
      <c r="F42" s="53"/>
      <c r="G42" s="53"/>
      <c r="J42" s="6"/>
    </row>
    <row r="43" spans="3:12" x14ac:dyDescent="0.25">
      <c r="F43" s="53"/>
      <c r="G43" s="53"/>
      <c r="J43" s="6"/>
    </row>
    <row r="44" spans="3:12" x14ac:dyDescent="0.25">
      <c r="F44" s="53"/>
      <c r="G44" s="53"/>
      <c r="J44" s="6"/>
    </row>
    <row r="45" spans="3:12" x14ac:dyDescent="0.25">
      <c r="F45" s="53"/>
      <c r="G45" s="53"/>
      <c r="J45" s="6"/>
    </row>
    <row r="46" spans="3:12" x14ac:dyDescent="0.25">
      <c r="F46" s="53"/>
      <c r="G46" s="53"/>
      <c r="J46" s="6"/>
    </row>
    <row r="47" spans="3:12" x14ac:dyDescent="0.25">
      <c r="F47" s="53"/>
      <c r="G47" s="53"/>
      <c r="J47" s="6"/>
    </row>
    <row r="48" spans="3:12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9DA5-785F-43C5-84FE-D5F2462D381E}">
  <dimension ref="A1:AC6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46045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657.78</v>
      </c>
      <c r="F7" s="3">
        <f t="shared" ref="F7:F17" si="0">E7*D7</f>
        <v>83785.187945999991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1828.8730459999933</v>
      </c>
      <c r="J7" s="26">
        <f t="shared" ref="J7:J17" si="3">E7-H7</f>
        <v>14.358100061471646</v>
      </c>
      <c r="K7" s="27">
        <v>46000</v>
      </c>
      <c r="L7">
        <f t="shared" ref="L7:L17" si="4">DAYS360(K7,$C$1)</f>
        <v>44</v>
      </c>
      <c r="M7" s="5">
        <f t="shared" ref="M7:M17" si="5">(I7/G7)</f>
        <v>2.2315218152884439E-2</v>
      </c>
      <c r="N7" s="9">
        <v>71</v>
      </c>
      <c r="O7">
        <v>87</v>
      </c>
      <c r="P7" s="59">
        <v>40</v>
      </c>
      <c r="Q7" s="28">
        <v>664.69</v>
      </c>
      <c r="R7" s="29">
        <f t="shared" ref="R7:R17" si="6">Q7*0.93</f>
        <v>618.16170000000011</v>
      </c>
      <c r="S7" s="29">
        <v>555.84</v>
      </c>
      <c r="T7" s="28">
        <f t="shared" ref="T7:T17" si="7">Q7*1.25</f>
        <v>830.86250000000007</v>
      </c>
      <c r="U7" s="28">
        <f t="shared" ref="U7:U17" si="8">Q7*1.5</f>
        <v>997.03500000000008</v>
      </c>
      <c r="V7" s="28">
        <f t="shared" ref="V7:V17" si="9">Q7*2</f>
        <v>1329.38</v>
      </c>
      <c r="W7" s="28">
        <f t="shared" ref="W7:W17" si="10">H7-(H7*0.07)</f>
        <v>598.38236694283137</v>
      </c>
      <c r="X7" s="29">
        <v>630</v>
      </c>
      <c r="Y7" s="5">
        <f t="shared" ref="Y7:Y17" si="11">(X7-H7)/H7</f>
        <v>-2.0860185113081537E-2</v>
      </c>
      <c r="Z7" s="6">
        <f t="shared" ref="Z7:Z17" si="12">F7/F$20</f>
        <v>0.13677748751263027</v>
      </c>
      <c r="AB7" s="57">
        <v>46050</v>
      </c>
      <c r="AC7" s="9">
        <v>82</v>
      </c>
    </row>
    <row r="8" spans="1:29" x14ac:dyDescent="0.25">
      <c r="A8" t="s">
        <v>59</v>
      </c>
      <c r="B8" t="s">
        <v>29</v>
      </c>
      <c r="C8" s="25" t="s">
        <v>60</v>
      </c>
      <c r="D8" s="2">
        <v>129.2645</v>
      </c>
      <c r="E8" s="26">
        <v>449.06</v>
      </c>
      <c r="F8" s="3">
        <f t="shared" si="0"/>
        <v>58047.516369999998</v>
      </c>
      <c r="G8" s="3">
        <v>61897.919999999998</v>
      </c>
      <c r="H8" s="4">
        <f t="shared" si="1"/>
        <v>478.84701522846564</v>
      </c>
      <c r="I8" s="3">
        <f t="shared" si="2"/>
        <v>-3850.4036300000007</v>
      </c>
      <c r="J8" s="26">
        <f t="shared" si="3"/>
        <v>-29.787015228465634</v>
      </c>
      <c r="K8" s="27">
        <v>46006</v>
      </c>
      <c r="L8">
        <f t="shared" si="4"/>
        <v>38</v>
      </c>
      <c r="M8" s="5">
        <f t="shared" si="5"/>
        <v>-6.2205703034932364E-2</v>
      </c>
      <c r="N8" s="32">
        <v>46</v>
      </c>
      <c r="O8">
        <v>83</v>
      </c>
      <c r="P8" s="60">
        <v>46</v>
      </c>
      <c r="Q8" s="28">
        <v>458.87</v>
      </c>
      <c r="R8" s="29">
        <f t="shared" si="6"/>
        <v>426.7491</v>
      </c>
      <c r="S8" s="29">
        <v>435.25</v>
      </c>
      <c r="T8" s="30">
        <f t="shared" si="7"/>
        <v>573.58749999999998</v>
      </c>
      <c r="U8" s="28">
        <f t="shared" si="8"/>
        <v>688.30500000000006</v>
      </c>
      <c r="V8" s="28">
        <f t="shared" si="9"/>
        <v>917.74</v>
      </c>
      <c r="W8" s="28">
        <f t="shared" si="10"/>
        <v>445.32772416247303</v>
      </c>
      <c r="X8" s="29">
        <v>445</v>
      </c>
      <c r="Y8" s="5">
        <f t="shared" si="11"/>
        <v>-7.0684402642285829E-2</v>
      </c>
      <c r="Z8" s="6">
        <f t="shared" si="12"/>
        <v>9.476130137171726E-2</v>
      </c>
      <c r="AB8" s="67">
        <v>46050</v>
      </c>
      <c r="AC8" s="32">
        <v>69</v>
      </c>
    </row>
    <row r="9" spans="1:29" x14ac:dyDescent="0.25">
      <c r="A9" t="s">
        <v>63</v>
      </c>
      <c r="B9" t="s">
        <v>29</v>
      </c>
      <c r="C9" s="25" t="s">
        <v>64</v>
      </c>
      <c r="D9" s="2">
        <f>774.8271+421.3989</f>
        <v>1196.2260000000001</v>
      </c>
      <c r="E9" s="26">
        <v>46.95</v>
      </c>
      <c r="F9" s="3">
        <f t="shared" si="0"/>
        <v>56162.810700000009</v>
      </c>
      <c r="G9" s="3">
        <f>30380.12+16944.65</f>
        <v>47324.770000000004</v>
      </c>
      <c r="H9" s="4">
        <f t="shared" si="1"/>
        <v>39.561729974101887</v>
      </c>
      <c r="I9" s="3">
        <f t="shared" si="2"/>
        <v>8838.040700000005</v>
      </c>
      <c r="J9" s="26">
        <f t="shared" si="3"/>
        <v>7.388270025898116</v>
      </c>
      <c r="K9" s="27">
        <v>46021</v>
      </c>
      <c r="L9">
        <f t="shared" si="4"/>
        <v>23</v>
      </c>
      <c r="M9" s="5">
        <f t="shared" si="5"/>
        <v>0.18675295622144608</v>
      </c>
      <c r="N9" s="32" t="s">
        <v>30</v>
      </c>
      <c r="O9">
        <v>93</v>
      </c>
      <c r="P9" s="60" t="s">
        <v>30</v>
      </c>
      <c r="Q9" s="28">
        <v>40.68</v>
      </c>
      <c r="R9" s="29">
        <f t="shared" si="6"/>
        <v>37.8324</v>
      </c>
      <c r="S9" s="29">
        <v>35.32</v>
      </c>
      <c r="T9" s="30">
        <f t="shared" si="7"/>
        <v>50.85</v>
      </c>
      <c r="U9" s="28">
        <f t="shared" si="8"/>
        <v>61.019999999999996</v>
      </c>
      <c r="V9" s="28">
        <f t="shared" si="9"/>
        <v>81.36</v>
      </c>
      <c r="W9" s="28">
        <f t="shared" si="10"/>
        <v>36.792408875914752</v>
      </c>
      <c r="X9" s="29">
        <v>39</v>
      </c>
      <c r="Y9" s="5">
        <f t="shared" si="11"/>
        <v>-1.4198822308064121E-2</v>
      </c>
      <c r="Z9" s="6">
        <f t="shared" si="12"/>
        <v>9.1684560571069398E-2</v>
      </c>
      <c r="AB9" s="62" t="s">
        <v>30</v>
      </c>
      <c r="AC9" s="32" t="s">
        <v>30</v>
      </c>
    </row>
    <row r="10" spans="1:29" x14ac:dyDescent="0.25">
      <c r="A10" t="s">
        <v>68</v>
      </c>
      <c r="B10" t="s">
        <v>29</v>
      </c>
      <c r="C10" s="25" t="s">
        <v>69</v>
      </c>
      <c r="D10" s="2">
        <v>451.9359</v>
      </c>
      <c r="E10" s="26">
        <v>108.22</v>
      </c>
      <c r="F10" s="3">
        <f t="shared" si="0"/>
        <v>48908.503098000001</v>
      </c>
      <c r="G10" s="3">
        <v>36213.629999999997</v>
      </c>
      <c r="H10" s="4">
        <f t="shared" si="1"/>
        <v>80.130014013049191</v>
      </c>
      <c r="I10" s="3">
        <f t="shared" si="2"/>
        <v>12694.873098000004</v>
      </c>
      <c r="J10" s="26">
        <f t="shared" si="3"/>
        <v>28.089985986950808</v>
      </c>
      <c r="K10" s="27">
        <v>46027</v>
      </c>
      <c r="L10">
        <f t="shared" si="4"/>
        <v>18</v>
      </c>
      <c r="M10" s="5">
        <f t="shared" si="5"/>
        <v>0.35055511137657297</v>
      </c>
      <c r="N10" s="9">
        <v>14</v>
      </c>
      <c r="O10">
        <v>97</v>
      </c>
      <c r="P10" s="59">
        <v>80</v>
      </c>
      <c r="Q10" s="28">
        <v>81</v>
      </c>
      <c r="R10" s="29">
        <f t="shared" si="6"/>
        <v>75.33</v>
      </c>
      <c r="S10" s="29">
        <v>72</v>
      </c>
      <c r="T10" s="30">
        <f t="shared" si="7"/>
        <v>101.25</v>
      </c>
      <c r="U10" s="28">
        <f t="shared" si="8"/>
        <v>121.5</v>
      </c>
      <c r="V10" s="28">
        <f t="shared" si="9"/>
        <v>162</v>
      </c>
      <c r="W10" s="28">
        <f t="shared" si="10"/>
        <v>74.520913032135752</v>
      </c>
      <c r="X10" s="29">
        <v>95</v>
      </c>
      <c r="Y10" s="5">
        <f t="shared" si="11"/>
        <v>0.18557323582308657</v>
      </c>
      <c r="Z10" s="31">
        <f t="shared" si="12"/>
        <v>7.9842062012913398E-2</v>
      </c>
      <c r="AB10" s="55">
        <v>46126</v>
      </c>
      <c r="AC10" s="9">
        <v>99</v>
      </c>
    </row>
    <row r="11" spans="1:29" x14ac:dyDescent="0.25">
      <c r="A11" t="s">
        <v>70</v>
      </c>
      <c r="B11" t="s">
        <v>29</v>
      </c>
      <c r="C11" s="25" t="s">
        <v>71</v>
      </c>
      <c r="D11" s="2">
        <f>1733.9964+1138.3726</f>
        <v>2872.3689999999997</v>
      </c>
      <c r="E11" s="26">
        <v>21.07</v>
      </c>
      <c r="F11" s="3">
        <f t="shared" si="0"/>
        <v>60520.814829999996</v>
      </c>
      <c r="G11" s="3">
        <f>36288.78+24176.77</f>
        <v>60465.55</v>
      </c>
      <c r="H11" s="4">
        <f t="shared" si="1"/>
        <v>21.050759843181712</v>
      </c>
      <c r="I11" s="3">
        <f t="shared" si="2"/>
        <v>55.264829999992799</v>
      </c>
      <c r="J11" s="26">
        <f t="shared" si="3"/>
        <v>1.9240156818288057E-2</v>
      </c>
      <c r="K11" s="27">
        <v>46027</v>
      </c>
      <c r="L11">
        <f t="shared" si="4"/>
        <v>18</v>
      </c>
      <c r="M11" s="5">
        <f t="shared" si="5"/>
        <v>9.1398870927317775E-4</v>
      </c>
      <c r="N11" s="9">
        <v>55</v>
      </c>
      <c r="O11">
        <v>91</v>
      </c>
      <c r="P11" s="59">
        <v>15</v>
      </c>
      <c r="Q11" s="28">
        <v>20.6</v>
      </c>
      <c r="R11" s="29">
        <f t="shared" si="6"/>
        <v>19.158000000000001</v>
      </c>
      <c r="S11" s="29">
        <v>17.760000000000002</v>
      </c>
      <c r="T11" s="28">
        <f t="shared" si="7"/>
        <v>25.75</v>
      </c>
      <c r="U11" s="28">
        <f t="shared" si="8"/>
        <v>30.900000000000002</v>
      </c>
      <c r="V11" s="28">
        <f t="shared" si="9"/>
        <v>41.2</v>
      </c>
      <c r="W11" s="28">
        <f t="shared" si="10"/>
        <v>19.577206654158992</v>
      </c>
      <c r="X11" s="29">
        <v>20.5</v>
      </c>
      <c r="Y11" s="5">
        <f t="shared" si="11"/>
        <v>-2.6163418673939315E-2</v>
      </c>
      <c r="Z11" s="6">
        <f t="shared" si="12"/>
        <v>9.8798907033540065E-2</v>
      </c>
      <c r="AB11" s="55">
        <v>46072</v>
      </c>
      <c r="AC11" s="9">
        <v>74</v>
      </c>
    </row>
    <row r="12" spans="1:29" x14ac:dyDescent="0.25">
      <c r="A12" t="s">
        <v>72</v>
      </c>
      <c r="B12" t="s">
        <v>29</v>
      </c>
      <c r="C12" s="25" t="s">
        <v>73</v>
      </c>
      <c r="D12" s="2">
        <v>424.72669999999999</v>
      </c>
      <c r="E12" s="26">
        <v>150.99</v>
      </c>
      <c r="F12" s="3">
        <f t="shared" si="0"/>
        <v>64129.484433000005</v>
      </c>
      <c r="G12" s="3">
        <v>61848.7</v>
      </c>
      <c r="H12" s="4">
        <f t="shared" si="1"/>
        <v>145.61999516394894</v>
      </c>
      <c r="I12" s="3">
        <f t="shared" si="2"/>
        <v>2280.784433000008</v>
      </c>
      <c r="J12" s="26">
        <f t="shared" si="3"/>
        <v>5.3700048360510664</v>
      </c>
      <c r="K12" s="27">
        <v>46034</v>
      </c>
      <c r="L12">
        <f t="shared" si="4"/>
        <v>11</v>
      </c>
      <c r="M12" s="5">
        <f t="shared" si="5"/>
        <v>3.6876837071757498E-2</v>
      </c>
      <c r="N12" s="9">
        <v>15</v>
      </c>
      <c r="O12">
        <v>92</v>
      </c>
      <c r="P12" s="60">
        <v>99</v>
      </c>
      <c r="Q12" s="28">
        <v>143.30000000000001</v>
      </c>
      <c r="R12" s="29">
        <f t="shared" si="6"/>
        <v>133.26900000000001</v>
      </c>
      <c r="S12" s="29">
        <v>130.62</v>
      </c>
      <c r="T12" s="30">
        <f t="shared" si="7"/>
        <v>179.125</v>
      </c>
      <c r="U12" s="28">
        <f t="shared" si="8"/>
        <v>214.95000000000002</v>
      </c>
      <c r="V12" s="28">
        <f t="shared" si="9"/>
        <v>286.60000000000002</v>
      </c>
      <c r="W12" s="28">
        <f t="shared" si="10"/>
        <v>135.42659550247251</v>
      </c>
      <c r="X12" s="29">
        <v>135</v>
      </c>
      <c r="Y12" s="5">
        <f t="shared" si="11"/>
        <v>-7.2929511857161011E-2</v>
      </c>
      <c r="Z12" s="6">
        <f t="shared" si="12"/>
        <v>0.10468998126350611</v>
      </c>
      <c r="AB12" s="57">
        <v>46050</v>
      </c>
      <c r="AC12" s="9">
        <v>99</v>
      </c>
    </row>
    <row r="13" spans="1:29" x14ac:dyDescent="0.25">
      <c r="A13" t="s">
        <v>74</v>
      </c>
      <c r="B13" t="s">
        <v>29</v>
      </c>
      <c r="C13" s="25" t="s">
        <v>75</v>
      </c>
      <c r="D13" s="2">
        <f>911.4227+399.4035</f>
        <v>1310.8262</v>
      </c>
      <c r="E13" s="26">
        <v>53.7</v>
      </c>
      <c r="F13" s="3">
        <f t="shared" si="0"/>
        <v>70391.366940000007</v>
      </c>
      <c r="G13" s="3">
        <f>49515.3+22851.93</f>
        <v>72367.23000000001</v>
      </c>
      <c r="H13" s="4">
        <f t="shared" si="1"/>
        <v>55.207341751332109</v>
      </c>
      <c r="I13" s="3">
        <f t="shared" si="2"/>
        <v>-1975.8630600000033</v>
      </c>
      <c r="J13" s="26">
        <f t="shared" si="3"/>
        <v>-1.5073417513321061</v>
      </c>
      <c r="K13" s="27">
        <v>46035</v>
      </c>
      <c r="L13">
        <f t="shared" si="4"/>
        <v>10</v>
      </c>
      <c r="M13" s="5">
        <f t="shared" si="5"/>
        <v>-2.7303284373327581E-2</v>
      </c>
      <c r="N13" s="9">
        <v>30</v>
      </c>
      <c r="O13">
        <v>93</v>
      </c>
      <c r="P13" s="59">
        <v>98</v>
      </c>
      <c r="Q13" s="28">
        <v>55.83</v>
      </c>
      <c r="R13" s="29">
        <f t="shared" si="6"/>
        <v>51.921900000000001</v>
      </c>
      <c r="S13" s="29">
        <v>49.72</v>
      </c>
      <c r="T13" s="28">
        <f t="shared" si="7"/>
        <v>69.787499999999994</v>
      </c>
      <c r="U13" s="28">
        <f t="shared" si="8"/>
        <v>83.745000000000005</v>
      </c>
      <c r="V13" s="28">
        <f t="shared" si="9"/>
        <v>111.66</v>
      </c>
      <c r="W13" s="28">
        <f t="shared" si="10"/>
        <v>51.342827828738862</v>
      </c>
      <c r="X13" s="29">
        <v>50</v>
      </c>
      <c r="Y13" s="5">
        <f t="shared" si="11"/>
        <v>-9.4323356027307001E-2</v>
      </c>
      <c r="Z13" s="31">
        <f t="shared" si="12"/>
        <v>0.11491236755162615</v>
      </c>
      <c r="AB13" s="55">
        <v>46077</v>
      </c>
      <c r="AC13" s="9">
        <v>99</v>
      </c>
    </row>
    <row r="14" spans="1:29" x14ac:dyDescent="0.25">
      <c r="A14" t="s">
        <v>76</v>
      </c>
      <c r="B14" t="s">
        <v>29</v>
      </c>
      <c r="C14" s="25" t="s">
        <v>77</v>
      </c>
      <c r="D14" s="2">
        <f>842.9076+471.2592</f>
        <v>1314.1668</v>
      </c>
      <c r="E14" s="26">
        <v>37.69</v>
      </c>
      <c r="F14" s="3">
        <f t="shared" si="0"/>
        <v>49530.946691999998</v>
      </c>
      <c r="G14" s="3">
        <f>30923.76+17760.7</f>
        <v>48684.46</v>
      </c>
      <c r="H14" s="4">
        <f t="shared" si="1"/>
        <v>37.045875759454582</v>
      </c>
      <c r="I14" s="3">
        <f t="shared" si="2"/>
        <v>846.48669199999858</v>
      </c>
      <c r="J14" s="26">
        <f t="shared" si="3"/>
        <v>0.64412424054541617</v>
      </c>
      <c r="K14" s="27">
        <v>46043</v>
      </c>
      <c r="L14">
        <f t="shared" si="4"/>
        <v>2</v>
      </c>
      <c r="M14" s="5">
        <f t="shared" si="5"/>
        <v>1.7387205116375915E-2</v>
      </c>
      <c r="N14" s="9">
        <v>63</v>
      </c>
      <c r="O14">
        <v>99</v>
      </c>
      <c r="P14" s="59">
        <v>33</v>
      </c>
      <c r="Q14" s="28">
        <v>39.51</v>
      </c>
      <c r="R14" s="29">
        <f t="shared" si="6"/>
        <v>36.744300000000003</v>
      </c>
      <c r="S14" s="29">
        <v>33.619999999999997</v>
      </c>
      <c r="T14" s="28">
        <f t="shared" si="7"/>
        <v>49.387499999999996</v>
      </c>
      <c r="U14" s="28">
        <f t="shared" si="8"/>
        <v>59.265000000000001</v>
      </c>
      <c r="V14" s="28">
        <f t="shared" si="9"/>
        <v>79.02</v>
      </c>
      <c r="W14" s="28">
        <f t="shared" si="10"/>
        <v>34.452664456292759</v>
      </c>
      <c r="X14" s="29">
        <v>34</v>
      </c>
      <c r="Y14" s="5">
        <f t="shared" si="11"/>
        <v>-8.2219024304675398E-2</v>
      </c>
      <c r="Z14" s="6">
        <f t="shared" si="12"/>
        <v>8.085818757153268E-2</v>
      </c>
      <c r="AB14" s="55">
        <v>46150</v>
      </c>
      <c r="AC14" s="59">
        <v>85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45383</v>
      </c>
      <c r="M15" s="5" t="e">
        <f t="shared" si="5"/>
        <v>#DIV/0!</v>
      </c>
      <c r="N15" s="9"/>
      <c r="P15" s="32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1">
        <f t="shared" si="12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45383</v>
      </c>
      <c r="M16" s="5" t="e">
        <f t="shared" si="5"/>
        <v>#DIV/0!</v>
      </c>
      <c r="P16" s="59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1">
        <f t="shared" si="12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4"/>
        <v>45383</v>
      </c>
      <c r="M17" s="40" t="e">
        <f t="shared" si="5"/>
        <v>#DIV/0!</v>
      </c>
      <c r="N17" s="33"/>
      <c r="O17" s="33"/>
      <c r="P17" s="61"/>
      <c r="Q17" s="41"/>
      <c r="R17" s="42">
        <f t="shared" si="6"/>
        <v>0</v>
      </c>
      <c r="S17" s="42"/>
      <c r="T17" s="43">
        <f t="shared" si="7"/>
        <v>0</v>
      </c>
      <c r="U17" s="41">
        <f t="shared" si="8"/>
        <v>0</v>
      </c>
      <c r="V17" s="41">
        <f t="shared" si="9"/>
        <v>0</v>
      </c>
      <c r="W17" s="41" t="e">
        <f t="shared" si="10"/>
        <v>#DIV/0!</v>
      </c>
      <c r="X17" s="42"/>
      <c r="Y17" s="40" t="e">
        <f t="shared" si="11"/>
        <v>#DIV/0!</v>
      </c>
      <c r="Z17" s="44">
        <f t="shared" si="12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491476.631009</v>
      </c>
      <c r="G18" s="3">
        <f>SUM(G6:G17)</f>
        <v>470758.57490000007</v>
      </c>
      <c r="H18" s="4"/>
      <c r="I18" s="3">
        <f>SUM(I6:I17)</f>
        <v>20718.056108999997</v>
      </c>
      <c r="M18" s="5"/>
      <c r="Z18" s="6"/>
    </row>
    <row r="19" spans="1:29" x14ac:dyDescent="0.25">
      <c r="D19" s="2" t="s">
        <v>32</v>
      </c>
      <c r="F19" s="3">
        <v>121089</v>
      </c>
      <c r="G19" s="6">
        <f>F19/F20</f>
        <v>0.19767514511146467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612565.631009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'01-16-26'!F20</f>
        <v>625726.28823199996</v>
      </c>
      <c r="K21" s="1">
        <v>45657</v>
      </c>
      <c r="L21" s="47">
        <v>208334</v>
      </c>
      <c r="M21" s="47">
        <v>211511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-2.10326103769519E-2</v>
      </c>
      <c r="K22" s="9" t="s">
        <v>54</v>
      </c>
      <c r="L22" s="6">
        <f>(M21-L21)/L21</f>
        <v>1.5249551201436156E-2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2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2" si="14">F28/D28</f>
        <v>271.34091722620656</v>
      </c>
      <c r="F28" s="3">
        <v>78305</v>
      </c>
      <c r="G28" s="53">
        <v>73933.25</v>
      </c>
      <c r="H28" s="54">
        <f t="shared" ref="H28:H32" si="15">G28/D28</f>
        <v>256.19201671048387</v>
      </c>
      <c r="I28" s="54">
        <f t="shared" ref="I28:I32" si="16">G28-F28</f>
        <v>-4371.75</v>
      </c>
      <c r="J28" s="6">
        <f t="shared" ref="J28:J32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C29" s="25"/>
      <c r="D29" s="2"/>
      <c r="E29" s="54" t="e">
        <f t="shared" si="14"/>
        <v>#DIV/0!</v>
      </c>
      <c r="F29" s="3"/>
      <c r="G29" s="53"/>
      <c r="H29" s="54" t="e">
        <f t="shared" si="15"/>
        <v>#DIV/0!</v>
      </c>
      <c r="I29" s="54">
        <f t="shared" si="16"/>
        <v>0</v>
      </c>
      <c r="J29" s="6" t="e">
        <f t="shared" si="17"/>
        <v>#DIV/0!</v>
      </c>
      <c r="K29" s="1"/>
      <c r="L29" s="1"/>
      <c r="M29">
        <f t="shared" si="13"/>
        <v>0</v>
      </c>
      <c r="Q29" s="28"/>
      <c r="S29" s="58"/>
    </row>
    <row r="30" spans="1:29" x14ac:dyDescent="0.25">
      <c r="C30" s="25"/>
      <c r="D30" s="2"/>
      <c r="E30" s="54" t="e">
        <f t="shared" si="14"/>
        <v>#DIV/0!</v>
      </c>
      <c r="F30" s="3"/>
      <c r="G30" s="53"/>
      <c r="H30" s="54" t="e">
        <f t="shared" si="15"/>
        <v>#DIV/0!</v>
      </c>
      <c r="I30" s="54">
        <f t="shared" si="16"/>
        <v>0</v>
      </c>
      <c r="J30" s="6" t="e">
        <f t="shared" si="17"/>
        <v>#DIV/0!</v>
      </c>
      <c r="K30" s="1"/>
      <c r="L30" s="1"/>
      <c r="M30">
        <f t="shared" si="13"/>
        <v>0</v>
      </c>
      <c r="Q30" s="28"/>
      <c r="S30" s="58"/>
    </row>
    <row r="31" spans="1:29" x14ac:dyDescent="0.25">
      <c r="C31" s="25"/>
      <c r="D31" s="2"/>
      <c r="E31" s="54" t="e">
        <f t="shared" si="14"/>
        <v>#DIV/0!</v>
      </c>
      <c r="F31" s="3"/>
      <c r="G31" s="53"/>
      <c r="H31" s="54" t="e">
        <f t="shared" si="15"/>
        <v>#DIV/0!</v>
      </c>
      <c r="I31" s="54">
        <f t="shared" si="16"/>
        <v>0</v>
      </c>
      <c r="J31" s="6" t="e">
        <f t="shared" si="17"/>
        <v>#DIV/0!</v>
      </c>
      <c r="K31" s="1"/>
      <c r="L31" s="1"/>
      <c r="M31">
        <f t="shared" si="13"/>
        <v>0</v>
      </c>
      <c r="Q31" s="28"/>
      <c r="S31" s="58"/>
    </row>
    <row r="32" spans="1:29" x14ac:dyDescent="0.25">
      <c r="C32" s="25"/>
      <c r="D32" s="2"/>
      <c r="E32" s="54" t="e">
        <f t="shared" si="14"/>
        <v>#DIV/0!</v>
      </c>
      <c r="F32" s="3"/>
      <c r="G32" s="53"/>
      <c r="H32" s="54" t="e">
        <f t="shared" si="15"/>
        <v>#DIV/0!</v>
      </c>
      <c r="I32" s="54">
        <f t="shared" si="16"/>
        <v>0</v>
      </c>
      <c r="J32" s="6" t="e">
        <f t="shared" si="17"/>
        <v>#DIV/0!</v>
      </c>
      <c r="K32" s="1"/>
      <c r="L32" s="1"/>
      <c r="M32">
        <f t="shared" si="13"/>
        <v>0</v>
      </c>
      <c r="Q32" s="28"/>
      <c r="S32" s="58"/>
    </row>
    <row r="33" spans="3:12" x14ac:dyDescent="0.25">
      <c r="C33" s="25"/>
      <c r="D33" s="2"/>
      <c r="E33" s="54"/>
      <c r="F33" s="3"/>
      <c r="G33" s="53"/>
      <c r="H33" s="54"/>
      <c r="I33" s="54"/>
      <c r="J33" s="6"/>
      <c r="K33" s="1"/>
      <c r="L33" s="1"/>
    </row>
    <row r="34" spans="3:12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3:12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3:12" x14ac:dyDescent="0.25">
      <c r="F36" s="53"/>
      <c r="G36" s="53"/>
      <c r="H36" s="3" t="s">
        <v>66</v>
      </c>
      <c r="I36" s="3">
        <f>SUM(I26:I33)</f>
        <v>-19017.014600000002</v>
      </c>
      <c r="J36" s="13" t="s">
        <v>49</v>
      </c>
    </row>
    <row r="37" spans="3:12" x14ac:dyDescent="0.25">
      <c r="F37" s="53"/>
      <c r="G37" s="53"/>
      <c r="H37" s="3" t="s">
        <v>50</v>
      </c>
      <c r="I37" s="56">
        <v>3</v>
      </c>
      <c r="J37" s="5">
        <v>-9.8199999999999996E-2</v>
      </c>
    </row>
    <row r="38" spans="3:12" x14ac:dyDescent="0.25">
      <c r="F38" s="53"/>
      <c r="G38" s="53"/>
      <c r="H38" s="3" t="s">
        <v>51</v>
      </c>
      <c r="I38" s="63"/>
      <c r="J38" s="5"/>
    </row>
    <row r="39" spans="3:12" x14ac:dyDescent="0.25">
      <c r="F39" s="53"/>
      <c r="G39" s="53"/>
      <c r="I39" s="56">
        <f>SUM(I37:I38)</f>
        <v>3</v>
      </c>
      <c r="J39" s="6"/>
    </row>
    <row r="40" spans="3:12" x14ac:dyDescent="0.25">
      <c r="F40" s="53"/>
      <c r="G40" s="53"/>
      <c r="H40" t="s">
        <v>65</v>
      </c>
      <c r="I40" s="64">
        <f>I38/I39</f>
        <v>0</v>
      </c>
      <c r="J40" s="65">
        <f>J38/J37*-1</f>
        <v>0</v>
      </c>
    </row>
    <row r="41" spans="3:12" x14ac:dyDescent="0.25">
      <c r="F41" s="53"/>
      <c r="G41" s="53"/>
      <c r="J41" s="6"/>
    </row>
    <row r="42" spans="3:12" x14ac:dyDescent="0.25">
      <c r="F42" s="53"/>
      <c r="G42" s="53"/>
      <c r="J42" s="6"/>
    </row>
    <row r="43" spans="3:12" x14ac:dyDescent="0.25">
      <c r="F43" s="53"/>
      <c r="G43" s="53"/>
      <c r="J43" s="6"/>
    </row>
    <row r="44" spans="3:12" x14ac:dyDescent="0.25">
      <c r="F44" s="53"/>
      <c r="G44" s="53"/>
      <c r="J44" s="6"/>
    </row>
    <row r="45" spans="3:12" x14ac:dyDescent="0.25">
      <c r="F45" s="53"/>
      <c r="G45" s="53"/>
      <c r="J45" s="6"/>
    </row>
    <row r="46" spans="3:12" x14ac:dyDescent="0.25">
      <c r="F46" s="53"/>
      <c r="G46" s="53"/>
      <c r="J46" s="6"/>
    </row>
    <row r="47" spans="3:12" x14ac:dyDescent="0.25">
      <c r="F47" s="53"/>
      <c r="G47" s="53"/>
      <c r="J47" s="6"/>
    </row>
    <row r="48" spans="3:12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5715-B7AB-45D2-AD65-83FEE6EE699A}">
  <dimension ref="A1:AC67"/>
  <sheetViews>
    <sheetView workbookViewId="0">
      <selection activeCell="K10" sqref="K10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46052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726.37</v>
      </c>
      <c r="F7" s="3">
        <f t="shared" ref="F7:F14" si="0">E7*D7</f>
        <v>92521.887208999993</v>
      </c>
      <c r="G7" s="3">
        <f>61467.93+20488.3849</f>
        <v>81956.314899999998</v>
      </c>
      <c r="H7" s="4">
        <f t="shared" ref="H7:H14" si="1">G7/D7</f>
        <v>643.42189993852833</v>
      </c>
      <c r="I7" s="3">
        <f t="shared" ref="I7:I14" si="2">F7-G7</f>
        <v>10565.572308999996</v>
      </c>
      <c r="J7" s="26">
        <f t="shared" ref="J7:J14" si="3">E7-H7</f>
        <v>82.948100061471678</v>
      </c>
      <c r="K7" s="27">
        <v>46000</v>
      </c>
      <c r="L7">
        <f t="shared" ref="L7:L14" si="4">DAYS360(K7,$C$1)</f>
        <v>51</v>
      </c>
      <c r="M7" s="5">
        <f t="shared" ref="M7:M14" si="5">(I7/G7)</f>
        <v>0.12891712276096978</v>
      </c>
      <c r="N7" s="9">
        <v>50</v>
      </c>
      <c r="O7">
        <v>92</v>
      </c>
      <c r="P7" s="59">
        <v>78</v>
      </c>
      <c r="Q7" s="28">
        <v>664.69</v>
      </c>
      <c r="R7" s="29">
        <f t="shared" ref="R7:R14" si="6">Q7*0.93</f>
        <v>618.16170000000011</v>
      </c>
      <c r="S7" s="29">
        <v>555.84</v>
      </c>
      <c r="T7" s="28">
        <f t="shared" ref="T7:T14" si="7">Q7*1.25</f>
        <v>830.86250000000007</v>
      </c>
      <c r="U7" s="28">
        <f t="shared" ref="U7:U14" si="8">Q7*1.5</f>
        <v>997.03500000000008</v>
      </c>
      <c r="V7" s="28">
        <f t="shared" ref="V7:V14" si="9">Q7*2</f>
        <v>1329.38</v>
      </c>
      <c r="W7" s="28">
        <f t="shared" ref="W7:W14" si="10">H7-(H7*0.07)</f>
        <v>598.38236694283137</v>
      </c>
      <c r="X7" s="29">
        <v>630</v>
      </c>
      <c r="Y7" s="5">
        <f t="shared" ref="Y7:Y14" si="11">(X7-H7)/H7</f>
        <v>-2.0860185113081537E-2</v>
      </c>
      <c r="Z7" s="6">
        <f t="shared" ref="Z7:Z14" si="12">F7/F$20</f>
        <v>0.15537916083799566</v>
      </c>
      <c r="AB7" s="55">
        <v>46134</v>
      </c>
      <c r="AC7" s="9">
        <v>93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45.44</v>
      </c>
      <c r="F8" s="3">
        <f t="shared" si="0"/>
        <v>54356.509440000002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7031.7394399999976</v>
      </c>
      <c r="J8" s="26">
        <f t="shared" si="3"/>
        <v>5.8782700258981109</v>
      </c>
      <c r="K8" s="27">
        <v>46021</v>
      </c>
      <c r="L8">
        <f t="shared" si="4"/>
        <v>30</v>
      </c>
      <c r="M8" s="5">
        <f t="shared" si="5"/>
        <v>0.1485847567774761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6"/>
        <v>37.8324</v>
      </c>
      <c r="S8" s="29">
        <v>35.32</v>
      </c>
      <c r="T8" s="30">
        <f t="shared" si="7"/>
        <v>50.85</v>
      </c>
      <c r="U8" s="28">
        <f t="shared" si="8"/>
        <v>61.019999999999996</v>
      </c>
      <c r="V8" s="28">
        <f t="shared" si="9"/>
        <v>81.36</v>
      </c>
      <c r="W8" s="28">
        <f t="shared" si="10"/>
        <v>36.792408875914752</v>
      </c>
      <c r="X8" s="29">
        <v>39</v>
      </c>
      <c r="Y8" s="5">
        <f t="shared" si="11"/>
        <v>-1.4198822308064121E-2</v>
      </c>
      <c r="Z8" s="6">
        <f t="shared" si="12"/>
        <v>9.1285090238066663E-2</v>
      </c>
      <c r="AB8" s="62" t="s">
        <v>30</v>
      </c>
      <c r="AC8" s="32" t="s">
        <v>30</v>
      </c>
    </row>
    <row r="9" spans="1:29" x14ac:dyDescent="0.25">
      <c r="A9" t="s">
        <v>68</v>
      </c>
      <c r="B9" t="s">
        <v>29</v>
      </c>
      <c r="C9" s="25" t="s">
        <v>69</v>
      </c>
      <c r="D9" s="2">
        <v>451.9359</v>
      </c>
      <c r="E9" s="26">
        <v>103.8</v>
      </c>
      <c r="F9" s="3">
        <f t="shared" si="0"/>
        <v>46910.94642</v>
      </c>
      <c r="G9" s="3">
        <v>36213.629999999997</v>
      </c>
      <c r="H9" s="4">
        <f t="shared" si="1"/>
        <v>80.130014013049191</v>
      </c>
      <c r="I9" s="3">
        <f t="shared" si="2"/>
        <v>10697.316420000003</v>
      </c>
      <c r="J9" s="26">
        <f t="shared" si="3"/>
        <v>23.669985986950806</v>
      </c>
      <c r="K9" s="27">
        <v>46027</v>
      </c>
      <c r="L9">
        <f t="shared" si="4"/>
        <v>25</v>
      </c>
      <c r="M9" s="5">
        <f t="shared" si="5"/>
        <v>0.29539475661511988</v>
      </c>
      <c r="N9" s="9">
        <v>18</v>
      </c>
      <c r="O9">
        <v>97</v>
      </c>
      <c r="P9" s="59">
        <v>80</v>
      </c>
      <c r="Q9" s="28">
        <v>81</v>
      </c>
      <c r="R9" s="29">
        <f t="shared" si="6"/>
        <v>75.33</v>
      </c>
      <c r="S9" s="29">
        <v>72</v>
      </c>
      <c r="T9" s="30">
        <f t="shared" si="7"/>
        <v>101.25</v>
      </c>
      <c r="U9" s="28">
        <f t="shared" si="8"/>
        <v>121.5</v>
      </c>
      <c r="V9" s="28">
        <f t="shared" si="9"/>
        <v>162</v>
      </c>
      <c r="W9" s="28">
        <f t="shared" si="10"/>
        <v>74.520913032135752</v>
      </c>
      <c r="X9" s="29">
        <v>95</v>
      </c>
      <c r="Y9" s="5">
        <f t="shared" si="11"/>
        <v>0.18557323582308657</v>
      </c>
      <c r="Z9" s="31">
        <f t="shared" si="12"/>
        <v>7.8781180418321037E-2</v>
      </c>
      <c r="AB9" s="55">
        <v>46126</v>
      </c>
      <c r="AC9" s="9">
        <v>99</v>
      </c>
    </row>
    <row r="10" spans="1:29" x14ac:dyDescent="0.25">
      <c r="A10" t="s">
        <v>70</v>
      </c>
      <c r="B10" t="s">
        <v>29</v>
      </c>
      <c r="C10" s="25" t="s">
        <v>71</v>
      </c>
      <c r="D10" s="2">
        <f>1733.9964+1138.3726</f>
        <v>2872.3689999999997</v>
      </c>
      <c r="E10" s="26">
        <v>17.93</v>
      </c>
      <c r="F10" s="3">
        <f t="shared" si="0"/>
        <v>51501.576169999993</v>
      </c>
      <c r="G10" s="3">
        <f>36288.78+24176.77</f>
        <v>60465.55</v>
      </c>
      <c r="H10" s="4">
        <f t="shared" si="1"/>
        <v>21.050759843181712</v>
      </c>
      <c r="I10" s="3">
        <f t="shared" si="2"/>
        <v>-8963.9738300000099</v>
      </c>
      <c r="J10" s="26">
        <f t="shared" si="3"/>
        <v>-3.1207598431817125</v>
      </c>
      <c r="K10" s="27">
        <v>46027</v>
      </c>
      <c r="L10">
        <f t="shared" si="4"/>
        <v>25</v>
      </c>
      <c r="M10" s="5">
        <f t="shared" si="5"/>
        <v>-0.1482492730157918</v>
      </c>
      <c r="N10" s="9">
        <v>128</v>
      </c>
      <c r="O10">
        <v>83</v>
      </c>
      <c r="P10" s="59">
        <v>15</v>
      </c>
      <c r="Q10" s="28">
        <v>20.6</v>
      </c>
      <c r="R10" s="29">
        <f t="shared" si="6"/>
        <v>19.158000000000001</v>
      </c>
      <c r="S10" s="29">
        <v>17.760000000000002</v>
      </c>
      <c r="T10" s="28">
        <f t="shared" si="7"/>
        <v>25.75</v>
      </c>
      <c r="U10" s="28">
        <f t="shared" si="8"/>
        <v>30.900000000000002</v>
      </c>
      <c r="V10" s="28">
        <f t="shared" si="9"/>
        <v>41.2</v>
      </c>
      <c r="W10" s="28">
        <f t="shared" si="10"/>
        <v>19.577206654158992</v>
      </c>
      <c r="X10" s="29">
        <v>20.5</v>
      </c>
      <c r="Y10" s="5">
        <f t="shared" si="11"/>
        <v>-2.6163418673939315E-2</v>
      </c>
      <c r="Z10" s="6">
        <f t="shared" si="12"/>
        <v>8.6490579997057171E-2</v>
      </c>
      <c r="AB10" s="55">
        <v>46072</v>
      </c>
      <c r="AC10" s="9">
        <v>58</v>
      </c>
    </row>
    <row r="11" spans="1:29" x14ac:dyDescent="0.25">
      <c r="A11" t="s">
        <v>72</v>
      </c>
      <c r="B11" t="s">
        <v>29</v>
      </c>
      <c r="C11" s="25" t="s">
        <v>73</v>
      </c>
      <c r="D11" s="2">
        <v>424.72669999999999</v>
      </c>
      <c r="E11" s="26">
        <v>144.08000000000001</v>
      </c>
      <c r="F11" s="3">
        <f t="shared" si="0"/>
        <v>61194.622936000007</v>
      </c>
      <c r="G11" s="3">
        <v>61848.7</v>
      </c>
      <c r="H11" s="4">
        <f t="shared" si="1"/>
        <v>145.61999516394894</v>
      </c>
      <c r="I11" s="3">
        <f t="shared" si="2"/>
        <v>-654.07706399999006</v>
      </c>
      <c r="J11" s="26">
        <f t="shared" si="3"/>
        <v>-1.5399951639489302</v>
      </c>
      <c r="K11" s="27">
        <v>46034</v>
      </c>
      <c r="L11">
        <f t="shared" si="4"/>
        <v>18</v>
      </c>
      <c r="M11" s="5">
        <f t="shared" si="5"/>
        <v>-1.0575437543553706E-2</v>
      </c>
      <c r="N11" s="9">
        <v>12</v>
      </c>
      <c r="O11">
        <v>91</v>
      </c>
      <c r="P11" s="60">
        <v>99</v>
      </c>
      <c r="Q11" s="28">
        <v>143.30000000000001</v>
      </c>
      <c r="R11" s="29">
        <f t="shared" si="6"/>
        <v>133.26900000000001</v>
      </c>
      <c r="S11" s="29">
        <v>130.62</v>
      </c>
      <c r="T11" s="30">
        <f t="shared" si="7"/>
        <v>179.125</v>
      </c>
      <c r="U11" s="28">
        <f t="shared" si="8"/>
        <v>214.95000000000002</v>
      </c>
      <c r="V11" s="28">
        <f t="shared" si="9"/>
        <v>286.60000000000002</v>
      </c>
      <c r="W11" s="28">
        <f t="shared" si="10"/>
        <v>135.42659550247251</v>
      </c>
      <c r="X11" s="29">
        <v>135</v>
      </c>
      <c r="Y11" s="5">
        <f t="shared" si="11"/>
        <v>-7.2929511857161011E-2</v>
      </c>
      <c r="Z11" s="6">
        <f t="shared" si="12"/>
        <v>0.10276886309197901</v>
      </c>
      <c r="AB11" s="55">
        <v>46141</v>
      </c>
      <c r="AC11" s="9">
        <v>99</v>
      </c>
    </row>
    <row r="12" spans="1:29" x14ac:dyDescent="0.25">
      <c r="A12" t="s">
        <v>74</v>
      </c>
      <c r="B12" t="s">
        <v>29</v>
      </c>
      <c r="C12" s="25" t="s">
        <v>75</v>
      </c>
      <c r="D12" s="2">
        <f>911.4227+399.4035</f>
        <v>1310.8262</v>
      </c>
      <c r="E12" s="26">
        <v>55.19</v>
      </c>
      <c r="F12" s="3">
        <f t="shared" si="0"/>
        <v>72344.497977999999</v>
      </c>
      <c r="G12" s="3">
        <f>49515.3+22851.93</f>
        <v>72367.23000000001</v>
      </c>
      <c r="H12" s="4">
        <f t="shared" si="1"/>
        <v>55.207341751332109</v>
      </c>
      <c r="I12" s="3">
        <f t="shared" si="2"/>
        <v>-22.732022000011057</v>
      </c>
      <c r="J12" s="26">
        <f t="shared" si="3"/>
        <v>-1.7341751332111244E-2</v>
      </c>
      <c r="K12" s="27">
        <v>46035</v>
      </c>
      <c r="L12">
        <f t="shared" si="4"/>
        <v>17</v>
      </c>
      <c r="M12" s="5">
        <f t="shared" si="5"/>
        <v>-3.1412038294143706E-4</v>
      </c>
      <c r="N12" s="9">
        <v>17</v>
      </c>
      <c r="O12">
        <v>94</v>
      </c>
      <c r="P12" s="59">
        <v>98</v>
      </c>
      <c r="Q12" s="28">
        <v>55.83</v>
      </c>
      <c r="R12" s="29">
        <f t="shared" si="6"/>
        <v>51.921900000000001</v>
      </c>
      <c r="S12" s="29">
        <v>49.72</v>
      </c>
      <c r="T12" s="28">
        <f t="shared" si="7"/>
        <v>69.787499999999994</v>
      </c>
      <c r="U12" s="28">
        <f t="shared" si="8"/>
        <v>83.745000000000005</v>
      </c>
      <c r="V12" s="28">
        <f t="shared" si="9"/>
        <v>111.66</v>
      </c>
      <c r="W12" s="28">
        <f t="shared" si="10"/>
        <v>51.342827828738862</v>
      </c>
      <c r="X12" s="29">
        <v>50</v>
      </c>
      <c r="Y12" s="5">
        <f t="shared" si="11"/>
        <v>-9.4323356027307001E-2</v>
      </c>
      <c r="Z12" s="31">
        <f t="shared" si="12"/>
        <v>0.12149371058196781</v>
      </c>
      <c r="AB12" s="55">
        <v>46077</v>
      </c>
      <c r="AC12" s="9">
        <v>99</v>
      </c>
    </row>
    <row r="13" spans="1:29" x14ac:dyDescent="0.25">
      <c r="A13" t="s">
        <v>76</v>
      </c>
      <c r="B13" t="s">
        <v>29</v>
      </c>
      <c r="C13" s="25" t="s">
        <v>77</v>
      </c>
      <c r="D13" s="2">
        <f>842.9076+471.2592+487.9805</f>
        <v>1802.1473000000001</v>
      </c>
      <c r="E13" s="26">
        <v>33.880000000000003</v>
      </c>
      <c r="F13" s="3">
        <f t="shared" si="0"/>
        <v>61056.75052400001</v>
      </c>
      <c r="G13" s="3">
        <f>30923.76+17760.7+20459.97</f>
        <v>69144.429999999993</v>
      </c>
      <c r="H13" s="4">
        <f t="shared" si="1"/>
        <v>38.367801566497917</v>
      </c>
      <c r="I13" s="3">
        <f t="shared" si="2"/>
        <v>-8087.679475999983</v>
      </c>
      <c r="J13" s="26">
        <f t="shared" si="3"/>
        <v>-4.4878015664979145</v>
      </c>
      <c r="K13" s="27">
        <v>46043</v>
      </c>
      <c r="L13">
        <f t="shared" si="4"/>
        <v>9</v>
      </c>
      <c r="M13" s="5">
        <f t="shared" si="5"/>
        <v>-0.11696791015559727</v>
      </c>
      <c r="N13" s="9">
        <v>65</v>
      </c>
      <c r="O13">
        <v>99</v>
      </c>
      <c r="P13" s="59">
        <v>33</v>
      </c>
      <c r="Q13" s="28">
        <v>39.51</v>
      </c>
      <c r="R13" s="29">
        <f t="shared" si="6"/>
        <v>36.744300000000003</v>
      </c>
      <c r="S13" s="29">
        <v>33.619999999999997</v>
      </c>
      <c r="T13" s="28">
        <f t="shared" si="7"/>
        <v>49.387499999999996</v>
      </c>
      <c r="U13" s="28">
        <f t="shared" si="8"/>
        <v>59.265000000000001</v>
      </c>
      <c r="V13" s="28">
        <f t="shared" si="9"/>
        <v>79.02</v>
      </c>
      <c r="W13" s="28">
        <f t="shared" si="10"/>
        <v>35.682055456843059</v>
      </c>
      <c r="X13" s="29">
        <v>34</v>
      </c>
      <c r="Y13" s="5">
        <f t="shared" si="11"/>
        <v>-0.11384028764139054</v>
      </c>
      <c r="Z13" s="6">
        <f t="shared" si="12"/>
        <v>0.10253732328744737</v>
      </c>
      <c r="AB13" s="55">
        <v>46150</v>
      </c>
      <c r="AC13" s="59">
        <v>83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45390</v>
      </c>
      <c r="M14" s="5" t="e">
        <f t="shared" si="5"/>
        <v>#DIV/0!</v>
      </c>
      <c r="N14" s="32"/>
      <c r="P14" s="60"/>
      <c r="Q14" s="28"/>
      <c r="R14" s="29">
        <f t="shared" si="6"/>
        <v>0</v>
      </c>
      <c r="S14" s="29"/>
      <c r="T14" s="30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7"/>
      <c r="AC14" s="32"/>
    </row>
    <row r="15" spans="1:29" x14ac:dyDescent="0.25">
      <c r="C15" s="25"/>
      <c r="D15" s="2"/>
      <c r="E15" s="26"/>
      <c r="F15" s="3">
        <f t="shared" ref="F15:F17" si="13">E15*D15</f>
        <v>0</v>
      </c>
      <c r="G15" s="3"/>
      <c r="H15" s="4" t="e">
        <f t="shared" ref="H15:H17" si="14">G15/D15</f>
        <v>#DIV/0!</v>
      </c>
      <c r="I15" s="3">
        <f t="shared" ref="I15:I17" si="15">F15-G15</f>
        <v>0</v>
      </c>
      <c r="J15" s="26" t="e">
        <f t="shared" ref="J15:J17" si="16">E15-H15</f>
        <v>#DIV/0!</v>
      </c>
      <c r="K15" s="27"/>
      <c r="L15">
        <f t="shared" ref="L15:L17" si="17">DAYS360(K15,$C$1)</f>
        <v>45390</v>
      </c>
      <c r="M15" s="5" t="e">
        <f t="shared" ref="M15:M17" si="18">(I15/G15)</f>
        <v>#DIV/0!</v>
      </c>
      <c r="N15" s="9"/>
      <c r="P15" s="32"/>
      <c r="Q15" s="28"/>
      <c r="R15" s="29">
        <f t="shared" ref="R15:R17" si="19">Q15*0.93</f>
        <v>0</v>
      </c>
      <c r="S15" s="29"/>
      <c r="T15" s="28">
        <f t="shared" ref="T15:T17" si="20">Q15*1.25</f>
        <v>0</v>
      </c>
      <c r="U15" s="28">
        <f t="shared" ref="U15:U17" si="21">Q15*1.5</f>
        <v>0</v>
      </c>
      <c r="V15" s="28">
        <f t="shared" ref="V15:V17" si="22">Q15*2</f>
        <v>0</v>
      </c>
      <c r="W15" s="28" t="e">
        <f t="shared" ref="W15:W17" si="23">H15-(H15*0.07)</f>
        <v>#DIV/0!</v>
      </c>
      <c r="X15" s="29"/>
      <c r="Y15" s="5" t="e">
        <f t="shared" ref="Y15:Y17" si="24">(X15-H15)/H15</f>
        <v>#DIV/0!</v>
      </c>
      <c r="Z15" s="31">
        <f t="shared" ref="Z15:Z17" si="25">F15/F$20</f>
        <v>0</v>
      </c>
      <c r="AB15" s="55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45390</v>
      </c>
      <c r="M16" s="5" t="e">
        <f t="shared" si="18"/>
        <v>#DIV/0!</v>
      </c>
      <c r="P16" s="59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1">
        <f t="shared" si="25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3"/>
        <v>0</v>
      </c>
      <c r="G17" s="37"/>
      <c r="H17" s="38" t="e">
        <f t="shared" si="14"/>
        <v>#DIV/0!</v>
      </c>
      <c r="I17" s="37">
        <f t="shared" si="15"/>
        <v>0</v>
      </c>
      <c r="J17" s="36" t="e">
        <f t="shared" si="16"/>
        <v>#DIV/0!</v>
      </c>
      <c r="K17" s="39"/>
      <c r="L17" s="33">
        <f t="shared" si="17"/>
        <v>45390</v>
      </c>
      <c r="M17" s="40" t="e">
        <f t="shared" si="18"/>
        <v>#DIV/0!</v>
      </c>
      <c r="N17" s="33"/>
      <c r="O17" s="33"/>
      <c r="P17" s="61"/>
      <c r="Q17" s="41"/>
      <c r="R17" s="42">
        <f t="shared" si="19"/>
        <v>0</v>
      </c>
      <c r="S17" s="42"/>
      <c r="T17" s="43">
        <f t="shared" si="20"/>
        <v>0</v>
      </c>
      <c r="U17" s="41">
        <f t="shared" si="21"/>
        <v>0</v>
      </c>
      <c r="V17" s="41">
        <f t="shared" si="22"/>
        <v>0</v>
      </c>
      <c r="W17" s="41" t="e">
        <f t="shared" si="23"/>
        <v>#DIV/0!</v>
      </c>
      <c r="X17" s="42"/>
      <c r="Y17" s="40" t="e">
        <f t="shared" si="24"/>
        <v>#DIV/0!</v>
      </c>
      <c r="Z17" s="44">
        <f t="shared" si="25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439886.79067700007</v>
      </c>
      <c r="G18" s="3">
        <f>SUM(G6:G17)</f>
        <v>429320.6249</v>
      </c>
      <c r="H18" s="4"/>
      <c r="I18" s="3">
        <f>SUM(I6:I17)</f>
        <v>10566.165777000002</v>
      </c>
      <c r="M18" s="5"/>
      <c r="Z18" s="6"/>
    </row>
    <row r="19" spans="1:29" x14ac:dyDescent="0.25">
      <c r="D19" s="2" t="s">
        <v>32</v>
      </c>
      <c r="F19" s="3">
        <v>155572</v>
      </c>
      <c r="G19" s="6">
        <f>F19/F20</f>
        <v>0.26126409154716518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595458.79067700007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'01-23-26'!F20</f>
        <v>612565.631009</v>
      </c>
      <c r="K21" s="1">
        <v>45657</v>
      </c>
      <c r="L21" s="47">
        <v>208334</v>
      </c>
      <c r="M21" s="47">
        <v>206121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-2.7926542832352595E-2</v>
      </c>
      <c r="K22" s="9" t="s">
        <v>54</v>
      </c>
      <c r="L22" s="6">
        <f>(M21-L21)/L21</f>
        <v>-1.0622366008428773E-2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2" si="26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26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2" si="27">F28/D28</f>
        <v>271.34091722620656</v>
      </c>
      <c r="F28" s="3">
        <v>78305</v>
      </c>
      <c r="G28" s="53">
        <v>73933.25</v>
      </c>
      <c r="H28" s="54">
        <f t="shared" ref="H28:H32" si="28">G28/D28</f>
        <v>256.19201671048387</v>
      </c>
      <c r="I28" s="54">
        <f t="shared" ref="I28:I32" si="29">G28-F28</f>
        <v>-4371.75</v>
      </c>
      <c r="J28" s="6">
        <f t="shared" ref="J28:J32" si="30">I28/F28</f>
        <v>-5.5829768214034861E-2</v>
      </c>
      <c r="K28" s="1">
        <v>45971</v>
      </c>
      <c r="L28" s="1">
        <v>46038</v>
      </c>
      <c r="M28">
        <f t="shared" si="26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27"/>
        <v>478.84701522846564</v>
      </c>
      <c r="F29" s="3">
        <v>61897.919999999998</v>
      </c>
      <c r="G29" s="53">
        <v>54753.85</v>
      </c>
      <c r="H29" s="54">
        <f t="shared" si="28"/>
        <v>423.57994654371464</v>
      </c>
      <c r="I29" s="54">
        <f t="shared" si="29"/>
        <v>-7144.07</v>
      </c>
      <c r="J29" s="6">
        <f t="shared" si="30"/>
        <v>-0.11541696393029038</v>
      </c>
      <c r="K29" s="1">
        <v>46006</v>
      </c>
      <c r="L29" s="1">
        <v>46051</v>
      </c>
      <c r="M29">
        <f t="shared" si="26"/>
        <v>44</v>
      </c>
      <c r="Q29" s="28"/>
      <c r="S29" s="58"/>
    </row>
    <row r="30" spans="1:29" x14ac:dyDescent="0.25">
      <c r="C30" s="25"/>
      <c r="D30" s="2"/>
      <c r="E30" s="54" t="e">
        <f t="shared" si="27"/>
        <v>#DIV/0!</v>
      </c>
      <c r="F30" s="3"/>
      <c r="G30" s="53"/>
      <c r="H30" s="54" t="e">
        <f t="shared" si="28"/>
        <v>#DIV/0!</v>
      </c>
      <c r="I30" s="54">
        <f t="shared" si="29"/>
        <v>0</v>
      </c>
      <c r="J30" s="6" t="e">
        <f t="shared" si="30"/>
        <v>#DIV/0!</v>
      </c>
      <c r="K30" s="1"/>
      <c r="L30" s="1"/>
      <c r="M30">
        <f t="shared" si="26"/>
        <v>0</v>
      </c>
      <c r="Q30" s="28"/>
      <c r="S30" s="58"/>
    </row>
    <row r="31" spans="1:29" x14ac:dyDescent="0.25">
      <c r="C31" s="25"/>
      <c r="D31" s="2"/>
      <c r="E31" s="54" t="e">
        <f t="shared" si="27"/>
        <v>#DIV/0!</v>
      </c>
      <c r="F31" s="3"/>
      <c r="G31" s="53"/>
      <c r="H31" s="54" t="e">
        <f t="shared" si="28"/>
        <v>#DIV/0!</v>
      </c>
      <c r="I31" s="54">
        <f t="shared" si="29"/>
        <v>0</v>
      </c>
      <c r="J31" s="6" t="e">
        <f t="shared" si="30"/>
        <v>#DIV/0!</v>
      </c>
      <c r="K31" s="1"/>
      <c r="L31" s="1"/>
      <c r="M31">
        <f t="shared" si="26"/>
        <v>0</v>
      </c>
      <c r="Q31" s="28"/>
      <c r="S31" s="58"/>
    </row>
    <row r="32" spans="1:29" x14ac:dyDescent="0.25">
      <c r="C32" s="25"/>
      <c r="D32" s="2"/>
      <c r="E32" s="54" t="e">
        <f t="shared" si="27"/>
        <v>#DIV/0!</v>
      </c>
      <c r="F32" s="3"/>
      <c r="G32" s="53"/>
      <c r="H32" s="54" t="e">
        <f t="shared" si="28"/>
        <v>#DIV/0!</v>
      </c>
      <c r="I32" s="54">
        <f t="shared" si="29"/>
        <v>0</v>
      </c>
      <c r="J32" s="6" t="e">
        <f t="shared" si="30"/>
        <v>#DIV/0!</v>
      </c>
      <c r="K32" s="1"/>
      <c r="L32" s="1"/>
      <c r="M32">
        <f t="shared" si="26"/>
        <v>0</v>
      </c>
      <c r="Q32" s="28"/>
      <c r="S32" s="58"/>
    </row>
    <row r="33" spans="3:12" x14ac:dyDescent="0.25">
      <c r="C33" s="25"/>
      <c r="D33" s="2"/>
      <c r="E33" s="54"/>
      <c r="F33" s="3"/>
      <c r="G33" s="53"/>
      <c r="H33" s="54"/>
      <c r="I33" s="54"/>
      <c r="J33" s="6"/>
      <c r="K33" s="1"/>
      <c r="L33" s="1"/>
    </row>
    <row r="34" spans="3:12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3:12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3:12" x14ac:dyDescent="0.25">
      <c r="F36" s="53"/>
      <c r="G36" s="53"/>
      <c r="H36" s="3" t="s">
        <v>66</v>
      </c>
      <c r="I36" s="3">
        <f>SUM(I26:I33)</f>
        <v>-26161.084600000002</v>
      </c>
      <c r="J36" s="13" t="s">
        <v>49</v>
      </c>
    </row>
    <row r="37" spans="3:12" x14ac:dyDescent="0.25">
      <c r="F37" s="53"/>
      <c r="G37" s="53"/>
      <c r="H37" s="3" t="s">
        <v>50</v>
      </c>
      <c r="I37" s="56">
        <v>4</v>
      </c>
      <c r="J37" s="5">
        <v>-0.10249999999999999</v>
      </c>
    </row>
    <row r="38" spans="3:12" x14ac:dyDescent="0.25">
      <c r="F38" s="53"/>
      <c r="G38" s="53"/>
      <c r="H38" s="3" t="s">
        <v>51</v>
      </c>
      <c r="I38" s="63"/>
      <c r="J38" s="5"/>
    </row>
    <row r="39" spans="3:12" x14ac:dyDescent="0.25">
      <c r="F39" s="53"/>
      <c r="G39" s="53"/>
      <c r="I39" s="56">
        <f>SUM(I37:I38)</f>
        <v>4</v>
      </c>
      <c r="J39" s="6"/>
    </row>
    <row r="40" spans="3:12" x14ac:dyDescent="0.25">
      <c r="F40" s="53"/>
      <c r="G40" s="53"/>
      <c r="H40" t="s">
        <v>65</v>
      </c>
      <c r="I40" s="64">
        <f>I38/I39</f>
        <v>0</v>
      </c>
      <c r="J40" s="65">
        <f>J38/J37*-1</f>
        <v>0</v>
      </c>
    </row>
    <row r="41" spans="3:12" x14ac:dyDescent="0.25">
      <c r="F41" s="53"/>
      <c r="G41" s="53"/>
      <c r="J41" s="6"/>
    </row>
    <row r="42" spans="3:12" x14ac:dyDescent="0.25">
      <c r="F42" s="53"/>
      <c r="G42" s="53"/>
      <c r="J42" s="6"/>
    </row>
    <row r="43" spans="3:12" x14ac:dyDescent="0.25">
      <c r="F43" s="53"/>
      <c r="G43" s="53"/>
      <c r="J43" s="6"/>
    </row>
    <row r="44" spans="3:12" x14ac:dyDescent="0.25">
      <c r="F44" s="53"/>
      <c r="G44" s="53"/>
      <c r="J44" s="6"/>
    </row>
    <row r="45" spans="3:12" x14ac:dyDescent="0.25">
      <c r="F45" s="53"/>
      <c r="G45" s="53"/>
      <c r="J45" s="6"/>
    </row>
    <row r="46" spans="3:12" x14ac:dyDescent="0.25">
      <c r="F46" s="53"/>
      <c r="G46" s="53"/>
      <c r="J46" s="6"/>
    </row>
    <row r="47" spans="3:12" x14ac:dyDescent="0.25">
      <c r="F47" s="53"/>
      <c r="G47" s="53"/>
      <c r="J47" s="6"/>
    </row>
    <row r="48" spans="3:12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sortState xmlns:xlrd2="http://schemas.microsoft.com/office/spreadsheetml/2017/richdata2" ref="A7:AC13">
    <sortCondition descending="1" ref="L7:L1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2A85-E946-424E-ABEE-C2D5994C6CF1}">
  <dimension ref="A1:AC67"/>
  <sheetViews>
    <sheetView workbookViewId="0">
      <selection activeCell="X8" sqref="X8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46059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778.27</v>
      </c>
      <c r="F7" s="3">
        <f t="shared" ref="F7:F13" si="0">E7*D7</f>
        <v>99132.686038999993</v>
      </c>
      <c r="G7" s="3">
        <f>61467.93+20488.3849</f>
        <v>81956.314899999998</v>
      </c>
      <c r="H7" s="4">
        <f t="shared" ref="H7:H13" si="1">G7/D7</f>
        <v>643.42189993852833</v>
      </c>
      <c r="I7" s="3">
        <f t="shared" ref="I7:I13" si="2">F7-G7</f>
        <v>17176.371138999995</v>
      </c>
      <c r="J7" s="26">
        <f t="shared" ref="J7:J13" si="3">E7-H7</f>
        <v>134.84810006147165</v>
      </c>
      <c r="K7" s="27">
        <v>46000</v>
      </c>
      <c r="L7">
        <f>DAYS360(K7,$C$1)</f>
        <v>57</v>
      </c>
      <c r="M7" s="5">
        <f t="shared" ref="M7:M13" si="4">(I7/G7)</f>
        <v>0.20957959322546352</v>
      </c>
      <c r="N7" s="9">
        <v>74</v>
      </c>
      <c r="O7">
        <v>93</v>
      </c>
      <c r="P7" s="59">
        <v>78</v>
      </c>
      <c r="Q7" s="28">
        <v>664.69</v>
      </c>
      <c r="R7" s="29">
        <f t="shared" ref="R7:R13" si="5">Q7*0.93</f>
        <v>618.16170000000011</v>
      </c>
      <c r="S7" s="29">
        <v>555.84</v>
      </c>
      <c r="T7" s="28">
        <f t="shared" ref="T7:T13" si="6">Q7*1.25</f>
        <v>830.86250000000007</v>
      </c>
      <c r="U7" s="28">
        <f t="shared" ref="U7:U13" si="7">Q7*1.5</f>
        <v>997.03500000000008</v>
      </c>
      <c r="V7" s="28">
        <f t="shared" ref="V7:V13" si="8">Q7*2</f>
        <v>1329.38</v>
      </c>
      <c r="W7" s="28">
        <f t="shared" ref="W7:W13" si="9">H7-(H7*0.07)</f>
        <v>598.38236694283137</v>
      </c>
      <c r="X7" s="29">
        <v>695</v>
      </c>
      <c r="Y7" s="5">
        <f t="shared" ref="Y7:Y13" si="10">(X7-H7)/H7</f>
        <v>8.0162176740330687E-2</v>
      </c>
      <c r="Z7" s="6">
        <f t="shared" ref="Z7:Z13" si="11">F7/F$20</f>
        <v>0.16660905475048568</v>
      </c>
      <c r="AB7" s="55">
        <v>46134</v>
      </c>
      <c r="AC7" s="9">
        <v>91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43.97</v>
      </c>
      <c r="F8" s="3">
        <f t="shared" si="0"/>
        <v>52598.057220000002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5273.2872199999983</v>
      </c>
      <c r="J8" s="26">
        <f t="shared" si="3"/>
        <v>4.408270025898112</v>
      </c>
      <c r="K8" s="27">
        <v>46021</v>
      </c>
      <c r="L8">
        <f>DAYS360(K8,$C$1)</f>
        <v>36</v>
      </c>
      <c r="M8" s="5">
        <f t="shared" si="4"/>
        <v>0.11142763546447236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5"/>
        <v>37.8324</v>
      </c>
      <c r="S8" s="29">
        <v>35.32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39</v>
      </c>
      <c r="Y8" s="5">
        <f t="shared" si="10"/>
        <v>-1.4198822308064121E-2</v>
      </c>
      <c r="Z8" s="6">
        <f t="shared" si="11"/>
        <v>8.839983001861329E-2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34.950000000000003</v>
      </c>
      <c r="F9" s="3">
        <f t="shared" si="0"/>
        <v>62985.048135000005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-6159.3818649999885</v>
      </c>
      <c r="J9" s="26">
        <f t="shared" si="3"/>
        <v>-3.4178015664979142</v>
      </c>
      <c r="K9" s="27">
        <v>46043</v>
      </c>
      <c r="L9">
        <f>DAYS360(K9,$C$1)</f>
        <v>15</v>
      </c>
      <c r="M9" s="5">
        <f t="shared" si="4"/>
        <v>-8.9079942737252865E-2</v>
      </c>
      <c r="N9" s="9">
        <v>129</v>
      </c>
      <c r="O9">
        <v>98</v>
      </c>
      <c r="P9" s="59">
        <v>33</v>
      </c>
      <c r="Q9" s="28">
        <v>39.51</v>
      </c>
      <c r="R9" s="29">
        <f t="shared" si="5"/>
        <v>36.744300000000003</v>
      </c>
      <c r="S9" s="29">
        <v>33.619999999999997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0.10585690504802596</v>
      </c>
      <c r="AB9" s="55">
        <v>46150</v>
      </c>
      <c r="AC9" s="59">
        <v>71</v>
      </c>
    </row>
    <row r="10" spans="1:29" x14ac:dyDescent="0.25">
      <c r="C10" s="25"/>
      <c r="D10" s="2"/>
      <c r="E10" s="26"/>
      <c r="F10" s="3">
        <f t="shared" si="0"/>
        <v>0</v>
      </c>
      <c r="G10" s="3"/>
      <c r="H10" s="4" t="e">
        <f t="shared" si="1"/>
        <v>#DIV/0!</v>
      </c>
      <c r="I10" s="3">
        <f t="shared" si="2"/>
        <v>0</v>
      </c>
      <c r="J10" s="26" t="e">
        <f t="shared" si="3"/>
        <v>#DIV/0!</v>
      </c>
      <c r="K10" s="27"/>
      <c r="M10" s="5" t="e">
        <f t="shared" si="4"/>
        <v>#DIV/0!</v>
      </c>
      <c r="N10" s="9"/>
      <c r="P10" s="59"/>
      <c r="Q10" s="28"/>
      <c r="R10" s="29">
        <f t="shared" si="5"/>
        <v>0</v>
      </c>
      <c r="S10" s="29"/>
      <c r="T10" s="30">
        <f t="shared" si="6"/>
        <v>0</v>
      </c>
      <c r="U10" s="28">
        <f t="shared" si="7"/>
        <v>0</v>
      </c>
      <c r="V10" s="28">
        <f t="shared" si="8"/>
        <v>0</v>
      </c>
      <c r="W10" s="28" t="e">
        <f t="shared" si="9"/>
        <v>#DIV/0!</v>
      </c>
      <c r="X10" s="29"/>
      <c r="Y10" s="5" t="e">
        <f t="shared" si="10"/>
        <v>#DIV/0!</v>
      </c>
      <c r="Z10" s="31">
        <f t="shared" si="11"/>
        <v>0</v>
      </c>
      <c r="AB10" s="55"/>
      <c r="AC10" s="9"/>
    </row>
    <row r="11" spans="1:29" x14ac:dyDescent="0.25">
      <c r="C11" s="25"/>
      <c r="D11" s="2"/>
      <c r="E11" s="26"/>
      <c r="F11" s="3">
        <f t="shared" si="0"/>
        <v>0</v>
      </c>
      <c r="G11" s="3"/>
      <c r="H11" s="4" t="e">
        <f t="shared" si="1"/>
        <v>#DIV/0!</v>
      </c>
      <c r="I11" s="3">
        <f t="shared" si="2"/>
        <v>0</v>
      </c>
      <c r="J11" s="26" t="e">
        <f t="shared" si="3"/>
        <v>#DIV/0!</v>
      </c>
      <c r="K11" s="27"/>
      <c r="M11" s="5" t="e">
        <f t="shared" si="4"/>
        <v>#DIV/0!</v>
      </c>
      <c r="N11" s="9"/>
      <c r="P11" s="59"/>
      <c r="Q11" s="28"/>
      <c r="R11" s="29">
        <f t="shared" si="5"/>
        <v>0</v>
      </c>
      <c r="S11" s="29"/>
      <c r="T11" s="28">
        <f t="shared" si="6"/>
        <v>0</v>
      </c>
      <c r="U11" s="28">
        <f t="shared" si="7"/>
        <v>0</v>
      </c>
      <c r="V11" s="28">
        <f t="shared" si="8"/>
        <v>0</v>
      </c>
      <c r="W11" s="28" t="e">
        <f t="shared" si="9"/>
        <v>#DIV/0!</v>
      </c>
      <c r="X11" s="29"/>
      <c r="Y11" s="5" t="e">
        <f t="shared" si="10"/>
        <v>#DIV/0!</v>
      </c>
      <c r="Z11" s="6">
        <f t="shared" si="11"/>
        <v>0</v>
      </c>
      <c r="AB11" s="55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ref="F14:F17" si="12">E14*D14</f>
        <v>0</v>
      </c>
      <c r="G14" s="3"/>
      <c r="H14" s="4" t="e">
        <f t="shared" ref="H14:H17" si="13">G14/D14</f>
        <v>#DIV/0!</v>
      </c>
      <c r="I14" s="3">
        <f t="shared" ref="I14:I17" si="14">F14-G14</f>
        <v>0</v>
      </c>
      <c r="J14" s="26" t="e">
        <f t="shared" ref="J14:J17" si="15">E14-H14</f>
        <v>#DIV/0!</v>
      </c>
      <c r="K14" s="27"/>
      <c r="L14">
        <f t="shared" ref="L14:L17" si="16">DAYS360(K14,$C$1)</f>
        <v>45396</v>
      </c>
      <c r="M14" s="5" t="e">
        <f t="shared" ref="M14:M17" si="17">(I14/G14)</f>
        <v>#DIV/0!</v>
      </c>
      <c r="N14" s="32"/>
      <c r="P14" s="60"/>
      <c r="Q14" s="28"/>
      <c r="R14" s="29">
        <f t="shared" ref="R14:R17" si="18">Q14*0.93</f>
        <v>0</v>
      </c>
      <c r="S14" s="29"/>
      <c r="T14" s="30">
        <f t="shared" ref="T14:T17" si="19">Q14*1.25</f>
        <v>0</v>
      </c>
      <c r="U14" s="28">
        <f t="shared" ref="U14:U17" si="20">Q14*1.5</f>
        <v>0</v>
      </c>
      <c r="V14" s="28">
        <f t="shared" ref="V14:V17" si="21">Q14*2</f>
        <v>0</v>
      </c>
      <c r="W14" s="28" t="e">
        <f t="shared" ref="W14:W17" si="22">H14-(H14*0.07)</f>
        <v>#DIV/0!</v>
      </c>
      <c r="X14" s="29"/>
      <c r="Y14" s="5" t="e">
        <f t="shared" ref="Y14:Y17" si="23">(X14-H14)/H14</f>
        <v>#DIV/0!</v>
      </c>
      <c r="Z14" s="6">
        <f t="shared" ref="Z14:Z17" si="24">F14/F$20</f>
        <v>0</v>
      </c>
      <c r="AB14" s="67"/>
      <c r="AC14" s="32"/>
    </row>
    <row r="15" spans="1:29" x14ac:dyDescent="0.25">
      <c r="C15" s="25"/>
      <c r="D15" s="2"/>
      <c r="E15" s="26"/>
      <c r="F15" s="3">
        <f t="shared" si="12"/>
        <v>0</v>
      </c>
      <c r="G15" s="3"/>
      <c r="H15" s="4" t="e">
        <f t="shared" si="13"/>
        <v>#DIV/0!</v>
      </c>
      <c r="I15" s="3">
        <f t="shared" si="14"/>
        <v>0</v>
      </c>
      <c r="J15" s="26" t="e">
        <f t="shared" si="15"/>
        <v>#DIV/0!</v>
      </c>
      <c r="K15" s="27"/>
      <c r="L15">
        <f t="shared" si="16"/>
        <v>45396</v>
      </c>
      <c r="M15" s="5" t="e">
        <f t="shared" si="17"/>
        <v>#DIV/0!</v>
      </c>
      <c r="N15" s="9"/>
      <c r="P15" s="32"/>
      <c r="Q15" s="28"/>
      <c r="R15" s="29">
        <f t="shared" si="18"/>
        <v>0</v>
      </c>
      <c r="S15" s="29"/>
      <c r="T15" s="28">
        <f t="shared" si="19"/>
        <v>0</v>
      </c>
      <c r="U15" s="28">
        <f t="shared" si="20"/>
        <v>0</v>
      </c>
      <c r="V15" s="28">
        <f t="shared" si="21"/>
        <v>0</v>
      </c>
      <c r="W15" s="28" t="e">
        <f t="shared" si="22"/>
        <v>#DIV/0!</v>
      </c>
      <c r="X15" s="29"/>
      <c r="Y15" s="5" t="e">
        <f t="shared" si="23"/>
        <v>#DIV/0!</v>
      </c>
      <c r="Z15" s="31">
        <f t="shared" si="24"/>
        <v>0</v>
      </c>
      <c r="AB15" s="55"/>
      <c r="AC15" s="9"/>
    </row>
    <row r="16" spans="1:29" x14ac:dyDescent="0.25">
      <c r="C16" s="25"/>
      <c r="D16" s="2"/>
      <c r="E16" s="26"/>
      <c r="F16" s="3">
        <f t="shared" si="12"/>
        <v>0</v>
      </c>
      <c r="G16" s="3"/>
      <c r="H16" s="4" t="e">
        <f t="shared" si="13"/>
        <v>#DIV/0!</v>
      </c>
      <c r="I16" s="3">
        <f t="shared" si="14"/>
        <v>0</v>
      </c>
      <c r="J16" s="26" t="e">
        <f t="shared" si="15"/>
        <v>#DIV/0!</v>
      </c>
      <c r="K16" s="27"/>
      <c r="L16">
        <f t="shared" si="16"/>
        <v>45396</v>
      </c>
      <c r="M16" s="5" t="e">
        <f t="shared" si="17"/>
        <v>#DIV/0!</v>
      </c>
      <c r="P16" s="59"/>
      <c r="Q16" s="28"/>
      <c r="R16" s="29">
        <f t="shared" si="18"/>
        <v>0</v>
      </c>
      <c r="S16" s="29"/>
      <c r="T16" s="28">
        <f t="shared" si="19"/>
        <v>0</v>
      </c>
      <c r="U16" s="28">
        <f t="shared" si="20"/>
        <v>0</v>
      </c>
      <c r="V16" s="28">
        <f t="shared" si="21"/>
        <v>0</v>
      </c>
      <c r="W16" s="28" t="e">
        <f t="shared" si="22"/>
        <v>#DIV/0!</v>
      </c>
      <c r="X16" s="29"/>
      <c r="Y16" s="5" t="e">
        <f t="shared" si="23"/>
        <v>#DIV/0!</v>
      </c>
      <c r="Z16" s="31">
        <f t="shared" si="24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2"/>
        <v>0</v>
      </c>
      <c r="G17" s="37"/>
      <c r="H17" s="38" t="e">
        <f t="shared" si="13"/>
        <v>#DIV/0!</v>
      </c>
      <c r="I17" s="37">
        <f t="shared" si="14"/>
        <v>0</v>
      </c>
      <c r="J17" s="36" t="e">
        <f t="shared" si="15"/>
        <v>#DIV/0!</v>
      </c>
      <c r="K17" s="39"/>
      <c r="L17" s="33">
        <f t="shared" si="16"/>
        <v>45396</v>
      </c>
      <c r="M17" s="40" t="e">
        <f t="shared" si="17"/>
        <v>#DIV/0!</v>
      </c>
      <c r="N17" s="33"/>
      <c r="O17" s="33"/>
      <c r="P17" s="61"/>
      <c r="Q17" s="41"/>
      <c r="R17" s="42">
        <f t="shared" si="18"/>
        <v>0</v>
      </c>
      <c r="S17" s="42"/>
      <c r="T17" s="43">
        <f t="shared" si="19"/>
        <v>0</v>
      </c>
      <c r="U17" s="41">
        <f t="shared" si="20"/>
        <v>0</v>
      </c>
      <c r="V17" s="41">
        <f t="shared" si="21"/>
        <v>0</v>
      </c>
      <c r="W17" s="41" t="e">
        <f t="shared" si="22"/>
        <v>#DIV/0!</v>
      </c>
      <c r="X17" s="42"/>
      <c r="Y17" s="40" t="e">
        <f t="shared" si="23"/>
        <v>#DIV/0!</v>
      </c>
      <c r="Z17" s="44">
        <f t="shared" si="24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214715.791394</v>
      </c>
      <c r="G18" s="3">
        <f>SUM(G6:G17)</f>
        <v>198425.51490000001</v>
      </c>
      <c r="H18" s="4"/>
      <c r="I18" s="3">
        <f>SUM(I6:I17)</f>
        <v>16290.276494000005</v>
      </c>
      <c r="M18" s="5"/>
      <c r="Z18" s="6"/>
    </row>
    <row r="19" spans="1:29" x14ac:dyDescent="0.25">
      <c r="D19" s="2" t="s">
        <v>32</v>
      </c>
      <c r="F19" s="3">
        <v>380286</v>
      </c>
      <c r="G19" s="6">
        <f>F19/F20</f>
        <v>0.6391342101828752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595001.79139399994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'01-30-26'!F20</f>
        <v>595458.79067700007</v>
      </c>
      <c r="K21" s="1">
        <v>45657</v>
      </c>
      <c r="L21" s="47">
        <v>208334</v>
      </c>
      <c r="M21" s="47">
        <v>205572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-7.6747424029217578E-4</v>
      </c>
      <c r="K22" s="9" t="s">
        <v>54</v>
      </c>
      <c r="L22" s="6">
        <f>(M21-L21)/L21</f>
        <v>-1.3257557575815758E-2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2" si="25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25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3" si="26">F28/D28</f>
        <v>271.34091722620656</v>
      </c>
      <c r="F28" s="3">
        <v>78305</v>
      </c>
      <c r="G28" s="53">
        <v>73933.25</v>
      </c>
      <c r="H28" s="54">
        <f t="shared" ref="H28:H33" si="27">G28/D28</f>
        <v>256.19201671048387</v>
      </c>
      <c r="I28" s="54">
        <f t="shared" ref="I28:I32" si="28">G28-F28</f>
        <v>-4371.75</v>
      </c>
      <c r="J28" s="6">
        <f t="shared" ref="J28:J32" si="29">I28/F28</f>
        <v>-5.5829768214034861E-2</v>
      </c>
      <c r="K28" s="1">
        <v>45971</v>
      </c>
      <c r="L28" s="1">
        <v>46038</v>
      </c>
      <c r="M28">
        <f t="shared" si="25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26"/>
        <v>478.84701522846564</v>
      </c>
      <c r="F29" s="3">
        <v>61897.919999999998</v>
      </c>
      <c r="G29" s="53">
        <v>54753.85</v>
      </c>
      <c r="H29" s="54">
        <f t="shared" si="27"/>
        <v>423.57994654371464</v>
      </c>
      <c r="I29" s="54">
        <f t="shared" si="28"/>
        <v>-7144.07</v>
      </c>
      <c r="J29" s="6">
        <f t="shared" si="29"/>
        <v>-0.11541696393029038</v>
      </c>
      <c r="K29" s="1">
        <v>46006</v>
      </c>
      <c r="L29" s="1">
        <v>46051</v>
      </c>
      <c r="M29">
        <f t="shared" si="25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26"/>
        <v>145.61999516394894</v>
      </c>
      <c r="F30" s="3">
        <v>61848.7</v>
      </c>
      <c r="G30" s="53">
        <v>58111.070800000001</v>
      </c>
      <c r="H30" s="54">
        <f t="shared" si="27"/>
        <v>136.81991454740191</v>
      </c>
      <c r="I30" s="54">
        <f t="shared" si="28"/>
        <v>-3737.6291999999958</v>
      </c>
      <c r="J30" s="6">
        <f t="shared" si="29"/>
        <v>-6.0431815058360094E-2</v>
      </c>
      <c r="K30" s="27">
        <v>46034</v>
      </c>
      <c r="L30" s="1">
        <v>46057</v>
      </c>
      <c r="M30">
        <f t="shared" si="25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26"/>
        <v>55.207341751332095</v>
      </c>
      <c r="F31" s="3">
        <v>72367.23</v>
      </c>
      <c r="G31" s="53">
        <v>67265.89</v>
      </c>
      <c r="H31" s="54">
        <f t="shared" si="27"/>
        <v>51.315643523145937</v>
      </c>
      <c r="I31" s="54">
        <f t="shared" si="28"/>
        <v>-5101.3399999999965</v>
      </c>
      <c r="J31" s="6">
        <f t="shared" si="29"/>
        <v>-7.0492403813162352E-2</v>
      </c>
      <c r="K31" s="27">
        <v>46035</v>
      </c>
      <c r="L31" s="1">
        <v>46057</v>
      </c>
      <c r="M31">
        <f t="shared" si="25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26"/>
        <v>80.130014013049191</v>
      </c>
      <c r="F32" s="3">
        <v>36213.629999999997</v>
      </c>
      <c r="G32" s="53">
        <v>43431.476999999999</v>
      </c>
      <c r="H32" s="54">
        <f t="shared" si="27"/>
        <v>96.100966973413705</v>
      </c>
      <c r="I32" s="54">
        <f t="shared" si="28"/>
        <v>7217.8470000000016</v>
      </c>
      <c r="J32" s="6">
        <f t="shared" si="29"/>
        <v>0.19931299347787013</v>
      </c>
      <c r="K32" s="27">
        <v>46027</v>
      </c>
      <c r="L32" s="1">
        <v>46057</v>
      </c>
      <c r="M32">
        <f t="shared" si="25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26"/>
        <v>21.050759843181712</v>
      </c>
      <c r="F33" s="3">
        <v>60465.55</v>
      </c>
      <c r="G33" s="53">
        <v>55822.989600000001</v>
      </c>
      <c r="H33" s="54">
        <f t="shared" si="27"/>
        <v>19.434477116275801</v>
      </c>
      <c r="I33" s="54">
        <f t="shared" ref="I33" si="30">G33-F33</f>
        <v>-4642.5604000000021</v>
      </c>
      <c r="J33" s="6">
        <f t="shared" ref="J33" si="31">I33/F33</f>
        <v>-7.6780255864703162E-2</v>
      </c>
      <c r="K33" s="27">
        <v>46027</v>
      </c>
      <c r="L33" s="1">
        <v>46057</v>
      </c>
      <c r="M33">
        <f t="shared" ref="M33" si="32">DAYS360(K33,L33)</f>
        <v>29</v>
      </c>
    </row>
    <row r="34" spans="1:13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1:13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1:13" x14ac:dyDescent="0.25">
      <c r="F36" s="53"/>
      <c r="G36" s="53"/>
      <c r="H36" s="3" t="s">
        <v>66</v>
      </c>
      <c r="I36" s="3">
        <f>SUM(I26:I33)</f>
        <v>-32424.767199999995</v>
      </c>
      <c r="J36" s="13" t="s">
        <v>49</v>
      </c>
    </row>
    <row r="37" spans="1:13" x14ac:dyDescent="0.25">
      <c r="F37" s="53"/>
      <c r="G37" s="53"/>
      <c r="H37" s="3" t="s">
        <v>50</v>
      </c>
      <c r="I37" s="56">
        <v>7</v>
      </c>
      <c r="J37" s="5">
        <v>-8.8200000000000001E-2</v>
      </c>
    </row>
    <row r="38" spans="1:13" x14ac:dyDescent="0.25">
      <c r="F38" s="53"/>
      <c r="G38" s="53"/>
      <c r="H38" s="3" t="s">
        <v>51</v>
      </c>
      <c r="I38" s="63">
        <v>1</v>
      </c>
      <c r="J38" s="5">
        <v>0.1993</v>
      </c>
    </row>
    <row r="39" spans="1:13" x14ac:dyDescent="0.25">
      <c r="F39" s="53"/>
      <c r="G39" s="53"/>
      <c r="I39" s="56">
        <f>SUM(I37:I38)</f>
        <v>8</v>
      </c>
      <c r="J39" s="6"/>
    </row>
    <row r="40" spans="1:13" x14ac:dyDescent="0.25">
      <c r="F40" s="53"/>
      <c r="G40" s="53"/>
      <c r="H40" t="s">
        <v>65</v>
      </c>
      <c r="I40" s="64">
        <f>I38/I39</f>
        <v>0.125</v>
      </c>
      <c r="J40" s="65">
        <f>J38/J37*-1</f>
        <v>2.2596371882086168</v>
      </c>
    </row>
    <row r="41" spans="1:13" x14ac:dyDescent="0.25">
      <c r="F41" s="53"/>
      <c r="G41" s="53"/>
      <c r="J41" s="6"/>
    </row>
    <row r="42" spans="1:13" x14ac:dyDescent="0.25">
      <c r="F42" s="53"/>
      <c r="G42" s="53"/>
      <c r="J42" s="6"/>
    </row>
    <row r="43" spans="1:13" x14ac:dyDescent="0.25">
      <c r="F43" s="53"/>
      <c r="G43" s="53"/>
      <c r="J43" s="6"/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sortState xmlns:xlrd2="http://schemas.microsoft.com/office/spreadsheetml/2017/richdata2" ref="A7:AC9">
    <sortCondition descending="1" ref="L7:L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AF3A-38DC-42CB-B14F-15A11A0B3D14}">
  <dimension ref="A1:AC67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7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46066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802.13</v>
      </c>
      <c r="F7" s="3">
        <f t="shared" ref="F7:F17" si="0">E7*D7</f>
        <v>102171.870241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20215.555340999999</v>
      </c>
      <c r="J7" s="26">
        <f t="shared" ref="J7:J17" si="3">E7-H7</f>
        <v>158.70810006147167</v>
      </c>
      <c r="K7" s="27">
        <v>46000</v>
      </c>
      <c r="L7">
        <f>DAYS360(K7,$C$1)</f>
        <v>64</v>
      </c>
      <c r="M7" s="5">
        <f t="shared" ref="M7:M17" si="4">(I7/G7)</f>
        <v>0.24666257097657768</v>
      </c>
      <c r="N7" s="9">
        <v>44</v>
      </c>
      <c r="O7">
        <v>95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555.84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695</v>
      </c>
      <c r="Y7" s="5">
        <f t="shared" ref="Y7:Y17" si="10">(X7-H7)/H7</f>
        <v>8.0162176740330687E-2</v>
      </c>
      <c r="Z7" s="6">
        <f t="shared" ref="Z7:Z17" si="11">F7/F$20</f>
        <v>0.17068916857021482</v>
      </c>
      <c r="AB7" s="55">
        <v>46134</v>
      </c>
      <c r="AC7" s="9">
        <v>94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43.54</v>
      </c>
      <c r="F8" s="3">
        <f t="shared" si="0"/>
        <v>52083.680040000007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4758.9100400000025</v>
      </c>
      <c r="J8" s="26">
        <f t="shared" si="3"/>
        <v>3.9782700258981123</v>
      </c>
      <c r="K8" s="27">
        <v>46021</v>
      </c>
      <c r="L8">
        <f>DAYS360(K8,$C$1)</f>
        <v>43</v>
      </c>
      <c r="M8" s="5">
        <f t="shared" si="4"/>
        <v>0.10055854555658701</v>
      </c>
      <c r="N8" s="32" t="s">
        <v>30</v>
      </c>
      <c r="O8">
        <v>92</v>
      </c>
      <c r="P8" s="60" t="s">
        <v>30</v>
      </c>
      <c r="Q8" s="28">
        <v>40.68</v>
      </c>
      <c r="R8" s="29">
        <f t="shared" si="5"/>
        <v>37.8324</v>
      </c>
      <c r="S8" s="29">
        <v>35.32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39</v>
      </c>
      <c r="Y8" s="5">
        <f t="shared" si="10"/>
        <v>-1.4198822308064121E-2</v>
      </c>
      <c r="Z8" s="6">
        <f t="shared" si="11"/>
        <v>8.7011425171477627E-2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35.28</v>
      </c>
      <c r="F9" s="3">
        <f t="shared" si="0"/>
        <v>63579.756744000006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-5564.6732559999873</v>
      </c>
      <c r="J9" s="26">
        <f t="shared" si="3"/>
        <v>-3.0878015664979159</v>
      </c>
      <c r="K9" s="27">
        <v>46043</v>
      </c>
      <c r="L9">
        <f>DAYS360(K9,$C$1)</f>
        <v>22</v>
      </c>
      <c r="M9" s="5">
        <f t="shared" si="4"/>
        <v>-8.0478980823183985E-2</v>
      </c>
      <c r="N9" s="9">
        <v>114</v>
      </c>
      <c r="O9">
        <v>99</v>
      </c>
      <c r="P9" s="59">
        <v>33</v>
      </c>
      <c r="Q9" s="28">
        <v>39.51</v>
      </c>
      <c r="R9" s="29">
        <f t="shared" si="5"/>
        <v>36.744300000000003</v>
      </c>
      <c r="S9" s="29">
        <v>33.619999999999997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0.10621686566891263</v>
      </c>
      <c r="AB9" s="55">
        <v>46150</v>
      </c>
      <c r="AC9" s="59">
        <v>81</v>
      </c>
    </row>
    <row r="10" spans="1:29" x14ac:dyDescent="0.25">
      <c r="A10" t="s">
        <v>78</v>
      </c>
      <c r="B10" t="s">
        <v>29</v>
      </c>
      <c r="C10" s="25" t="s">
        <v>79</v>
      </c>
      <c r="D10" s="2">
        <v>410.21409999999997</v>
      </c>
      <c r="E10" s="26">
        <v>117.33</v>
      </c>
      <c r="F10" s="3">
        <f t="shared" si="0"/>
        <v>48130.420352999994</v>
      </c>
      <c r="G10" s="3">
        <v>48654.55</v>
      </c>
      <c r="H10" s="4">
        <f t="shared" si="1"/>
        <v>118.60769778513222</v>
      </c>
      <c r="I10" s="3">
        <f t="shared" si="2"/>
        <v>-524.12964700000884</v>
      </c>
      <c r="J10" s="26">
        <f t="shared" si="3"/>
        <v>-1.2776977851322187</v>
      </c>
      <c r="K10" s="27">
        <v>46062</v>
      </c>
      <c r="L10">
        <f t="shared" ref="L10:L13" si="12">DAYS360(K10,$C$1)</f>
        <v>4</v>
      </c>
      <c r="M10" s="5">
        <f t="shared" si="4"/>
        <v>-1.0772469316847218E-2</v>
      </c>
      <c r="N10" s="9">
        <v>26</v>
      </c>
      <c r="O10">
        <v>96</v>
      </c>
      <c r="P10" s="59">
        <v>97</v>
      </c>
      <c r="Q10" s="28">
        <v>115.93</v>
      </c>
      <c r="R10" s="29">
        <f t="shared" si="5"/>
        <v>107.81490000000001</v>
      </c>
      <c r="S10" s="29">
        <v>105.75</v>
      </c>
      <c r="T10" s="30">
        <f t="shared" si="6"/>
        <v>144.91250000000002</v>
      </c>
      <c r="U10" s="28">
        <f t="shared" si="7"/>
        <v>173.89500000000001</v>
      </c>
      <c r="V10" s="28">
        <f t="shared" si="8"/>
        <v>231.86</v>
      </c>
      <c r="W10" s="28">
        <f t="shared" si="9"/>
        <v>110.30515894017296</v>
      </c>
      <c r="X10" s="29">
        <v>110</v>
      </c>
      <c r="Y10" s="5">
        <f t="shared" si="10"/>
        <v>-7.2572842622118702E-2</v>
      </c>
      <c r="Z10" s="31">
        <f t="shared" si="11"/>
        <v>8.0407076953866147E-2</v>
      </c>
      <c r="AB10" s="55">
        <v>46079</v>
      </c>
      <c r="AC10" s="9">
        <v>98</v>
      </c>
    </row>
    <row r="11" spans="1:29" x14ac:dyDescent="0.25">
      <c r="A11" t="s">
        <v>80</v>
      </c>
      <c r="B11" t="s">
        <v>29</v>
      </c>
      <c r="C11" s="25" t="s">
        <v>81</v>
      </c>
      <c r="D11" s="2">
        <v>220.4374</v>
      </c>
      <c r="E11" s="26">
        <v>111.69</v>
      </c>
      <c r="F11" s="3">
        <f t="shared" si="0"/>
        <v>24620.653205999999</v>
      </c>
      <c r="G11" s="3">
        <v>24221.635300000002</v>
      </c>
      <c r="H11" s="4">
        <f t="shared" si="1"/>
        <v>109.87988109095826</v>
      </c>
      <c r="I11" s="3">
        <f t="shared" si="2"/>
        <v>399.01790599999731</v>
      </c>
      <c r="J11" s="26">
        <f t="shared" si="3"/>
        <v>1.8101189090417336</v>
      </c>
      <c r="K11" s="27">
        <v>46063</v>
      </c>
      <c r="L11">
        <f t="shared" si="12"/>
        <v>3</v>
      </c>
      <c r="M11" s="5">
        <f t="shared" si="4"/>
        <v>1.6473615470545759E-2</v>
      </c>
      <c r="N11" s="9">
        <v>4</v>
      </c>
      <c r="O11">
        <v>78</v>
      </c>
      <c r="P11" s="59">
        <v>75</v>
      </c>
      <c r="Q11" s="28">
        <v>105.4</v>
      </c>
      <c r="R11" s="29">
        <f t="shared" si="5"/>
        <v>98.022000000000006</v>
      </c>
      <c r="S11" s="29">
        <v>92.67</v>
      </c>
      <c r="T11" s="28">
        <f t="shared" si="6"/>
        <v>131.75</v>
      </c>
      <c r="U11" s="28">
        <f t="shared" si="7"/>
        <v>158.10000000000002</v>
      </c>
      <c r="V11" s="28">
        <f t="shared" si="8"/>
        <v>210.8</v>
      </c>
      <c r="W11" s="28">
        <f t="shared" si="9"/>
        <v>102.18828941459118</v>
      </c>
      <c r="X11" s="29">
        <v>102</v>
      </c>
      <c r="Y11" s="5">
        <f t="shared" si="10"/>
        <v>-7.1713593177583801E-2</v>
      </c>
      <c r="Z11" s="6">
        <f t="shared" si="11"/>
        <v>4.1131466180222113E-2</v>
      </c>
      <c r="AB11" s="55">
        <v>46079</v>
      </c>
      <c r="AC11" s="9">
        <v>91</v>
      </c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45403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45403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ref="L14:L17" si="13">DAYS360(K14,$C$1)</f>
        <v>45403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3"/>
        <v>45403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3"/>
        <v>45403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3"/>
        <v>45403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290586.38058400003</v>
      </c>
      <c r="G18" s="3">
        <f>SUM(G6:G17)</f>
        <v>271301.70020000002</v>
      </c>
      <c r="H18" s="4"/>
      <c r="I18" s="3">
        <f>SUM(I6:I17)</f>
        <v>19284.680384000003</v>
      </c>
      <c r="M18" s="5"/>
      <c r="Z18" s="6"/>
    </row>
    <row r="19" spans="1:29" x14ac:dyDescent="0.25">
      <c r="D19" s="2" t="s">
        <v>32</v>
      </c>
      <c r="F19" s="3">
        <v>307998</v>
      </c>
      <c r="G19" s="6">
        <f>F19/F20</f>
        <v>0.51454399745530666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598584.38058400003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'02-06-26'!F20</f>
        <v>595001.79139399994</v>
      </c>
      <c r="K21" s="1">
        <v>45657</v>
      </c>
      <c r="L21" s="47">
        <v>208334</v>
      </c>
      <c r="M21" s="47">
        <v>206722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6.0211401743961428E-3</v>
      </c>
      <c r="K22" s="9" t="s">
        <v>54</v>
      </c>
      <c r="L22" s="6">
        <f>(M21-L21)/L21</f>
        <v>-7.7375752397592324E-3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3" si="14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4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3" si="15">F28/D28</f>
        <v>271.34091722620656</v>
      </c>
      <c r="F28" s="3">
        <v>78305</v>
      </c>
      <c r="G28" s="53">
        <v>73933.25</v>
      </c>
      <c r="H28" s="54">
        <f t="shared" ref="H28:H33" si="16">G28/D28</f>
        <v>256.19201671048387</v>
      </c>
      <c r="I28" s="54">
        <f t="shared" ref="I28:I33" si="17">G28-F28</f>
        <v>-4371.75</v>
      </c>
      <c r="J28" s="6">
        <f t="shared" ref="J28:J33" si="18">I28/F28</f>
        <v>-5.5829768214034861E-2</v>
      </c>
      <c r="K28" s="1">
        <v>45971</v>
      </c>
      <c r="L28" s="1">
        <v>46038</v>
      </c>
      <c r="M28">
        <f t="shared" si="14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5"/>
        <v>478.84701522846564</v>
      </c>
      <c r="F29" s="3">
        <v>61897.919999999998</v>
      </c>
      <c r="G29" s="53">
        <v>54753.85</v>
      </c>
      <c r="H29" s="54">
        <f t="shared" si="16"/>
        <v>423.57994654371464</v>
      </c>
      <c r="I29" s="54">
        <f t="shared" si="17"/>
        <v>-7144.07</v>
      </c>
      <c r="J29" s="6">
        <f t="shared" si="18"/>
        <v>-0.11541696393029038</v>
      </c>
      <c r="K29" s="1">
        <v>46006</v>
      </c>
      <c r="L29" s="1">
        <v>46051</v>
      </c>
      <c r="M29">
        <f t="shared" si="14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5"/>
        <v>145.61999516394894</v>
      </c>
      <c r="F30" s="3">
        <v>61848.7</v>
      </c>
      <c r="G30" s="53">
        <v>58111.070800000001</v>
      </c>
      <c r="H30" s="54">
        <f t="shared" si="16"/>
        <v>136.81991454740191</v>
      </c>
      <c r="I30" s="54">
        <f t="shared" si="17"/>
        <v>-3737.6291999999958</v>
      </c>
      <c r="J30" s="6">
        <f t="shared" si="18"/>
        <v>-6.0431815058360094E-2</v>
      </c>
      <c r="K30" s="27">
        <v>46034</v>
      </c>
      <c r="L30" s="1">
        <v>46057</v>
      </c>
      <c r="M30">
        <f t="shared" si="14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5"/>
        <v>55.207341751332095</v>
      </c>
      <c r="F31" s="3">
        <v>72367.23</v>
      </c>
      <c r="G31" s="53">
        <v>67265.89</v>
      </c>
      <c r="H31" s="54">
        <f t="shared" si="16"/>
        <v>51.315643523145937</v>
      </c>
      <c r="I31" s="54">
        <f t="shared" si="17"/>
        <v>-5101.3399999999965</v>
      </c>
      <c r="J31" s="6">
        <f t="shared" si="18"/>
        <v>-7.0492403813162352E-2</v>
      </c>
      <c r="K31" s="27">
        <v>46035</v>
      </c>
      <c r="L31" s="1">
        <v>46057</v>
      </c>
      <c r="M31">
        <f t="shared" si="14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5"/>
        <v>80.130014013049191</v>
      </c>
      <c r="F32" s="3">
        <v>36213.629999999997</v>
      </c>
      <c r="G32" s="53">
        <v>43431.476999999999</v>
      </c>
      <c r="H32" s="54">
        <f t="shared" si="16"/>
        <v>96.100966973413705</v>
      </c>
      <c r="I32" s="54">
        <f t="shared" si="17"/>
        <v>7217.8470000000016</v>
      </c>
      <c r="J32" s="6">
        <f t="shared" si="18"/>
        <v>0.19931299347787013</v>
      </c>
      <c r="K32" s="27">
        <v>46027</v>
      </c>
      <c r="L32" s="1">
        <v>46057</v>
      </c>
      <c r="M32">
        <f t="shared" si="14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5"/>
        <v>21.050759843181712</v>
      </c>
      <c r="F33" s="3">
        <v>60465.55</v>
      </c>
      <c r="G33" s="53">
        <v>55822.989600000001</v>
      </c>
      <c r="H33" s="54">
        <f t="shared" si="16"/>
        <v>19.434477116275801</v>
      </c>
      <c r="I33" s="54">
        <f t="shared" si="17"/>
        <v>-4642.5604000000021</v>
      </c>
      <c r="J33" s="6">
        <f t="shared" si="18"/>
        <v>-7.6780255864703162E-2</v>
      </c>
      <c r="K33" s="27">
        <v>46027</v>
      </c>
      <c r="L33" s="1">
        <v>46057</v>
      </c>
      <c r="M33">
        <f t="shared" si="14"/>
        <v>29</v>
      </c>
    </row>
    <row r="34" spans="1:13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1:13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1:13" x14ac:dyDescent="0.25">
      <c r="F36" s="53"/>
      <c r="G36" s="53"/>
      <c r="H36" s="3" t="s">
        <v>66</v>
      </c>
      <c r="I36" s="3">
        <f>SUM(I26:I33)</f>
        <v>-32424.767199999995</v>
      </c>
      <c r="J36" s="13" t="s">
        <v>49</v>
      </c>
    </row>
    <row r="37" spans="1:13" x14ac:dyDescent="0.25">
      <c r="F37" s="53"/>
      <c r="G37" s="53"/>
      <c r="H37" s="3" t="s">
        <v>50</v>
      </c>
      <c r="I37" s="56">
        <v>7</v>
      </c>
      <c r="J37" s="5">
        <v>-8.8200000000000001E-2</v>
      </c>
    </row>
    <row r="38" spans="1:13" x14ac:dyDescent="0.25">
      <c r="F38" s="53"/>
      <c r="G38" s="53"/>
      <c r="H38" s="3" t="s">
        <v>51</v>
      </c>
      <c r="I38" s="63">
        <v>1</v>
      </c>
      <c r="J38" s="5">
        <v>0.1993</v>
      </c>
    </row>
    <row r="39" spans="1:13" x14ac:dyDescent="0.25">
      <c r="F39" s="53"/>
      <c r="G39" s="53"/>
      <c r="I39" s="56">
        <f>SUM(I37:I38)</f>
        <v>8</v>
      </c>
      <c r="J39" s="6"/>
    </row>
    <row r="40" spans="1:13" x14ac:dyDescent="0.25">
      <c r="F40" s="53"/>
      <c r="G40" s="53"/>
      <c r="H40" t="s">
        <v>65</v>
      </c>
      <c r="I40" s="64">
        <f>I38/I39</f>
        <v>0.125</v>
      </c>
      <c r="J40" s="65">
        <f>J38/J37*-1</f>
        <v>2.2596371882086168</v>
      </c>
    </row>
    <row r="41" spans="1:13" x14ac:dyDescent="0.25">
      <c r="F41" s="53"/>
      <c r="G41" s="53"/>
      <c r="J41" s="6"/>
    </row>
    <row r="42" spans="1:13" x14ac:dyDescent="0.25">
      <c r="F42" s="53"/>
      <c r="G42" s="53"/>
      <c r="J42" s="6"/>
    </row>
    <row r="43" spans="1:13" x14ac:dyDescent="0.25">
      <c r="F43" s="53"/>
      <c r="G43" s="53"/>
      <c r="J43" s="6"/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AD0D-107F-446C-BF16-FF8A32C2EFCB}">
  <dimension ref="A1:AC6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46073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830.34</v>
      </c>
      <c r="F7" s="3">
        <f t="shared" ref="F7:F17" si="0">E7*D7</f>
        <v>105765.13873799999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23808.823837999997</v>
      </c>
      <c r="J7" s="26">
        <f t="shared" ref="J7:J17" si="3">E7-H7</f>
        <v>186.9181000614717</v>
      </c>
      <c r="K7" s="27">
        <v>46000</v>
      </c>
      <c r="L7">
        <f>DAYS360(K7,$C$1)</f>
        <v>71</v>
      </c>
      <c r="M7" s="5">
        <f t="shared" ref="M7:M17" si="4">(I7/G7)</f>
        <v>0.29050627602095852</v>
      </c>
      <c r="N7" s="9">
        <v>42</v>
      </c>
      <c r="O7">
        <v>95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695</v>
      </c>
      <c r="Y7" s="5">
        <f t="shared" ref="Y7:Y17" si="10">(X7-H7)/H7</f>
        <v>8.0162176740330687E-2</v>
      </c>
      <c r="Z7" s="6">
        <f t="shared" ref="Z7:Z17" si="11">F7/F$20</f>
        <v>0.17823026739123227</v>
      </c>
      <c r="AB7" s="55">
        <v>46134</v>
      </c>
      <c r="AC7" s="9">
        <v>94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44.65</v>
      </c>
      <c r="F8" s="3">
        <f t="shared" si="0"/>
        <v>53411.490900000004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6086.7209000000003</v>
      </c>
      <c r="J8" s="26">
        <f t="shared" si="3"/>
        <v>5.0882700258981117</v>
      </c>
      <c r="K8" s="27">
        <v>46021</v>
      </c>
      <c r="L8">
        <f>DAYS360(K8,$C$1)</f>
        <v>50</v>
      </c>
      <c r="M8" s="5">
        <f t="shared" si="4"/>
        <v>0.1286159636908959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5"/>
        <v>37.8324</v>
      </c>
      <c r="S8" s="29">
        <v>38.28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39</v>
      </c>
      <c r="Y8" s="5">
        <f t="shared" si="10"/>
        <v>-1.4198822308064121E-2</v>
      </c>
      <c r="Z8" s="6">
        <f t="shared" si="11"/>
        <v>9.0006446532945608E-2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29.04</v>
      </c>
      <c r="F9" s="3">
        <f t="shared" si="0"/>
        <v>52334.357592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-16810.072407999993</v>
      </c>
      <c r="J9" s="26">
        <f t="shared" si="3"/>
        <v>-9.3278015664979179</v>
      </c>
      <c r="K9" s="27">
        <v>46043</v>
      </c>
      <c r="L9">
        <f>DAYS360(K9,$C$1)</f>
        <v>29</v>
      </c>
      <c r="M9" s="5">
        <f t="shared" si="4"/>
        <v>-0.24311535156194064</v>
      </c>
      <c r="N9" s="9">
        <v>89</v>
      </c>
      <c r="O9">
        <v>98</v>
      </c>
      <c r="P9" s="59">
        <v>31</v>
      </c>
      <c r="Q9" s="28">
        <v>39.51</v>
      </c>
      <c r="R9" s="29">
        <f t="shared" si="5"/>
        <v>36.744300000000003</v>
      </c>
      <c r="S9" s="29">
        <v>27.62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8.8191313874003904E-2</v>
      </c>
      <c r="AB9" s="55">
        <v>46150</v>
      </c>
      <c r="AC9" s="59">
        <v>73</v>
      </c>
    </row>
    <row r="10" spans="1:29" x14ac:dyDescent="0.25">
      <c r="A10" t="s">
        <v>78</v>
      </c>
      <c r="B10" t="s">
        <v>29</v>
      </c>
      <c r="C10" s="25" t="s">
        <v>79</v>
      </c>
      <c r="D10" s="2">
        <v>410.21409999999997</v>
      </c>
      <c r="E10" s="26">
        <v>119</v>
      </c>
      <c r="F10" s="3">
        <f t="shared" si="0"/>
        <v>48815.477899999998</v>
      </c>
      <c r="G10" s="3">
        <v>48654.55</v>
      </c>
      <c r="H10" s="4">
        <f t="shared" si="1"/>
        <v>118.60769778513222</v>
      </c>
      <c r="I10" s="3">
        <f t="shared" si="2"/>
        <v>160.92789999999513</v>
      </c>
      <c r="J10" s="26">
        <f t="shared" si="3"/>
        <v>0.39230221486778305</v>
      </c>
      <c r="K10" s="27">
        <v>46062</v>
      </c>
      <c r="L10">
        <f t="shared" ref="L10:L17" si="12">DAYS360(K10,$C$1)</f>
        <v>11</v>
      </c>
      <c r="M10" s="5">
        <f t="shared" si="4"/>
        <v>3.3075611633443351E-3</v>
      </c>
      <c r="N10" s="9">
        <v>20</v>
      </c>
      <c r="O10">
        <v>96</v>
      </c>
      <c r="P10" s="59">
        <v>97</v>
      </c>
      <c r="Q10" s="28">
        <v>115.93</v>
      </c>
      <c r="R10" s="29">
        <f t="shared" si="5"/>
        <v>107.81490000000001</v>
      </c>
      <c r="S10" s="29">
        <v>105.75</v>
      </c>
      <c r="T10" s="30">
        <f t="shared" si="6"/>
        <v>144.91250000000002</v>
      </c>
      <c r="U10" s="28">
        <f t="shared" si="7"/>
        <v>173.89500000000001</v>
      </c>
      <c r="V10" s="28">
        <f t="shared" si="8"/>
        <v>231.86</v>
      </c>
      <c r="W10" s="28">
        <f t="shared" si="9"/>
        <v>110.30515894017296</v>
      </c>
      <c r="X10" s="29">
        <v>110</v>
      </c>
      <c r="Y10" s="5">
        <f t="shared" si="10"/>
        <v>-7.2572842622118702E-2</v>
      </c>
      <c r="Z10" s="31">
        <f t="shared" si="11"/>
        <v>8.2261468975144025E-2</v>
      </c>
      <c r="AB10" s="57">
        <v>46079</v>
      </c>
      <c r="AC10" s="9">
        <v>98</v>
      </c>
    </row>
    <row r="11" spans="1:29" x14ac:dyDescent="0.25">
      <c r="A11" t="s">
        <v>80</v>
      </c>
      <c r="B11" t="s">
        <v>29</v>
      </c>
      <c r="C11" s="25" t="s">
        <v>81</v>
      </c>
      <c r="D11" s="2">
        <v>220.4374</v>
      </c>
      <c r="E11" s="26">
        <v>113.46</v>
      </c>
      <c r="F11" s="3">
        <f t="shared" si="0"/>
        <v>25010.827404</v>
      </c>
      <c r="G11" s="3">
        <v>24221.635300000002</v>
      </c>
      <c r="H11" s="4">
        <f t="shared" si="1"/>
        <v>109.87988109095826</v>
      </c>
      <c r="I11" s="3">
        <f t="shared" si="2"/>
        <v>789.19210399999793</v>
      </c>
      <c r="J11" s="26">
        <f t="shared" si="3"/>
        <v>3.5801189090417296</v>
      </c>
      <c r="K11" s="27">
        <v>46063</v>
      </c>
      <c r="L11">
        <f t="shared" si="12"/>
        <v>10</v>
      </c>
      <c r="M11" s="5">
        <f t="shared" si="4"/>
        <v>3.2582114883052418E-2</v>
      </c>
      <c r="N11" s="9">
        <v>4</v>
      </c>
      <c r="O11">
        <v>85</v>
      </c>
      <c r="P11" s="59">
        <v>74</v>
      </c>
      <c r="Q11" s="28">
        <v>105.4</v>
      </c>
      <c r="R11" s="29">
        <f t="shared" si="5"/>
        <v>98.022000000000006</v>
      </c>
      <c r="S11" s="29">
        <v>92.67</v>
      </c>
      <c r="T11" s="28">
        <f t="shared" si="6"/>
        <v>131.75</v>
      </c>
      <c r="U11" s="28">
        <f t="shared" si="7"/>
        <v>158.10000000000002</v>
      </c>
      <c r="V11" s="28">
        <f t="shared" si="8"/>
        <v>210.8</v>
      </c>
      <c r="W11" s="28">
        <f t="shared" si="9"/>
        <v>102.18828941459118</v>
      </c>
      <c r="X11" s="29">
        <v>102</v>
      </c>
      <c r="Y11" s="5">
        <f t="shared" si="10"/>
        <v>-7.1713593177583801E-2</v>
      </c>
      <c r="Z11" s="6">
        <f t="shared" si="11"/>
        <v>4.2147029816066349E-2</v>
      </c>
      <c r="AB11" s="57">
        <v>46079</v>
      </c>
      <c r="AC11" s="9">
        <v>92</v>
      </c>
    </row>
    <row r="12" spans="1:29" x14ac:dyDescent="0.25">
      <c r="A12" t="s">
        <v>82</v>
      </c>
      <c r="B12" t="s">
        <v>29</v>
      </c>
      <c r="C12" s="25" t="s">
        <v>83</v>
      </c>
      <c r="D12" s="2">
        <v>137.14400000000001</v>
      </c>
      <c r="E12" s="26">
        <v>435.5</v>
      </c>
      <c r="F12" s="3">
        <f t="shared" si="0"/>
        <v>59726.212</v>
      </c>
      <c r="G12" s="3">
        <v>59637.17</v>
      </c>
      <c r="H12" s="4">
        <f t="shared" si="1"/>
        <v>434.85074082715977</v>
      </c>
      <c r="I12" s="3">
        <f t="shared" si="2"/>
        <v>89.042000000001281</v>
      </c>
      <c r="J12" s="26">
        <f t="shared" si="3"/>
        <v>0.64925917284023171</v>
      </c>
      <c r="K12" s="27">
        <v>46072</v>
      </c>
      <c r="L12">
        <f t="shared" si="12"/>
        <v>1</v>
      </c>
      <c r="M12" s="5">
        <f t="shared" si="4"/>
        <v>1.4930621288703216E-3</v>
      </c>
      <c r="N12" s="9">
        <v>20</v>
      </c>
      <c r="O12">
        <v>97</v>
      </c>
      <c r="P12" s="60">
        <v>99</v>
      </c>
      <c r="Q12" s="28">
        <v>372.01</v>
      </c>
      <c r="R12" s="29">
        <f t="shared" si="5"/>
        <v>345.96930000000003</v>
      </c>
      <c r="S12" s="29">
        <v>394.63</v>
      </c>
      <c r="T12" s="30">
        <f t="shared" si="6"/>
        <v>465.01249999999999</v>
      </c>
      <c r="U12" s="28">
        <f t="shared" si="7"/>
        <v>558.01499999999999</v>
      </c>
      <c r="V12" s="28">
        <f t="shared" si="8"/>
        <v>744.02</v>
      </c>
      <c r="W12" s="28">
        <f t="shared" si="9"/>
        <v>404.4111889692586</v>
      </c>
      <c r="X12" s="29">
        <v>395</v>
      </c>
      <c r="Y12" s="5">
        <f t="shared" si="10"/>
        <v>-9.1642343189658387E-2</v>
      </c>
      <c r="Z12" s="6">
        <f t="shared" si="11"/>
        <v>0.1006477073830076</v>
      </c>
      <c r="AB12" s="57">
        <v>46078</v>
      </c>
      <c r="AC12" s="9">
        <v>99</v>
      </c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45410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45410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45410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45410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45410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345063.50453399995</v>
      </c>
      <c r="G18" s="3">
        <f>SUM(G6:G17)</f>
        <v>330938.8702</v>
      </c>
      <c r="H18" s="4"/>
      <c r="I18" s="3">
        <f>SUM(I6:I17)</f>
        <v>14124.634333999998</v>
      </c>
      <c r="M18" s="5"/>
      <c r="Z18" s="6"/>
    </row>
    <row r="19" spans="1:29" x14ac:dyDescent="0.25">
      <c r="D19" s="2" t="s">
        <v>32</v>
      </c>
      <c r="F19" s="3">
        <v>248355</v>
      </c>
      <c r="G19" s="6">
        <f>F19/F20</f>
        <v>0.41851576602760032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593418.50453399995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'02-13-26'!F20</f>
        <v>598584.38058400003</v>
      </c>
      <c r="K21" s="1">
        <v>45657</v>
      </c>
      <c r="L21" s="47">
        <v>208334</v>
      </c>
      <c r="M21" s="47">
        <v>204944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-8.6301551085580745E-3</v>
      </c>
      <c r="K22" s="9" t="s">
        <v>54</v>
      </c>
      <c r="L22" s="6">
        <f>(M21-L21)/L21</f>
        <v>-1.6271947929766623E-2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3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3" si="14">F28/D28</f>
        <v>271.34091722620656</v>
      </c>
      <c r="F28" s="3">
        <v>78305</v>
      </c>
      <c r="G28" s="53">
        <v>73933.25</v>
      </c>
      <c r="H28" s="54">
        <f t="shared" ref="H28:H33" si="15">G28/D28</f>
        <v>256.19201671048387</v>
      </c>
      <c r="I28" s="54">
        <f t="shared" ref="I28:I33" si="16">G28-F28</f>
        <v>-4371.75</v>
      </c>
      <c r="J28" s="6">
        <f t="shared" ref="J28:J33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1:13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1:13" x14ac:dyDescent="0.25">
      <c r="F36" s="53"/>
      <c r="G36" s="53"/>
      <c r="H36" s="3" t="s">
        <v>66</v>
      </c>
      <c r="I36" s="3">
        <f>SUM(I26:I33)</f>
        <v>-32424.767199999995</v>
      </c>
      <c r="J36" s="13" t="s">
        <v>49</v>
      </c>
    </row>
    <row r="37" spans="1:13" x14ac:dyDescent="0.25">
      <c r="F37" s="53"/>
      <c r="G37" s="53"/>
      <c r="H37" s="3" t="s">
        <v>50</v>
      </c>
      <c r="I37" s="56">
        <v>7</v>
      </c>
      <c r="J37" s="5">
        <v>-8.8200000000000001E-2</v>
      </c>
    </row>
    <row r="38" spans="1:13" x14ac:dyDescent="0.25">
      <c r="F38" s="53"/>
      <c r="G38" s="53"/>
      <c r="H38" s="3" t="s">
        <v>51</v>
      </c>
      <c r="I38" s="63">
        <v>1</v>
      </c>
      <c r="J38" s="5">
        <v>0.1993</v>
      </c>
    </row>
    <row r="39" spans="1:13" x14ac:dyDescent="0.25">
      <c r="F39" s="53"/>
      <c r="G39" s="53"/>
      <c r="I39" s="56">
        <f>SUM(I37:I38)</f>
        <v>8</v>
      </c>
      <c r="J39" s="6"/>
    </row>
    <row r="40" spans="1:13" x14ac:dyDescent="0.25">
      <c r="F40" s="53"/>
      <c r="G40" s="53"/>
      <c r="H40" t="s">
        <v>65</v>
      </c>
      <c r="I40" s="64">
        <f>I38/I39</f>
        <v>0.125</v>
      </c>
      <c r="J40" s="65">
        <f>J38/J37*-1</f>
        <v>2.2596371882086168</v>
      </c>
    </row>
    <row r="41" spans="1:13" x14ac:dyDescent="0.25">
      <c r="F41" s="53"/>
      <c r="G41" s="53"/>
      <c r="J41" s="6"/>
    </row>
    <row r="42" spans="1:13" x14ac:dyDescent="0.25">
      <c r="F42" s="53"/>
      <c r="G42" s="53"/>
      <c r="J42" s="6"/>
    </row>
    <row r="43" spans="1:13" x14ac:dyDescent="0.25">
      <c r="F43" s="53"/>
      <c r="G43" s="53"/>
      <c r="J43" s="6"/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AE0E-9F04-4299-809C-023DBBC1A5A2}">
  <dimension ref="A1:AC6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46080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873.6</v>
      </c>
      <c r="F7" s="3">
        <f t="shared" ref="F7:F17" si="0">E7*D7</f>
        <v>111275.41151999999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29319.096619999997</v>
      </c>
      <c r="J7" s="26">
        <f t="shared" ref="J7:J17" si="3">E7-H7</f>
        <v>230.1781000614717</v>
      </c>
      <c r="K7" s="27">
        <v>46000</v>
      </c>
      <c r="L7">
        <f>DAYS360(K7,$C$1)</f>
        <v>78</v>
      </c>
      <c r="M7" s="5">
        <f t="shared" ref="M7:M17" si="4">(I7/G7)</f>
        <v>0.35774054330986027</v>
      </c>
      <c r="N7" s="9">
        <v>44</v>
      </c>
      <c r="O7">
        <v>95</v>
      </c>
      <c r="P7" s="59">
        <v>77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695</v>
      </c>
      <c r="Y7" s="5">
        <f t="shared" ref="Y7:Y17" si="10">(X7-H7)/H7</f>
        <v>8.0162176740330687E-2</v>
      </c>
      <c r="Z7" s="6">
        <f t="shared" ref="Z7:Z17" si="11">F7/F$20</f>
        <v>0.18993314031876279</v>
      </c>
      <c r="AB7" s="55">
        <v>46134</v>
      </c>
      <c r="AC7" s="9">
        <v>95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44.47</v>
      </c>
      <c r="F8" s="3">
        <f t="shared" si="0"/>
        <v>53196.170220000007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5871.4002200000032</v>
      </c>
      <c r="J8" s="26">
        <f t="shared" si="3"/>
        <v>4.908270025898112</v>
      </c>
      <c r="K8" s="27">
        <v>46021</v>
      </c>
      <c r="L8">
        <f>DAYS360(K8,$C$1)</f>
        <v>57</v>
      </c>
      <c r="M8" s="5">
        <f t="shared" si="4"/>
        <v>0.12406611210154857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5"/>
        <v>37.8324</v>
      </c>
      <c r="S8" s="29">
        <v>38.28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39</v>
      </c>
      <c r="Y8" s="5">
        <f t="shared" si="10"/>
        <v>-1.4198822308064121E-2</v>
      </c>
      <c r="Z8" s="6">
        <f t="shared" si="11"/>
        <v>9.0799175889815245E-2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27.27</v>
      </c>
      <c r="F9" s="3">
        <f t="shared" si="0"/>
        <v>49144.556871000001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-19999.873128999992</v>
      </c>
      <c r="J9" s="26">
        <f t="shared" si="3"/>
        <v>-11.097801566497917</v>
      </c>
      <c r="K9" s="27">
        <v>46043</v>
      </c>
      <c r="L9">
        <f>DAYS360(K9,$C$1)</f>
        <v>36</v>
      </c>
      <c r="M9" s="5">
        <f t="shared" si="4"/>
        <v>-0.28924778364649179</v>
      </c>
      <c r="N9" s="9">
        <v>92</v>
      </c>
      <c r="O9">
        <v>98</v>
      </c>
      <c r="P9" s="59">
        <v>31</v>
      </c>
      <c r="Q9" s="28">
        <v>39.51</v>
      </c>
      <c r="R9" s="29">
        <f t="shared" si="5"/>
        <v>36.744300000000003</v>
      </c>
      <c r="S9" s="29">
        <v>27.62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8.3883581184558381E-2</v>
      </c>
      <c r="AB9" s="55">
        <v>46150</v>
      </c>
      <c r="AC9" s="59">
        <v>73</v>
      </c>
    </row>
    <row r="10" spans="1:29" x14ac:dyDescent="0.25">
      <c r="A10" t="s">
        <v>78</v>
      </c>
      <c r="B10" t="s">
        <v>29</v>
      </c>
      <c r="C10" s="25" t="s">
        <v>79</v>
      </c>
      <c r="D10" s="2">
        <v>410.21409999999997</v>
      </c>
      <c r="E10" s="26">
        <v>89.14</v>
      </c>
      <c r="F10" s="3">
        <f t="shared" si="0"/>
        <v>36566.484873999994</v>
      </c>
      <c r="G10" s="3">
        <v>48654.55</v>
      </c>
      <c r="H10" s="4">
        <f t="shared" si="1"/>
        <v>118.60769778513222</v>
      </c>
      <c r="I10" s="3">
        <f t="shared" si="2"/>
        <v>-12088.065126000009</v>
      </c>
      <c r="J10" s="26">
        <f t="shared" si="3"/>
        <v>-29.467697785132216</v>
      </c>
      <c r="K10" s="27">
        <v>46062</v>
      </c>
      <c r="L10">
        <f t="shared" ref="L10:L17" si="12">DAYS360(K10,$C$1)</f>
        <v>18</v>
      </c>
      <c r="M10" s="5">
        <f t="shared" si="4"/>
        <v>-0.24844675628486973</v>
      </c>
      <c r="N10" s="9">
        <v>17</v>
      </c>
      <c r="O10">
        <v>96</v>
      </c>
      <c r="P10" s="59">
        <v>97</v>
      </c>
      <c r="Q10" s="28">
        <v>115.93</v>
      </c>
      <c r="R10" s="29">
        <f t="shared" si="5"/>
        <v>107.81490000000001</v>
      </c>
      <c r="S10" s="29">
        <v>105.75</v>
      </c>
      <c r="T10" s="30">
        <f t="shared" si="6"/>
        <v>144.91250000000002</v>
      </c>
      <c r="U10" s="28">
        <f t="shared" si="7"/>
        <v>173.89500000000001</v>
      </c>
      <c r="V10" s="28">
        <f t="shared" si="8"/>
        <v>231.86</v>
      </c>
      <c r="W10" s="28">
        <f t="shared" si="9"/>
        <v>110.30515894017296</v>
      </c>
      <c r="X10" s="29">
        <v>110</v>
      </c>
      <c r="Y10" s="5">
        <f t="shared" si="10"/>
        <v>-7.2572842622118702E-2</v>
      </c>
      <c r="Z10" s="31">
        <f t="shared" si="11"/>
        <v>6.2414393329734585E-2</v>
      </c>
      <c r="AB10" s="55">
        <v>46142</v>
      </c>
      <c r="AC10" s="9">
        <v>98</v>
      </c>
    </row>
    <row r="11" spans="1:29" x14ac:dyDescent="0.25">
      <c r="A11" t="s">
        <v>80</v>
      </c>
      <c r="B11" t="s">
        <v>29</v>
      </c>
      <c r="C11" s="25" t="s">
        <v>81</v>
      </c>
      <c r="D11" s="2">
        <f>220.4374+85.8985</f>
        <v>306.33589999999998</v>
      </c>
      <c r="E11" s="26">
        <v>126.76</v>
      </c>
      <c r="F11" s="3">
        <f t="shared" si="0"/>
        <v>38831.138683999998</v>
      </c>
      <c r="G11" s="3">
        <f>24221.64+10214.21</f>
        <v>34435.85</v>
      </c>
      <c r="H11" s="4">
        <f t="shared" si="1"/>
        <v>112.41206140057369</v>
      </c>
      <c r="I11" s="3">
        <f t="shared" si="2"/>
        <v>4395.2886839999992</v>
      </c>
      <c r="J11" s="26">
        <f t="shared" si="3"/>
        <v>14.347938599426314</v>
      </c>
      <c r="K11" s="27">
        <v>46063</v>
      </c>
      <c r="L11">
        <f t="shared" si="12"/>
        <v>17</v>
      </c>
      <c r="M11" s="5">
        <f t="shared" si="4"/>
        <v>0.12763700283280358</v>
      </c>
      <c r="N11" s="9">
        <v>4</v>
      </c>
      <c r="O11">
        <v>89</v>
      </c>
      <c r="P11" s="59">
        <v>45</v>
      </c>
      <c r="Q11" s="28">
        <v>105.4</v>
      </c>
      <c r="R11" s="29">
        <f t="shared" si="5"/>
        <v>98.022000000000006</v>
      </c>
      <c r="S11" s="29">
        <v>92.67</v>
      </c>
      <c r="T11" s="28">
        <f t="shared" si="6"/>
        <v>131.75</v>
      </c>
      <c r="U11" s="28">
        <f t="shared" si="7"/>
        <v>158.10000000000002</v>
      </c>
      <c r="V11" s="28">
        <f t="shared" si="8"/>
        <v>210.8</v>
      </c>
      <c r="W11" s="28">
        <f t="shared" si="9"/>
        <v>104.54321710253353</v>
      </c>
      <c r="X11" s="29">
        <v>102</v>
      </c>
      <c r="Y11" s="5">
        <f t="shared" si="10"/>
        <v>-9.2624058938577156E-2</v>
      </c>
      <c r="Z11" s="6">
        <f t="shared" si="11"/>
        <v>6.6279872719948674E-2</v>
      </c>
      <c r="AB11" s="55">
        <v>46176</v>
      </c>
      <c r="AC11" s="9">
        <v>87</v>
      </c>
    </row>
    <row r="12" spans="1:29" x14ac:dyDescent="0.25">
      <c r="A12" t="s">
        <v>82</v>
      </c>
      <c r="B12" t="s">
        <v>29</v>
      </c>
      <c r="C12" s="25" t="s">
        <v>83</v>
      </c>
      <c r="D12" s="2">
        <v>137.14400000000001</v>
      </c>
      <c r="E12" s="26">
        <v>428.13</v>
      </c>
      <c r="F12" s="3">
        <f t="shared" si="0"/>
        <v>58715.460720000003</v>
      </c>
      <c r="G12" s="3">
        <v>59637.17</v>
      </c>
      <c r="H12" s="4">
        <f t="shared" si="1"/>
        <v>434.85074082715977</v>
      </c>
      <c r="I12" s="3">
        <f t="shared" si="2"/>
        <v>-921.70927999999549</v>
      </c>
      <c r="J12" s="26">
        <f t="shared" si="3"/>
        <v>-6.7207408271597728</v>
      </c>
      <c r="K12" s="27">
        <v>46072</v>
      </c>
      <c r="L12">
        <f t="shared" si="12"/>
        <v>8</v>
      </c>
      <c r="M12" s="5">
        <f t="shared" si="4"/>
        <v>-1.5455281999464353E-2</v>
      </c>
      <c r="N12" s="9">
        <v>17</v>
      </c>
      <c r="O12">
        <v>96</v>
      </c>
      <c r="P12" s="60">
        <v>99</v>
      </c>
      <c r="Q12" s="28">
        <v>372.01</v>
      </c>
      <c r="R12" s="29">
        <f t="shared" si="5"/>
        <v>345.96930000000003</v>
      </c>
      <c r="S12" s="29">
        <v>394.63</v>
      </c>
      <c r="T12" s="30">
        <f t="shared" si="6"/>
        <v>465.01249999999999</v>
      </c>
      <c r="U12" s="28">
        <f t="shared" si="7"/>
        <v>558.01499999999999</v>
      </c>
      <c r="V12" s="28">
        <f t="shared" si="8"/>
        <v>744.02</v>
      </c>
      <c r="W12" s="28">
        <f t="shared" si="9"/>
        <v>404.4111889692586</v>
      </c>
      <c r="X12" s="29">
        <v>395</v>
      </c>
      <c r="Y12" s="5">
        <f t="shared" si="10"/>
        <v>-9.1642343189658387E-2</v>
      </c>
      <c r="Z12" s="6">
        <f t="shared" si="11"/>
        <v>0.10021991100709764</v>
      </c>
      <c r="AB12" s="55">
        <v>46146</v>
      </c>
      <c r="AC12" s="9">
        <v>99</v>
      </c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45417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45417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45417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45417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45417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347729.22288899997</v>
      </c>
      <c r="G18" s="3">
        <f>SUM(G6:G17)</f>
        <v>341153.08489999996</v>
      </c>
      <c r="H18" s="4"/>
      <c r="I18" s="3">
        <f>SUM(I6:I17)</f>
        <v>6576.1379890000026</v>
      </c>
      <c r="M18" s="5"/>
      <c r="Z18" s="6"/>
    </row>
    <row r="19" spans="1:29" x14ac:dyDescent="0.25">
      <c r="D19" s="2" t="s">
        <v>32</v>
      </c>
      <c r="F19" s="3">
        <v>238137</v>
      </c>
      <c r="G19" s="6">
        <f>F19/F20</f>
        <v>0.40646992555008277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585866.22288899997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'02-20-26'!F20</f>
        <v>593418.50453399995</v>
      </c>
      <c r="K21" s="1">
        <v>45657</v>
      </c>
      <c r="L21" s="47">
        <v>208334</v>
      </c>
      <c r="M21" s="47">
        <v>202341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-1.2726737685624821E-2</v>
      </c>
      <c r="K22" s="9" t="s">
        <v>54</v>
      </c>
      <c r="L22" s="6">
        <f>(M21-L21)/L21</f>
        <v>-2.8766307947814568E-2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3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3" si="14">F28/D28</f>
        <v>271.34091722620656</v>
      </c>
      <c r="F28" s="3">
        <v>78305</v>
      </c>
      <c r="G28" s="53">
        <v>73933.25</v>
      </c>
      <c r="H28" s="54">
        <f t="shared" ref="H28:H33" si="15">G28/D28</f>
        <v>256.19201671048387</v>
      </c>
      <c r="I28" s="54">
        <f t="shared" ref="I28:I33" si="16">G28-F28</f>
        <v>-4371.75</v>
      </c>
      <c r="J28" s="6">
        <f t="shared" ref="J28:J33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C34" s="25"/>
      <c r="D34" s="2"/>
      <c r="E34" s="54"/>
      <c r="F34" s="3"/>
      <c r="G34" s="53"/>
      <c r="H34" s="54"/>
      <c r="I34" s="54"/>
      <c r="J34" s="6"/>
      <c r="K34" s="1"/>
      <c r="L34" s="1"/>
    </row>
    <row r="35" spans="1:13" x14ac:dyDescent="0.25">
      <c r="C35" s="25"/>
      <c r="D35" s="2"/>
      <c r="E35" s="54"/>
      <c r="F35" s="3"/>
      <c r="G35" s="53"/>
      <c r="H35" s="54"/>
      <c r="I35" s="54"/>
      <c r="J35" s="6"/>
      <c r="K35" s="1"/>
      <c r="L35" s="1"/>
    </row>
    <row r="36" spans="1:13" x14ac:dyDescent="0.25">
      <c r="F36" s="53"/>
      <c r="G36" s="53"/>
      <c r="H36" s="3" t="s">
        <v>66</v>
      </c>
      <c r="I36" s="3">
        <f>SUM(I26:I33)</f>
        <v>-32424.767199999995</v>
      </c>
      <c r="J36" s="13" t="s">
        <v>49</v>
      </c>
    </row>
    <row r="37" spans="1:13" x14ac:dyDescent="0.25">
      <c r="F37" s="53"/>
      <c r="G37" s="53"/>
      <c r="H37" s="3" t="s">
        <v>50</v>
      </c>
      <c r="I37" s="56">
        <v>7</v>
      </c>
      <c r="J37" s="5">
        <v>-8.8200000000000001E-2</v>
      </c>
    </row>
    <row r="38" spans="1:13" x14ac:dyDescent="0.25">
      <c r="F38" s="53"/>
      <c r="G38" s="53"/>
      <c r="H38" s="3" t="s">
        <v>51</v>
      </c>
      <c r="I38" s="63">
        <v>1</v>
      </c>
      <c r="J38" s="5">
        <v>0.1993</v>
      </c>
    </row>
    <row r="39" spans="1:13" x14ac:dyDescent="0.25">
      <c r="F39" s="53"/>
      <c r="G39" s="53"/>
      <c r="I39" s="56">
        <f>SUM(I37:I38)</f>
        <v>8</v>
      </c>
      <c r="J39" s="6"/>
    </row>
    <row r="40" spans="1:13" x14ac:dyDescent="0.25">
      <c r="F40" s="53"/>
      <c r="G40" s="53"/>
      <c r="H40" t="s">
        <v>65</v>
      </c>
      <c r="I40" s="64">
        <f>I38/I39</f>
        <v>0.125</v>
      </c>
      <c r="J40" s="65">
        <f>J38/J37*-1</f>
        <v>2.2596371882086168</v>
      </c>
    </row>
    <row r="41" spans="1:13" x14ac:dyDescent="0.25">
      <c r="F41" s="53"/>
      <c r="G41" s="53"/>
      <c r="J41" s="6"/>
    </row>
    <row r="42" spans="1:13" x14ac:dyDescent="0.25">
      <c r="F42" s="53"/>
      <c r="G42" s="53"/>
      <c r="J42" s="6"/>
    </row>
    <row r="43" spans="1:13" x14ac:dyDescent="0.25">
      <c r="F43" s="53"/>
      <c r="G43" s="53"/>
      <c r="J43" s="6"/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</row>
    <row r="63" spans="6:10" x14ac:dyDescent="0.25">
      <c r="F63" s="53"/>
      <c r="G63" s="53"/>
    </row>
    <row r="64" spans="6:10" x14ac:dyDescent="0.25">
      <c r="F64" s="53"/>
      <c r="G64" s="53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A44B-3239-42BC-9305-319C9A63327B}">
  <dimension ref="A1:AC70"/>
  <sheetViews>
    <sheetView workbookViewId="0"/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46087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789.23</v>
      </c>
      <c r="F7" s="3">
        <f t="shared" ref="F7:F17" si="0">E7*D7</f>
        <v>100528.723711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18572.408811000001</v>
      </c>
      <c r="J7" s="26">
        <f t="shared" ref="J7:J17" si="3">E7-H7</f>
        <v>145.80810006147169</v>
      </c>
      <c r="K7" s="27">
        <v>46000</v>
      </c>
      <c r="L7">
        <f>DAYS360(K7,$C$1)</f>
        <v>87</v>
      </c>
      <c r="M7" s="5">
        <f t="shared" ref="M7:M17" si="4">(I7/G7)</f>
        <v>0.22661351762413126</v>
      </c>
      <c r="N7" s="9">
        <v>39</v>
      </c>
      <c r="O7">
        <v>95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695</v>
      </c>
      <c r="Y7" s="5">
        <f t="shared" ref="Y7:Y17" si="10">(X7-H7)/H7</f>
        <v>8.0162176740330687E-2</v>
      </c>
      <c r="Z7" s="6">
        <f t="shared" ref="Z7:Z17" si="11">F7/F$20</f>
        <v>0.17934956403232188</v>
      </c>
      <c r="AB7" s="55">
        <v>46134</v>
      </c>
      <c r="AC7" s="9">
        <v>94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44.51</v>
      </c>
      <c r="F8" s="3">
        <f t="shared" si="0"/>
        <v>53244.019260000001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5919.2492599999969</v>
      </c>
      <c r="J8" s="26">
        <f t="shared" si="3"/>
        <v>4.9482700258981112</v>
      </c>
      <c r="K8" s="27">
        <v>46021</v>
      </c>
      <c r="L8">
        <f>DAYS360(K8,$C$1)</f>
        <v>66</v>
      </c>
      <c r="M8" s="5">
        <f t="shared" si="4"/>
        <v>0.12507719023251451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5"/>
        <v>37.8324</v>
      </c>
      <c r="S8" s="29">
        <v>38.28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39</v>
      </c>
      <c r="Y8" s="5">
        <f t="shared" si="10"/>
        <v>-1.4198822308064121E-2</v>
      </c>
      <c r="Z8" s="6">
        <f t="shared" si="11"/>
        <v>9.4990678177332241E-2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25.13</v>
      </c>
      <c r="F9" s="3">
        <f t="shared" si="0"/>
        <v>45287.961648999997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-23856.468350999996</v>
      </c>
      <c r="J9" s="26">
        <f t="shared" si="3"/>
        <v>-13.237801566497918</v>
      </c>
      <c r="K9" s="27">
        <v>46043</v>
      </c>
      <c r="L9">
        <f>DAYS360(K9,$C$1)</f>
        <v>45</v>
      </c>
      <c r="M9" s="5">
        <f t="shared" si="4"/>
        <v>-0.34502371848318075</v>
      </c>
      <c r="N9" s="9">
        <v>87</v>
      </c>
      <c r="O9">
        <v>96</v>
      </c>
      <c r="P9" s="59">
        <v>32</v>
      </c>
      <c r="Q9" s="28">
        <v>39.51</v>
      </c>
      <c r="R9" s="29">
        <f t="shared" si="5"/>
        <v>36.744300000000003</v>
      </c>
      <c r="S9" s="29">
        <v>27.62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8.0796571147275995E-2</v>
      </c>
      <c r="AB9" s="55">
        <v>46150</v>
      </c>
      <c r="AC9" s="59">
        <v>72</v>
      </c>
    </row>
    <row r="10" spans="1:29" x14ac:dyDescent="0.25">
      <c r="A10" t="s">
        <v>78</v>
      </c>
      <c r="B10" t="s">
        <v>29</v>
      </c>
      <c r="C10" s="25" t="s">
        <v>79</v>
      </c>
      <c r="D10" s="2">
        <v>410.21409999999997</v>
      </c>
      <c r="E10" s="26">
        <v>83.87</v>
      </c>
      <c r="F10" s="3">
        <f t="shared" si="0"/>
        <v>34404.656566999998</v>
      </c>
      <c r="G10" s="3">
        <v>48654.55</v>
      </c>
      <c r="H10" s="4">
        <f t="shared" si="1"/>
        <v>118.60769778513222</v>
      </c>
      <c r="I10" s="3">
        <f t="shared" si="2"/>
        <v>-14249.893433000005</v>
      </c>
      <c r="J10" s="26">
        <f t="shared" si="3"/>
        <v>-34.737697785132212</v>
      </c>
      <c r="K10" s="27">
        <v>46062</v>
      </c>
      <c r="L10">
        <f t="shared" ref="L10:L17" si="12">DAYS360(K10,$C$1)</f>
        <v>27</v>
      </c>
      <c r="M10" s="5">
        <f t="shared" si="4"/>
        <v>-0.29287894827924632</v>
      </c>
      <c r="N10" s="9">
        <v>20</v>
      </c>
      <c r="O10">
        <v>82</v>
      </c>
      <c r="P10" s="59">
        <v>98</v>
      </c>
      <c r="Q10" s="28">
        <v>115.93</v>
      </c>
      <c r="R10" s="29">
        <f t="shared" si="5"/>
        <v>107.81490000000001</v>
      </c>
      <c r="S10" s="29">
        <v>105.75</v>
      </c>
      <c r="T10" s="30">
        <f t="shared" si="6"/>
        <v>144.91250000000002</v>
      </c>
      <c r="U10" s="28">
        <f t="shared" si="7"/>
        <v>173.89500000000001</v>
      </c>
      <c r="V10" s="28">
        <f t="shared" si="8"/>
        <v>231.86</v>
      </c>
      <c r="W10" s="28">
        <f t="shared" si="9"/>
        <v>110.30515894017296</v>
      </c>
      <c r="X10" s="29">
        <v>110</v>
      </c>
      <c r="Y10" s="5">
        <f t="shared" si="10"/>
        <v>-7.2572842622118702E-2</v>
      </c>
      <c r="Z10" s="31">
        <f t="shared" si="11"/>
        <v>6.1380070572785252E-2</v>
      </c>
      <c r="AB10" s="55">
        <v>46142</v>
      </c>
      <c r="AC10" s="9">
        <v>92</v>
      </c>
    </row>
    <row r="11" spans="1:29" x14ac:dyDescent="0.25">
      <c r="C11" s="25"/>
      <c r="D11" s="2"/>
      <c r="E11" s="26"/>
      <c r="F11" s="3">
        <f t="shared" si="0"/>
        <v>0</v>
      </c>
      <c r="G11" s="3"/>
      <c r="H11" s="4" t="e">
        <f t="shared" si="1"/>
        <v>#DIV/0!</v>
      </c>
      <c r="I11" s="3">
        <f t="shared" si="2"/>
        <v>0</v>
      </c>
      <c r="J11" s="26" t="e">
        <f t="shared" si="3"/>
        <v>#DIV/0!</v>
      </c>
      <c r="K11" s="27"/>
      <c r="L11">
        <f t="shared" si="12"/>
        <v>45426</v>
      </c>
      <c r="M11" s="5" t="e">
        <f t="shared" si="4"/>
        <v>#DIV/0!</v>
      </c>
      <c r="N11" s="9"/>
      <c r="P11" s="59"/>
      <c r="Q11" s="28"/>
      <c r="R11" s="29">
        <f t="shared" si="5"/>
        <v>0</v>
      </c>
      <c r="S11" s="29"/>
      <c r="T11" s="28">
        <f t="shared" si="6"/>
        <v>0</v>
      </c>
      <c r="U11" s="28">
        <f t="shared" si="7"/>
        <v>0</v>
      </c>
      <c r="V11" s="28">
        <f t="shared" si="8"/>
        <v>0</v>
      </c>
      <c r="W11" s="28" t="e">
        <f t="shared" si="9"/>
        <v>#DIV/0!</v>
      </c>
      <c r="X11" s="29"/>
      <c r="Y11" s="5" t="e">
        <f t="shared" si="10"/>
        <v>#DIV/0!</v>
      </c>
      <c r="Z11" s="6">
        <f t="shared" si="11"/>
        <v>0</v>
      </c>
      <c r="AB11" s="55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45426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45426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45426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45426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45426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45426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233465.361187</v>
      </c>
      <c r="G18" s="3">
        <f>SUM(G6:G17)</f>
        <v>247080.0649</v>
      </c>
      <c r="H18" s="4"/>
      <c r="I18" s="3">
        <f>SUM(I6:I17)</f>
        <v>-13614.703713000003</v>
      </c>
      <c r="M18" s="5"/>
      <c r="Z18" s="6"/>
    </row>
    <row r="19" spans="1:29" x14ac:dyDescent="0.25">
      <c r="D19" s="2" t="s">
        <v>32</v>
      </c>
      <c r="F19" s="3">
        <v>327053</v>
      </c>
      <c r="G19" s="6">
        <f>F19/F20</f>
        <v>0.58348311607028447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560518.36118700006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'02-27-26'!F20</f>
        <v>585866.22288899997</v>
      </c>
      <c r="K21" s="1">
        <v>45657</v>
      </c>
      <c r="L21" s="47">
        <v>208334</v>
      </c>
      <c r="M21" s="47">
        <v>193859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-4.3265613738586173E-2</v>
      </c>
      <c r="K22" s="9" t="s">
        <v>54</v>
      </c>
      <c r="L22" s="6">
        <f>(M21-L21)/L21</f>
        <v>-6.9479777664711473E-2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5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5" si="14">F28/D28</f>
        <v>271.34091722620656</v>
      </c>
      <c r="F28" s="3">
        <v>78305</v>
      </c>
      <c r="G28" s="53">
        <v>73933.25</v>
      </c>
      <c r="H28" s="54">
        <f t="shared" ref="H28:H33" si="15">G28/D28</f>
        <v>256.19201671048387</v>
      </c>
      <c r="I28" s="54">
        <f t="shared" ref="I28:I33" si="16">G28-F28</f>
        <v>-4371.75</v>
      </c>
      <c r="J28" s="6">
        <f t="shared" ref="J28:J33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ref="H34:H35" si="18">G34/D34</f>
        <v>390.15093624219799</v>
      </c>
      <c r="I34" s="54">
        <f t="shared" ref="I34:I35" si="19">G34-F34</f>
        <v>-6130.3099999999977</v>
      </c>
      <c r="J34" s="6">
        <f t="shared" ref="J34:J35" si="20">I34/F34</f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8"/>
        <v>113.86300005973835</v>
      </c>
      <c r="I35" s="54">
        <f t="shared" si="19"/>
        <v>444.47460000000137</v>
      </c>
      <c r="J35" s="6">
        <f t="shared" si="20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C36" s="25"/>
      <c r="D36" s="2"/>
      <c r="E36" s="54"/>
      <c r="F36" s="3"/>
      <c r="G36" s="53"/>
      <c r="H36" s="54"/>
      <c r="I36" s="54"/>
      <c r="J36" s="6"/>
      <c r="K36" s="27"/>
      <c r="L36" s="1"/>
    </row>
    <row r="37" spans="1:13" x14ac:dyDescent="0.25">
      <c r="C37" s="25"/>
      <c r="D37" s="2"/>
      <c r="E37" s="54"/>
      <c r="F37" s="3"/>
      <c r="G37" s="53"/>
      <c r="H37" s="54"/>
      <c r="I37" s="54"/>
      <c r="J37" s="6"/>
      <c r="K37" s="1"/>
      <c r="L37" s="1"/>
    </row>
    <row r="38" spans="1:13" x14ac:dyDescent="0.25">
      <c r="C38" s="25"/>
      <c r="D38" s="2"/>
      <c r="E38" s="54"/>
      <c r="F38" s="3"/>
      <c r="G38" s="53"/>
      <c r="H38" s="54"/>
      <c r="I38" s="54"/>
      <c r="J38" s="6"/>
      <c r="K38" s="1"/>
      <c r="L38" s="1"/>
    </row>
    <row r="39" spans="1:13" x14ac:dyDescent="0.25">
      <c r="F39" s="53"/>
      <c r="G39" s="53"/>
      <c r="H39" s="3" t="s">
        <v>66</v>
      </c>
      <c r="I39" s="3">
        <f>SUM(I26:I33)</f>
        <v>-32424.767199999995</v>
      </c>
      <c r="J39" s="13" t="s">
        <v>49</v>
      </c>
    </row>
    <row r="40" spans="1:13" x14ac:dyDescent="0.25">
      <c r="F40" s="53"/>
      <c r="G40" s="53"/>
      <c r="H40" s="3" t="s">
        <v>50</v>
      </c>
      <c r="I40" s="56">
        <v>8</v>
      </c>
      <c r="J40" s="5">
        <v>-0.09</v>
      </c>
    </row>
    <row r="41" spans="1:13" x14ac:dyDescent="0.25">
      <c r="F41" s="53"/>
      <c r="G41" s="53"/>
      <c r="H41" s="3" t="s">
        <v>51</v>
      </c>
      <c r="I41" s="63">
        <v>2</v>
      </c>
      <c r="J41" s="5">
        <v>0.1061</v>
      </c>
    </row>
    <row r="42" spans="1:13" x14ac:dyDescent="0.25">
      <c r="F42" s="53"/>
      <c r="G42" s="53"/>
      <c r="I42" s="56">
        <f>SUM(I40:I41)</f>
        <v>10</v>
      </c>
      <c r="J42" s="6"/>
    </row>
    <row r="43" spans="1:13" x14ac:dyDescent="0.25">
      <c r="F43" s="53"/>
      <c r="G43" s="53"/>
      <c r="H43" t="s">
        <v>65</v>
      </c>
      <c r="I43" s="64">
        <f>I41/I42</f>
        <v>0.2</v>
      </c>
      <c r="J43" s="65">
        <f>J41/J40*-1</f>
        <v>1.1788888888888889</v>
      </c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  <row r="68" spans="6:7" x14ac:dyDescent="0.25">
      <c r="F68" s="53"/>
      <c r="G68" s="53"/>
    </row>
    <row r="69" spans="6:7" x14ac:dyDescent="0.25">
      <c r="F69" s="53"/>
      <c r="G69" s="53"/>
    </row>
    <row r="70" spans="6:7" x14ac:dyDescent="0.25">
      <c r="F70" s="53"/>
      <c r="G70" s="5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BEE-64C3-474D-BDB0-B95F225936EC}">
  <dimension ref="A1:AC70"/>
  <sheetViews>
    <sheetView workbookViewId="0">
      <selection activeCell="C2" sqref="C2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46094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805.02</v>
      </c>
      <c r="F7" s="3">
        <f t="shared" ref="F7:F17" si="0">E7*D7</f>
        <v>102539.98601399999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20583.671113999997</v>
      </c>
      <c r="J7" s="26">
        <f t="shared" ref="J7:J17" si="3">E7-H7</f>
        <v>161.59810006147165</v>
      </c>
      <c r="K7" s="27">
        <v>46000</v>
      </c>
      <c r="L7">
        <f>DAYS360(K7,$C$1)</f>
        <v>94</v>
      </c>
      <c r="M7" s="5">
        <f t="shared" ref="M7:M17" si="4">(I7/G7)</f>
        <v>0.25115418060359856</v>
      </c>
      <c r="N7" s="9">
        <v>39</v>
      </c>
      <c r="O7">
        <v>95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695</v>
      </c>
      <c r="Y7" s="5">
        <f t="shared" ref="Y7:Y17" si="10">(X7-H7)/H7</f>
        <v>8.0162176740330687E-2</v>
      </c>
      <c r="Z7" s="6">
        <f t="shared" ref="Z7:Z17" si="11">F7/F$20</f>
        <v>0.19525453011139685</v>
      </c>
      <c r="AB7" s="55">
        <v>46134</v>
      </c>
      <c r="AC7" s="9">
        <v>94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44.64</v>
      </c>
      <c r="F8" s="3">
        <f t="shared" si="0"/>
        <v>53399.528640000004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6074.75864</v>
      </c>
      <c r="J8" s="26">
        <f t="shared" si="3"/>
        <v>5.0782700258981137</v>
      </c>
      <c r="K8" s="27">
        <v>46021</v>
      </c>
      <c r="L8">
        <f>DAYS360(K8,$C$1)</f>
        <v>73</v>
      </c>
      <c r="M8" s="5">
        <f t="shared" si="4"/>
        <v>0.12836319415815436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5"/>
        <v>37.8324</v>
      </c>
      <c r="S8" s="29">
        <v>38.28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39</v>
      </c>
      <c r="Y8" s="5">
        <f t="shared" si="10"/>
        <v>-1.4198822308064121E-2</v>
      </c>
      <c r="Z8" s="6">
        <f t="shared" si="11"/>
        <v>0.10168228296178748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27.05</v>
      </c>
      <c r="F9" s="3">
        <f t="shared" si="0"/>
        <v>48748.084465000007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-20396.345534999986</v>
      </c>
      <c r="J9" s="26">
        <f t="shared" si="3"/>
        <v>-11.317801566497916</v>
      </c>
      <c r="K9" s="27">
        <v>46043</v>
      </c>
      <c r="L9">
        <f>DAYS360(K9,$C$1)</f>
        <v>52</v>
      </c>
      <c r="M9" s="5">
        <f t="shared" si="4"/>
        <v>-0.29498175825587092</v>
      </c>
      <c r="N9" s="9">
        <v>87</v>
      </c>
      <c r="O9">
        <v>96</v>
      </c>
      <c r="P9" s="59">
        <v>32</v>
      </c>
      <c r="Q9" s="28">
        <v>39.51</v>
      </c>
      <c r="R9" s="29">
        <f t="shared" si="5"/>
        <v>36.744300000000003</v>
      </c>
      <c r="S9" s="29">
        <v>27.62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9.2825098735089637E-2</v>
      </c>
      <c r="AB9" s="55">
        <v>46150</v>
      </c>
      <c r="AC9" s="59">
        <v>72</v>
      </c>
    </row>
    <row r="10" spans="1:29" x14ac:dyDescent="0.25">
      <c r="C10" s="25"/>
      <c r="D10" s="2"/>
      <c r="E10" s="26"/>
      <c r="F10" s="3">
        <f t="shared" si="0"/>
        <v>0</v>
      </c>
      <c r="G10" s="3"/>
      <c r="H10" s="4" t="e">
        <f t="shared" si="1"/>
        <v>#DIV/0!</v>
      </c>
      <c r="I10" s="3">
        <f t="shared" si="2"/>
        <v>0</v>
      </c>
      <c r="J10" s="26" t="e">
        <f t="shared" si="3"/>
        <v>#DIV/0!</v>
      </c>
      <c r="K10" s="27"/>
      <c r="L10">
        <f t="shared" ref="L10:L17" si="12">DAYS360(K10,$C$1)</f>
        <v>45433</v>
      </c>
      <c r="M10" s="5" t="e">
        <f t="shared" si="4"/>
        <v>#DIV/0!</v>
      </c>
      <c r="N10" s="9"/>
      <c r="P10" s="59"/>
      <c r="Q10" s="28"/>
      <c r="R10" s="29">
        <f t="shared" si="5"/>
        <v>0</v>
      </c>
      <c r="S10" s="29"/>
      <c r="T10" s="30">
        <f t="shared" si="6"/>
        <v>0</v>
      </c>
      <c r="U10" s="28">
        <f t="shared" si="7"/>
        <v>0</v>
      </c>
      <c r="V10" s="28">
        <f t="shared" si="8"/>
        <v>0</v>
      </c>
      <c r="W10" s="28" t="e">
        <f t="shared" si="9"/>
        <v>#DIV/0!</v>
      </c>
      <c r="X10" s="29"/>
      <c r="Y10" s="5" t="e">
        <f t="shared" si="10"/>
        <v>#DIV/0!</v>
      </c>
      <c r="Z10" s="31">
        <f t="shared" si="11"/>
        <v>0</v>
      </c>
      <c r="AB10" s="55"/>
      <c r="AC10" s="9"/>
    </row>
    <row r="11" spans="1:29" x14ac:dyDescent="0.25">
      <c r="C11" s="25"/>
      <c r="D11" s="2"/>
      <c r="E11" s="26"/>
      <c r="F11" s="3">
        <f t="shared" si="0"/>
        <v>0</v>
      </c>
      <c r="G11" s="3"/>
      <c r="H11" s="4" t="e">
        <f t="shared" si="1"/>
        <v>#DIV/0!</v>
      </c>
      <c r="I11" s="3">
        <f t="shared" si="2"/>
        <v>0</v>
      </c>
      <c r="J11" s="26" t="e">
        <f t="shared" si="3"/>
        <v>#DIV/0!</v>
      </c>
      <c r="K11" s="27"/>
      <c r="L11">
        <f t="shared" si="12"/>
        <v>45433</v>
      </c>
      <c r="M11" s="5" t="e">
        <f t="shared" si="4"/>
        <v>#DIV/0!</v>
      </c>
      <c r="N11" s="9"/>
      <c r="P11" s="59"/>
      <c r="Q11" s="28"/>
      <c r="R11" s="29">
        <f t="shared" si="5"/>
        <v>0</v>
      </c>
      <c r="S11" s="29"/>
      <c r="T11" s="28">
        <f t="shared" si="6"/>
        <v>0</v>
      </c>
      <c r="U11" s="28">
        <f t="shared" si="7"/>
        <v>0</v>
      </c>
      <c r="V11" s="28">
        <f t="shared" si="8"/>
        <v>0</v>
      </c>
      <c r="W11" s="28" t="e">
        <f t="shared" si="9"/>
        <v>#DIV/0!</v>
      </c>
      <c r="X11" s="29"/>
      <c r="Y11" s="5" t="e">
        <f t="shared" si="10"/>
        <v>#DIV/0!</v>
      </c>
      <c r="Z11" s="6">
        <f t="shared" si="11"/>
        <v>0</v>
      </c>
      <c r="AB11" s="55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45433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45433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45433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45433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45433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45433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204687.59911900002</v>
      </c>
      <c r="G18" s="3">
        <f>SUM(G6:G17)</f>
        <v>198425.51490000001</v>
      </c>
      <c r="H18" s="4"/>
      <c r="I18" s="3">
        <f>SUM(I6:I17)</f>
        <v>6262.0842190000112</v>
      </c>
      <c r="M18" s="5"/>
      <c r="Z18" s="6"/>
    </row>
    <row r="19" spans="1:29" x14ac:dyDescent="0.25">
      <c r="D19" s="2" t="s">
        <v>32</v>
      </c>
      <c r="F19" s="3">
        <v>320473</v>
      </c>
      <c r="G19" s="6">
        <f>F19/F20</f>
        <v>0.61023808819172598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525160.59911900002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E21" t="s">
        <v>84</v>
      </c>
      <c r="F21" s="4">
        <v>40000</v>
      </c>
      <c r="G21" s="3"/>
      <c r="H21" s="4" t="s">
        <v>36</v>
      </c>
      <c r="I21" s="47">
        <f>'03-06-26'!F20</f>
        <v>560518.36118700006</v>
      </c>
      <c r="K21" s="1">
        <v>45657</v>
      </c>
      <c r="L21" s="47">
        <v>208334</v>
      </c>
      <c r="M21" s="47">
        <v>198919</v>
      </c>
      <c r="Z21" s="6"/>
    </row>
    <row r="22" spans="1:29" x14ac:dyDescent="0.25">
      <c r="D22" s="2"/>
      <c r="F22" s="3"/>
      <c r="G22" s="48"/>
      <c r="H22" s="4" t="s">
        <v>37</v>
      </c>
      <c r="I22" s="6">
        <f>(F20+F21-I21)/I21</f>
        <v>8.2820443600976294E-3</v>
      </c>
      <c r="K22" s="9" t="s">
        <v>54</v>
      </c>
      <c r="L22" s="6">
        <f>(M21-L21)/L21</f>
        <v>-4.5191855386062761E-2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6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6" si="14">F28/D28</f>
        <v>271.34091722620656</v>
      </c>
      <c r="F28" s="3">
        <v>78305</v>
      </c>
      <c r="G28" s="53">
        <v>73933.25</v>
      </c>
      <c r="H28" s="54">
        <f t="shared" ref="H28:H35" si="15">G28/D28</f>
        <v>256.19201671048387</v>
      </c>
      <c r="I28" s="54">
        <f t="shared" ref="I28:I35" si="16">G28-F28</f>
        <v>-4371.75</v>
      </c>
      <c r="J28" s="6">
        <f t="shared" ref="J28:J35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ref="H36" si="18">G36/D36</f>
        <v>79.959684467208703</v>
      </c>
      <c r="I36" s="54">
        <f t="shared" ref="I36" si="19">G36-F36</f>
        <v>-15853.960000000006</v>
      </c>
      <c r="J36" s="6">
        <f t="shared" ref="J36" si="20">I36/F36</f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C37" s="25"/>
      <c r="D37" s="2"/>
      <c r="E37" s="54"/>
      <c r="F37" s="3"/>
      <c r="G37" s="53"/>
      <c r="H37" s="54"/>
      <c r="I37" s="54"/>
      <c r="J37" s="6"/>
      <c r="K37" s="1"/>
      <c r="L37" s="1"/>
    </row>
    <row r="38" spans="1:13" x14ac:dyDescent="0.25">
      <c r="C38" s="25"/>
      <c r="D38" s="2"/>
      <c r="E38" s="54"/>
      <c r="F38" s="3"/>
      <c r="G38" s="53"/>
      <c r="H38" s="54"/>
      <c r="I38" s="54"/>
      <c r="J38" s="6"/>
      <c r="K38" s="1"/>
      <c r="L38" s="1"/>
    </row>
    <row r="39" spans="1:13" x14ac:dyDescent="0.25">
      <c r="F39" s="53"/>
      <c r="G39" s="53"/>
      <c r="H39" s="3" t="s">
        <v>66</v>
      </c>
      <c r="I39" s="3">
        <f>SUM(I26:I33)</f>
        <v>-32424.767199999995</v>
      </c>
      <c r="J39" s="13" t="s">
        <v>49</v>
      </c>
    </row>
    <row r="40" spans="1:13" x14ac:dyDescent="0.25">
      <c r="F40" s="53"/>
      <c r="G40" s="53"/>
      <c r="H40" s="3" t="s">
        <v>50</v>
      </c>
      <c r="I40" s="56">
        <v>8</v>
      </c>
      <c r="J40" s="5">
        <v>-0.09</v>
      </c>
    </row>
    <row r="41" spans="1:13" x14ac:dyDescent="0.25">
      <c r="F41" s="53"/>
      <c r="G41" s="53"/>
      <c r="H41" s="3" t="s">
        <v>51</v>
      </c>
      <c r="I41" s="63">
        <v>2</v>
      </c>
      <c r="J41" s="5">
        <v>0.1061</v>
      </c>
    </row>
    <row r="42" spans="1:13" x14ac:dyDescent="0.25">
      <c r="F42" s="53"/>
      <c r="G42" s="53"/>
      <c r="I42" s="56">
        <f>SUM(I40:I41)</f>
        <v>10</v>
      </c>
      <c r="J42" s="6"/>
    </row>
    <row r="43" spans="1:13" x14ac:dyDescent="0.25">
      <c r="F43" s="53"/>
      <c r="G43" s="53"/>
      <c r="H43" t="s">
        <v>65</v>
      </c>
      <c r="I43" s="64">
        <f>I41/I42</f>
        <v>0.2</v>
      </c>
      <c r="J43" s="65">
        <f>J41/J40*-1</f>
        <v>1.1788888888888889</v>
      </c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  <row r="68" spans="6:7" x14ac:dyDescent="0.25">
      <c r="F68" s="53"/>
      <c r="G68" s="53"/>
    </row>
    <row r="69" spans="6:7" x14ac:dyDescent="0.25">
      <c r="F69" s="53"/>
      <c r="G69" s="53"/>
    </row>
    <row r="70" spans="6:7" x14ac:dyDescent="0.25">
      <c r="F70" s="53"/>
      <c r="G70" s="5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0672-CA74-453E-9E1F-BFFD4AC24014}">
  <dimension ref="A1:AC7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46101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851.07</v>
      </c>
      <c r="F7" s="3">
        <f t="shared" ref="F7:F17" si="0">E7*D7</f>
        <v>108405.63699899999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26449.322098999997</v>
      </c>
      <c r="J7" s="26">
        <f t="shared" ref="J7:J17" si="3">E7-H7</f>
        <v>207.64810006147172</v>
      </c>
      <c r="K7" s="27">
        <v>46000</v>
      </c>
      <c r="L7">
        <f>DAYS360(K7,$C$1)</f>
        <v>101</v>
      </c>
      <c r="M7" s="5">
        <f t="shared" ref="M7:M17" si="4">(I7/G7)</f>
        <v>0.32272463850128524</v>
      </c>
      <c r="N7" s="9">
        <v>50</v>
      </c>
      <c r="O7">
        <v>96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775</v>
      </c>
      <c r="Y7" s="5">
        <f t="shared" ref="Y7:Y17" si="10">(X7-H7)/H7</f>
        <v>0.20449739132914574</v>
      </c>
      <c r="Z7" s="6">
        <f t="shared" ref="Z7:Z17" si="11">F7/F$20</f>
        <v>0.20458945671976872</v>
      </c>
      <c r="AB7" s="55">
        <v>46134</v>
      </c>
      <c r="AC7" s="9">
        <v>96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45.36</v>
      </c>
      <c r="F8" s="3">
        <f t="shared" si="0"/>
        <v>54260.811360000007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6936.0413600000029</v>
      </c>
      <c r="J8" s="26">
        <f t="shared" si="3"/>
        <v>5.7982700258981126</v>
      </c>
      <c r="K8" s="27">
        <v>46021</v>
      </c>
      <c r="L8">
        <f>DAYS360(K8,$C$1)</f>
        <v>80</v>
      </c>
      <c r="M8" s="5">
        <f t="shared" si="4"/>
        <v>0.14656260051554401</v>
      </c>
      <c r="N8" s="32" t="s">
        <v>30</v>
      </c>
      <c r="O8">
        <v>94</v>
      </c>
      <c r="P8" s="60" t="s">
        <v>30</v>
      </c>
      <c r="Q8" s="28">
        <v>40.68</v>
      </c>
      <c r="R8" s="29">
        <f t="shared" si="5"/>
        <v>37.8324</v>
      </c>
      <c r="S8" s="29">
        <v>38.28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42.5</v>
      </c>
      <c r="Y8" s="5">
        <f t="shared" si="10"/>
        <v>7.4270514151468583E-2</v>
      </c>
      <c r="Z8" s="6">
        <f t="shared" si="11"/>
        <v>0.10240417587711477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25.93</v>
      </c>
      <c r="F9" s="3">
        <f t="shared" si="0"/>
        <v>46729.679489000002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-22414.750510999991</v>
      </c>
      <c r="J9" s="26">
        <f t="shared" si="3"/>
        <v>-12.437801566497917</v>
      </c>
      <c r="K9" s="27">
        <v>46043</v>
      </c>
      <c r="L9">
        <f>DAYS360(K9,$C$1)</f>
        <v>59</v>
      </c>
      <c r="M9" s="5">
        <f t="shared" si="4"/>
        <v>-0.32417290172180163</v>
      </c>
      <c r="N9" s="9">
        <v>96</v>
      </c>
      <c r="O9">
        <v>97</v>
      </c>
      <c r="P9" s="59">
        <v>32</v>
      </c>
      <c r="Q9" s="28">
        <v>39.51</v>
      </c>
      <c r="R9" s="29">
        <f t="shared" si="5"/>
        <v>36.744300000000003</v>
      </c>
      <c r="S9" s="29">
        <v>27.62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8.8190983458098407E-2</v>
      </c>
      <c r="AB9" s="55">
        <v>46150</v>
      </c>
      <c r="AC9" s="59">
        <v>74</v>
      </c>
    </row>
    <row r="10" spans="1:29" x14ac:dyDescent="0.25">
      <c r="C10" s="25"/>
      <c r="D10" s="2"/>
      <c r="E10" s="26"/>
      <c r="F10" s="3">
        <f t="shared" si="0"/>
        <v>0</v>
      </c>
      <c r="G10" s="3"/>
      <c r="H10" s="4" t="e">
        <f t="shared" si="1"/>
        <v>#DIV/0!</v>
      </c>
      <c r="I10" s="3">
        <f t="shared" si="2"/>
        <v>0</v>
      </c>
      <c r="J10" s="26" t="e">
        <f t="shared" si="3"/>
        <v>#DIV/0!</v>
      </c>
      <c r="K10" s="27"/>
      <c r="L10">
        <f t="shared" ref="L10:L17" si="12">DAYS360(K10,$C$1)</f>
        <v>45440</v>
      </c>
      <c r="M10" s="5" t="e">
        <f t="shared" si="4"/>
        <v>#DIV/0!</v>
      </c>
      <c r="N10" s="9"/>
      <c r="P10" s="59"/>
      <c r="Q10" s="28"/>
      <c r="R10" s="29">
        <f t="shared" si="5"/>
        <v>0</v>
      </c>
      <c r="S10" s="29"/>
      <c r="T10" s="30">
        <f t="shared" si="6"/>
        <v>0</v>
      </c>
      <c r="U10" s="28">
        <f t="shared" si="7"/>
        <v>0</v>
      </c>
      <c r="V10" s="28">
        <f t="shared" si="8"/>
        <v>0</v>
      </c>
      <c r="W10" s="28" t="e">
        <f t="shared" si="9"/>
        <v>#DIV/0!</v>
      </c>
      <c r="X10" s="29"/>
      <c r="Y10" s="5" t="e">
        <f t="shared" si="10"/>
        <v>#DIV/0!</v>
      </c>
      <c r="Z10" s="31">
        <f t="shared" si="11"/>
        <v>0</v>
      </c>
      <c r="AB10" s="55"/>
      <c r="AC10" s="9"/>
    </row>
    <row r="11" spans="1:29" x14ac:dyDescent="0.25">
      <c r="C11" s="25"/>
      <c r="D11" s="2"/>
      <c r="E11" s="26"/>
      <c r="F11" s="3">
        <f t="shared" si="0"/>
        <v>0</v>
      </c>
      <c r="G11" s="3"/>
      <c r="H11" s="4" t="e">
        <f t="shared" si="1"/>
        <v>#DIV/0!</v>
      </c>
      <c r="I11" s="3">
        <f t="shared" si="2"/>
        <v>0</v>
      </c>
      <c r="J11" s="26" t="e">
        <f t="shared" si="3"/>
        <v>#DIV/0!</v>
      </c>
      <c r="K11" s="27"/>
      <c r="L11">
        <f t="shared" si="12"/>
        <v>45440</v>
      </c>
      <c r="M11" s="5" t="e">
        <f t="shared" si="4"/>
        <v>#DIV/0!</v>
      </c>
      <c r="N11" s="9"/>
      <c r="P11" s="59"/>
      <c r="Q11" s="28"/>
      <c r="R11" s="29">
        <f t="shared" si="5"/>
        <v>0</v>
      </c>
      <c r="S11" s="29"/>
      <c r="T11" s="28">
        <f t="shared" si="6"/>
        <v>0</v>
      </c>
      <c r="U11" s="28">
        <f t="shared" si="7"/>
        <v>0</v>
      </c>
      <c r="V11" s="28">
        <f t="shared" si="8"/>
        <v>0</v>
      </c>
      <c r="W11" s="28" t="e">
        <f t="shared" si="9"/>
        <v>#DIV/0!</v>
      </c>
      <c r="X11" s="29"/>
      <c r="Y11" s="5" t="e">
        <f t="shared" si="10"/>
        <v>#DIV/0!</v>
      </c>
      <c r="Z11" s="6">
        <f t="shared" si="11"/>
        <v>0</v>
      </c>
      <c r="AB11" s="55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45440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45440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45440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45440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45440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45440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209396.127848</v>
      </c>
      <c r="G18" s="3">
        <f>SUM(G6:G17)</f>
        <v>198425.51490000001</v>
      </c>
      <c r="H18" s="4"/>
      <c r="I18" s="3">
        <f>SUM(I6:I17)</f>
        <v>10970.612948000009</v>
      </c>
      <c r="M18" s="5"/>
      <c r="Z18" s="6"/>
    </row>
    <row r="19" spans="1:29" x14ac:dyDescent="0.25">
      <c r="D19" s="2" t="s">
        <v>32</v>
      </c>
      <c r="F19" s="3">
        <v>320473</v>
      </c>
      <c r="G19" s="6">
        <f>F19/F20</f>
        <v>0.6048153839450181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529869.12784800003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'03-13-26'!F20</f>
        <v>525160.59911900002</v>
      </c>
      <c r="K21" s="1">
        <v>45657</v>
      </c>
      <c r="L21" s="47">
        <v>208334</v>
      </c>
      <c r="M21" s="47">
        <v>197483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8.9658834590770047E-3</v>
      </c>
      <c r="K22" s="9" t="s">
        <v>54</v>
      </c>
      <c r="L22" s="6">
        <f>(M21-L21)/L21</f>
        <v>-5.2084633329173347E-2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6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6" si="14">F28/D28</f>
        <v>271.34091722620656</v>
      </c>
      <c r="F28" s="3">
        <v>78305</v>
      </c>
      <c r="G28" s="53">
        <v>73933.25</v>
      </c>
      <c r="H28" s="54">
        <f t="shared" ref="H28:H36" si="15">G28/D28</f>
        <v>256.19201671048387</v>
      </c>
      <c r="I28" s="54">
        <f t="shared" ref="I28:I36" si="16">G28-F28</f>
        <v>-4371.75</v>
      </c>
      <c r="J28" s="6">
        <f t="shared" ref="J28:J36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C37" s="25"/>
      <c r="D37" s="2"/>
      <c r="E37" s="54"/>
      <c r="F37" s="3"/>
      <c r="G37" s="53"/>
      <c r="H37" s="54"/>
      <c r="I37" s="54"/>
      <c r="J37" s="6"/>
      <c r="K37" s="1"/>
      <c r="L37" s="1"/>
    </row>
    <row r="38" spans="1:13" x14ac:dyDescent="0.25">
      <c r="C38" s="25"/>
      <c r="D38" s="2"/>
      <c r="E38" s="54"/>
      <c r="F38" s="3"/>
      <c r="G38" s="53"/>
      <c r="H38" s="54"/>
      <c r="I38" s="54"/>
      <c r="J38" s="6"/>
      <c r="K38" s="1"/>
      <c r="L38" s="1"/>
    </row>
    <row r="39" spans="1:13" x14ac:dyDescent="0.25">
      <c r="F39" s="53"/>
      <c r="G39" s="53"/>
      <c r="H39" s="3" t="s">
        <v>66</v>
      </c>
      <c r="I39" s="3">
        <f>SUM(I26:I33)</f>
        <v>-32424.767199999995</v>
      </c>
      <c r="J39" s="13" t="s">
        <v>49</v>
      </c>
    </row>
    <row r="40" spans="1:13" x14ac:dyDescent="0.25">
      <c r="F40" s="53"/>
      <c r="G40" s="53"/>
      <c r="H40" s="3" t="s">
        <v>50</v>
      </c>
      <c r="I40" s="56">
        <v>10</v>
      </c>
      <c r="J40" s="5">
        <v>-0.1162</v>
      </c>
    </row>
    <row r="41" spans="1:13" x14ac:dyDescent="0.25">
      <c r="F41" s="53"/>
      <c r="G41" s="53"/>
      <c r="H41" s="3" t="s">
        <v>51</v>
      </c>
      <c r="I41" s="63">
        <v>2</v>
      </c>
      <c r="J41" s="5">
        <v>0.1061</v>
      </c>
    </row>
    <row r="42" spans="1:13" x14ac:dyDescent="0.25">
      <c r="F42" s="53"/>
      <c r="G42" s="53"/>
      <c r="I42" s="56">
        <f>SUM(I40:I41)</f>
        <v>12</v>
      </c>
      <c r="J42" s="6"/>
    </row>
    <row r="43" spans="1:13" x14ac:dyDescent="0.25">
      <c r="F43" s="53"/>
      <c r="G43" s="53"/>
      <c r="H43" t="s">
        <v>65</v>
      </c>
      <c r="I43" s="64">
        <f>I41/I42</f>
        <v>0.16666666666666666</v>
      </c>
      <c r="J43" s="65">
        <f>J41/J40*-1</f>
        <v>0.9130808950086059</v>
      </c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  <row r="68" spans="6:7" x14ac:dyDescent="0.25">
      <c r="F68" s="53"/>
      <c r="G68" s="53"/>
    </row>
    <row r="69" spans="6:7" x14ac:dyDescent="0.25">
      <c r="F69" s="53"/>
      <c r="G69" s="53"/>
    </row>
    <row r="70" spans="6:7" x14ac:dyDescent="0.25">
      <c r="F70" s="53"/>
      <c r="G70" s="5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6164-6F1E-4689-A158-2AD39D50CACA}">
  <dimension ref="A1:AC70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46108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853.16</v>
      </c>
      <c r="F7" s="3">
        <f t="shared" ref="F7:F17" si="0">E7*D7</f>
        <v>108671.852212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26715.537312</v>
      </c>
      <c r="J7" s="26">
        <f t="shared" ref="J7:J17" si="3">E7-H7</f>
        <v>209.73810006147164</v>
      </c>
      <c r="K7" s="27">
        <v>46000</v>
      </c>
      <c r="L7">
        <f>DAYS360(K7,$C$1)</f>
        <v>108</v>
      </c>
      <c r="M7" s="5">
        <f t="shared" ref="M7:M17" si="4">(I7/G7)</f>
        <v>0.32597289598241808</v>
      </c>
      <c r="N7" s="9">
        <v>29</v>
      </c>
      <c r="O7">
        <v>96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775</v>
      </c>
      <c r="Y7" s="5">
        <f t="shared" ref="Y7:Y17" si="10">(X7-H7)/H7</f>
        <v>0.20449739132914574</v>
      </c>
      <c r="Z7" s="6">
        <f t="shared" ref="Z7:Z17" si="11">F7/F$20</f>
        <v>0.20707714579781231</v>
      </c>
      <c r="AB7" s="55">
        <v>46134</v>
      </c>
      <c r="AC7" s="9">
        <v>97</v>
      </c>
    </row>
    <row r="8" spans="1:29" x14ac:dyDescent="0.25">
      <c r="A8" t="s">
        <v>63</v>
      </c>
      <c r="B8" t="s">
        <v>29</v>
      </c>
      <c r="C8" s="25" t="s">
        <v>64</v>
      </c>
      <c r="D8" s="2">
        <f>774.8271+421.3989</f>
        <v>1196.2260000000001</v>
      </c>
      <c r="E8" s="26">
        <v>44.16</v>
      </c>
      <c r="F8" s="3">
        <f t="shared" si="0"/>
        <v>52825.34016</v>
      </c>
      <c r="G8" s="3">
        <f>30380.12+16944.65</f>
        <v>47324.770000000004</v>
      </c>
      <c r="H8" s="4">
        <f t="shared" si="1"/>
        <v>39.561729974101887</v>
      </c>
      <c r="I8" s="3">
        <f t="shared" si="2"/>
        <v>5500.5701599999957</v>
      </c>
      <c r="J8" s="26">
        <f t="shared" si="3"/>
        <v>4.5982700258981097</v>
      </c>
      <c r="K8" s="27">
        <v>46021</v>
      </c>
      <c r="L8">
        <f>DAYS360(K8,$C$1)</f>
        <v>87</v>
      </c>
      <c r="M8" s="5">
        <f t="shared" si="4"/>
        <v>0.11623025658656123</v>
      </c>
      <c r="N8" s="32" t="s">
        <v>30</v>
      </c>
      <c r="O8">
        <v>93</v>
      </c>
      <c r="P8" s="60" t="s">
        <v>30</v>
      </c>
      <c r="Q8" s="28">
        <v>40.68</v>
      </c>
      <c r="R8" s="29">
        <f t="shared" si="5"/>
        <v>37.8324</v>
      </c>
      <c r="S8" s="29">
        <v>38.28</v>
      </c>
      <c r="T8" s="30">
        <f t="shared" si="6"/>
        <v>50.85</v>
      </c>
      <c r="U8" s="28">
        <f t="shared" si="7"/>
        <v>61.019999999999996</v>
      </c>
      <c r="V8" s="28">
        <f t="shared" si="8"/>
        <v>81.36</v>
      </c>
      <c r="W8" s="28">
        <f t="shared" si="9"/>
        <v>36.792408875914752</v>
      </c>
      <c r="X8" s="29">
        <v>42.5</v>
      </c>
      <c r="Y8" s="5">
        <f t="shared" si="10"/>
        <v>7.4270514151468583E-2</v>
      </c>
      <c r="Z8" s="6">
        <f t="shared" si="11"/>
        <v>0.10066011063096086</v>
      </c>
      <c r="AB8" s="62" t="s">
        <v>30</v>
      </c>
      <c r="AC8" s="32" t="s">
        <v>30</v>
      </c>
    </row>
    <row r="9" spans="1:29" x14ac:dyDescent="0.25">
      <c r="A9" t="s">
        <v>76</v>
      </c>
      <c r="B9" t="s">
        <v>29</v>
      </c>
      <c r="C9" s="25" t="s">
        <v>77</v>
      </c>
      <c r="D9" s="2">
        <f>842.9076+471.2592+487.9805</f>
        <v>1802.1473000000001</v>
      </c>
      <c r="E9" s="26">
        <v>23.76</v>
      </c>
      <c r="F9" s="3">
        <f t="shared" si="0"/>
        <v>42819.019848000004</v>
      </c>
      <c r="G9" s="3">
        <f>30923.76+17760.7+20459.97</f>
        <v>69144.429999999993</v>
      </c>
      <c r="H9" s="4">
        <f t="shared" si="1"/>
        <v>38.367801566497917</v>
      </c>
      <c r="I9" s="3">
        <f t="shared" si="2"/>
        <v>-26325.410151999989</v>
      </c>
      <c r="J9" s="26">
        <f t="shared" si="3"/>
        <v>-14.607801566497916</v>
      </c>
      <c r="K9" s="27">
        <v>46043</v>
      </c>
      <c r="L9">
        <f>DAYS360(K9,$C$1)</f>
        <v>66</v>
      </c>
      <c r="M9" s="5">
        <f t="shared" si="4"/>
        <v>-0.38073074218704228</v>
      </c>
      <c r="N9" s="9">
        <v>89</v>
      </c>
      <c r="O9">
        <v>97</v>
      </c>
      <c r="P9" s="59">
        <v>31</v>
      </c>
      <c r="Q9" s="28">
        <v>39.51</v>
      </c>
      <c r="R9" s="29">
        <f t="shared" si="5"/>
        <v>36.744300000000003</v>
      </c>
      <c r="S9" s="29">
        <v>27.62</v>
      </c>
      <c r="T9" s="28">
        <f t="shared" si="6"/>
        <v>49.387499999999996</v>
      </c>
      <c r="U9" s="28">
        <f t="shared" si="7"/>
        <v>59.265000000000001</v>
      </c>
      <c r="V9" s="28">
        <f t="shared" si="8"/>
        <v>79.02</v>
      </c>
      <c r="W9" s="28">
        <f t="shared" si="9"/>
        <v>35.682055456843059</v>
      </c>
      <c r="X9" s="29">
        <v>34</v>
      </c>
      <c r="Y9" s="5">
        <f t="shared" si="10"/>
        <v>-0.11384028764139054</v>
      </c>
      <c r="Z9" s="6">
        <f t="shared" si="11"/>
        <v>8.1592797357369434E-2</v>
      </c>
      <c r="AB9" s="55">
        <v>46120</v>
      </c>
      <c r="AC9" s="59">
        <v>69</v>
      </c>
    </row>
    <row r="10" spans="1:29" x14ac:dyDescent="0.25">
      <c r="C10" s="25"/>
      <c r="D10" s="2"/>
      <c r="E10" s="26"/>
      <c r="F10" s="3">
        <f t="shared" si="0"/>
        <v>0</v>
      </c>
      <c r="G10" s="3"/>
      <c r="H10" s="4" t="e">
        <f t="shared" si="1"/>
        <v>#DIV/0!</v>
      </c>
      <c r="I10" s="3">
        <f t="shared" si="2"/>
        <v>0</v>
      </c>
      <c r="J10" s="26" t="e">
        <f t="shared" si="3"/>
        <v>#DIV/0!</v>
      </c>
      <c r="K10" s="27"/>
      <c r="L10">
        <f t="shared" ref="L10:L17" si="12">DAYS360(K10,$C$1)</f>
        <v>45447</v>
      </c>
      <c r="M10" s="5" t="e">
        <f t="shared" si="4"/>
        <v>#DIV/0!</v>
      </c>
      <c r="N10" s="9"/>
      <c r="P10" s="59"/>
      <c r="Q10" s="28"/>
      <c r="R10" s="29">
        <f t="shared" si="5"/>
        <v>0</v>
      </c>
      <c r="S10" s="29"/>
      <c r="T10" s="30">
        <f t="shared" si="6"/>
        <v>0</v>
      </c>
      <c r="U10" s="28">
        <f t="shared" si="7"/>
        <v>0</v>
      </c>
      <c r="V10" s="28">
        <f t="shared" si="8"/>
        <v>0</v>
      </c>
      <c r="W10" s="28" t="e">
        <f t="shared" si="9"/>
        <v>#DIV/0!</v>
      </c>
      <c r="X10" s="29"/>
      <c r="Y10" s="5" t="e">
        <f t="shared" si="10"/>
        <v>#DIV/0!</v>
      </c>
      <c r="Z10" s="31">
        <f t="shared" si="11"/>
        <v>0</v>
      </c>
      <c r="AB10" s="55"/>
      <c r="AC10" s="9"/>
    </row>
    <row r="11" spans="1:29" x14ac:dyDescent="0.25">
      <c r="C11" s="25"/>
      <c r="D11" s="2"/>
      <c r="E11" s="26"/>
      <c r="F11" s="3">
        <f t="shared" si="0"/>
        <v>0</v>
      </c>
      <c r="G11" s="3"/>
      <c r="H11" s="4" t="e">
        <f t="shared" si="1"/>
        <v>#DIV/0!</v>
      </c>
      <c r="I11" s="3">
        <f t="shared" si="2"/>
        <v>0</v>
      </c>
      <c r="J11" s="26" t="e">
        <f t="shared" si="3"/>
        <v>#DIV/0!</v>
      </c>
      <c r="K11" s="27"/>
      <c r="L11">
        <f t="shared" si="12"/>
        <v>45447</v>
      </c>
      <c r="M11" s="5" t="e">
        <f t="shared" si="4"/>
        <v>#DIV/0!</v>
      </c>
      <c r="N11" s="9"/>
      <c r="P11" s="59"/>
      <c r="Q11" s="28"/>
      <c r="R11" s="29">
        <f t="shared" si="5"/>
        <v>0</v>
      </c>
      <c r="S11" s="29"/>
      <c r="T11" s="28">
        <f t="shared" si="6"/>
        <v>0</v>
      </c>
      <c r="U11" s="28">
        <f t="shared" si="7"/>
        <v>0</v>
      </c>
      <c r="V11" s="28">
        <f t="shared" si="8"/>
        <v>0</v>
      </c>
      <c r="W11" s="28" t="e">
        <f t="shared" si="9"/>
        <v>#DIV/0!</v>
      </c>
      <c r="X11" s="29"/>
      <c r="Y11" s="5" t="e">
        <f t="shared" si="10"/>
        <v>#DIV/0!</v>
      </c>
      <c r="Z11" s="6">
        <f t="shared" si="11"/>
        <v>0</v>
      </c>
      <c r="AB11" s="55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45447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45447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45447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45447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45447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45447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204316.21221999999</v>
      </c>
      <c r="G18" s="3">
        <f>SUM(G6:G17)</f>
        <v>198425.51490000001</v>
      </c>
      <c r="H18" s="4"/>
      <c r="I18" s="3">
        <f>SUM(I6:I17)</f>
        <v>5890.6973200000066</v>
      </c>
      <c r="M18" s="5"/>
      <c r="Z18" s="6"/>
    </row>
    <row r="19" spans="1:29" x14ac:dyDescent="0.25">
      <c r="D19" s="2" t="s">
        <v>32</v>
      </c>
      <c r="F19" s="3">
        <v>320473</v>
      </c>
      <c r="G19" s="6">
        <f>F19/F20</f>
        <v>0.6106699462138574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524789.21221999999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'03-20-26'!F20</f>
        <v>529869.12784800003</v>
      </c>
      <c r="K21" s="1">
        <v>45657</v>
      </c>
      <c r="L21" s="47">
        <v>208334</v>
      </c>
      <c r="M21" s="47">
        <v>195587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-9.5871138004048565E-3</v>
      </c>
      <c r="K22" s="9" t="s">
        <v>54</v>
      </c>
      <c r="L22" s="6">
        <f>(M21-L21)/L21</f>
        <v>-6.118540420670654E-2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6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6" si="14">F28/D28</f>
        <v>271.34091722620656</v>
      </c>
      <c r="F28" s="3">
        <v>78305</v>
      </c>
      <c r="G28" s="53">
        <v>73933.25</v>
      </c>
      <c r="H28" s="54">
        <f t="shared" ref="H28:H36" si="15">G28/D28</f>
        <v>256.19201671048387</v>
      </c>
      <c r="I28" s="54">
        <f t="shared" ref="I28:I36" si="16">G28-F28</f>
        <v>-4371.75</v>
      </c>
      <c r="J28" s="6">
        <f t="shared" ref="J28:J36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C37" s="25"/>
      <c r="D37" s="2"/>
      <c r="E37" s="54"/>
      <c r="F37" s="3"/>
      <c r="G37" s="53"/>
      <c r="H37" s="54"/>
      <c r="I37" s="54"/>
      <c r="J37" s="6"/>
      <c r="K37" s="1"/>
      <c r="L37" s="1"/>
    </row>
    <row r="38" spans="1:13" x14ac:dyDescent="0.25">
      <c r="C38" s="25"/>
      <c r="D38" s="2"/>
      <c r="E38" s="54"/>
      <c r="F38" s="3"/>
      <c r="G38" s="53"/>
      <c r="H38" s="54"/>
      <c r="I38" s="54"/>
      <c r="J38" s="6"/>
      <c r="K38" s="1"/>
      <c r="L38" s="1"/>
    </row>
    <row r="39" spans="1:13" x14ac:dyDescent="0.25">
      <c r="F39" s="53"/>
      <c r="G39" s="53"/>
      <c r="H39" s="3" t="s">
        <v>66</v>
      </c>
      <c r="I39" s="3">
        <f>SUM(I26:I33)</f>
        <v>-32424.767199999995</v>
      </c>
      <c r="J39" s="13" t="s">
        <v>49</v>
      </c>
    </row>
    <row r="40" spans="1:13" x14ac:dyDescent="0.25">
      <c r="F40" s="53"/>
      <c r="G40" s="53"/>
      <c r="H40" s="3" t="s">
        <v>50</v>
      </c>
      <c r="I40" s="56">
        <v>10</v>
      </c>
      <c r="J40" s="5">
        <v>-0.1162</v>
      </c>
    </row>
    <row r="41" spans="1:13" x14ac:dyDescent="0.25">
      <c r="F41" s="53"/>
      <c r="G41" s="53"/>
      <c r="H41" s="3" t="s">
        <v>51</v>
      </c>
      <c r="I41" s="63">
        <v>2</v>
      </c>
      <c r="J41" s="5">
        <v>0.1061</v>
      </c>
    </row>
    <row r="42" spans="1:13" x14ac:dyDescent="0.25">
      <c r="F42" s="53"/>
      <c r="G42" s="53"/>
      <c r="I42" s="56">
        <f>SUM(I40:I41)</f>
        <v>12</v>
      </c>
      <c r="J42" s="6"/>
    </row>
    <row r="43" spans="1:13" x14ac:dyDescent="0.25">
      <c r="F43" s="53"/>
      <c r="G43" s="53"/>
      <c r="H43" t="s">
        <v>65</v>
      </c>
      <c r="I43" s="64">
        <f>I41/I42</f>
        <v>0.16666666666666666</v>
      </c>
      <c r="J43" s="65">
        <f>J41/J40*-1</f>
        <v>0.9130808950086059</v>
      </c>
    </row>
    <row r="44" spans="1:13" x14ac:dyDescent="0.25">
      <c r="F44" s="53"/>
      <c r="G44" s="53"/>
      <c r="J44" s="6"/>
    </row>
    <row r="45" spans="1:13" x14ac:dyDescent="0.25">
      <c r="F45" s="53"/>
      <c r="G45" s="53"/>
      <c r="J45" s="6"/>
    </row>
    <row r="46" spans="1:13" x14ac:dyDescent="0.25">
      <c r="F46" s="53"/>
      <c r="G46" s="53"/>
      <c r="J46" s="6"/>
    </row>
    <row r="47" spans="1:13" x14ac:dyDescent="0.25">
      <c r="F47" s="53"/>
      <c r="G47" s="53"/>
      <c r="J47" s="6"/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7" x14ac:dyDescent="0.25">
      <c r="F65" s="53"/>
      <c r="G65" s="53"/>
    </row>
    <row r="66" spans="6:7" x14ac:dyDescent="0.25">
      <c r="F66" s="53"/>
      <c r="G66" s="53"/>
    </row>
    <row r="67" spans="6:7" x14ac:dyDescent="0.25">
      <c r="F67" s="53"/>
      <c r="G67" s="53"/>
    </row>
    <row r="68" spans="6:7" x14ac:dyDescent="0.25">
      <c r="F68" s="53"/>
      <c r="G68" s="53"/>
    </row>
    <row r="69" spans="6:7" x14ac:dyDescent="0.25">
      <c r="F69" s="53"/>
      <c r="G69" s="53"/>
    </row>
    <row r="70" spans="6:7" x14ac:dyDescent="0.25">
      <c r="F70" s="53"/>
      <c r="G70" s="5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61F0-0725-438E-8EAE-7DD63B2BC9F2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46115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898.57</v>
      </c>
      <c r="F7" s="3">
        <f t="shared" ref="F7:F17" si="0">E7*D7</f>
        <v>114455.982749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32499.667849000005</v>
      </c>
      <c r="J7" s="26">
        <f t="shared" ref="J7:J17" si="3">E7-H7</f>
        <v>255.14810006147172</v>
      </c>
      <c r="K7" s="27">
        <v>46000</v>
      </c>
      <c r="L7">
        <f>DAYS360(K7,$C$1)</f>
        <v>114</v>
      </c>
      <c r="M7" s="5">
        <f t="shared" ref="M7:M17" si="4">(I7/G7)</f>
        <v>0.39654867216339429</v>
      </c>
      <c r="N7" s="9">
        <v>31</v>
      </c>
      <c r="O7">
        <v>96</v>
      </c>
      <c r="P7" s="59">
        <v>77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775</v>
      </c>
      <c r="Y7" s="5">
        <f t="shared" ref="Y7:Y17" si="10">(X7-H7)/H7</f>
        <v>0.20449739132914574</v>
      </c>
      <c r="Z7" s="6">
        <f t="shared" ref="Z7:Z17" si="11">F7/F$20</f>
        <v>0.21705146416618107</v>
      </c>
      <c r="AB7" s="55">
        <v>46134</v>
      </c>
      <c r="AC7" s="9">
        <v>96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174.37</v>
      </c>
      <c r="F8" s="3">
        <f t="shared" si="0"/>
        <v>32044.881624000001</v>
      </c>
      <c r="G8" s="3">
        <v>31661.82</v>
      </c>
      <c r="H8" s="4">
        <f t="shared" si="1"/>
        <v>172.28559675081294</v>
      </c>
      <c r="I8" s="3">
        <f t="shared" si="2"/>
        <v>383.06162400000176</v>
      </c>
      <c r="J8" s="26">
        <f t="shared" si="3"/>
        <v>2.0844032491870621</v>
      </c>
      <c r="K8" s="27">
        <v>46114</v>
      </c>
      <c r="L8">
        <f>DAYS360(K8,$C$1)</f>
        <v>1</v>
      </c>
      <c r="M8" s="5">
        <f t="shared" si="4"/>
        <v>1.2098534575713011E-2</v>
      </c>
      <c r="N8" s="32">
        <v>146</v>
      </c>
      <c r="O8">
        <v>93</v>
      </c>
      <c r="P8" s="60">
        <v>94</v>
      </c>
      <c r="Q8" s="28">
        <v>168.08</v>
      </c>
      <c r="R8" s="29">
        <f t="shared" si="5"/>
        <v>156.31440000000001</v>
      </c>
      <c r="S8" s="29">
        <v>155.37</v>
      </c>
      <c r="T8" s="30">
        <f t="shared" si="6"/>
        <v>210.10000000000002</v>
      </c>
      <c r="U8" s="28">
        <f t="shared" si="7"/>
        <v>252.12</v>
      </c>
      <c r="V8" s="28">
        <f t="shared" si="8"/>
        <v>336.16</v>
      </c>
      <c r="W8" s="28">
        <f t="shared" si="9"/>
        <v>160.22560497825603</v>
      </c>
      <c r="X8" s="29">
        <v>165</v>
      </c>
      <c r="Y8" s="5">
        <f t="shared" si="10"/>
        <v>-4.2287903853916127E-2</v>
      </c>
      <c r="Z8" s="6">
        <f t="shared" si="11"/>
        <v>6.0769112356268855E-2</v>
      </c>
      <c r="AB8" s="62">
        <v>46170</v>
      </c>
      <c r="AC8" s="32">
        <v>84</v>
      </c>
    </row>
    <row r="9" spans="1:29" x14ac:dyDescent="0.25">
      <c r="C9" s="25"/>
      <c r="D9" s="2"/>
      <c r="E9" s="26"/>
      <c r="F9" s="3">
        <f t="shared" si="0"/>
        <v>0</v>
      </c>
      <c r="G9" s="3"/>
      <c r="H9" s="4" t="e">
        <f t="shared" si="1"/>
        <v>#DIV/0!</v>
      </c>
      <c r="I9" s="3">
        <f t="shared" si="2"/>
        <v>0</v>
      </c>
      <c r="J9" s="26" t="e">
        <f t="shared" si="3"/>
        <v>#DIV/0!</v>
      </c>
      <c r="K9" s="27"/>
      <c r="L9">
        <f>DAYS360(K9,$C$1)</f>
        <v>45453</v>
      </c>
      <c r="M9" s="5" t="e">
        <f t="shared" si="4"/>
        <v>#DIV/0!</v>
      </c>
      <c r="N9" s="9"/>
      <c r="P9" s="59"/>
      <c r="Q9" s="28"/>
      <c r="R9" s="29">
        <f t="shared" si="5"/>
        <v>0</v>
      </c>
      <c r="S9" s="29"/>
      <c r="T9" s="28">
        <f t="shared" si="6"/>
        <v>0</v>
      </c>
      <c r="U9" s="28">
        <f t="shared" si="7"/>
        <v>0</v>
      </c>
      <c r="V9" s="28">
        <f t="shared" si="8"/>
        <v>0</v>
      </c>
      <c r="W9" s="28" t="e">
        <f t="shared" si="9"/>
        <v>#DIV/0!</v>
      </c>
      <c r="X9" s="29"/>
      <c r="Y9" s="5" t="e">
        <f t="shared" si="10"/>
        <v>#DIV/0!</v>
      </c>
      <c r="Z9" s="6">
        <f t="shared" si="11"/>
        <v>0</v>
      </c>
      <c r="AB9" s="55"/>
      <c r="AC9" s="59"/>
    </row>
    <row r="10" spans="1:29" x14ac:dyDescent="0.25">
      <c r="C10" s="25"/>
      <c r="D10" s="2"/>
      <c r="E10" s="26"/>
      <c r="F10" s="3">
        <f t="shared" si="0"/>
        <v>0</v>
      </c>
      <c r="G10" s="3"/>
      <c r="H10" s="4" t="e">
        <f t="shared" si="1"/>
        <v>#DIV/0!</v>
      </c>
      <c r="I10" s="3">
        <f t="shared" si="2"/>
        <v>0</v>
      </c>
      <c r="J10" s="26" t="e">
        <f t="shared" si="3"/>
        <v>#DIV/0!</v>
      </c>
      <c r="K10" s="27"/>
      <c r="L10">
        <f t="shared" ref="L10:L17" si="12">DAYS360(K10,$C$1)</f>
        <v>45453</v>
      </c>
      <c r="M10" s="5" t="e">
        <f t="shared" si="4"/>
        <v>#DIV/0!</v>
      </c>
      <c r="N10" s="9"/>
      <c r="P10" s="59"/>
      <c r="Q10" s="28"/>
      <c r="R10" s="29">
        <f t="shared" si="5"/>
        <v>0</v>
      </c>
      <c r="S10" s="29"/>
      <c r="T10" s="30">
        <f t="shared" si="6"/>
        <v>0</v>
      </c>
      <c r="U10" s="28">
        <f t="shared" si="7"/>
        <v>0</v>
      </c>
      <c r="V10" s="28">
        <f t="shared" si="8"/>
        <v>0</v>
      </c>
      <c r="W10" s="28" t="e">
        <f t="shared" si="9"/>
        <v>#DIV/0!</v>
      </c>
      <c r="X10" s="29"/>
      <c r="Y10" s="5" t="e">
        <f t="shared" si="10"/>
        <v>#DIV/0!</v>
      </c>
      <c r="Z10" s="31">
        <f t="shared" si="11"/>
        <v>0</v>
      </c>
      <c r="AB10" s="55"/>
      <c r="AC10" s="9"/>
    </row>
    <row r="11" spans="1:29" x14ac:dyDescent="0.25">
      <c r="C11" s="25"/>
      <c r="D11" s="2"/>
      <c r="E11" s="26"/>
      <c r="F11" s="3">
        <f t="shared" si="0"/>
        <v>0</v>
      </c>
      <c r="G11" s="3"/>
      <c r="H11" s="4" t="e">
        <f t="shared" si="1"/>
        <v>#DIV/0!</v>
      </c>
      <c r="I11" s="3">
        <f t="shared" si="2"/>
        <v>0</v>
      </c>
      <c r="J11" s="26" t="e">
        <f t="shared" si="3"/>
        <v>#DIV/0!</v>
      </c>
      <c r="K11" s="27"/>
      <c r="L11">
        <f t="shared" si="12"/>
        <v>45453</v>
      </c>
      <c r="M11" s="5" t="e">
        <f t="shared" si="4"/>
        <v>#DIV/0!</v>
      </c>
      <c r="N11" s="9"/>
      <c r="P11" s="59"/>
      <c r="Q11" s="28"/>
      <c r="R11" s="29">
        <f t="shared" si="5"/>
        <v>0</v>
      </c>
      <c r="S11" s="29"/>
      <c r="T11" s="28">
        <f t="shared" si="6"/>
        <v>0</v>
      </c>
      <c r="U11" s="28">
        <f t="shared" si="7"/>
        <v>0</v>
      </c>
      <c r="V11" s="28">
        <f t="shared" si="8"/>
        <v>0</v>
      </c>
      <c r="W11" s="28" t="e">
        <f t="shared" si="9"/>
        <v>#DIV/0!</v>
      </c>
      <c r="X11" s="29"/>
      <c r="Y11" s="5" t="e">
        <f t="shared" si="10"/>
        <v>#DIV/0!</v>
      </c>
      <c r="Z11" s="6">
        <f t="shared" si="11"/>
        <v>0</v>
      </c>
      <c r="AB11" s="55"/>
      <c r="AC11" s="9"/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45453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45453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45453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45453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45453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45453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146500.86437299999</v>
      </c>
      <c r="G18" s="3">
        <f>SUM(G6:G17)</f>
        <v>113618.1349</v>
      </c>
      <c r="H18" s="4"/>
      <c r="I18" s="3">
        <f>SUM(I6:I17)</f>
        <v>32882.729473000007</v>
      </c>
      <c r="M18" s="5"/>
      <c r="Z18" s="6"/>
    </row>
    <row r="19" spans="1:29" x14ac:dyDescent="0.25">
      <c r="D19" s="2" t="s">
        <v>32</v>
      </c>
      <c r="F19" s="3">
        <v>380821</v>
      </c>
      <c r="G19" s="6">
        <f>F19/F20</f>
        <v>0.72217942347755015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527321.86437299999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'03-27-26'!F20</f>
        <v>524789.21221999999</v>
      </c>
      <c r="K21" s="1">
        <v>45657</v>
      </c>
      <c r="L21" s="47">
        <v>208334</v>
      </c>
      <c r="M21" s="47">
        <v>196052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4.8260369954751942E-3</v>
      </c>
      <c r="K22" s="9" t="s">
        <v>54</v>
      </c>
      <c r="L22" s="6">
        <f>(M21-L21)/L21</f>
        <v>-5.8953411349083683E-2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8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8" si="14">F28/D28</f>
        <v>271.34091722620656</v>
      </c>
      <c r="F28" s="3">
        <v>78305</v>
      </c>
      <c r="G28" s="53">
        <v>73933.25</v>
      </c>
      <c r="H28" s="54">
        <f t="shared" ref="H28:H36" si="15">G28/D28</f>
        <v>256.19201671048387</v>
      </c>
      <c r="I28" s="54">
        <f t="shared" ref="I28:I36" si="16">G28-F28</f>
        <v>-4371.75</v>
      </c>
      <c r="J28" s="6">
        <f t="shared" ref="J28:J36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ref="H37:H38" si="18">G37/D37</f>
        <v>43.085002332335193</v>
      </c>
      <c r="I37" s="54">
        <f t="shared" ref="I37:I38" si="19">G37-F37</f>
        <v>4214.6299999999974</v>
      </c>
      <c r="J37" s="6">
        <f t="shared" ref="J37:J38" si="20">I37/F37</f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8"/>
        <v>22.451999345447508</v>
      </c>
      <c r="I38" s="54">
        <f t="shared" si="19"/>
        <v>-28682.619999999995</v>
      </c>
      <c r="J38" s="6">
        <f t="shared" si="20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C39" s="25"/>
      <c r="D39" s="2"/>
      <c r="E39" s="54"/>
      <c r="F39" s="3"/>
      <c r="G39" s="53"/>
      <c r="H39" s="54"/>
      <c r="I39" s="54"/>
      <c r="J39" s="6"/>
      <c r="K39" s="27"/>
      <c r="L39" s="1"/>
    </row>
    <row r="40" spans="1:13" x14ac:dyDescent="0.25">
      <c r="C40" s="25"/>
      <c r="D40" s="2"/>
      <c r="E40" s="54"/>
      <c r="F40" s="3"/>
      <c r="G40" s="53"/>
      <c r="H40" s="54"/>
      <c r="I40" s="54"/>
      <c r="J40" s="6"/>
      <c r="K40" s="27"/>
      <c r="L40" s="1"/>
    </row>
    <row r="41" spans="1:13" x14ac:dyDescent="0.25">
      <c r="C41" s="25"/>
      <c r="D41" s="2"/>
      <c r="E41" s="54"/>
      <c r="F41" s="3"/>
      <c r="G41" s="53"/>
      <c r="H41" s="54"/>
      <c r="I41" s="54"/>
      <c r="J41" s="6"/>
      <c r="K41" s="27"/>
      <c r="L41" s="1"/>
    </row>
    <row r="42" spans="1:13" x14ac:dyDescent="0.25">
      <c r="C42" s="25"/>
      <c r="D42" s="2"/>
      <c r="E42" s="54"/>
      <c r="F42" s="3"/>
      <c r="G42" s="53"/>
      <c r="H42" s="54"/>
      <c r="I42" s="54"/>
      <c r="J42" s="6"/>
      <c r="K42" s="27"/>
      <c r="L42" s="1"/>
    </row>
    <row r="43" spans="1:13" x14ac:dyDescent="0.25">
      <c r="F43" s="53"/>
      <c r="G43" s="53"/>
      <c r="H43" s="3" t="s">
        <v>66</v>
      </c>
      <c r="I43" s="3">
        <f>SUM(I26:I38)</f>
        <v>-78432.552599999995</v>
      </c>
      <c r="J43" s="13" t="s">
        <v>49</v>
      </c>
    </row>
    <row r="44" spans="1:13" x14ac:dyDescent="0.25">
      <c r="F44" s="53"/>
      <c r="G44" s="53"/>
      <c r="H44" s="3" t="s">
        <v>50</v>
      </c>
      <c r="I44" s="56">
        <v>11</v>
      </c>
      <c r="J44" s="5">
        <v>-0.14330000000000001</v>
      </c>
    </row>
    <row r="45" spans="1:13" x14ac:dyDescent="0.25">
      <c r="F45" s="53"/>
      <c r="G45" s="53"/>
      <c r="H45" s="3" t="s">
        <v>51</v>
      </c>
      <c r="I45" s="63">
        <v>3</v>
      </c>
      <c r="J45" s="5">
        <v>0.1004</v>
      </c>
    </row>
    <row r="46" spans="1:13" x14ac:dyDescent="0.25">
      <c r="F46" s="53"/>
      <c r="G46" s="53"/>
      <c r="I46" s="56">
        <f>SUM(I44:I45)</f>
        <v>14</v>
      </c>
      <c r="J46" s="6"/>
    </row>
    <row r="47" spans="1:13" x14ac:dyDescent="0.25">
      <c r="F47" s="53"/>
      <c r="G47" s="53"/>
      <c r="H47" t="s">
        <v>65</v>
      </c>
      <c r="I47" s="64">
        <f>I45/I46</f>
        <v>0.21428571428571427</v>
      </c>
      <c r="J47" s="65">
        <f>J45/J44*-1</f>
        <v>0.70062805303558962</v>
      </c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</row>
    <row r="70" spans="6:10" x14ac:dyDescent="0.25">
      <c r="F70" s="53"/>
      <c r="G70" s="53"/>
    </row>
    <row r="71" spans="6:10" x14ac:dyDescent="0.25">
      <c r="F71" s="53"/>
      <c r="G71" s="53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EF81-B4E1-44C2-B18A-9ECFB6F1B470}">
  <dimension ref="A1:AC74"/>
  <sheetViews>
    <sheetView topLeftCell="A4"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3.140625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46122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991.32</v>
      </c>
      <c r="F7" s="3">
        <f t="shared" ref="F7:F17" si="0">E7*D7</f>
        <v>126270.078924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44313.764024000004</v>
      </c>
      <c r="J7" s="26">
        <f t="shared" ref="J7:J17" si="3">E7-H7</f>
        <v>347.89810006147172</v>
      </c>
      <c r="K7" s="27">
        <v>46000</v>
      </c>
      <c r="L7">
        <f>DAYS360(K7,$C$1)</f>
        <v>121</v>
      </c>
      <c r="M7" s="5">
        <f t="shared" ref="M7:M17" si="4">(I7/G7)</f>
        <v>0.54069981157730174</v>
      </c>
      <c r="N7" s="9">
        <v>27</v>
      </c>
      <c r="O7">
        <v>97</v>
      </c>
      <c r="P7" s="59">
        <v>77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830</v>
      </c>
      <c r="Y7" s="5">
        <f t="shared" ref="Y7:Y17" si="10">(X7-H7)/H7</f>
        <v>0.2899778513589561</v>
      </c>
      <c r="Z7" s="6">
        <f t="shared" ref="Z7:Z17" si="11">F7/F$20</f>
        <v>0.2339929392369732</v>
      </c>
      <c r="AB7" s="55">
        <v>46134</v>
      </c>
      <c r="AC7" s="9">
        <v>97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177.8</v>
      </c>
      <c r="F8" s="3">
        <f t="shared" si="0"/>
        <v>32675.230560000004</v>
      </c>
      <c r="G8" s="3">
        <v>31661.82</v>
      </c>
      <c r="H8" s="4">
        <f t="shared" si="1"/>
        <v>172.28559675081294</v>
      </c>
      <c r="I8" s="3">
        <f t="shared" si="2"/>
        <v>1013.4105600000039</v>
      </c>
      <c r="J8" s="26">
        <f t="shared" si="3"/>
        <v>5.5144032491870689</v>
      </c>
      <c r="K8" s="27">
        <v>46114</v>
      </c>
      <c r="L8">
        <f>DAYS360(K8,$C$1)</f>
        <v>8</v>
      </c>
      <c r="M8" s="5">
        <f t="shared" si="4"/>
        <v>3.2007337544083185E-2</v>
      </c>
      <c r="N8" s="32">
        <v>156</v>
      </c>
      <c r="O8">
        <v>94</v>
      </c>
      <c r="P8" s="60">
        <v>94</v>
      </c>
      <c r="Q8" s="28">
        <v>168.08</v>
      </c>
      <c r="R8" s="29">
        <f t="shared" si="5"/>
        <v>156.31440000000001</v>
      </c>
      <c r="S8" s="29">
        <v>155.37</v>
      </c>
      <c r="T8" s="30">
        <f t="shared" si="6"/>
        <v>210.10000000000002</v>
      </c>
      <c r="U8" s="28">
        <f t="shared" si="7"/>
        <v>252.12</v>
      </c>
      <c r="V8" s="28">
        <f t="shared" si="8"/>
        <v>336.16</v>
      </c>
      <c r="W8" s="28">
        <f t="shared" si="9"/>
        <v>160.22560497825603</v>
      </c>
      <c r="X8" s="29">
        <v>165</v>
      </c>
      <c r="Y8" s="5">
        <f t="shared" si="10"/>
        <v>-4.2287903853916127E-2</v>
      </c>
      <c r="Z8" s="6">
        <f t="shared" si="11"/>
        <v>6.0550950028169723E-2</v>
      </c>
      <c r="AB8" s="62">
        <v>46170</v>
      </c>
      <c r="AC8" s="32">
        <v>82</v>
      </c>
    </row>
    <row r="9" spans="1:29" x14ac:dyDescent="0.25">
      <c r="A9" t="s">
        <v>87</v>
      </c>
      <c r="B9" t="s">
        <v>29</v>
      </c>
      <c r="C9" s="25" t="s">
        <v>88</v>
      </c>
      <c r="D9" s="2">
        <v>518.23389999999995</v>
      </c>
      <c r="E9" s="26">
        <v>82.12</v>
      </c>
      <c r="F9" s="3">
        <f t="shared" si="0"/>
        <v>42557.367868000001</v>
      </c>
      <c r="G9" s="3">
        <v>42849.56</v>
      </c>
      <c r="H9" s="4">
        <f t="shared" si="1"/>
        <v>82.683822883836825</v>
      </c>
      <c r="I9" s="3">
        <f t="shared" si="2"/>
        <v>-292.19213199999649</v>
      </c>
      <c r="J9" s="26">
        <f t="shared" si="3"/>
        <v>-0.56382288383682067</v>
      </c>
      <c r="K9" s="27">
        <v>46120</v>
      </c>
      <c r="L9">
        <f>DAYS360(K9,$C$1)</f>
        <v>2</v>
      </c>
      <c r="M9" s="5">
        <f t="shared" si="4"/>
        <v>-6.8190229257895883E-3</v>
      </c>
      <c r="N9" s="9">
        <v>34</v>
      </c>
      <c r="O9">
        <v>95</v>
      </c>
      <c r="P9" s="59">
        <v>73</v>
      </c>
      <c r="Q9" s="28">
        <v>86.09</v>
      </c>
      <c r="R9" s="29">
        <f t="shared" si="5"/>
        <v>80.063700000000011</v>
      </c>
      <c r="S9" s="29">
        <v>78</v>
      </c>
      <c r="T9" s="28">
        <f t="shared" si="6"/>
        <v>107.61250000000001</v>
      </c>
      <c r="U9" s="28">
        <f t="shared" si="7"/>
        <v>129.13499999999999</v>
      </c>
      <c r="V9" s="28">
        <f t="shared" si="8"/>
        <v>172.18</v>
      </c>
      <c r="W9" s="28">
        <f t="shared" si="9"/>
        <v>76.895955281968241</v>
      </c>
      <c r="X9" s="29">
        <v>77.5</v>
      </c>
      <c r="Y9" s="5">
        <f t="shared" si="10"/>
        <v>-6.2694523584372969E-2</v>
      </c>
      <c r="Z9" s="6">
        <f t="shared" si="11"/>
        <v>7.8863683926388303E-2</v>
      </c>
      <c r="AB9" s="55">
        <v>46169</v>
      </c>
      <c r="AC9" s="59">
        <v>97</v>
      </c>
    </row>
    <row r="10" spans="1:29" x14ac:dyDescent="0.25">
      <c r="A10" t="s">
        <v>89</v>
      </c>
      <c r="B10" t="s">
        <v>29</v>
      </c>
      <c r="C10" s="25" t="s">
        <v>90</v>
      </c>
      <c r="D10" s="2">
        <v>175.18680000000001</v>
      </c>
      <c r="E10" s="26">
        <v>241.46</v>
      </c>
      <c r="F10" s="3">
        <f t="shared" si="0"/>
        <v>42300.604728000006</v>
      </c>
      <c r="G10" s="3">
        <v>43046.46</v>
      </c>
      <c r="H10" s="4">
        <f t="shared" si="1"/>
        <v>245.71748556398083</v>
      </c>
      <c r="I10" s="3">
        <f t="shared" si="2"/>
        <v>-745.85527199999342</v>
      </c>
      <c r="J10" s="26">
        <f t="shared" si="3"/>
        <v>-4.257485563980822</v>
      </c>
      <c r="K10" s="27">
        <v>46121</v>
      </c>
      <c r="L10">
        <f t="shared" ref="L10:L17" si="12">DAYS360(K10,$C$1)</f>
        <v>1</v>
      </c>
      <c r="M10" s="5">
        <f t="shared" si="4"/>
        <v>-1.732675049237483E-2</v>
      </c>
      <c r="N10" s="9">
        <v>25</v>
      </c>
      <c r="O10">
        <v>98</v>
      </c>
      <c r="P10" s="59">
        <v>95</v>
      </c>
      <c r="Q10" s="28">
        <v>243.8</v>
      </c>
      <c r="R10" s="29">
        <f t="shared" si="5"/>
        <v>226.73400000000001</v>
      </c>
      <c r="S10" s="29">
        <v>206</v>
      </c>
      <c r="T10" s="30">
        <f t="shared" si="6"/>
        <v>304.75</v>
      </c>
      <c r="U10" s="28">
        <f t="shared" si="7"/>
        <v>365.70000000000005</v>
      </c>
      <c r="V10" s="28">
        <f t="shared" si="8"/>
        <v>487.6</v>
      </c>
      <c r="W10" s="28">
        <f t="shared" si="9"/>
        <v>228.51726157450219</v>
      </c>
      <c r="X10" s="29">
        <v>225</v>
      </c>
      <c r="Y10" s="5">
        <f t="shared" si="10"/>
        <v>-8.4314250231029383E-2</v>
      </c>
      <c r="Z10" s="31">
        <f t="shared" si="11"/>
        <v>7.8387872377616907E-2</v>
      </c>
      <c r="AB10" s="55">
        <v>46169</v>
      </c>
      <c r="AC10" s="9">
        <v>99</v>
      </c>
    </row>
    <row r="11" spans="1:29" x14ac:dyDescent="0.25">
      <c r="A11" t="s">
        <v>91</v>
      </c>
      <c r="B11" t="s">
        <v>29</v>
      </c>
      <c r="C11" s="25" t="s">
        <v>92</v>
      </c>
      <c r="D11" s="2">
        <v>222.14060000000001</v>
      </c>
      <c r="E11" s="26">
        <v>144.97</v>
      </c>
      <c r="F11" s="3">
        <f t="shared" si="0"/>
        <v>32203.722782000001</v>
      </c>
      <c r="G11" s="3">
        <v>32498.71</v>
      </c>
      <c r="H11" s="4">
        <f t="shared" si="1"/>
        <v>146.29793022977339</v>
      </c>
      <c r="I11" s="3">
        <f t="shared" si="2"/>
        <v>-294.98721799999839</v>
      </c>
      <c r="J11" s="26">
        <f t="shared" si="3"/>
        <v>-1.3279302297733864</v>
      </c>
      <c r="K11" s="27">
        <v>46122</v>
      </c>
      <c r="L11">
        <f t="shared" si="12"/>
        <v>0</v>
      </c>
      <c r="M11" s="5">
        <f t="shared" si="4"/>
        <v>-9.0768900673287769E-3</v>
      </c>
      <c r="N11" s="9">
        <v>161</v>
      </c>
      <c r="O11">
        <v>1</v>
      </c>
      <c r="P11" s="59">
        <v>98</v>
      </c>
      <c r="Q11" s="28">
        <v>141.1</v>
      </c>
      <c r="R11" s="29">
        <f t="shared" si="5"/>
        <v>131.22300000000001</v>
      </c>
      <c r="S11" s="29">
        <v>89.65</v>
      </c>
      <c r="T11" s="28">
        <f t="shared" si="6"/>
        <v>176.375</v>
      </c>
      <c r="U11" s="28">
        <f t="shared" si="7"/>
        <v>211.64999999999998</v>
      </c>
      <c r="V11" s="28">
        <f t="shared" si="8"/>
        <v>282.2</v>
      </c>
      <c r="W11" s="28">
        <f t="shared" si="9"/>
        <v>136.05707511368925</v>
      </c>
      <c r="X11" s="29">
        <v>134</v>
      </c>
      <c r="Y11" s="5">
        <f t="shared" si="10"/>
        <v>-8.4060862723474183E-2</v>
      </c>
      <c r="Z11" s="6">
        <f t="shared" si="11"/>
        <v>5.9677192034292802E-2</v>
      </c>
      <c r="AB11" s="55">
        <v>46141</v>
      </c>
      <c r="AC11" s="9">
        <v>59</v>
      </c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12"/>
        <v>45460</v>
      </c>
      <c r="M12" s="5" t="e">
        <f t="shared" si="4"/>
        <v>#DIV/0!</v>
      </c>
      <c r="N12" s="9"/>
      <c r="P12" s="60"/>
      <c r="Q12" s="28"/>
      <c r="R12" s="29">
        <f t="shared" si="5"/>
        <v>0</v>
      </c>
      <c r="S12" s="29"/>
      <c r="T12" s="30">
        <f t="shared" si="6"/>
        <v>0</v>
      </c>
      <c r="U12" s="28">
        <f t="shared" si="7"/>
        <v>0</v>
      </c>
      <c r="V12" s="28">
        <f t="shared" si="8"/>
        <v>0</v>
      </c>
      <c r="W12" s="28" t="e">
        <f t="shared" si="9"/>
        <v>#DIV/0!</v>
      </c>
      <c r="X12" s="29"/>
      <c r="Y12" s="5" t="e">
        <f t="shared" si="10"/>
        <v>#DIV/0!</v>
      </c>
      <c r="Z12" s="6">
        <f t="shared" si="11"/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45460</v>
      </c>
      <c r="M13" s="5" t="e">
        <f t="shared" si="4"/>
        <v>#DIV/0!</v>
      </c>
      <c r="N13" s="9"/>
      <c r="P13" s="59"/>
      <c r="Q13" s="28"/>
      <c r="R13" s="29">
        <f t="shared" si="5"/>
        <v>0</v>
      </c>
      <c r="S13" s="29"/>
      <c r="T13" s="28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31">
        <f t="shared" si="11"/>
        <v>0</v>
      </c>
      <c r="AB13" s="55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45460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45460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45460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45460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276007.004862</v>
      </c>
      <c r="G18" s="3">
        <f>SUM(G6:G17)</f>
        <v>232012.86489999999</v>
      </c>
      <c r="H18" s="4"/>
      <c r="I18" s="3">
        <f>SUM(I6:I17)</f>
        <v>43994.139962000016</v>
      </c>
      <c r="M18" s="5"/>
      <c r="Z18" s="6"/>
    </row>
    <row r="19" spans="1:29" x14ac:dyDescent="0.25">
      <c r="D19" s="2" t="s">
        <v>32</v>
      </c>
      <c r="F19" s="3">
        <v>263625</v>
      </c>
      <c r="G19" s="6">
        <f>F19/F20</f>
        <v>0.48852736239655908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539632.004862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'04-03-26'!F20</f>
        <v>527321.86437299999</v>
      </c>
      <c r="K21" s="1">
        <v>45657</v>
      </c>
      <c r="L21" s="47">
        <v>208334</v>
      </c>
      <c r="M21" s="47">
        <v>200070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2.3344642656979723E-2</v>
      </c>
      <c r="K22" s="9" t="s">
        <v>54</v>
      </c>
      <c r="L22" s="6">
        <f>(M21-L21)/L21</f>
        <v>-3.9667073065366189E-2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8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8" si="14">F28/D28</f>
        <v>271.34091722620656</v>
      </c>
      <c r="F28" s="3">
        <v>78305</v>
      </c>
      <c r="G28" s="53">
        <v>73933.25</v>
      </c>
      <c r="H28" s="54">
        <f t="shared" ref="H28:H38" si="15">G28/D28</f>
        <v>256.19201671048387</v>
      </c>
      <c r="I28" s="54">
        <f t="shared" ref="I28:I38" si="16">G28-F28</f>
        <v>-4371.75</v>
      </c>
      <c r="J28" s="6">
        <f t="shared" ref="J28:J38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C39" s="25"/>
      <c r="D39" s="2"/>
      <c r="E39" s="54"/>
      <c r="F39" s="3"/>
      <c r="G39" s="53"/>
      <c r="H39" s="54"/>
      <c r="I39" s="54"/>
      <c r="J39" s="6"/>
      <c r="K39" s="27"/>
      <c r="L39" s="1"/>
    </row>
    <row r="40" spans="1:13" x14ac:dyDescent="0.25">
      <c r="C40" s="25"/>
      <c r="D40" s="2"/>
      <c r="E40" s="54"/>
      <c r="F40" s="3"/>
      <c r="G40" s="53"/>
      <c r="H40" s="54"/>
      <c r="I40" s="54"/>
      <c r="J40" s="6"/>
      <c r="K40" s="27"/>
      <c r="L40" s="1"/>
    </row>
    <row r="41" spans="1:13" x14ac:dyDescent="0.25">
      <c r="C41" s="25"/>
      <c r="D41" s="2"/>
      <c r="E41" s="54"/>
      <c r="F41" s="3"/>
      <c r="G41" s="53"/>
      <c r="H41" s="54"/>
      <c r="I41" s="54"/>
      <c r="J41" s="6"/>
      <c r="K41" s="27"/>
      <c r="L41" s="1"/>
    </row>
    <row r="42" spans="1:13" x14ac:dyDescent="0.25">
      <c r="C42" s="25"/>
      <c r="D42" s="2"/>
      <c r="E42" s="54"/>
      <c r="F42" s="3"/>
      <c r="G42" s="53"/>
      <c r="H42" s="54"/>
      <c r="I42" s="54"/>
      <c r="J42" s="6"/>
      <c r="K42" s="27"/>
      <c r="L42" s="1"/>
    </row>
    <row r="43" spans="1:13" x14ac:dyDescent="0.25">
      <c r="F43" s="53"/>
      <c r="G43" s="53"/>
      <c r="H43" s="3" t="s">
        <v>66</v>
      </c>
      <c r="I43" s="3">
        <f>SUM(I26:I38)</f>
        <v>-78432.552599999995</v>
      </c>
      <c r="J43" s="13" t="s">
        <v>49</v>
      </c>
    </row>
    <row r="44" spans="1:13" x14ac:dyDescent="0.25">
      <c r="F44" s="53"/>
      <c r="G44" s="53"/>
      <c r="H44" s="3" t="s">
        <v>50</v>
      </c>
      <c r="I44" s="56">
        <v>11</v>
      </c>
      <c r="J44" s="5">
        <v>-0.14330000000000001</v>
      </c>
    </row>
    <row r="45" spans="1:13" x14ac:dyDescent="0.25">
      <c r="F45" s="53"/>
      <c r="G45" s="53"/>
      <c r="H45" s="3" t="s">
        <v>51</v>
      </c>
      <c r="I45" s="63">
        <v>3</v>
      </c>
      <c r="J45" s="5">
        <v>0.1004</v>
      </c>
    </row>
    <row r="46" spans="1:13" x14ac:dyDescent="0.25">
      <c r="F46" s="53"/>
      <c r="G46" s="53"/>
      <c r="I46" s="56">
        <f>SUM(I44:I45)</f>
        <v>14</v>
      </c>
      <c r="J46" s="6"/>
    </row>
    <row r="47" spans="1:13" x14ac:dyDescent="0.25">
      <c r="F47" s="53"/>
      <c r="G47" s="53"/>
      <c r="H47" t="s">
        <v>65</v>
      </c>
      <c r="I47" s="64">
        <f>I45/I46</f>
        <v>0.21428571428571427</v>
      </c>
      <c r="J47" s="65">
        <f>J45/J44*-1</f>
        <v>0.70062805303558962</v>
      </c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</row>
    <row r="70" spans="6:10" x14ac:dyDescent="0.25">
      <c r="F70" s="53"/>
      <c r="G70" s="53"/>
    </row>
    <row r="71" spans="6:10" x14ac:dyDescent="0.25">
      <c r="F71" s="53"/>
      <c r="G71" s="53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ACD4-918B-4D79-A059-D3DC9BA35EDD}">
  <dimension ref="A1:AC74"/>
  <sheetViews>
    <sheetView workbookViewId="0">
      <selection activeCell="M21" sqref="M21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46129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</f>
        <v>127.37569999999999</v>
      </c>
      <c r="E7" s="26">
        <v>1002.75</v>
      </c>
      <c r="F7" s="3">
        <f t="shared" ref="F7:F17" si="0">E7*D7</f>
        <v>127725.983175</v>
      </c>
      <c r="G7" s="3">
        <f>61467.93+20488.3849</f>
        <v>81956.314899999998</v>
      </c>
      <c r="H7" s="4">
        <f t="shared" ref="H7:H17" si="1">G7/D7</f>
        <v>643.42189993852833</v>
      </c>
      <c r="I7" s="3">
        <f t="shared" ref="I7:I17" si="2">F7-G7</f>
        <v>45769.668275000004</v>
      </c>
      <c r="J7" s="26">
        <f t="shared" ref="J7:J17" si="3">E7-H7</f>
        <v>359.32810006147167</v>
      </c>
      <c r="K7" s="27">
        <v>46000</v>
      </c>
      <c r="L7">
        <f>DAYS360(K7,$C$1)</f>
        <v>128</v>
      </c>
      <c r="M7" s="5">
        <f t="shared" ref="M7:M17" si="4">(I7/G7)</f>
        <v>0.55846420536167862</v>
      </c>
      <c r="N7" s="9">
        <v>21</v>
      </c>
      <c r="O7">
        <v>96</v>
      </c>
      <c r="P7" s="59">
        <v>78</v>
      </c>
      <c r="Q7" s="28">
        <v>664.69</v>
      </c>
      <c r="R7" s="29">
        <f t="shared" ref="R7:R17" si="5">Q7*0.93</f>
        <v>618.16170000000011</v>
      </c>
      <c r="S7" s="29">
        <v>708.75</v>
      </c>
      <c r="T7" s="28">
        <f t="shared" ref="T7:T17" si="6">Q7*1.25</f>
        <v>830.86250000000007</v>
      </c>
      <c r="U7" s="28">
        <f t="shared" ref="U7:U17" si="7">Q7*1.5</f>
        <v>997.03500000000008</v>
      </c>
      <c r="V7" s="28">
        <f t="shared" ref="V7:V17" si="8">Q7*2</f>
        <v>1329.38</v>
      </c>
      <c r="W7" s="28">
        <f t="shared" ref="W7:W17" si="9">H7-(H7*0.07)</f>
        <v>598.38236694283137</v>
      </c>
      <c r="X7" s="29">
        <v>830</v>
      </c>
      <c r="Y7" s="5">
        <f t="shared" ref="Y7:Y17" si="10">(X7-H7)/H7</f>
        <v>0.2899778513589561</v>
      </c>
      <c r="Z7" s="6">
        <f t="shared" ref="Z7:Z17" si="11">F7/F$20</f>
        <v>0.22954059573517549</v>
      </c>
      <c r="AB7" s="57">
        <v>46134</v>
      </c>
      <c r="AC7" s="9">
        <v>96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196.55</v>
      </c>
      <c r="F8" s="3">
        <f t="shared" si="0"/>
        <v>36121.015560000007</v>
      </c>
      <c r="G8" s="3">
        <v>31661.82</v>
      </c>
      <c r="H8" s="4">
        <f t="shared" si="1"/>
        <v>172.28559675081294</v>
      </c>
      <c r="I8" s="3">
        <f t="shared" si="2"/>
        <v>4459.1955600000074</v>
      </c>
      <c r="J8" s="26">
        <f t="shared" si="3"/>
        <v>24.264403249187069</v>
      </c>
      <c r="K8" s="27">
        <v>46114</v>
      </c>
      <c r="L8">
        <f>DAYS360(K8,$C$1)</f>
        <v>15</v>
      </c>
      <c r="M8" s="5">
        <f t="shared" si="4"/>
        <v>0.14083825756068374</v>
      </c>
      <c r="N8" s="32">
        <v>97</v>
      </c>
      <c r="O8">
        <v>94</v>
      </c>
      <c r="P8" s="60">
        <v>94</v>
      </c>
      <c r="Q8" s="28">
        <v>168.08</v>
      </c>
      <c r="R8" s="29">
        <f t="shared" si="5"/>
        <v>156.31440000000001</v>
      </c>
      <c r="S8" s="29">
        <v>155.37</v>
      </c>
      <c r="T8" s="30">
        <f t="shared" si="6"/>
        <v>210.10000000000002</v>
      </c>
      <c r="U8" s="28">
        <f t="shared" si="7"/>
        <v>252.12</v>
      </c>
      <c r="V8" s="28">
        <f t="shared" si="8"/>
        <v>336.16</v>
      </c>
      <c r="W8" s="28">
        <f t="shared" si="9"/>
        <v>160.22560497825603</v>
      </c>
      <c r="X8" s="29">
        <v>165</v>
      </c>
      <c r="Y8" s="5">
        <f t="shared" si="10"/>
        <v>-4.2287903853916127E-2</v>
      </c>
      <c r="Z8" s="6">
        <f t="shared" si="11"/>
        <v>6.4914273698265038E-2</v>
      </c>
      <c r="AB8" s="62">
        <v>46170</v>
      </c>
      <c r="AC8" s="32">
        <v>86</v>
      </c>
    </row>
    <row r="9" spans="1:29" x14ac:dyDescent="0.25">
      <c r="A9" t="s">
        <v>87</v>
      </c>
      <c r="B9" t="s">
        <v>29</v>
      </c>
      <c r="C9" s="25" t="s">
        <v>88</v>
      </c>
      <c r="D9" s="2">
        <f>518.2339+239.8468</f>
        <v>758.08069999999998</v>
      </c>
      <c r="E9" s="26">
        <v>88.8</v>
      </c>
      <c r="F9" s="3">
        <f t="shared" si="0"/>
        <v>67317.566160000002</v>
      </c>
      <c r="G9" s="3">
        <f>42849.56+20777.33</f>
        <v>63626.89</v>
      </c>
      <c r="H9" s="4">
        <f t="shared" si="1"/>
        <v>83.931552405964169</v>
      </c>
      <c r="I9" s="3">
        <f t="shared" si="2"/>
        <v>3690.6761600000027</v>
      </c>
      <c r="J9" s="26">
        <f t="shared" si="3"/>
        <v>4.8684475940358283</v>
      </c>
      <c r="K9" s="27">
        <v>46120</v>
      </c>
      <c r="L9">
        <f>DAYS360(K9,$C$1)</f>
        <v>9</v>
      </c>
      <c r="M9" s="5">
        <f t="shared" si="4"/>
        <v>5.8004974940626564E-2</v>
      </c>
      <c r="N9" s="9">
        <v>33</v>
      </c>
      <c r="O9">
        <v>96</v>
      </c>
      <c r="P9" s="59">
        <v>74</v>
      </c>
      <c r="Q9" s="28">
        <v>86.09</v>
      </c>
      <c r="R9" s="29">
        <f t="shared" si="5"/>
        <v>80.063700000000011</v>
      </c>
      <c r="S9" s="29">
        <v>78</v>
      </c>
      <c r="T9" s="28">
        <f t="shared" si="6"/>
        <v>107.61250000000001</v>
      </c>
      <c r="U9" s="28">
        <f t="shared" si="7"/>
        <v>129.13499999999999</v>
      </c>
      <c r="V9" s="28">
        <f t="shared" si="8"/>
        <v>172.18</v>
      </c>
      <c r="W9" s="28">
        <f t="shared" si="9"/>
        <v>78.056343737546683</v>
      </c>
      <c r="X9" s="29">
        <v>77.5</v>
      </c>
      <c r="Y9" s="5">
        <f t="shared" si="10"/>
        <v>-7.6628541014655924E-2</v>
      </c>
      <c r="Z9" s="6">
        <f t="shared" si="11"/>
        <v>0.12097862827673231</v>
      </c>
      <c r="AB9" s="55">
        <v>46169</v>
      </c>
      <c r="AC9" s="59">
        <v>98</v>
      </c>
    </row>
    <row r="10" spans="1:29" x14ac:dyDescent="0.25">
      <c r="A10" t="s">
        <v>89</v>
      </c>
      <c r="B10" t="s">
        <v>29</v>
      </c>
      <c r="C10" s="25" t="s">
        <v>90</v>
      </c>
      <c r="D10" s="2">
        <f>175.1868+89.2865</f>
        <v>264.47329999999999</v>
      </c>
      <c r="E10" s="26">
        <v>243.71</v>
      </c>
      <c r="F10" s="3">
        <f t="shared" si="0"/>
        <v>64454.787943000003</v>
      </c>
      <c r="G10" s="3">
        <f>43046.46+22443.88</f>
        <v>65490.34</v>
      </c>
      <c r="H10" s="4">
        <f t="shared" si="1"/>
        <v>247.62552590374906</v>
      </c>
      <c r="I10" s="3">
        <f t="shared" si="2"/>
        <v>-1035.5520569999935</v>
      </c>
      <c r="J10" s="26">
        <f t="shared" si="3"/>
        <v>-3.9155259037490566</v>
      </c>
      <c r="K10" s="27">
        <v>46121</v>
      </c>
      <c r="L10">
        <f t="shared" ref="L10:L17" si="12">DAYS360(K10,$C$1)</f>
        <v>8</v>
      </c>
      <c r="M10" s="5">
        <f t="shared" si="4"/>
        <v>-1.5812287079285184E-2</v>
      </c>
      <c r="N10" s="9">
        <v>20</v>
      </c>
      <c r="O10">
        <v>97</v>
      </c>
      <c r="P10" s="59">
        <v>95</v>
      </c>
      <c r="Q10" s="28">
        <v>243.8</v>
      </c>
      <c r="R10" s="29">
        <f t="shared" si="5"/>
        <v>226.73400000000001</v>
      </c>
      <c r="S10" s="29">
        <v>206</v>
      </c>
      <c r="T10" s="30">
        <f t="shared" si="6"/>
        <v>304.75</v>
      </c>
      <c r="U10" s="28">
        <f t="shared" si="7"/>
        <v>365.70000000000005</v>
      </c>
      <c r="V10" s="28">
        <f t="shared" si="8"/>
        <v>487.6</v>
      </c>
      <c r="W10" s="28">
        <f t="shared" si="9"/>
        <v>230.29173909048663</v>
      </c>
      <c r="X10" s="29">
        <v>225</v>
      </c>
      <c r="Y10" s="5">
        <f t="shared" si="10"/>
        <v>-9.136992570201953E-2</v>
      </c>
      <c r="Z10" s="31">
        <f t="shared" si="11"/>
        <v>0.11583383470338769</v>
      </c>
      <c r="AB10" s="55">
        <v>46169</v>
      </c>
      <c r="AC10" s="9">
        <v>99</v>
      </c>
    </row>
    <row r="11" spans="1:29" x14ac:dyDescent="0.25">
      <c r="A11" t="s">
        <v>91</v>
      </c>
      <c r="B11" t="s">
        <v>29</v>
      </c>
      <c r="C11" s="25" t="s">
        <v>92</v>
      </c>
      <c r="D11" s="2">
        <v>222.14060000000001</v>
      </c>
      <c r="E11" s="26">
        <v>157.75</v>
      </c>
      <c r="F11" s="3">
        <f t="shared" si="0"/>
        <v>35042.679649999998</v>
      </c>
      <c r="G11" s="3">
        <v>32498.71</v>
      </c>
      <c r="H11" s="4">
        <f t="shared" si="1"/>
        <v>146.29793022977339</v>
      </c>
      <c r="I11" s="3">
        <f t="shared" si="2"/>
        <v>2543.9696499999991</v>
      </c>
      <c r="J11" s="26">
        <f t="shared" si="3"/>
        <v>11.452069770226615</v>
      </c>
      <c r="K11" s="27">
        <v>46122</v>
      </c>
      <c r="L11">
        <f t="shared" si="12"/>
        <v>7</v>
      </c>
      <c r="M11" s="5">
        <f t="shared" si="4"/>
        <v>7.8279096308745771E-2</v>
      </c>
      <c r="N11" s="9">
        <v>119</v>
      </c>
      <c r="O11">
        <v>99</v>
      </c>
      <c r="P11" s="59">
        <v>1</v>
      </c>
      <c r="Q11" s="28">
        <v>141.1</v>
      </c>
      <c r="R11" s="29">
        <f t="shared" si="5"/>
        <v>131.22300000000001</v>
      </c>
      <c r="S11" s="29">
        <v>89.65</v>
      </c>
      <c r="T11" s="28">
        <f t="shared" si="6"/>
        <v>176.375</v>
      </c>
      <c r="U11" s="28">
        <f t="shared" si="7"/>
        <v>211.64999999999998</v>
      </c>
      <c r="V11" s="28">
        <f t="shared" si="8"/>
        <v>282.2</v>
      </c>
      <c r="W11" s="28">
        <f t="shared" si="9"/>
        <v>136.05707511368925</v>
      </c>
      <c r="X11" s="29">
        <v>134</v>
      </c>
      <c r="Y11" s="5">
        <f t="shared" si="10"/>
        <v>-8.4060862723474183E-2</v>
      </c>
      <c r="Z11" s="6">
        <f t="shared" si="11"/>
        <v>6.2976360510743123E-2</v>
      </c>
      <c r="AB11" s="55">
        <v>46141</v>
      </c>
      <c r="AC11" s="9">
        <v>63</v>
      </c>
    </row>
    <row r="12" spans="1:29" x14ac:dyDescent="0.25">
      <c r="A12" t="s">
        <v>93</v>
      </c>
      <c r="B12" t="s">
        <v>29</v>
      </c>
      <c r="C12" s="25" t="s">
        <v>94</v>
      </c>
      <c r="D12" s="2">
        <v>150.9881</v>
      </c>
      <c r="E12" s="26">
        <v>396.01</v>
      </c>
      <c r="F12" s="3">
        <f t="shared" si="0"/>
        <v>59792.797481000001</v>
      </c>
      <c r="G12" s="3">
        <v>54708.95</v>
      </c>
      <c r="H12" s="4">
        <f t="shared" si="1"/>
        <v>362.33948238304873</v>
      </c>
      <c r="I12" s="3">
        <f t="shared" si="2"/>
        <v>5083.8474810000043</v>
      </c>
      <c r="J12" s="26">
        <f t="shared" si="3"/>
        <v>33.670517616951258</v>
      </c>
      <c r="K12" s="27">
        <v>46125</v>
      </c>
      <c r="L12">
        <f t="shared" si="12"/>
        <v>4</v>
      </c>
      <c r="M12" s="5">
        <f t="shared" si="4"/>
        <v>9.2925334538498813E-2</v>
      </c>
      <c r="N12" s="9">
        <v>13</v>
      </c>
      <c r="O12">
        <v>98</v>
      </c>
      <c r="P12" s="60">
        <v>99</v>
      </c>
      <c r="Q12" s="28">
        <v>352.2</v>
      </c>
      <c r="R12" s="29">
        <f t="shared" si="5"/>
        <v>327.54599999999999</v>
      </c>
      <c r="S12" s="29">
        <v>253.11</v>
      </c>
      <c r="T12" s="30">
        <f t="shared" si="6"/>
        <v>440.25</v>
      </c>
      <c r="U12" s="28">
        <f t="shared" si="7"/>
        <v>528.29999999999995</v>
      </c>
      <c r="V12" s="28">
        <f t="shared" si="8"/>
        <v>704.4</v>
      </c>
      <c r="W12" s="28">
        <f t="shared" si="9"/>
        <v>336.97571861623533</v>
      </c>
      <c r="X12" s="29">
        <v>335</v>
      </c>
      <c r="Y12" s="5">
        <f t="shared" si="10"/>
        <v>-7.5452672734534307E-2</v>
      </c>
      <c r="Z12" s="6">
        <f t="shared" si="11"/>
        <v>0.10745561719933451</v>
      </c>
      <c r="AB12" s="55">
        <v>46139</v>
      </c>
      <c r="AC12" s="9">
        <v>99</v>
      </c>
    </row>
    <row r="13" spans="1:29" x14ac:dyDescent="0.25">
      <c r="A13" t="s">
        <v>82</v>
      </c>
      <c r="B13" t="s">
        <v>29</v>
      </c>
      <c r="C13" s="25" t="s">
        <v>83</v>
      </c>
      <c r="D13" s="2">
        <v>144.76</v>
      </c>
      <c r="E13" s="26">
        <v>463.65</v>
      </c>
      <c r="F13" s="3">
        <f t="shared" si="0"/>
        <v>67117.973999999987</v>
      </c>
      <c r="G13" s="3">
        <v>66860.710000000006</v>
      </c>
      <c r="H13" s="4">
        <f t="shared" si="1"/>
        <v>461.87282398452618</v>
      </c>
      <c r="I13" s="3">
        <f t="shared" si="2"/>
        <v>257.26399999998102</v>
      </c>
      <c r="J13" s="26">
        <f t="shared" si="3"/>
        <v>1.777176015473799</v>
      </c>
      <c r="K13" s="27">
        <v>46129</v>
      </c>
      <c r="L13">
        <f t="shared" si="12"/>
        <v>0</v>
      </c>
      <c r="M13" s="5">
        <f t="shared" si="4"/>
        <v>3.8477605158542439E-3</v>
      </c>
      <c r="N13" s="9">
        <v>22</v>
      </c>
      <c r="O13">
        <v>96</v>
      </c>
      <c r="P13" s="59">
        <v>99</v>
      </c>
      <c r="Q13" s="28">
        <v>472.61</v>
      </c>
      <c r="R13" s="29">
        <f t="shared" si="5"/>
        <v>439.52730000000003</v>
      </c>
      <c r="S13" s="29">
        <v>362.59</v>
      </c>
      <c r="T13" s="28">
        <f t="shared" si="6"/>
        <v>590.76250000000005</v>
      </c>
      <c r="U13" s="28">
        <f t="shared" si="7"/>
        <v>708.91499999999996</v>
      </c>
      <c r="V13" s="28">
        <f t="shared" si="8"/>
        <v>945.22</v>
      </c>
      <c r="W13" s="28">
        <f t="shared" si="9"/>
        <v>429.54172630560936</v>
      </c>
      <c r="X13" s="29">
        <v>430</v>
      </c>
      <c r="Y13" s="5">
        <f t="shared" si="10"/>
        <v>-6.9007792468850679E-2</v>
      </c>
      <c r="Z13" s="31">
        <f t="shared" si="11"/>
        <v>0.12061993459380561</v>
      </c>
      <c r="AB13" s="55">
        <v>46146</v>
      </c>
      <c r="AC13" s="9">
        <v>99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45467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45467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45467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45467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457572.80396900006</v>
      </c>
      <c r="G18" s="3">
        <f>SUM(G6:G17)</f>
        <v>396803.73490000004</v>
      </c>
      <c r="H18" s="4"/>
      <c r="I18" s="3">
        <f>SUM(I6:I17)</f>
        <v>60769.069069000005</v>
      </c>
      <c r="M18" s="5"/>
      <c r="Z18" s="6"/>
    </row>
    <row r="19" spans="1:29" x14ac:dyDescent="0.25">
      <c r="D19" s="2" t="s">
        <v>32</v>
      </c>
      <c r="F19" s="3">
        <v>98869</v>
      </c>
      <c r="G19" s="6">
        <f>F19/F20</f>
        <v>0.1776807552825562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556441.803969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'04-10-26'!F20</f>
        <v>539632.004862</v>
      </c>
      <c r="K21" s="1">
        <v>45657</v>
      </c>
      <c r="L21" s="47">
        <v>208334</v>
      </c>
      <c r="M21" s="47">
        <v>206314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3.115048580430059E-2</v>
      </c>
      <c r="K22" s="9" t="s">
        <v>54</v>
      </c>
      <c r="L22" s="6">
        <f>(M21-L21)/L21</f>
        <v>-9.6959689728992864E-3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8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8" si="14">F28/D28</f>
        <v>271.34091722620656</v>
      </c>
      <c r="F28" s="3">
        <v>78305</v>
      </c>
      <c r="G28" s="53">
        <v>73933.25</v>
      </c>
      <c r="H28" s="54">
        <f t="shared" ref="H28:H38" si="15">G28/D28</f>
        <v>256.19201671048387</v>
      </c>
      <c r="I28" s="54">
        <f t="shared" ref="I28:I38" si="16">G28-F28</f>
        <v>-4371.75</v>
      </c>
      <c r="J28" s="6">
        <f t="shared" ref="J28:J38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C39" s="25"/>
      <c r="D39" s="2"/>
      <c r="E39" s="54"/>
      <c r="F39" s="3"/>
      <c r="G39" s="53"/>
      <c r="H39" s="54"/>
      <c r="I39" s="54"/>
      <c r="J39" s="6"/>
      <c r="K39" s="27"/>
      <c r="L39" s="1"/>
    </row>
    <row r="40" spans="1:13" x14ac:dyDescent="0.25">
      <c r="C40" s="25"/>
      <c r="D40" s="2"/>
      <c r="E40" s="54"/>
      <c r="F40" s="3"/>
      <c r="G40" s="53"/>
      <c r="H40" s="54"/>
      <c r="I40" s="54"/>
      <c r="J40" s="6"/>
      <c r="K40" s="27"/>
      <c r="L40" s="1"/>
    </row>
    <row r="41" spans="1:13" x14ac:dyDescent="0.25">
      <c r="C41" s="25"/>
      <c r="D41" s="2"/>
      <c r="E41" s="54"/>
      <c r="F41" s="3"/>
      <c r="G41" s="53"/>
      <c r="H41" s="54"/>
      <c r="I41" s="54"/>
      <c r="J41" s="6"/>
      <c r="K41" s="27"/>
      <c r="L41" s="1"/>
    </row>
    <row r="42" spans="1:13" x14ac:dyDescent="0.25">
      <c r="C42" s="25"/>
      <c r="D42" s="2"/>
      <c r="E42" s="54"/>
      <c r="F42" s="3"/>
      <c r="G42" s="53"/>
      <c r="H42" s="54"/>
      <c r="I42" s="54"/>
      <c r="J42" s="6"/>
      <c r="K42" s="27"/>
      <c r="L42" s="1"/>
    </row>
    <row r="43" spans="1:13" x14ac:dyDescent="0.25">
      <c r="F43" s="53"/>
      <c r="G43" s="53"/>
      <c r="H43" s="3" t="s">
        <v>66</v>
      </c>
      <c r="I43" s="3">
        <f>SUM(I26:I38)</f>
        <v>-78432.552599999995</v>
      </c>
      <c r="J43" s="13" t="s">
        <v>49</v>
      </c>
    </row>
    <row r="44" spans="1:13" x14ac:dyDescent="0.25">
      <c r="F44" s="53"/>
      <c r="G44" s="53"/>
      <c r="H44" s="3" t="s">
        <v>50</v>
      </c>
      <c r="I44" s="56">
        <v>11</v>
      </c>
      <c r="J44" s="5">
        <v>-0.14330000000000001</v>
      </c>
    </row>
    <row r="45" spans="1:13" x14ac:dyDescent="0.25">
      <c r="F45" s="53"/>
      <c r="G45" s="53"/>
      <c r="H45" s="3" t="s">
        <v>51</v>
      </c>
      <c r="I45" s="63">
        <v>3</v>
      </c>
      <c r="J45" s="5">
        <v>0.1004</v>
      </c>
    </row>
    <row r="46" spans="1:13" x14ac:dyDescent="0.25">
      <c r="F46" s="53"/>
      <c r="G46" s="53"/>
      <c r="I46" s="56">
        <f>SUM(I44:I45)</f>
        <v>14</v>
      </c>
      <c r="J46" s="6"/>
    </row>
    <row r="47" spans="1:13" x14ac:dyDescent="0.25">
      <c r="F47" s="53"/>
      <c r="G47" s="53"/>
      <c r="H47" t="s">
        <v>65</v>
      </c>
      <c r="I47" s="64">
        <f>I45/I46</f>
        <v>0.21428571428571427</v>
      </c>
      <c r="J47" s="65">
        <f>J45/J44*-1</f>
        <v>0.70062805303558962</v>
      </c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</row>
    <row r="70" spans="6:10" x14ac:dyDescent="0.25">
      <c r="F70" s="53"/>
      <c r="G70" s="53"/>
    </row>
    <row r="71" spans="6:10" x14ac:dyDescent="0.25">
      <c r="F71" s="53"/>
      <c r="G71" s="53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15A2-1C48-4FB7-AB8F-A363814DE946}">
  <dimension ref="A1:AC74"/>
  <sheetViews>
    <sheetView topLeftCell="A13"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46136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1149.19</v>
      </c>
      <c r="F7" s="3">
        <f t="shared" ref="F7:F17" si="0">E7*D7</f>
        <v>92397.404217999996</v>
      </c>
      <c r="G7" s="3">
        <f>61467.93+20488.3849-30223.69</f>
        <v>51732.624899999995</v>
      </c>
      <c r="H7" s="4">
        <f t="shared" ref="H7:H17" si="1">G7/D7</f>
        <v>643.42300210690746</v>
      </c>
      <c r="I7" s="3">
        <f t="shared" ref="I7:I17" si="2">F7-G7</f>
        <v>40664.779318000001</v>
      </c>
      <c r="J7" s="26">
        <f t="shared" ref="J7:J17" si="3">E7-H7</f>
        <v>505.76699789309259</v>
      </c>
      <c r="K7" s="27">
        <v>46000</v>
      </c>
      <c r="L7">
        <f>DAYS360(K7,$C$1)</f>
        <v>135</v>
      </c>
      <c r="M7" s="5">
        <f t="shared" ref="M7:M17" si="4">(I7/G7)</f>
        <v>0.78605675618829862</v>
      </c>
      <c r="N7" s="9">
        <v>10</v>
      </c>
      <c r="O7">
        <v>97</v>
      </c>
      <c r="P7" s="59">
        <v>80</v>
      </c>
      <c r="Q7" s="28">
        <v>701</v>
      </c>
      <c r="R7" s="29">
        <f t="shared" ref="R7:R17" si="5">Q7*0.93</f>
        <v>651.93000000000006</v>
      </c>
      <c r="S7" s="29">
        <v>708.75</v>
      </c>
      <c r="T7" s="28">
        <f t="shared" ref="T7:T17" si="6">Q7*1.25</f>
        <v>876.25</v>
      </c>
      <c r="U7" s="28">
        <f t="shared" ref="U7:U17" si="7">Q7*1.5</f>
        <v>1051.5</v>
      </c>
      <c r="V7" s="28">
        <f t="shared" ref="V7:V17" si="8">Q7*2</f>
        <v>1402</v>
      </c>
      <c r="W7" s="28">
        <f t="shared" ref="W7:W17" si="9">H7-(H7*0.07)</f>
        <v>598.38339195942399</v>
      </c>
      <c r="X7" s="29">
        <v>980</v>
      </c>
      <c r="Y7" s="5">
        <f t="shared" ref="Y7:Y17" si="10">(X7-H7)/H7</f>
        <v>0.52310376966779448</v>
      </c>
      <c r="Z7" s="6">
        <f t="shared" ref="Z7:Z17" si="11">F7/F$20</f>
        <v>0.15821890404660896</v>
      </c>
      <c r="AB7" s="55">
        <v>46232</v>
      </c>
      <c r="AC7" s="9">
        <v>99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216.09</v>
      </c>
      <c r="F8" s="3">
        <f t="shared" si="0"/>
        <v>39711.982968000004</v>
      </c>
      <c r="G8" s="3">
        <v>31661.82</v>
      </c>
      <c r="H8" s="4">
        <f t="shared" si="1"/>
        <v>172.28559675081294</v>
      </c>
      <c r="I8" s="3">
        <f t="shared" si="2"/>
        <v>8050.1629680000042</v>
      </c>
      <c r="J8" s="26">
        <f t="shared" si="3"/>
        <v>43.804403249187061</v>
      </c>
      <c r="K8" s="27">
        <v>46114</v>
      </c>
      <c r="L8">
        <f>DAYS360(K8,$C$1)</f>
        <v>22</v>
      </c>
      <c r="M8" s="5">
        <f t="shared" si="4"/>
        <v>0.25425458700731685</v>
      </c>
      <c r="N8" s="32">
        <v>102</v>
      </c>
      <c r="O8">
        <v>96</v>
      </c>
      <c r="P8" s="60">
        <v>94</v>
      </c>
      <c r="Q8" s="28">
        <v>168.08</v>
      </c>
      <c r="R8" s="29">
        <f t="shared" si="5"/>
        <v>156.31440000000001</v>
      </c>
      <c r="S8" s="29">
        <v>155.37</v>
      </c>
      <c r="T8" s="30">
        <f t="shared" si="6"/>
        <v>210.10000000000002</v>
      </c>
      <c r="U8" s="28">
        <f t="shared" si="7"/>
        <v>252.12</v>
      </c>
      <c r="V8" s="28">
        <f t="shared" si="8"/>
        <v>336.16</v>
      </c>
      <c r="W8" s="28">
        <f t="shared" si="9"/>
        <v>160.22560497825603</v>
      </c>
      <c r="X8" s="29">
        <v>185</v>
      </c>
      <c r="Y8" s="5">
        <f t="shared" si="10"/>
        <v>7.379841083045767E-2</v>
      </c>
      <c r="Z8" s="6">
        <f t="shared" si="11"/>
        <v>6.800176342497867E-2</v>
      </c>
      <c r="AB8" s="62">
        <v>46170</v>
      </c>
      <c r="AC8" s="32">
        <v>89</v>
      </c>
    </row>
    <row r="9" spans="1:29" x14ac:dyDescent="0.25">
      <c r="A9" t="s">
        <v>87</v>
      </c>
      <c r="B9" t="s">
        <v>29</v>
      </c>
      <c r="C9" s="25" t="s">
        <v>88</v>
      </c>
      <c r="D9" s="2">
        <f>518.2339+239.8468</f>
        <v>758.08069999999998</v>
      </c>
      <c r="E9" s="26">
        <v>88.79</v>
      </c>
      <c r="F9" s="3">
        <f t="shared" si="0"/>
        <v>67309.985352999996</v>
      </c>
      <c r="G9" s="3">
        <f>42849.56+20777.33</f>
        <v>63626.89</v>
      </c>
      <c r="H9" s="4">
        <f t="shared" si="1"/>
        <v>83.931552405964169</v>
      </c>
      <c r="I9" s="3">
        <f t="shared" si="2"/>
        <v>3683.095352999997</v>
      </c>
      <c r="J9" s="26">
        <f t="shared" si="3"/>
        <v>4.8584475940358374</v>
      </c>
      <c r="K9" s="27">
        <v>46120</v>
      </c>
      <c r="L9">
        <f>DAYS360(K9,$C$1)</f>
        <v>16</v>
      </c>
      <c r="M9" s="5">
        <f t="shared" si="4"/>
        <v>5.7885830236241269E-2</v>
      </c>
      <c r="N9" s="9">
        <v>32</v>
      </c>
      <c r="O9">
        <v>95</v>
      </c>
      <c r="P9" s="59">
        <v>74</v>
      </c>
      <c r="Q9" s="28">
        <v>86.09</v>
      </c>
      <c r="R9" s="29">
        <f t="shared" si="5"/>
        <v>80.063700000000011</v>
      </c>
      <c r="S9" s="29">
        <v>78</v>
      </c>
      <c r="T9" s="28">
        <f t="shared" si="6"/>
        <v>107.61250000000001</v>
      </c>
      <c r="U9" s="28">
        <f t="shared" si="7"/>
        <v>129.13499999999999</v>
      </c>
      <c r="V9" s="28">
        <f t="shared" si="8"/>
        <v>172.18</v>
      </c>
      <c r="W9" s="28">
        <f t="shared" si="9"/>
        <v>78.056343737546683</v>
      </c>
      <c r="X9" s="29">
        <v>77.5</v>
      </c>
      <c r="Y9" s="5">
        <f t="shared" si="10"/>
        <v>-7.6628541014655924E-2</v>
      </c>
      <c r="Z9" s="6">
        <f t="shared" si="11"/>
        <v>0.11525986259114283</v>
      </c>
      <c r="AB9" s="55">
        <v>46169</v>
      </c>
      <c r="AC9" s="59">
        <v>98</v>
      </c>
    </row>
    <row r="10" spans="1:29" x14ac:dyDescent="0.25">
      <c r="A10" t="s">
        <v>89</v>
      </c>
      <c r="B10" t="s">
        <v>29</v>
      </c>
      <c r="C10" s="25" t="s">
        <v>90</v>
      </c>
      <c r="D10" s="2">
        <f>175.1868+89.2865</f>
        <v>264.47329999999999</v>
      </c>
      <c r="E10" s="26">
        <v>251.7</v>
      </c>
      <c r="F10" s="3">
        <f t="shared" si="0"/>
        <v>66567.929609999992</v>
      </c>
      <c r="G10" s="3">
        <f>43046.46+22443.88</f>
        <v>65490.34</v>
      </c>
      <c r="H10" s="4">
        <f t="shared" si="1"/>
        <v>247.62552590374906</v>
      </c>
      <c r="I10" s="3">
        <f t="shared" si="2"/>
        <v>1077.5896099999954</v>
      </c>
      <c r="J10" s="26">
        <f t="shared" si="3"/>
        <v>4.074474096250924</v>
      </c>
      <c r="K10" s="27">
        <v>46121</v>
      </c>
      <c r="L10">
        <f t="shared" ref="L10:L17" si="12">DAYS360(K10,$C$1)</f>
        <v>15</v>
      </c>
      <c r="M10" s="5">
        <f t="shared" si="4"/>
        <v>1.6454176448007379E-2</v>
      </c>
      <c r="N10" s="9">
        <v>33</v>
      </c>
      <c r="O10">
        <v>97</v>
      </c>
      <c r="P10" s="59">
        <v>95</v>
      </c>
      <c r="Q10" s="28">
        <v>243.8</v>
      </c>
      <c r="R10" s="29">
        <f t="shared" si="5"/>
        <v>226.73400000000001</v>
      </c>
      <c r="S10" s="29">
        <v>206</v>
      </c>
      <c r="T10" s="30">
        <f t="shared" si="6"/>
        <v>304.75</v>
      </c>
      <c r="U10" s="28">
        <f t="shared" si="7"/>
        <v>365.70000000000005</v>
      </c>
      <c r="V10" s="28">
        <f t="shared" si="8"/>
        <v>487.6</v>
      </c>
      <c r="W10" s="28">
        <f t="shared" si="9"/>
        <v>230.29173909048663</v>
      </c>
      <c r="X10" s="29">
        <v>225</v>
      </c>
      <c r="Y10" s="5">
        <f t="shared" si="10"/>
        <v>-9.136992570201953E-2</v>
      </c>
      <c r="Z10" s="31">
        <f t="shared" si="11"/>
        <v>0.11398918569937708</v>
      </c>
      <c r="AB10" s="55">
        <v>46169</v>
      </c>
      <c r="AC10" s="9">
        <v>99</v>
      </c>
    </row>
    <row r="11" spans="1:29" x14ac:dyDescent="0.25">
      <c r="A11" t="s">
        <v>91</v>
      </c>
      <c r="B11" t="s">
        <v>29</v>
      </c>
      <c r="C11" s="25" t="s">
        <v>92</v>
      </c>
      <c r="D11" s="2">
        <f>222.1406+146.2597</f>
        <v>368.40030000000002</v>
      </c>
      <c r="E11" s="26">
        <v>147.16</v>
      </c>
      <c r="F11" s="3">
        <f t="shared" si="0"/>
        <v>54213.788148</v>
      </c>
      <c r="G11" s="3">
        <f>32498.71+23220.22</f>
        <v>55718.93</v>
      </c>
      <c r="H11" s="4">
        <f t="shared" si="1"/>
        <v>151.2456151637227</v>
      </c>
      <c r="I11" s="3">
        <f t="shared" si="2"/>
        <v>-1505.1418520000007</v>
      </c>
      <c r="J11" s="26">
        <f t="shared" si="3"/>
        <v>-4.0856151637227072</v>
      </c>
      <c r="K11" s="27">
        <v>46122</v>
      </c>
      <c r="L11">
        <f t="shared" si="12"/>
        <v>14</v>
      </c>
      <c r="M11" s="5">
        <f t="shared" si="4"/>
        <v>-2.7013114788815948E-2</v>
      </c>
      <c r="N11" s="9">
        <v>125</v>
      </c>
      <c r="O11">
        <v>98</v>
      </c>
      <c r="P11" s="59">
        <v>1</v>
      </c>
      <c r="Q11" s="28">
        <v>141.1</v>
      </c>
      <c r="R11" s="29">
        <f t="shared" si="5"/>
        <v>131.22300000000001</v>
      </c>
      <c r="S11" s="29">
        <v>89.65</v>
      </c>
      <c r="T11" s="28">
        <f t="shared" si="6"/>
        <v>176.375</v>
      </c>
      <c r="U11" s="28">
        <f t="shared" si="7"/>
        <v>211.64999999999998</v>
      </c>
      <c r="V11" s="28">
        <f t="shared" si="8"/>
        <v>282.2</v>
      </c>
      <c r="W11" s="28">
        <f t="shared" si="9"/>
        <v>140.65842210226211</v>
      </c>
      <c r="X11" s="29">
        <v>134</v>
      </c>
      <c r="Y11" s="5">
        <f t="shared" si="10"/>
        <v>-0.11402390175116417</v>
      </c>
      <c r="Z11" s="6">
        <f t="shared" si="11"/>
        <v>9.2834276217908962E-2</v>
      </c>
      <c r="AB11" s="57">
        <v>46141</v>
      </c>
      <c r="AC11" s="9">
        <v>61</v>
      </c>
    </row>
    <row r="12" spans="1:29" x14ac:dyDescent="0.25">
      <c r="A12" t="s">
        <v>93</v>
      </c>
      <c r="B12" t="s">
        <v>29</v>
      </c>
      <c r="C12" s="25" t="s">
        <v>94</v>
      </c>
      <c r="D12" s="2">
        <v>150.9881</v>
      </c>
      <c r="E12" s="26">
        <v>408.83</v>
      </c>
      <c r="F12" s="3">
        <f t="shared" si="0"/>
        <v>61728.464923</v>
      </c>
      <c r="G12" s="3">
        <v>54708.95</v>
      </c>
      <c r="H12" s="4">
        <f t="shared" si="1"/>
        <v>362.33948238304873</v>
      </c>
      <c r="I12" s="3">
        <f t="shared" si="2"/>
        <v>7019.5149230000025</v>
      </c>
      <c r="J12" s="26">
        <f t="shared" si="3"/>
        <v>46.490517616951252</v>
      </c>
      <c r="K12" s="27">
        <v>46125</v>
      </c>
      <c r="L12">
        <f t="shared" si="12"/>
        <v>11</v>
      </c>
      <c r="M12" s="5">
        <f t="shared" si="4"/>
        <v>0.12830651882370256</v>
      </c>
      <c r="N12" s="9">
        <v>9</v>
      </c>
      <c r="O12">
        <v>98</v>
      </c>
      <c r="P12" s="60">
        <v>99</v>
      </c>
      <c r="Q12" s="28">
        <v>352.2</v>
      </c>
      <c r="R12" s="29">
        <f t="shared" si="5"/>
        <v>327.54599999999999</v>
      </c>
      <c r="S12" s="29">
        <v>253.11</v>
      </c>
      <c r="T12" s="30">
        <f t="shared" si="6"/>
        <v>440.25</v>
      </c>
      <c r="U12" s="28">
        <f t="shared" si="7"/>
        <v>528.29999999999995</v>
      </c>
      <c r="V12" s="28">
        <f t="shared" si="8"/>
        <v>704.4</v>
      </c>
      <c r="W12" s="28">
        <f t="shared" si="9"/>
        <v>336.97571861623533</v>
      </c>
      <c r="X12" s="29">
        <v>355</v>
      </c>
      <c r="Y12" s="5">
        <f t="shared" si="10"/>
        <v>-2.0255817375402021E-2</v>
      </c>
      <c r="Z12" s="6">
        <f t="shared" si="11"/>
        <v>0.10570221264607739</v>
      </c>
      <c r="AB12" s="57">
        <v>46139</v>
      </c>
      <c r="AC12" s="9">
        <v>99</v>
      </c>
    </row>
    <row r="13" spans="1:29" x14ac:dyDescent="0.25">
      <c r="A13" t="s">
        <v>82</v>
      </c>
      <c r="B13" t="s">
        <v>29</v>
      </c>
      <c r="C13" s="25" t="s">
        <v>83</v>
      </c>
      <c r="D13" s="2">
        <v>144.76</v>
      </c>
      <c r="E13" s="26">
        <v>498.75</v>
      </c>
      <c r="F13" s="3">
        <f t="shared" si="0"/>
        <v>72199.049999999988</v>
      </c>
      <c r="G13" s="3">
        <v>66860.710000000006</v>
      </c>
      <c r="H13" s="4">
        <f t="shared" si="1"/>
        <v>461.87282398452618</v>
      </c>
      <c r="I13" s="3">
        <f t="shared" si="2"/>
        <v>5338.339999999982</v>
      </c>
      <c r="J13" s="26">
        <f t="shared" si="3"/>
        <v>36.877176015473822</v>
      </c>
      <c r="K13" s="27">
        <v>46129</v>
      </c>
      <c r="L13">
        <f t="shared" si="12"/>
        <v>7</v>
      </c>
      <c r="M13" s="5">
        <f t="shared" si="4"/>
        <v>7.9842705828280638E-2</v>
      </c>
      <c r="N13" s="9">
        <v>14</v>
      </c>
      <c r="O13">
        <v>96</v>
      </c>
      <c r="P13" s="59">
        <v>99</v>
      </c>
      <c r="Q13" s="28">
        <v>472.61</v>
      </c>
      <c r="R13" s="29">
        <f t="shared" si="5"/>
        <v>439.52730000000003</v>
      </c>
      <c r="S13" s="29">
        <v>362.59</v>
      </c>
      <c r="T13" s="28">
        <f t="shared" si="6"/>
        <v>590.76250000000005</v>
      </c>
      <c r="U13" s="28">
        <f t="shared" si="7"/>
        <v>708.91499999999996</v>
      </c>
      <c r="V13" s="28">
        <f t="shared" si="8"/>
        <v>945.22</v>
      </c>
      <c r="W13" s="28">
        <f t="shared" si="9"/>
        <v>429.54172630560936</v>
      </c>
      <c r="X13" s="29">
        <v>455</v>
      </c>
      <c r="Y13" s="5">
        <f t="shared" si="10"/>
        <v>-1.4880338542621061E-2</v>
      </c>
      <c r="Z13" s="31">
        <f t="shared" si="11"/>
        <v>0.12363176932172895</v>
      </c>
      <c r="AB13" s="55">
        <v>46146</v>
      </c>
      <c r="AC13" s="9">
        <v>99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45474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45474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45474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45474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454128.60522000003</v>
      </c>
      <c r="G18" s="3">
        <f>SUM(G6:G17)</f>
        <v>389800.26490000007</v>
      </c>
      <c r="H18" s="4"/>
      <c r="I18" s="3">
        <f>SUM(I6:I17)</f>
        <v>64328.340319999981</v>
      </c>
      <c r="M18" s="5"/>
      <c r="Z18" s="6"/>
    </row>
    <row r="19" spans="1:29" x14ac:dyDescent="0.25">
      <c r="D19" s="2" t="s">
        <v>32</v>
      </c>
      <c r="F19" s="3">
        <v>129856</v>
      </c>
      <c r="G19" s="6">
        <f>F19/F20</f>
        <v>0.22236202605217709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583984.60522000003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'04-17-26'!F20</f>
        <v>556441.803969</v>
      </c>
      <c r="K21" s="1">
        <v>45657</v>
      </c>
      <c r="L21" s="47">
        <v>208334</v>
      </c>
      <c r="M21" s="47">
        <v>216526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4.9498080580111244E-2</v>
      </c>
      <c r="K22" s="9" t="s">
        <v>54</v>
      </c>
      <c r="L22" s="6">
        <f>(M21-L21)/L21</f>
        <v>3.932147417128265E-2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39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39" si="14">F28/D28</f>
        <v>271.34091722620656</v>
      </c>
      <c r="F28" s="3">
        <v>78305</v>
      </c>
      <c r="G28" s="53">
        <v>73933.25</v>
      </c>
      <c r="H28" s="54">
        <f t="shared" ref="H28:H38" si="15">G28/D28</f>
        <v>256.19201671048387</v>
      </c>
      <c r="I28" s="54">
        <f t="shared" ref="I28:I38" si="16">G28-F28</f>
        <v>-4371.75</v>
      </c>
      <c r="J28" s="6">
        <f t="shared" ref="J28:J38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4"/>
        <v>643.42001341181731</v>
      </c>
      <c r="F39" s="3">
        <v>30223.69</v>
      </c>
      <c r="G39" s="53">
        <v>54219.4</v>
      </c>
      <c r="H39" s="54">
        <f t="shared" ref="H39" si="18">G39/D39</f>
        <v>1154.2550587033115</v>
      </c>
      <c r="I39" s="54">
        <f t="shared" ref="I39" si="19">G39-F39</f>
        <v>23995.710000000003</v>
      </c>
      <c r="J39" s="6">
        <f t="shared" ref="J39" si="20">I39/F39</f>
        <v>0.79393714003816229</v>
      </c>
      <c r="K39" s="27">
        <v>46000</v>
      </c>
      <c r="L39" s="1">
        <v>46135</v>
      </c>
      <c r="M39">
        <f t="shared" si="13"/>
        <v>134</v>
      </c>
    </row>
    <row r="40" spans="1:13" x14ac:dyDescent="0.25">
      <c r="C40" s="25"/>
      <c r="D40" s="2"/>
      <c r="E40" s="54"/>
      <c r="F40" s="3"/>
      <c r="G40" s="53"/>
      <c r="H40" s="54"/>
      <c r="I40" s="54"/>
      <c r="J40" s="6"/>
      <c r="K40" s="27"/>
      <c r="L40" s="1"/>
    </row>
    <row r="41" spans="1:13" x14ac:dyDescent="0.25">
      <c r="C41" s="25"/>
      <c r="D41" s="2"/>
      <c r="E41" s="54"/>
      <c r="F41" s="3"/>
      <c r="G41" s="53"/>
      <c r="H41" s="54"/>
      <c r="I41" s="54"/>
      <c r="J41" s="6"/>
      <c r="K41" s="27"/>
      <c r="L41" s="1"/>
    </row>
    <row r="42" spans="1:13" x14ac:dyDescent="0.25">
      <c r="C42" s="25"/>
      <c r="D42" s="2"/>
      <c r="E42" s="54"/>
      <c r="F42" s="3"/>
      <c r="G42" s="53"/>
      <c r="H42" s="54"/>
      <c r="I42" s="54"/>
      <c r="J42" s="6"/>
      <c r="K42" s="27"/>
      <c r="L42" s="1"/>
    </row>
    <row r="43" spans="1:13" x14ac:dyDescent="0.25">
      <c r="F43" s="53"/>
      <c r="G43" s="53"/>
      <c r="H43" s="3" t="s">
        <v>66</v>
      </c>
      <c r="I43" s="3">
        <f>SUM(I26:I38)</f>
        <v>-78432.552599999995</v>
      </c>
      <c r="J43" s="13" t="s">
        <v>49</v>
      </c>
    </row>
    <row r="44" spans="1:13" x14ac:dyDescent="0.25">
      <c r="F44" s="53"/>
      <c r="G44" s="53"/>
      <c r="H44" s="3" t="s">
        <v>50</v>
      </c>
      <c r="I44" s="56">
        <v>11</v>
      </c>
      <c r="J44" s="5">
        <v>-0.14330000000000001</v>
      </c>
    </row>
    <row r="45" spans="1:13" x14ac:dyDescent="0.25">
      <c r="F45" s="53"/>
      <c r="G45" s="53"/>
      <c r="H45" s="3" t="s">
        <v>51</v>
      </c>
      <c r="I45" s="63">
        <v>4</v>
      </c>
      <c r="J45" s="5">
        <v>0.27379999999999999</v>
      </c>
    </row>
    <row r="46" spans="1:13" x14ac:dyDescent="0.25">
      <c r="F46" s="53"/>
      <c r="G46" s="53"/>
      <c r="I46" s="56">
        <f>SUM(I44:I45)</f>
        <v>15</v>
      </c>
      <c r="J46" s="6"/>
    </row>
    <row r="47" spans="1:13" x14ac:dyDescent="0.25">
      <c r="F47" s="53"/>
      <c r="G47" s="53"/>
      <c r="H47" t="s">
        <v>65</v>
      </c>
      <c r="I47" s="64">
        <f>I45/I46</f>
        <v>0.26666666666666666</v>
      </c>
      <c r="J47" s="65">
        <f>J45/J44*-1</f>
        <v>1.9106769016050242</v>
      </c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</row>
    <row r="70" spans="6:10" x14ac:dyDescent="0.25">
      <c r="F70" s="53"/>
      <c r="G70" s="53"/>
    </row>
    <row r="71" spans="6:10" x14ac:dyDescent="0.25">
      <c r="F71" s="53"/>
      <c r="G71" s="53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0776-8E82-400B-9F8A-C5CFA4FEA8A7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46143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1062.95</v>
      </c>
      <c r="F7" s="3">
        <f t="shared" ref="F7:F13" si="0">E7*D7</f>
        <v>85463.518490000002</v>
      </c>
      <c r="G7" s="3">
        <f>61467.93+20488.3849-30223.69</f>
        <v>51732.624899999995</v>
      </c>
      <c r="H7" s="4">
        <f t="shared" ref="H7:H13" si="1">G7/D7</f>
        <v>643.42300210690746</v>
      </c>
      <c r="I7" s="3">
        <f t="shared" ref="I7:I13" si="2">F7-G7</f>
        <v>33730.893590000007</v>
      </c>
      <c r="J7" s="26">
        <f t="shared" ref="J7:J13" si="3">E7-H7</f>
        <v>419.52699789309258</v>
      </c>
      <c r="K7" s="27">
        <v>46000</v>
      </c>
      <c r="L7">
        <f>DAYS360(K7,$C$1)</f>
        <v>142</v>
      </c>
      <c r="M7" s="5">
        <f t="shared" ref="M7:M13" si="4">(I7/G7)</f>
        <v>0.65202362445753281</v>
      </c>
      <c r="N7" s="9">
        <v>11</v>
      </c>
      <c r="O7">
        <v>95</v>
      </c>
      <c r="P7" s="59">
        <v>86</v>
      </c>
      <c r="Q7" s="28">
        <v>701</v>
      </c>
      <c r="R7" s="29">
        <f>Q7*0.93</f>
        <v>651.93000000000006</v>
      </c>
      <c r="S7" s="29">
        <v>708.75</v>
      </c>
      <c r="T7" s="28">
        <f t="shared" ref="T7:T13" si="5">Q7*1.25</f>
        <v>876.25</v>
      </c>
      <c r="U7" s="28">
        <f t="shared" ref="U7:U13" si="6">Q7*1.5</f>
        <v>1051.5</v>
      </c>
      <c r="V7" s="28">
        <f t="shared" ref="V7:V13" si="7">Q7*2</f>
        <v>1402</v>
      </c>
      <c r="W7" s="28">
        <f t="shared" ref="W7:W13" si="8">H7-(H7*0.07)</f>
        <v>598.38339195942399</v>
      </c>
      <c r="X7" s="29">
        <v>980</v>
      </c>
      <c r="Y7" s="5">
        <f t="shared" ref="Y7:Y13" si="9">(X7-H7)/H7</f>
        <v>0.52310376966779448</v>
      </c>
      <c r="Z7" s="6">
        <f t="shared" ref="Z7:Z13" si="10">F7/F$20</f>
        <v>0.14871362577385502</v>
      </c>
      <c r="AB7" s="55">
        <v>46232</v>
      </c>
      <c r="AC7" s="9">
        <v>97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210.17</v>
      </c>
      <c r="F8" s="3">
        <f t="shared" si="0"/>
        <v>38624.033783999999</v>
      </c>
      <c r="G8" s="3">
        <v>31661.82</v>
      </c>
      <c r="H8" s="4">
        <f t="shared" si="1"/>
        <v>172.28559675081294</v>
      </c>
      <c r="I8" s="3">
        <f t="shared" si="2"/>
        <v>6962.2137839999996</v>
      </c>
      <c r="J8" s="26">
        <f t="shared" si="3"/>
        <v>37.884403249187045</v>
      </c>
      <c r="K8" s="27">
        <v>46114</v>
      </c>
      <c r="L8">
        <f>DAYS360(K8,$C$1)</f>
        <v>29</v>
      </c>
      <c r="M8" s="5">
        <f t="shared" si="4"/>
        <v>0.21989303786074205</v>
      </c>
      <c r="N8" s="32">
        <v>2</v>
      </c>
      <c r="O8">
        <v>94</v>
      </c>
      <c r="P8" s="60">
        <v>90</v>
      </c>
      <c r="Q8" s="28">
        <v>168.08</v>
      </c>
      <c r="R8" s="29">
        <f>Q8*0.93</f>
        <v>156.31440000000001</v>
      </c>
      <c r="S8" s="29">
        <v>155.37</v>
      </c>
      <c r="T8" s="30">
        <f t="shared" si="5"/>
        <v>210.10000000000002</v>
      </c>
      <c r="U8" s="28">
        <f t="shared" si="6"/>
        <v>252.12</v>
      </c>
      <c r="V8" s="28">
        <f t="shared" si="7"/>
        <v>336.16</v>
      </c>
      <c r="W8" s="28">
        <f t="shared" si="8"/>
        <v>160.22560497825603</v>
      </c>
      <c r="X8" s="29">
        <v>185</v>
      </c>
      <c r="Y8" s="5">
        <f t="shared" si="9"/>
        <v>7.379841083045767E-2</v>
      </c>
      <c r="Z8" s="6">
        <f t="shared" si="10"/>
        <v>6.7209029156722583E-2</v>
      </c>
      <c r="AB8" s="62">
        <v>46170</v>
      </c>
      <c r="AC8" s="32">
        <v>98</v>
      </c>
    </row>
    <row r="9" spans="1:29" x14ac:dyDescent="0.25">
      <c r="A9" t="s">
        <v>87</v>
      </c>
      <c r="B9" t="s">
        <v>29</v>
      </c>
      <c r="C9" s="25" t="s">
        <v>88</v>
      </c>
      <c r="D9" s="2">
        <f>518.2339+239.8468</f>
        <v>758.08069999999998</v>
      </c>
      <c r="E9" s="26">
        <v>92.68</v>
      </c>
      <c r="F9" s="3">
        <f t="shared" si="0"/>
        <v>70258.919276000001</v>
      </c>
      <c r="G9" s="3">
        <f>42849.56+20777.33</f>
        <v>63626.89</v>
      </c>
      <c r="H9" s="4">
        <f t="shared" si="1"/>
        <v>83.931552405964169</v>
      </c>
      <c r="I9" s="3">
        <f t="shared" si="2"/>
        <v>6632.0292760000011</v>
      </c>
      <c r="J9" s="26">
        <f t="shared" si="3"/>
        <v>8.7484475940358379</v>
      </c>
      <c r="K9" s="27">
        <v>46120</v>
      </c>
      <c r="L9">
        <f>DAYS360(K9,$C$1)</f>
        <v>23</v>
      </c>
      <c r="M9" s="5">
        <f t="shared" si="4"/>
        <v>0.10423312024208635</v>
      </c>
      <c r="N9" s="9">
        <v>32</v>
      </c>
      <c r="O9">
        <v>90</v>
      </c>
      <c r="P9" s="59">
        <v>44</v>
      </c>
      <c r="Q9" s="28">
        <v>86.09</v>
      </c>
      <c r="R9" s="29">
        <f>Q9*0.93</f>
        <v>80.063700000000011</v>
      </c>
      <c r="S9" s="29">
        <v>78</v>
      </c>
      <c r="T9" s="28">
        <f t="shared" si="5"/>
        <v>107.61250000000001</v>
      </c>
      <c r="U9" s="28">
        <f t="shared" si="6"/>
        <v>129.13499999999999</v>
      </c>
      <c r="V9" s="28">
        <f t="shared" si="7"/>
        <v>172.18</v>
      </c>
      <c r="W9" s="28">
        <f t="shared" si="8"/>
        <v>78.056343737546683</v>
      </c>
      <c r="X9" s="29">
        <v>77.5</v>
      </c>
      <c r="Y9" s="5">
        <f t="shared" si="9"/>
        <v>-7.6628541014655924E-2</v>
      </c>
      <c r="Z9" s="6">
        <f t="shared" si="10"/>
        <v>0.12225635935769619</v>
      </c>
      <c r="AB9" s="55">
        <v>46169</v>
      </c>
      <c r="AC9" s="59">
        <v>89</v>
      </c>
    </row>
    <row r="10" spans="1:29" x14ac:dyDescent="0.25">
      <c r="A10" t="s">
        <v>89</v>
      </c>
      <c r="B10" t="s">
        <v>29</v>
      </c>
      <c r="C10" s="25" t="s">
        <v>90</v>
      </c>
      <c r="D10" s="2">
        <f>175.1868+89.2865</f>
        <v>264.47329999999999</v>
      </c>
      <c r="E10" s="26">
        <v>266.83</v>
      </c>
      <c r="F10" s="3">
        <f t="shared" si="0"/>
        <v>70569.410638999994</v>
      </c>
      <c r="G10" s="3">
        <f>43046.46+22443.88</f>
        <v>65490.34</v>
      </c>
      <c r="H10" s="4">
        <f t="shared" si="1"/>
        <v>247.62552590374906</v>
      </c>
      <c r="I10" s="3">
        <f t="shared" si="2"/>
        <v>5079.0706389999978</v>
      </c>
      <c r="J10" s="26">
        <f t="shared" si="3"/>
        <v>19.20447409625092</v>
      </c>
      <c r="K10" s="27">
        <v>46121</v>
      </c>
      <c r="L10">
        <f>DAYS360(K10,$C$1)</f>
        <v>22</v>
      </c>
      <c r="M10" s="5">
        <f t="shared" si="4"/>
        <v>7.7554500999689385E-2</v>
      </c>
      <c r="N10" s="9">
        <v>50</v>
      </c>
      <c r="O10">
        <v>98</v>
      </c>
      <c r="P10" s="59">
        <v>91</v>
      </c>
      <c r="Q10" s="28">
        <v>243.8</v>
      </c>
      <c r="R10" s="29">
        <f>Q10*0.93</f>
        <v>226.73400000000001</v>
      </c>
      <c r="S10" s="29">
        <v>206</v>
      </c>
      <c r="T10" s="30">
        <f t="shared" si="5"/>
        <v>304.75</v>
      </c>
      <c r="U10" s="28">
        <f t="shared" si="6"/>
        <v>365.70000000000005</v>
      </c>
      <c r="V10" s="28">
        <f t="shared" si="7"/>
        <v>487.6</v>
      </c>
      <c r="W10" s="28">
        <f t="shared" si="8"/>
        <v>230.29173909048663</v>
      </c>
      <c r="X10" s="29">
        <v>225</v>
      </c>
      <c r="Y10" s="5">
        <f t="shared" si="9"/>
        <v>-9.136992570201953E-2</v>
      </c>
      <c r="Z10" s="31">
        <f t="shared" si="10"/>
        <v>0.12279664013689905</v>
      </c>
      <c r="AB10" s="55">
        <v>46169</v>
      </c>
      <c r="AC10" s="9">
        <v>98</v>
      </c>
    </row>
    <row r="11" spans="1:29" x14ac:dyDescent="0.25">
      <c r="A11" t="s">
        <v>82</v>
      </c>
      <c r="B11" t="s">
        <v>29</v>
      </c>
      <c r="C11" s="25" t="s">
        <v>83</v>
      </c>
      <c r="D11" s="2">
        <v>144.76</v>
      </c>
      <c r="E11" s="26">
        <v>532.66999999999996</v>
      </c>
      <c r="F11" s="3">
        <f t="shared" si="0"/>
        <v>77109.309199999989</v>
      </c>
      <c r="G11" s="3">
        <v>66860.710000000006</v>
      </c>
      <c r="H11" s="4">
        <f t="shared" si="1"/>
        <v>461.87282398452618</v>
      </c>
      <c r="I11" s="3">
        <f t="shared" si="2"/>
        <v>10248.599199999982</v>
      </c>
      <c r="J11" s="26">
        <f t="shared" si="3"/>
        <v>70.797176015473781</v>
      </c>
      <c r="K11" s="27">
        <v>46129</v>
      </c>
      <c r="L11">
        <f>DAYS360(K11,$C$1)</f>
        <v>14</v>
      </c>
      <c r="M11" s="5">
        <f t="shared" si="4"/>
        <v>0.15328283531538897</v>
      </c>
      <c r="N11" s="9">
        <v>7</v>
      </c>
      <c r="O11">
        <v>95</v>
      </c>
      <c r="P11" s="59">
        <v>99</v>
      </c>
      <c r="Q11" s="28">
        <v>472.61</v>
      </c>
      <c r="R11" s="29">
        <f>Q11*0.93</f>
        <v>439.52730000000003</v>
      </c>
      <c r="S11" s="29">
        <v>362.59</v>
      </c>
      <c r="T11" s="28">
        <f t="shared" si="5"/>
        <v>590.76250000000005</v>
      </c>
      <c r="U11" s="28">
        <f t="shared" si="6"/>
        <v>708.91499999999996</v>
      </c>
      <c r="V11" s="28">
        <f t="shared" si="7"/>
        <v>945.22</v>
      </c>
      <c r="W11" s="28">
        <f t="shared" si="8"/>
        <v>429.54172630560936</v>
      </c>
      <c r="X11" s="29">
        <v>455</v>
      </c>
      <c r="Y11" s="5">
        <f t="shared" si="9"/>
        <v>-1.4880338542621061E-2</v>
      </c>
      <c r="Z11" s="31">
        <f t="shared" si="10"/>
        <v>0.13417660721973482</v>
      </c>
      <c r="AB11" s="57">
        <v>46146</v>
      </c>
      <c r="AC11" s="9">
        <v>99</v>
      </c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ref="L12:L13" si="11">DAYS360(K12,$C$1)</f>
        <v>45481</v>
      </c>
      <c r="M12" s="5" t="e">
        <f t="shared" si="4"/>
        <v>#DIV/0!</v>
      </c>
      <c r="N12" s="9"/>
      <c r="P12" s="59"/>
      <c r="Q12" s="28"/>
      <c r="R12" s="29"/>
      <c r="S12" s="29"/>
      <c r="T12" s="28">
        <f t="shared" si="5"/>
        <v>0</v>
      </c>
      <c r="U12" s="28">
        <f t="shared" si="6"/>
        <v>0</v>
      </c>
      <c r="V12" s="28">
        <f t="shared" si="7"/>
        <v>0</v>
      </c>
      <c r="W12" s="28" t="e">
        <f t="shared" si="8"/>
        <v>#DIV/0!</v>
      </c>
      <c r="X12" s="29"/>
      <c r="Y12" s="5" t="e">
        <f t="shared" si="9"/>
        <v>#DIV/0!</v>
      </c>
      <c r="Z12" s="6">
        <f t="shared" si="10"/>
        <v>0</v>
      </c>
      <c r="AB12" s="57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1"/>
        <v>45481</v>
      </c>
      <c r="M13" s="5" t="e">
        <f t="shared" si="4"/>
        <v>#DIV/0!</v>
      </c>
      <c r="N13" s="9"/>
      <c r="P13" s="60"/>
      <c r="Q13" s="28"/>
      <c r="R13" s="29"/>
      <c r="S13" s="29"/>
      <c r="T13" s="30">
        <f t="shared" si="5"/>
        <v>0</v>
      </c>
      <c r="U13" s="28">
        <f t="shared" si="6"/>
        <v>0</v>
      </c>
      <c r="V13" s="28">
        <f t="shared" si="7"/>
        <v>0</v>
      </c>
      <c r="W13" s="28" t="e">
        <f t="shared" si="8"/>
        <v>#DIV/0!</v>
      </c>
      <c r="X13" s="29"/>
      <c r="Y13" s="5" t="e">
        <f t="shared" si="9"/>
        <v>#DIV/0!</v>
      </c>
      <c r="Z13" s="6">
        <f t="shared" si="10"/>
        <v>0</v>
      </c>
      <c r="AB13" s="57"/>
      <c r="AC13" s="9"/>
    </row>
    <row r="14" spans="1:29" x14ac:dyDescent="0.25">
      <c r="C14" s="25"/>
      <c r="D14" s="2"/>
      <c r="E14" s="26"/>
      <c r="F14" s="3">
        <f t="shared" ref="F14:F17" si="12">E14*D14</f>
        <v>0</v>
      </c>
      <c r="G14" s="3"/>
      <c r="H14" s="4" t="e">
        <f t="shared" ref="H14:H17" si="13">G14/D14</f>
        <v>#DIV/0!</v>
      </c>
      <c r="I14" s="3">
        <f t="shared" ref="I14:I17" si="14">F14-G14</f>
        <v>0</v>
      </c>
      <c r="J14" s="26" t="e">
        <f t="shared" ref="J14:J17" si="15">E14-H14</f>
        <v>#DIV/0!</v>
      </c>
      <c r="K14" s="27"/>
      <c r="L14">
        <f t="shared" ref="L14:L17" si="16">DAYS360(K14,$C$1)</f>
        <v>45481</v>
      </c>
      <c r="M14" s="5" t="e">
        <f t="shared" ref="M14:M17" si="17">(I14/G14)</f>
        <v>#DIV/0!</v>
      </c>
      <c r="N14" s="32"/>
      <c r="P14" s="60"/>
      <c r="Q14" s="28"/>
      <c r="R14" s="29">
        <f t="shared" ref="R14:R17" si="18">Q14*0.93</f>
        <v>0</v>
      </c>
      <c r="S14" s="29"/>
      <c r="T14" s="30">
        <f t="shared" ref="T14:T17" si="19">Q14*1.25</f>
        <v>0</v>
      </c>
      <c r="U14" s="28">
        <f t="shared" ref="U14:U17" si="20">Q14*1.5</f>
        <v>0</v>
      </c>
      <c r="V14" s="28">
        <f t="shared" ref="V14:V17" si="21">Q14*2</f>
        <v>0</v>
      </c>
      <c r="W14" s="28" t="e">
        <f t="shared" ref="W14:W17" si="22">H14-(H14*0.07)</f>
        <v>#DIV/0!</v>
      </c>
      <c r="X14" s="29"/>
      <c r="Y14" s="5" t="e">
        <f t="shared" ref="Y14:Y17" si="23">(X14-H14)/H14</f>
        <v>#DIV/0!</v>
      </c>
      <c r="Z14" s="6">
        <f t="shared" ref="Z14:Z17" si="24">F14/F$20</f>
        <v>0</v>
      </c>
      <c r="AB14" s="67"/>
      <c r="AC14" s="32"/>
    </row>
    <row r="15" spans="1:29" x14ac:dyDescent="0.25">
      <c r="C15" s="25"/>
      <c r="D15" s="2"/>
      <c r="E15" s="26"/>
      <c r="F15" s="3">
        <f t="shared" si="12"/>
        <v>0</v>
      </c>
      <c r="G15" s="3"/>
      <c r="H15" s="4" t="e">
        <f t="shared" si="13"/>
        <v>#DIV/0!</v>
      </c>
      <c r="I15" s="3">
        <f t="shared" si="14"/>
        <v>0</v>
      </c>
      <c r="J15" s="26" t="e">
        <f t="shared" si="15"/>
        <v>#DIV/0!</v>
      </c>
      <c r="K15" s="27"/>
      <c r="L15">
        <f t="shared" si="16"/>
        <v>45481</v>
      </c>
      <c r="M15" s="5" t="e">
        <f t="shared" si="17"/>
        <v>#DIV/0!</v>
      </c>
      <c r="N15" s="9"/>
      <c r="P15" s="32"/>
      <c r="Q15" s="28"/>
      <c r="R15" s="29">
        <f t="shared" si="18"/>
        <v>0</v>
      </c>
      <c r="S15" s="29"/>
      <c r="T15" s="28">
        <f t="shared" si="19"/>
        <v>0</v>
      </c>
      <c r="U15" s="28">
        <f t="shared" si="20"/>
        <v>0</v>
      </c>
      <c r="V15" s="28">
        <f t="shared" si="21"/>
        <v>0</v>
      </c>
      <c r="W15" s="28" t="e">
        <f t="shared" si="22"/>
        <v>#DIV/0!</v>
      </c>
      <c r="X15" s="29"/>
      <c r="Y15" s="5" t="e">
        <f t="shared" si="23"/>
        <v>#DIV/0!</v>
      </c>
      <c r="Z15" s="31">
        <f t="shared" si="24"/>
        <v>0</v>
      </c>
      <c r="AB15" s="55"/>
      <c r="AC15" s="9"/>
    </row>
    <row r="16" spans="1:29" x14ac:dyDescent="0.25">
      <c r="C16" s="25"/>
      <c r="D16" s="2"/>
      <c r="E16" s="26"/>
      <c r="F16" s="3">
        <f t="shared" si="12"/>
        <v>0</v>
      </c>
      <c r="G16" s="3"/>
      <c r="H16" s="4" t="e">
        <f t="shared" si="13"/>
        <v>#DIV/0!</v>
      </c>
      <c r="I16" s="3">
        <f t="shared" si="14"/>
        <v>0</v>
      </c>
      <c r="J16" s="26" t="e">
        <f t="shared" si="15"/>
        <v>#DIV/0!</v>
      </c>
      <c r="K16" s="27"/>
      <c r="L16">
        <f t="shared" si="16"/>
        <v>45481</v>
      </c>
      <c r="M16" s="5" t="e">
        <f t="shared" si="17"/>
        <v>#DIV/0!</v>
      </c>
      <c r="P16" s="59"/>
      <c r="Q16" s="28"/>
      <c r="R16" s="29">
        <f t="shared" si="18"/>
        <v>0</v>
      </c>
      <c r="S16" s="29"/>
      <c r="T16" s="28">
        <f t="shared" si="19"/>
        <v>0</v>
      </c>
      <c r="U16" s="28">
        <f t="shared" si="20"/>
        <v>0</v>
      </c>
      <c r="V16" s="28">
        <f t="shared" si="21"/>
        <v>0</v>
      </c>
      <c r="W16" s="28" t="e">
        <f t="shared" si="22"/>
        <v>#DIV/0!</v>
      </c>
      <c r="X16" s="29"/>
      <c r="Y16" s="5" t="e">
        <f t="shared" si="23"/>
        <v>#DIV/0!</v>
      </c>
      <c r="Z16" s="31">
        <f t="shared" si="24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2"/>
        <v>0</v>
      </c>
      <c r="G17" s="37"/>
      <c r="H17" s="38" t="e">
        <f t="shared" si="13"/>
        <v>#DIV/0!</v>
      </c>
      <c r="I17" s="37">
        <f t="shared" si="14"/>
        <v>0</v>
      </c>
      <c r="J17" s="36" t="e">
        <f t="shared" si="15"/>
        <v>#DIV/0!</v>
      </c>
      <c r="K17" s="39"/>
      <c r="L17" s="33">
        <f t="shared" si="16"/>
        <v>45481</v>
      </c>
      <c r="M17" s="40" t="e">
        <f t="shared" si="17"/>
        <v>#DIV/0!</v>
      </c>
      <c r="N17" s="33"/>
      <c r="O17" s="33"/>
      <c r="P17" s="61"/>
      <c r="Q17" s="41"/>
      <c r="R17" s="42">
        <f t="shared" si="18"/>
        <v>0</v>
      </c>
      <c r="S17" s="42"/>
      <c r="T17" s="43">
        <f t="shared" si="19"/>
        <v>0</v>
      </c>
      <c r="U17" s="41">
        <f t="shared" si="20"/>
        <v>0</v>
      </c>
      <c r="V17" s="41">
        <f t="shared" si="21"/>
        <v>0</v>
      </c>
      <c r="W17" s="41" t="e">
        <f t="shared" si="22"/>
        <v>#DIV/0!</v>
      </c>
      <c r="X17" s="42"/>
      <c r="Y17" s="40" t="e">
        <f t="shared" si="23"/>
        <v>#DIV/0!</v>
      </c>
      <c r="Z17" s="44">
        <f t="shared" si="24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342025.19138900004</v>
      </c>
      <c r="G18" s="3">
        <f>SUM(G6:G17)</f>
        <v>279372.3849</v>
      </c>
      <c r="H18" s="4"/>
      <c r="I18" s="3">
        <f>SUM(I6:I17)</f>
        <v>62652.806488999988</v>
      </c>
      <c r="M18" s="5"/>
      <c r="Z18" s="6"/>
    </row>
    <row r="19" spans="1:29" x14ac:dyDescent="0.25">
      <c r="D19" s="2" t="s">
        <v>32</v>
      </c>
      <c r="F19" s="3">
        <v>232660</v>
      </c>
      <c r="G19" s="6">
        <f>F19/F20</f>
        <v>0.40484773835509225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574685.19138900004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'04-24-26'!F20</f>
        <v>583984.60522000003</v>
      </c>
      <c r="K21" s="1">
        <v>45657</v>
      </c>
      <c r="L21" s="47">
        <v>208334</v>
      </c>
      <c r="M21" s="47">
        <v>212534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-1.592407359350969E-2</v>
      </c>
      <c r="K22" s="9" t="s">
        <v>54</v>
      </c>
      <c r="L22" s="6">
        <f>(M21-L21)/L21</f>
        <v>2.0159935488206437E-2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1" si="25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25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1" si="26">F28/D28</f>
        <v>271.34091722620656</v>
      </c>
      <c r="F28" s="3">
        <v>78305</v>
      </c>
      <c r="G28" s="53">
        <v>73933.25</v>
      </c>
      <c r="H28" s="54">
        <f t="shared" ref="H28:H39" si="27">G28/D28</f>
        <v>256.19201671048387</v>
      </c>
      <c r="I28" s="54">
        <f t="shared" ref="I28:I39" si="28">G28-F28</f>
        <v>-4371.75</v>
      </c>
      <c r="J28" s="6">
        <f t="shared" ref="J28:J39" si="29">I28/F28</f>
        <v>-5.5829768214034861E-2</v>
      </c>
      <c r="K28" s="1">
        <v>45971</v>
      </c>
      <c r="L28" s="1">
        <v>46038</v>
      </c>
      <c r="M28">
        <f t="shared" si="25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26"/>
        <v>478.84701522846564</v>
      </c>
      <c r="F29" s="3">
        <v>61897.919999999998</v>
      </c>
      <c r="G29" s="53">
        <v>54753.85</v>
      </c>
      <c r="H29" s="54">
        <f t="shared" si="27"/>
        <v>423.57994654371464</v>
      </c>
      <c r="I29" s="54">
        <f t="shared" si="28"/>
        <v>-7144.07</v>
      </c>
      <c r="J29" s="6">
        <f t="shared" si="29"/>
        <v>-0.11541696393029038</v>
      </c>
      <c r="K29" s="1">
        <v>46006</v>
      </c>
      <c r="L29" s="1">
        <v>46051</v>
      </c>
      <c r="M29">
        <f t="shared" si="25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26"/>
        <v>145.61999516394894</v>
      </c>
      <c r="F30" s="3">
        <v>61848.7</v>
      </c>
      <c r="G30" s="53">
        <v>58111.070800000001</v>
      </c>
      <c r="H30" s="54">
        <f t="shared" si="27"/>
        <v>136.81991454740191</v>
      </c>
      <c r="I30" s="54">
        <f t="shared" si="28"/>
        <v>-3737.6291999999958</v>
      </c>
      <c r="J30" s="6">
        <f t="shared" si="29"/>
        <v>-6.0431815058360094E-2</v>
      </c>
      <c r="K30" s="27">
        <v>46034</v>
      </c>
      <c r="L30" s="1">
        <v>46057</v>
      </c>
      <c r="M30">
        <f t="shared" si="25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26"/>
        <v>55.207341751332095</v>
      </c>
      <c r="F31" s="3">
        <v>72367.23</v>
      </c>
      <c r="G31" s="53">
        <v>67265.89</v>
      </c>
      <c r="H31" s="54">
        <f t="shared" si="27"/>
        <v>51.315643523145937</v>
      </c>
      <c r="I31" s="54">
        <f t="shared" si="28"/>
        <v>-5101.3399999999965</v>
      </c>
      <c r="J31" s="6">
        <f t="shared" si="29"/>
        <v>-7.0492403813162352E-2</v>
      </c>
      <c r="K31" s="27">
        <v>46035</v>
      </c>
      <c r="L31" s="1">
        <v>46057</v>
      </c>
      <c r="M31">
        <f t="shared" si="25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26"/>
        <v>80.130014013049191</v>
      </c>
      <c r="F32" s="3">
        <v>36213.629999999997</v>
      </c>
      <c r="G32" s="53">
        <v>43431.476999999999</v>
      </c>
      <c r="H32" s="54">
        <f t="shared" si="27"/>
        <v>96.100966973413705</v>
      </c>
      <c r="I32" s="54">
        <f t="shared" si="28"/>
        <v>7217.8470000000016</v>
      </c>
      <c r="J32" s="6">
        <f t="shared" si="29"/>
        <v>0.19931299347787013</v>
      </c>
      <c r="K32" s="27">
        <v>46027</v>
      </c>
      <c r="L32" s="1">
        <v>46057</v>
      </c>
      <c r="M32">
        <f t="shared" si="25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26"/>
        <v>21.050759843181712</v>
      </c>
      <c r="F33" s="3">
        <v>60465.55</v>
      </c>
      <c r="G33" s="53">
        <v>55822.989600000001</v>
      </c>
      <c r="H33" s="54">
        <f t="shared" si="27"/>
        <v>19.434477116275801</v>
      </c>
      <c r="I33" s="54">
        <f t="shared" si="28"/>
        <v>-4642.5604000000021</v>
      </c>
      <c r="J33" s="6">
        <f t="shared" si="29"/>
        <v>-7.6780255864703162E-2</v>
      </c>
      <c r="K33" s="27">
        <v>46027</v>
      </c>
      <c r="L33" s="1">
        <v>46057</v>
      </c>
      <c r="M33">
        <f t="shared" si="25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26"/>
        <v>434.85074082715977</v>
      </c>
      <c r="F34" s="3">
        <v>59637.17</v>
      </c>
      <c r="G34" s="53">
        <v>53506.86</v>
      </c>
      <c r="H34" s="54">
        <f t="shared" si="27"/>
        <v>390.15093624219799</v>
      </c>
      <c r="I34" s="54">
        <f t="shared" si="28"/>
        <v>-6130.3099999999977</v>
      </c>
      <c r="J34" s="6">
        <f t="shared" si="29"/>
        <v>-0.10279344241183809</v>
      </c>
      <c r="K34" s="27">
        <v>46063</v>
      </c>
      <c r="L34" s="1">
        <v>46085</v>
      </c>
      <c r="M34">
        <f t="shared" si="25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26"/>
        <v>112.41206140057369</v>
      </c>
      <c r="F35" s="3">
        <f>24221.64+10214.21</f>
        <v>34435.85</v>
      </c>
      <c r="G35" s="53">
        <v>34880.3246</v>
      </c>
      <c r="H35" s="54">
        <f t="shared" si="27"/>
        <v>113.86300005973835</v>
      </c>
      <c r="I35" s="54">
        <f t="shared" si="28"/>
        <v>444.47460000000137</v>
      </c>
      <c r="J35" s="6">
        <f t="shared" si="29"/>
        <v>1.2907321875313123E-2</v>
      </c>
      <c r="K35" s="27">
        <v>46072</v>
      </c>
      <c r="L35" s="1">
        <v>46085</v>
      </c>
      <c r="M35">
        <f t="shared" si="25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26"/>
        <v>118.60769778513222</v>
      </c>
      <c r="F36" s="3">
        <v>48654.55</v>
      </c>
      <c r="G36" s="53">
        <v>32800.589999999997</v>
      </c>
      <c r="H36" s="54">
        <f t="shared" si="27"/>
        <v>79.959684467208703</v>
      </c>
      <c r="I36" s="54">
        <f t="shared" si="28"/>
        <v>-15853.960000000006</v>
      </c>
      <c r="J36" s="6">
        <f t="shared" si="29"/>
        <v>-0.32584742845222092</v>
      </c>
      <c r="K36" s="27">
        <v>46062</v>
      </c>
      <c r="L36" s="1">
        <v>46093</v>
      </c>
      <c r="M36">
        <f t="shared" si="25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26"/>
        <v>39.561729974101887</v>
      </c>
      <c r="F37" s="3">
        <f>30380.12+16944.65</f>
        <v>47324.770000000004</v>
      </c>
      <c r="G37" s="53">
        <v>51539.4</v>
      </c>
      <c r="H37" s="54">
        <f t="shared" si="27"/>
        <v>43.085002332335193</v>
      </c>
      <c r="I37" s="54">
        <f t="shared" si="28"/>
        <v>4214.6299999999974</v>
      </c>
      <c r="J37" s="6">
        <f t="shared" si="29"/>
        <v>8.9057590771175366E-2</v>
      </c>
      <c r="K37" s="27">
        <v>46021</v>
      </c>
      <c r="L37" s="1">
        <v>46111</v>
      </c>
      <c r="M37">
        <f t="shared" si="25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26"/>
        <v>38.367801566497917</v>
      </c>
      <c r="F38" s="3">
        <f>30923.76+17760.7+20459.97</f>
        <v>69144.429999999993</v>
      </c>
      <c r="G38" s="53">
        <v>40461.81</v>
      </c>
      <c r="H38" s="54">
        <f t="shared" si="27"/>
        <v>22.451999345447508</v>
      </c>
      <c r="I38" s="54">
        <f t="shared" si="28"/>
        <v>-28682.619999999995</v>
      </c>
      <c r="J38" s="6">
        <f t="shared" si="29"/>
        <v>-0.41482184465183963</v>
      </c>
      <c r="K38" s="27">
        <v>46043</v>
      </c>
      <c r="L38" s="1">
        <v>46111</v>
      </c>
      <c r="M38">
        <f t="shared" si="25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26"/>
        <v>643.42001341181731</v>
      </c>
      <c r="F39" s="3">
        <v>30223.69</v>
      </c>
      <c r="G39" s="53">
        <v>54219.4</v>
      </c>
      <c r="H39" s="54">
        <f t="shared" si="27"/>
        <v>1154.2550587033115</v>
      </c>
      <c r="I39" s="54">
        <f t="shared" si="28"/>
        <v>23995.710000000003</v>
      </c>
      <c r="J39" s="6">
        <f t="shared" si="29"/>
        <v>0.79393714003816229</v>
      </c>
      <c r="K39" s="27">
        <v>46000</v>
      </c>
      <c r="L39" s="1">
        <v>46135</v>
      </c>
      <c r="M39">
        <f t="shared" si="25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26"/>
        <v>362.33948238304873</v>
      </c>
      <c r="F40" s="3">
        <v>54708.95</v>
      </c>
      <c r="G40" s="53">
        <v>53696.78</v>
      </c>
      <c r="H40" s="54">
        <f t="shared" ref="H40:H41" si="30">G40/D40</f>
        <v>355.63584150009171</v>
      </c>
      <c r="I40" s="54">
        <f t="shared" ref="I40:I41" si="31">G40-F40</f>
        <v>-1012.1699999999983</v>
      </c>
      <c r="J40" s="6">
        <f t="shared" ref="J40:J41" si="32">I40/F40</f>
        <v>-1.8500994809807141E-2</v>
      </c>
      <c r="K40" s="27">
        <v>46125</v>
      </c>
      <c r="L40" s="1">
        <v>46140</v>
      </c>
      <c r="M40">
        <f t="shared" si="25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26"/>
        <v>151.2456151637227</v>
      </c>
      <c r="F41" s="3">
        <f>32498.71+23220.22</f>
        <v>55718.93</v>
      </c>
      <c r="G41" s="53">
        <v>48956.11</v>
      </c>
      <c r="H41" s="54">
        <f t="shared" si="30"/>
        <v>132.88835541121981</v>
      </c>
      <c r="I41" s="54">
        <f t="shared" si="31"/>
        <v>-6762.82</v>
      </c>
      <c r="J41" s="6">
        <f t="shared" si="32"/>
        <v>-0.12137383111987254</v>
      </c>
      <c r="K41" s="27">
        <v>46122</v>
      </c>
      <c r="L41" s="1">
        <v>46140</v>
      </c>
      <c r="M41">
        <f t="shared" si="25"/>
        <v>18</v>
      </c>
    </row>
    <row r="42" spans="1:13" x14ac:dyDescent="0.25">
      <c r="C42" s="25"/>
      <c r="D42" s="2"/>
      <c r="E42" s="54"/>
      <c r="F42" s="3"/>
      <c r="G42" s="53"/>
      <c r="H42" s="54"/>
      <c r="I42" s="54"/>
      <c r="J42" s="6"/>
      <c r="K42" s="27"/>
      <c r="L42" s="1"/>
    </row>
    <row r="43" spans="1:13" x14ac:dyDescent="0.25">
      <c r="F43" s="53"/>
      <c r="G43" s="53"/>
      <c r="H43" s="3" t="s">
        <v>66</v>
      </c>
      <c r="I43" s="3">
        <f>SUM(I26:I38)</f>
        <v>-78432.552599999995</v>
      </c>
      <c r="J43" s="13" t="s">
        <v>49</v>
      </c>
    </row>
    <row r="44" spans="1:13" x14ac:dyDescent="0.25">
      <c r="F44" s="53"/>
      <c r="G44" s="53"/>
      <c r="H44" s="3" t="s">
        <v>50</v>
      </c>
      <c r="I44" s="56">
        <v>13</v>
      </c>
      <c r="J44" s="5">
        <v>-0.13200000000000001</v>
      </c>
    </row>
    <row r="45" spans="1:13" x14ac:dyDescent="0.25">
      <c r="F45" s="53"/>
      <c r="G45" s="53"/>
      <c r="H45" s="3" t="s">
        <v>51</v>
      </c>
      <c r="I45" s="63">
        <v>4</v>
      </c>
      <c r="J45" s="5">
        <v>0.27379999999999999</v>
      </c>
    </row>
    <row r="46" spans="1:13" x14ac:dyDescent="0.25">
      <c r="F46" s="53"/>
      <c r="G46" s="53"/>
      <c r="I46" s="56">
        <f>SUM(I44:I45)</f>
        <v>17</v>
      </c>
      <c r="J46" s="6"/>
    </row>
    <row r="47" spans="1:13" x14ac:dyDescent="0.25">
      <c r="F47" s="53"/>
      <c r="G47" s="53"/>
      <c r="H47" t="s">
        <v>65</v>
      </c>
      <c r="I47" s="64">
        <f>I45/I46</f>
        <v>0.23529411764705882</v>
      </c>
      <c r="J47" s="65">
        <f>J45/J44*-1</f>
        <v>2.0742424242424242</v>
      </c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</row>
    <row r="70" spans="6:10" x14ac:dyDescent="0.25">
      <c r="F70" s="53"/>
      <c r="G70" s="53"/>
    </row>
    <row r="71" spans="6:10" x14ac:dyDescent="0.25">
      <c r="F71" s="53"/>
      <c r="G71" s="53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</sheetData>
  <sortState xmlns:xlrd2="http://schemas.microsoft.com/office/spreadsheetml/2017/richdata2" ref="A7:AC11">
    <sortCondition descending="1" ref="L7:L11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5A71-D21B-41BC-A3F2-7349E2E4DC48}">
  <dimension ref="A1:AC74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46150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1040.1500000000001</v>
      </c>
      <c r="F7" s="3">
        <f t="shared" ref="F7:F17" si="0">E7*D7</f>
        <v>83630.348329999993</v>
      </c>
      <c r="G7" s="3">
        <f>61467.93+20488.3849-30223.69</f>
        <v>51732.624899999995</v>
      </c>
      <c r="H7" s="4">
        <f t="shared" ref="H7:H17" si="1">G7/D7</f>
        <v>643.42300210690746</v>
      </c>
      <c r="I7" s="3">
        <f t="shared" ref="I7:I17" si="2">F7-G7</f>
        <v>31897.723429999998</v>
      </c>
      <c r="J7" s="26">
        <f t="shared" ref="J7:J17" si="3">E7-H7</f>
        <v>396.72699789309263</v>
      </c>
      <c r="K7" s="27">
        <v>46000</v>
      </c>
      <c r="L7">
        <f>DAYS360(K7,$C$1)</f>
        <v>149</v>
      </c>
      <c r="M7" s="5">
        <f t="shared" ref="M7:M17" si="4">(I7/G7)</f>
        <v>0.6165881489999554</v>
      </c>
      <c r="N7" s="9">
        <v>17</v>
      </c>
      <c r="O7">
        <v>93</v>
      </c>
      <c r="P7" s="59">
        <v>85</v>
      </c>
      <c r="Q7" s="28">
        <v>701</v>
      </c>
      <c r="R7" s="29">
        <f t="shared" ref="R7:R13" si="5">Q7*0.93</f>
        <v>651.93000000000006</v>
      </c>
      <c r="S7" s="29">
        <v>708.75</v>
      </c>
      <c r="T7" s="28">
        <f t="shared" ref="T7:T17" si="6">Q7*1.25</f>
        <v>876.25</v>
      </c>
      <c r="U7" s="28">
        <f t="shared" ref="U7:U17" si="7">Q7*1.5</f>
        <v>1051.5</v>
      </c>
      <c r="V7" s="28">
        <f t="shared" ref="V7:V17" si="8">Q7*2</f>
        <v>1402</v>
      </c>
      <c r="W7" s="28">
        <f t="shared" ref="W7:W17" si="9">H7-(H7*0.07)</f>
        <v>598.38339195942399</v>
      </c>
      <c r="X7" s="29">
        <v>980</v>
      </c>
      <c r="Y7" s="5">
        <f t="shared" ref="Y7:Y17" si="10">(X7-H7)/H7</f>
        <v>0.52310376966779448</v>
      </c>
      <c r="Z7" s="6">
        <f t="shared" ref="Z7:Z17" si="11">F7/F$20</f>
        <v>0.13331482230180924</v>
      </c>
      <c r="AB7" s="55">
        <v>46232</v>
      </c>
      <c r="AC7" s="9">
        <v>94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260.45999999999998</v>
      </c>
      <c r="F8" s="3">
        <f t="shared" si="0"/>
        <v>47866.088592</v>
      </c>
      <c r="G8" s="3">
        <v>31661.82</v>
      </c>
      <c r="H8" s="4">
        <f t="shared" si="1"/>
        <v>172.28559675081294</v>
      </c>
      <c r="I8" s="3">
        <f t="shared" si="2"/>
        <v>16204.268592</v>
      </c>
      <c r="J8" s="26">
        <f t="shared" si="3"/>
        <v>88.174403249187037</v>
      </c>
      <c r="K8" s="27">
        <v>46114</v>
      </c>
      <c r="L8">
        <f>DAYS360(K8,$C$1)</f>
        <v>36</v>
      </c>
      <c r="M8" s="5">
        <f t="shared" si="4"/>
        <v>0.51179207613459998</v>
      </c>
      <c r="N8" s="32">
        <v>1</v>
      </c>
      <c r="O8">
        <v>96</v>
      </c>
      <c r="P8" s="60">
        <v>90</v>
      </c>
      <c r="Q8" s="28">
        <v>168.08</v>
      </c>
      <c r="R8" s="29">
        <f t="shared" si="5"/>
        <v>156.31440000000001</v>
      </c>
      <c r="S8" s="29">
        <v>155.37</v>
      </c>
      <c r="T8" s="30">
        <f t="shared" si="6"/>
        <v>210.10000000000002</v>
      </c>
      <c r="U8" s="28">
        <f t="shared" si="7"/>
        <v>252.12</v>
      </c>
      <c r="V8" s="28">
        <f t="shared" si="8"/>
        <v>336.16</v>
      </c>
      <c r="W8" s="28">
        <f t="shared" si="9"/>
        <v>160.22560497825603</v>
      </c>
      <c r="X8" s="29">
        <v>205</v>
      </c>
      <c r="Y8" s="5">
        <f t="shared" si="10"/>
        <v>0.18988472551483149</v>
      </c>
      <c r="Z8" s="6">
        <f t="shared" si="11"/>
        <v>7.6303150977502801E-2</v>
      </c>
      <c r="AB8" s="62">
        <v>46170</v>
      </c>
      <c r="AC8" s="32">
        <v>98</v>
      </c>
    </row>
    <row r="9" spans="1:29" x14ac:dyDescent="0.25">
      <c r="A9" t="s">
        <v>87</v>
      </c>
      <c r="B9" t="s">
        <v>29</v>
      </c>
      <c r="C9" s="25" t="s">
        <v>88</v>
      </c>
      <c r="D9" s="2">
        <f>518.2339+239.8468</f>
        <v>758.08069999999998</v>
      </c>
      <c r="E9" s="26">
        <v>91.39</v>
      </c>
      <c r="F9" s="3">
        <f t="shared" si="0"/>
        <v>69280.995173000003</v>
      </c>
      <c r="G9" s="3">
        <f>42849.56+20777.33</f>
        <v>63626.89</v>
      </c>
      <c r="H9" s="4">
        <f t="shared" si="1"/>
        <v>83.931552405964169</v>
      </c>
      <c r="I9" s="3">
        <f t="shared" si="2"/>
        <v>5654.1051730000036</v>
      </c>
      <c r="J9" s="26">
        <f t="shared" si="3"/>
        <v>7.4584475940358317</v>
      </c>
      <c r="K9" s="27">
        <v>46120</v>
      </c>
      <c r="L9">
        <f>DAYS360(K9,$C$1)</f>
        <v>30</v>
      </c>
      <c r="M9" s="5">
        <f t="shared" si="4"/>
        <v>8.8863453376394855E-2</v>
      </c>
      <c r="N9" s="9">
        <v>53</v>
      </c>
      <c r="O9">
        <v>93</v>
      </c>
      <c r="P9" s="59">
        <v>44</v>
      </c>
      <c r="Q9" s="28">
        <v>86.09</v>
      </c>
      <c r="R9" s="29">
        <f t="shared" si="5"/>
        <v>80.063700000000011</v>
      </c>
      <c r="S9" s="29">
        <v>78</v>
      </c>
      <c r="T9" s="28">
        <f t="shared" si="6"/>
        <v>107.61250000000001</v>
      </c>
      <c r="U9" s="28">
        <f t="shared" si="7"/>
        <v>129.13499999999999</v>
      </c>
      <c r="V9" s="28">
        <f t="shared" si="8"/>
        <v>172.18</v>
      </c>
      <c r="W9" s="28">
        <f t="shared" si="9"/>
        <v>78.056343737546683</v>
      </c>
      <c r="X9" s="29">
        <v>83</v>
      </c>
      <c r="Y9" s="5">
        <f t="shared" si="10"/>
        <v>-1.1098953602792802E-2</v>
      </c>
      <c r="Z9" s="6">
        <f t="shared" si="11"/>
        <v>0.11044057264876633</v>
      </c>
      <c r="AB9" s="55">
        <v>46169</v>
      </c>
      <c r="AC9" s="59">
        <v>84</v>
      </c>
    </row>
    <row r="10" spans="1:29" x14ac:dyDescent="0.25">
      <c r="A10" t="s">
        <v>89</v>
      </c>
      <c r="B10" t="s">
        <v>29</v>
      </c>
      <c r="C10" s="25" t="s">
        <v>90</v>
      </c>
      <c r="D10" s="2">
        <f>175.1868+89.2865</f>
        <v>264.47329999999999</v>
      </c>
      <c r="E10" s="26">
        <v>273</v>
      </c>
      <c r="F10" s="3">
        <f t="shared" si="0"/>
        <v>72201.210900000005</v>
      </c>
      <c r="G10" s="3">
        <f>43046.46+22443.88</f>
        <v>65490.34</v>
      </c>
      <c r="H10" s="4">
        <f t="shared" si="1"/>
        <v>247.62552590374906</v>
      </c>
      <c r="I10" s="3">
        <f t="shared" si="2"/>
        <v>6710.870900000009</v>
      </c>
      <c r="J10" s="26">
        <f t="shared" si="3"/>
        <v>25.374474096250935</v>
      </c>
      <c r="K10" s="27">
        <v>46121</v>
      </c>
      <c r="L10">
        <f>DAYS360(K10,$C$1)</f>
        <v>29</v>
      </c>
      <c r="M10" s="5">
        <f t="shared" si="4"/>
        <v>0.10247115681488307</v>
      </c>
      <c r="N10" s="9">
        <v>55</v>
      </c>
      <c r="O10">
        <v>95</v>
      </c>
      <c r="P10" s="59">
        <v>91</v>
      </c>
      <c r="Q10" s="28">
        <v>243.8</v>
      </c>
      <c r="R10" s="29">
        <f t="shared" si="5"/>
        <v>226.73400000000001</v>
      </c>
      <c r="S10" s="29">
        <v>206</v>
      </c>
      <c r="T10" s="30">
        <f t="shared" si="6"/>
        <v>304.75</v>
      </c>
      <c r="U10" s="28">
        <f t="shared" si="7"/>
        <v>365.70000000000005</v>
      </c>
      <c r="V10" s="28">
        <f t="shared" si="8"/>
        <v>487.6</v>
      </c>
      <c r="W10" s="28">
        <f t="shared" si="9"/>
        <v>230.29173909048663</v>
      </c>
      <c r="X10" s="29">
        <v>238</v>
      </c>
      <c r="Y10" s="5">
        <f t="shared" si="10"/>
        <v>-3.8871299187025102E-2</v>
      </c>
      <c r="Z10" s="31">
        <f t="shared" si="11"/>
        <v>0.11509567750605773</v>
      </c>
      <c r="AB10" s="55">
        <v>46169</v>
      </c>
      <c r="AC10" s="9">
        <v>97</v>
      </c>
    </row>
    <row r="11" spans="1:29" x14ac:dyDescent="0.25">
      <c r="A11" t="s">
        <v>82</v>
      </c>
      <c r="B11" t="s">
        <v>29</v>
      </c>
      <c r="C11" s="25" t="s">
        <v>83</v>
      </c>
      <c r="D11" s="2">
        <v>144.76</v>
      </c>
      <c r="E11" s="26">
        <v>844.8</v>
      </c>
      <c r="F11" s="3">
        <f t="shared" si="0"/>
        <v>122293.24799999999</v>
      </c>
      <c r="G11" s="3">
        <v>66860.710000000006</v>
      </c>
      <c r="H11" s="4">
        <f t="shared" si="1"/>
        <v>461.87282398452618</v>
      </c>
      <c r="I11" s="3">
        <f t="shared" si="2"/>
        <v>55432.537999999986</v>
      </c>
      <c r="J11" s="26">
        <f t="shared" si="3"/>
        <v>382.92717601547378</v>
      </c>
      <c r="K11" s="27">
        <v>46129</v>
      </c>
      <c r="L11">
        <f>DAYS360(K11,$C$1)</f>
        <v>21</v>
      </c>
      <c r="M11" s="5">
        <f t="shared" si="4"/>
        <v>0.82907492307515107</v>
      </c>
      <c r="N11" s="9">
        <v>14</v>
      </c>
      <c r="O11">
        <v>99</v>
      </c>
      <c r="P11" s="59">
        <v>99</v>
      </c>
      <c r="Q11" s="28">
        <v>472.61</v>
      </c>
      <c r="R11" s="29">
        <f t="shared" si="5"/>
        <v>439.52730000000003</v>
      </c>
      <c r="S11" s="29">
        <v>362.59</v>
      </c>
      <c r="T11" s="28">
        <f t="shared" si="6"/>
        <v>590.76250000000005</v>
      </c>
      <c r="U11" s="28">
        <f t="shared" si="7"/>
        <v>708.91499999999996</v>
      </c>
      <c r="V11" s="28">
        <f t="shared" si="8"/>
        <v>945.22</v>
      </c>
      <c r="W11" s="28">
        <f t="shared" si="9"/>
        <v>429.54172630560936</v>
      </c>
      <c r="X11" s="29">
        <v>580</v>
      </c>
      <c r="Y11" s="5">
        <f t="shared" si="10"/>
        <v>0.25575693108852698</v>
      </c>
      <c r="Z11" s="31">
        <f t="shared" si="11"/>
        <v>0.19494720459011494</v>
      </c>
      <c r="AB11" s="55">
        <v>46242</v>
      </c>
      <c r="AC11" s="9">
        <v>99</v>
      </c>
    </row>
    <row r="12" spans="1:29" x14ac:dyDescent="0.25">
      <c r="A12" t="s">
        <v>95</v>
      </c>
      <c r="B12" t="s">
        <v>29</v>
      </c>
      <c r="C12" s="25" t="s">
        <v>96</v>
      </c>
      <c r="D12" s="2">
        <v>257.78199999999998</v>
      </c>
      <c r="E12" s="26">
        <v>188.5</v>
      </c>
      <c r="F12" s="3">
        <f t="shared" si="0"/>
        <v>48591.906999999999</v>
      </c>
      <c r="G12" s="3">
        <v>48847.11</v>
      </c>
      <c r="H12" s="4">
        <f t="shared" si="1"/>
        <v>189.48999542248879</v>
      </c>
      <c r="I12" s="3">
        <f t="shared" si="2"/>
        <v>-255.20300000000134</v>
      </c>
      <c r="J12" s="26">
        <f t="shared" si="3"/>
        <v>-0.98999542248878925</v>
      </c>
      <c r="K12" s="27">
        <v>46147</v>
      </c>
      <c r="L12">
        <f t="shared" ref="L12:L17" si="12">DAYS360(K12,$C$1)</f>
        <v>3</v>
      </c>
      <c r="M12" s="5">
        <f t="shared" si="4"/>
        <v>-5.2245260773872053E-3</v>
      </c>
      <c r="N12" s="9">
        <v>10</v>
      </c>
      <c r="O12">
        <v>91</v>
      </c>
      <c r="P12" s="59">
        <v>84</v>
      </c>
      <c r="Q12" s="28">
        <v>198.97</v>
      </c>
      <c r="R12" s="29">
        <f t="shared" si="5"/>
        <v>185.0421</v>
      </c>
      <c r="S12" s="29">
        <v>164.8</v>
      </c>
      <c r="T12" s="28">
        <f t="shared" si="6"/>
        <v>248.71250000000001</v>
      </c>
      <c r="U12" s="28">
        <f t="shared" si="7"/>
        <v>298.45499999999998</v>
      </c>
      <c r="V12" s="28">
        <f t="shared" si="8"/>
        <v>397.94</v>
      </c>
      <c r="W12" s="28">
        <f t="shared" si="9"/>
        <v>176.22569574291458</v>
      </c>
      <c r="X12" s="29">
        <v>176</v>
      </c>
      <c r="Y12" s="5">
        <f t="shared" si="10"/>
        <v>-7.1191069440955768E-2</v>
      </c>
      <c r="Z12" s="6">
        <f t="shared" si="11"/>
        <v>7.7460175359418362E-2</v>
      </c>
      <c r="AB12" s="55">
        <v>46176</v>
      </c>
      <c r="AC12" s="9">
        <v>98</v>
      </c>
    </row>
    <row r="13" spans="1:29" x14ac:dyDescent="0.25">
      <c r="A13" t="s">
        <v>97</v>
      </c>
      <c r="B13" t="s">
        <v>29</v>
      </c>
      <c r="C13" s="25" t="s">
        <v>98</v>
      </c>
      <c r="D13" s="2">
        <f>1259.0685+394.9897+229.2235</f>
        <v>1883.2817000000002</v>
      </c>
      <c r="E13" s="26">
        <v>24.41</v>
      </c>
      <c r="F13" s="3">
        <f t="shared" si="0"/>
        <v>45970.906297000009</v>
      </c>
      <c r="G13" s="3">
        <f>30443.09+10694.48+6213.1175</f>
        <v>47350.6875</v>
      </c>
      <c r="H13" s="4">
        <f t="shared" si="1"/>
        <v>25.142647273639412</v>
      </c>
      <c r="I13" s="3">
        <f t="shared" si="2"/>
        <v>-1379.7812029999914</v>
      </c>
      <c r="J13" s="26">
        <f t="shared" si="3"/>
        <v>-0.73264727363941162</v>
      </c>
      <c r="K13" s="27">
        <v>46147</v>
      </c>
      <c r="L13">
        <f t="shared" si="12"/>
        <v>3</v>
      </c>
      <c r="M13" s="5">
        <f t="shared" si="4"/>
        <v>-2.9139623432077759E-2</v>
      </c>
      <c r="N13" s="9">
        <v>5</v>
      </c>
      <c r="O13">
        <v>86</v>
      </c>
      <c r="P13" s="60">
        <v>59</v>
      </c>
      <c r="Q13" s="28">
        <v>24.2</v>
      </c>
      <c r="R13" s="29">
        <f t="shared" si="5"/>
        <v>22.506</v>
      </c>
      <c r="S13" s="29">
        <v>10.24</v>
      </c>
      <c r="T13" s="30">
        <f t="shared" si="6"/>
        <v>30.25</v>
      </c>
      <c r="U13" s="28">
        <f t="shared" si="7"/>
        <v>36.299999999999997</v>
      </c>
      <c r="V13" s="28">
        <f t="shared" si="8"/>
        <v>48.4</v>
      </c>
      <c r="W13" s="28">
        <f t="shared" si="9"/>
        <v>23.382661964484655</v>
      </c>
      <c r="X13" s="29">
        <v>22.5</v>
      </c>
      <c r="Y13" s="5">
        <f t="shared" si="10"/>
        <v>-0.10510616662112872</v>
      </c>
      <c r="Z13" s="6">
        <f t="shared" si="11"/>
        <v>7.3282048041395265E-2</v>
      </c>
      <c r="AB13" s="57">
        <v>46155</v>
      </c>
      <c r="AC13" s="9">
        <v>89</v>
      </c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45488</v>
      </c>
      <c r="M14" s="5" t="e">
        <f t="shared" si="4"/>
        <v>#DIV/0!</v>
      </c>
      <c r="N14" s="32"/>
      <c r="P14" s="60"/>
      <c r="Q14" s="28"/>
      <c r="R14" s="29">
        <f t="shared" ref="R14:R17" si="13">Q14*0.93</f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45488</v>
      </c>
      <c r="M15" s="5" t="e">
        <f t="shared" si="4"/>
        <v>#DIV/0!</v>
      </c>
      <c r="N15" s="9"/>
      <c r="P15" s="32"/>
      <c r="Q15" s="28"/>
      <c r="R15" s="29">
        <f t="shared" si="13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45488</v>
      </c>
      <c r="M16" s="5" t="e">
        <f t="shared" si="4"/>
        <v>#DIV/0!</v>
      </c>
      <c r="P16" s="59"/>
      <c r="Q16" s="28"/>
      <c r="R16" s="29">
        <f t="shared" si="13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45488</v>
      </c>
      <c r="M17" s="40" t="e">
        <f t="shared" si="4"/>
        <v>#DIV/0!</v>
      </c>
      <c r="N17" s="33"/>
      <c r="O17" s="33"/>
      <c r="P17" s="61"/>
      <c r="Q17" s="41"/>
      <c r="R17" s="42">
        <f t="shared" si="13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489834.70429200004</v>
      </c>
      <c r="G18" s="3">
        <f>SUM(G6:G17)</f>
        <v>375570.18239999999</v>
      </c>
      <c r="H18" s="4"/>
      <c r="I18" s="3">
        <f>SUM(I6:I17)</f>
        <v>114264.52189199999</v>
      </c>
      <c r="M18" s="5"/>
      <c r="Z18" s="6"/>
    </row>
    <row r="19" spans="1:29" x14ac:dyDescent="0.25">
      <c r="D19" s="2" t="s">
        <v>32</v>
      </c>
      <c r="F19" s="3">
        <v>137480</v>
      </c>
      <c r="G19" s="6">
        <f>F19/F20</f>
        <v>0.21915634857493527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627314.70429200004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'05-01-26'!F20</f>
        <v>574685.19138900004</v>
      </c>
      <c r="K21" s="1">
        <v>45657</v>
      </c>
      <c r="L21" s="47">
        <v>208334</v>
      </c>
      <c r="M21" s="47">
        <v>232002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9.1579726938492617E-2</v>
      </c>
      <c r="K22" s="9" t="s">
        <v>54</v>
      </c>
      <c r="L22" s="6">
        <f>(M21-L21)/L21</f>
        <v>0.11360603646068333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1" si="14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4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1" si="15">F28/D28</f>
        <v>271.34091722620656</v>
      </c>
      <c r="F28" s="3">
        <v>78305</v>
      </c>
      <c r="G28" s="53">
        <v>73933.25</v>
      </c>
      <c r="H28" s="54">
        <f t="shared" ref="H28:H41" si="16">G28/D28</f>
        <v>256.19201671048387</v>
      </c>
      <c r="I28" s="54">
        <f t="shared" ref="I28:I41" si="17">G28-F28</f>
        <v>-4371.75</v>
      </c>
      <c r="J28" s="6">
        <f t="shared" ref="J28:J41" si="18">I28/F28</f>
        <v>-5.5829768214034861E-2</v>
      </c>
      <c r="K28" s="1">
        <v>45971</v>
      </c>
      <c r="L28" s="1">
        <v>46038</v>
      </c>
      <c r="M28">
        <f t="shared" si="14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5"/>
        <v>478.84701522846564</v>
      </c>
      <c r="F29" s="3">
        <v>61897.919999999998</v>
      </c>
      <c r="G29" s="53">
        <v>54753.85</v>
      </c>
      <c r="H29" s="54">
        <f t="shared" si="16"/>
        <v>423.57994654371464</v>
      </c>
      <c r="I29" s="54">
        <f t="shared" si="17"/>
        <v>-7144.07</v>
      </c>
      <c r="J29" s="6">
        <f t="shared" si="18"/>
        <v>-0.11541696393029038</v>
      </c>
      <c r="K29" s="1">
        <v>46006</v>
      </c>
      <c r="L29" s="1">
        <v>46051</v>
      </c>
      <c r="M29">
        <f t="shared" si="14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5"/>
        <v>145.61999516394894</v>
      </c>
      <c r="F30" s="3">
        <v>61848.7</v>
      </c>
      <c r="G30" s="53">
        <v>58111.070800000001</v>
      </c>
      <c r="H30" s="54">
        <f t="shared" si="16"/>
        <v>136.81991454740191</v>
      </c>
      <c r="I30" s="54">
        <f t="shared" si="17"/>
        <v>-3737.6291999999958</v>
      </c>
      <c r="J30" s="6">
        <f t="shared" si="18"/>
        <v>-6.0431815058360094E-2</v>
      </c>
      <c r="K30" s="27">
        <v>46034</v>
      </c>
      <c r="L30" s="1">
        <v>46057</v>
      </c>
      <c r="M30">
        <f t="shared" si="14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5"/>
        <v>55.207341751332095</v>
      </c>
      <c r="F31" s="3">
        <v>72367.23</v>
      </c>
      <c r="G31" s="53">
        <v>67265.89</v>
      </c>
      <c r="H31" s="54">
        <f t="shared" si="16"/>
        <v>51.315643523145937</v>
      </c>
      <c r="I31" s="54">
        <f t="shared" si="17"/>
        <v>-5101.3399999999965</v>
      </c>
      <c r="J31" s="6">
        <f t="shared" si="18"/>
        <v>-7.0492403813162352E-2</v>
      </c>
      <c r="K31" s="27">
        <v>46035</v>
      </c>
      <c r="L31" s="1">
        <v>46057</v>
      </c>
      <c r="M31">
        <f t="shared" si="14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5"/>
        <v>80.130014013049191</v>
      </c>
      <c r="F32" s="3">
        <v>36213.629999999997</v>
      </c>
      <c r="G32" s="53">
        <v>43431.476999999999</v>
      </c>
      <c r="H32" s="54">
        <f t="shared" si="16"/>
        <v>96.100966973413705</v>
      </c>
      <c r="I32" s="54">
        <f t="shared" si="17"/>
        <v>7217.8470000000016</v>
      </c>
      <c r="J32" s="6">
        <f t="shared" si="18"/>
        <v>0.19931299347787013</v>
      </c>
      <c r="K32" s="27">
        <v>46027</v>
      </c>
      <c r="L32" s="1">
        <v>46057</v>
      </c>
      <c r="M32">
        <f t="shared" si="14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5"/>
        <v>21.050759843181712</v>
      </c>
      <c r="F33" s="3">
        <v>60465.55</v>
      </c>
      <c r="G33" s="53">
        <v>55822.989600000001</v>
      </c>
      <c r="H33" s="54">
        <f t="shared" si="16"/>
        <v>19.434477116275801</v>
      </c>
      <c r="I33" s="54">
        <f t="shared" si="17"/>
        <v>-4642.5604000000021</v>
      </c>
      <c r="J33" s="6">
        <f t="shared" si="18"/>
        <v>-7.6780255864703162E-2</v>
      </c>
      <c r="K33" s="27">
        <v>46027</v>
      </c>
      <c r="L33" s="1">
        <v>46057</v>
      </c>
      <c r="M33">
        <f t="shared" si="14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5"/>
        <v>434.85074082715977</v>
      </c>
      <c r="F34" s="3">
        <v>59637.17</v>
      </c>
      <c r="G34" s="53">
        <v>53506.86</v>
      </c>
      <c r="H34" s="54">
        <f t="shared" si="16"/>
        <v>390.15093624219799</v>
      </c>
      <c r="I34" s="54">
        <f t="shared" si="17"/>
        <v>-6130.3099999999977</v>
      </c>
      <c r="J34" s="6">
        <f t="shared" si="18"/>
        <v>-0.10279344241183809</v>
      </c>
      <c r="K34" s="27">
        <v>46063</v>
      </c>
      <c r="L34" s="1">
        <v>46085</v>
      </c>
      <c r="M34">
        <f t="shared" si="14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5"/>
        <v>112.41206140057369</v>
      </c>
      <c r="F35" s="3">
        <f>24221.64+10214.21</f>
        <v>34435.85</v>
      </c>
      <c r="G35" s="53">
        <v>34880.3246</v>
      </c>
      <c r="H35" s="54">
        <f t="shared" si="16"/>
        <v>113.86300005973835</v>
      </c>
      <c r="I35" s="54">
        <f t="shared" si="17"/>
        <v>444.47460000000137</v>
      </c>
      <c r="J35" s="6">
        <f t="shared" si="18"/>
        <v>1.2907321875313123E-2</v>
      </c>
      <c r="K35" s="27">
        <v>46072</v>
      </c>
      <c r="L35" s="1">
        <v>46085</v>
      </c>
      <c r="M35">
        <f t="shared" si="14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5"/>
        <v>118.60769778513222</v>
      </c>
      <c r="F36" s="3">
        <v>48654.55</v>
      </c>
      <c r="G36" s="53">
        <v>32800.589999999997</v>
      </c>
      <c r="H36" s="54">
        <f t="shared" si="16"/>
        <v>79.959684467208703</v>
      </c>
      <c r="I36" s="54">
        <f t="shared" si="17"/>
        <v>-15853.960000000006</v>
      </c>
      <c r="J36" s="6">
        <f t="shared" si="18"/>
        <v>-0.32584742845222092</v>
      </c>
      <c r="K36" s="27">
        <v>46062</v>
      </c>
      <c r="L36" s="1">
        <v>46093</v>
      </c>
      <c r="M36">
        <f t="shared" si="14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5"/>
        <v>39.561729974101887</v>
      </c>
      <c r="F37" s="3">
        <f>30380.12+16944.65</f>
        <v>47324.770000000004</v>
      </c>
      <c r="G37" s="53">
        <v>51539.4</v>
      </c>
      <c r="H37" s="54">
        <f t="shared" si="16"/>
        <v>43.085002332335193</v>
      </c>
      <c r="I37" s="54">
        <f t="shared" si="17"/>
        <v>4214.6299999999974</v>
      </c>
      <c r="J37" s="6">
        <f t="shared" si="18"/>
        <v>8.9057590771175366E-2</v>
      </c>
      <c r="K37" s="27">
        <v>46021</v>
      </c>
      <c r="L37" s="1">
        <v>46111</v>
      </c>
      <c r="M37">
        <f t="shared" si="14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5"/>
        <v>38.367801566497917</v>
      </c>
      <c r="F38" s="3">
        <f>30923.76+17760.7+20459.97</f>
        <v>69144.429999999993</v>
      </c>
      <c r="G38" s="53">
        <v>40461.81</v>
      </c>
      <c r="H38" s="54">
        <f t="shared" si="16"/>
        <v>22.451999345447508</v>
      </c>
      <c r="I38" s="54">
        <f t="shared" si="17"/>
        <v>-28682.619999999995</v>
      </c>
      <c r="J38" s="6">
        <f t="shared" si="18"/>
        <v>-0.41482184465183963</v>
      </c>
      <c r="K38" s="27">
        <v>46043</v>
      </c>
      <c r="L38" s="1">
        <v>46111</v>
      </c>
      <c r="M38">
        <f t="shared" si="14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5"/>
        <v>643.42001341181731</v>
      </c>
      <c r="F39" s="3">
        <v>30223.69</v>
      </c>
      <c r="G39" s="53">
        <v>54219.4</v>
      </c>
      <c r="H39" s="54">
        <f t="shared" si="16"/>
        <v>1154.2550587033115</v>
      </c>
      <c r="I39" s="54">
        <f t="shared" si="17"/>
        <v>23995.710000000003</v>
      </c>
      <c r="J39" s="6">
        <f t="shared" si="18"/>
        <v>0.79393714003816229</v>
      </c>
      <c r="K39" s="27">
        <v>46000</v>
      </c>
      <c r="L39" s="1">
        <v>46135</v>
      </c>
      <c r="M39">
        <f t="shared" si="14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15"/>
        <v>362.33948238304873</v>
      </c>
      <c r="F40" s="3">
        <v>54708.95</v>
      </c>
      <c r="G40" s="53">
        <v>53696.78</v>
      </c>
      <c r="H40" s="54">
        <f t="shared" si="16"/>
        <v>355.63584150009171</v>
      </c>
      <c r="I40" s="54">
        <f t="shared" si="17"/>
        <v>-1012.1699999999983</v>
      </c>
      <c r="J40" s="6">
        <f t="shared" si="18"/>
        <v>-1.8500994809807141E-2</v>
      </c>
      <c r="K40" s="27">
        <v>46125</v>
      </c>
      <c r="L40" s="1">
        <v>46140</v>
      </c>
      <c r="M40">
        <f t="shared" si="14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15"/>
        <v>151.2456151637227</v>
      </c>
      <c r="F41" s="3">
        <f>32498.71+23220.22</f>
        <v>55718.93</v>
      </c>
      <c r="G41" s="53">
        <v>48956.11</v>
      </c>
      <c r="H41" s="54">
        <f t="shared" si="16"/>
        <v>132.88835541121981</v>
      </c>
      <c r="I41" s="54">
        <f t="shared" si="17"/>
        <v>-6762.82</v>
      </c>
      <c r="J41" s="6">
        <f t="shared" si="18"/>
        <v>-0.12137383111987254</v>
      </c>
      <c r="K41" s="27">
        <v>46122</v>
      </c>
      <c r="L41" s="1">
        <v>46140</v>
      </c>
      <c r="M41">
        <f t="shared" si="14"/>
        <v>18</v>
      </c>
    </row>
    <row r="42" spans="1:13" x14ac:dyDescent="0.25">
      <c r="C42" s="25"/>
      <c r="D42" s="2"/>
      <c r="E42" s="54"/>
      <c r="F42" s="3"/>
      <c r="G42" s="53"/>
      <c r="H42" s="54"/>
      <c r="I42" s="54"/>
      <c r="J42" s="6"/>
      <c r="K42" s="27"/>
      <c r="L42" s="1"/>
    </row>
    <row r="43" spans="1:13" x14ac:dyDescent="0.25">
      <c r="F43" s="53"/>
      <c r="G43" s="53"/>
      <c r="H43" s="3" t="s">
        <v>66</v>
      </c>
      <c r="I43" s="3">
        <f>SUM(I26:I38)</f>
        <v>-78432.552599999995</v>
      </c>
      <c r="J43" s="13" t="s">
        <v>49</v>
      </c>
    </row>
    <row r="44" spans="1:13" x14ac:dyDescent="0.25">
      <c r="F44" s="53"/>
      <c r="G44" s="53"/>
      <c r="H44" s="3" t="s">
        <v>50</v>
      </c>
      <c r="I44" s="56">
        <v>13</v>
      </c>
      <c r="J44" s="5">
        <v>-0.13200000000000001</v>
      </c>
    </row>
    <row r="45" spans="1:13" x14ac:dyDescent="0.25">
      <c r="F45" s="53"/>
      <c r="G45" s="53"/>
      <c r="H45" s="3" t="s">
        <v>51</v>
      </c>
      <c r="I45" s="63">
        <v>4</v>
      </c>
      <c r="J45" s="5">
        <v>0.27379999999999999</v>
      </c>
    </row>
    <row r="46" spans="1:13" x14ac:dyDescent="0.25">
      <c r="F46" s="53"/>
      <c r="G46" s="53"/>
      <c r="I46" s="56">
        <f>SUM(I44:I45)</f>
        <v>17</v>
      </c>
      <c r="J46" s="6"/>
    </row>
    <row r="47" spans="1:13" x14ac:dyDescent="0.25">
      <c r="F47" s="53"/>
      <c r="G47" s="53"/>
      <c r="H47" t="s">
        <v>65</v>
      </c>
      <c r="I47" s="64">
        <f>I45/I46</f>
        <v>0.23529411764705882</v>
      </c>
      <c r="J47" s="65">
        <f>J45/J44*-1</f>
        <v>2.0742424242424242</v>
      </c>
    </row>
    <row r="48" spans="1:13" x14ac:dyDescent="0.25">
      <c r="F48" s="53"/>
      <c r="G48" s="53"/>
      <c r="J48" s="6"/>
    </row>
    <row r="49" spans="6:10" x14ac:dyDescent="0.25">
      <c r="F49" s="53"/>
      <c r="G49" s="53"/>
      <c r="J49" s="6"/>
    </row>
    <row r="50" spans="6:10" x14ac:dyDescent="0.25">
      <c r="F50" s="53"/>
      <c r="G50" s="53"/>
      <c r="J50" s="6"/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</row>
    <row r="70" spans="6:10" x14ac:dyDescent="0.25">
      <c r="F70" s="53"/>
      <c r="G70" s="53"/>
    </row>
    <row r="71" spans="6:10" x14ac:dyDescent="0.25">
      <c r="F71" s="53"/>
      <c r="G71" s="53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5B3E1-320E-4012-90C7-6856EE189AEC}">
  <sheetPr>
    <pageSetUpPr fitToPage="1"/>
  </sheetPr>
  <dimension ref="A1:AC7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46157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1049.23</v>
      </c>
      <c r="F7" s="3">
        <f t="shared" ref="F7:F17" si="0">E7*D7</f>
        <v>84360.400305999996</v>
      </c>
      <c r="G7" s="3">
        <f>61467.93+20488.3849-30223.69</f>
        <v>51732.624899999995</v>
      </c>
      <c r="H7" s="4">
        <f t="shared" ref="H7:H17" si="1">G7/D7</f>
        <v>643.42300210690746</v>
      </c>
      <c r="I7" s="3">
        <f t="shared" ref="I7:I17" si="2">F7-G7</f>
        <v>32627.775406000001</v>
      </c>
      <c r="J7" s="26">
        <f t="shared" ref="J7:J17" si="3">E7-H7</f>
        <v>405.80699789309256</v>
      </c>
      <c r="K7" s="27">
        <v>46000</v>
      </c>
      <c r="L7">
        <f>DAYS360(K7,$C$1)</f>
        <v>156</v>
      </c>
      <c r="M7" s="5">
        <f t="shared" ref="M7:M17" si="4">(I7/G7)</f>
        <v>0.63070017168218351</v>
      </c>
      <c r="N7" s="9">
        <v>27</v>
      </c>
      <c r="O7">
        <v>93</v>
      </c>
      <c r="P7" s="59">
        <v>86</v>
      </c>
      <c r="Q7" s="28">
        <v>701</v>
      </c>
      <c r="R7" s="29">
        <f t="shared" ref="R7:R17" si="5">Q7*0.93</f>
        <v>651.93000000000006</v>
      </c>
      <c r="S7" s="29">
        <v>708.75</v>
      </c>
      <c r="T7" s="28">
        <f t="shared" ref="T7:T17" si="6">Q7*1.25</f>
        <v>876.25</v>
      </c>
      <c r="U7" s="28">
        <f t="shared" ref="U7:U17" si="7">Q7*1.5</f>
        <v>1051.5</v>
      </c>
      <c r="V7" s="28">
        <f t="shared" ref="V7:V17" si="8">Q7*2</f>
        <v>1402</v>
      </c>
      <c r="W7" s="28">
        <f t="shared" ref="W7:W17" si="9">H7-(H7*0.07)</f>
        <v>598.38339195942399</v>
      </c>
      <c r="X7" s="29">
        <v>980</v>
      </c>
      <c r="Y7" s="5">
        <f t="shared" ref="Y7:Y17" si="10">(X7-H7)/H7</f>
        <v>0.52310376966779448</v>
      </c>
      <c r="Z7" s="6">
        <f t="shared" ref="Z7:Z17" si="11">F7/F$20</f>
        <v>0.13952514955513531</v>
      </c>
      <c r="AB7" s="55">
        <v>46225</v>
      </c>
      <c r="AC7" s="9">
        <v>94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241.99</v>
      </c>
      <c r="F8" s="3">
        <f t="shared" si="0"/>
        <v>44471.760648000003</v>
      </c>
      <c r="G8" s="3">
        <v>31661.82</v>
      </c>
      <c r="H8" s="4">
        <f t="shared" si="1"/>
        <v>172.28559675081294</v>
      </c>
      <c r="I8" s="3">
        <f t="shared" si="2"/>
        <v>12809.940648000003</v>
      </c>
      <c r="J8" s="26">
        <f t="shared" si="3"/>
        <v>69.704403249187067</v>
      </c>
      <c r="K8" s="27">
        <v>46114</v>
      </c>
      <c r="L8">
        <f>DAYS360(K8,$C$1)</f>
        <v>43</v>
      </c>
      <c r="M8" s="5">
        <f t="shared" si="4"/>
        <v>0.40458636452358088</v>
      </c>
      <c r="N8" s="32">
        <v>5</v>
      </c>
      <c r="O8">
        <v>95</v>
      </c>
      <c r="P8" s="60">
        <v>90</v>
      </c>
      <c r="Q8" s="28">
        <v>168.08</v>
      </c>
      <c r="R8" s="29">
        <f t="shared" si="5"/>
        <v>156.31440000000001</v>
      </c>
      <c r="S8" s="29">
        <v>155.37</v>
      </c>
      <c r="T8" s="30">
        <f t="shared" si="6"/>
        <v>210.10000000000002</v>
      </c>
      <c r="U8" s="28">
        <f t="shared" si="7"/>
        <v>252.12</v>
      </c>
      <c r="V8" s="28">
        <f t="shared" si="8"/>
        <v>336.16</v>
      </c>
      <c r="W8" s="28">
        <f t="shared" si="9"/>
        <v>160.22560497825603</v>
      </c>
      <c r="X8" s="29">
        <v>205</v>
      </c>
      <c r="Y8" s="5">
        <f t="shared" si="10"/>
        <v>0.18988472551483149</v>
      </c>
      <c r="Z8" s="6">
        <f t="shared" si="11"/>
        <v>7.3552626977649208E-2</v>
      </c>
      <c r="AB8" s="67">
        <v>46170</v>
      </c>
      <c r="AC8" s="32">
        <v>98</v>
      </c>
    </row>
    <row r="9" spans="1:29" x14ac:dyDescent="0.25">
      <c r="A9" t="s">
        <v>87</v>
      </c>
      <c r="B9" t="s">
        <v>29</v>
      </c>
      <c r="C9" s="25" t="s">
        <v>88</v>
      </c>
      <c r="D9" s="2">
        <f>518.2339+239.8468</f>
        <v>758.08069999999998</v>
      </c>
      <c r="E9" s="26">
        <v>84.26</v>
      </c>
      <c r="F9" s="3">
        <f t="shared" si="0"/>
        <v>63875.879782000004</v>
      </c>
      <c r="G9" s="3">
        <f>42849.56+20777.33</f>
        <v>63626.89</v>
      </c>
      <c r="H9" s="4">
        <f t="shared" si="1"/>
        <v>83.931552405964169</v>
      </c>
      <c r="I9" s="3">
        <f t="shared" si="2"/>
        <v>248.9897820000042</v>
      </c>
      <c r="J9" s="26">
        <f t="shared" si="3"/>
        <v>0.32844759403583623</v>
      </c>
      <c r="K9" s="27">
        <v>46120</v>
      </c>
      <c r="L9">
        <f>DAYS360(K9,$C$1)</f>
        <v>37</v>
      </c>
      <c r="M9" s="5">
        <f t="shared" si="4"/>
        <v>3.9132791497432018E-3</v>
      </c>
      <c r="N9" s="9">
        <v>40</v>
      </c>
      <c r="O9">
        <v>90</v>
      </c>
      <c r="P9" s="59">
        <v>44</v>
      </c>
      <c r="Q9" s="28">
        <v>86.09</v>
      </c>
      <c r="R9" s="29">
        <f t="shared" si="5"/>
        <v>80.063700000000011</v>
      </c>
      <c r="S9" s="29">
        <v>78</v>
      </c>
      <c r="T9" s="28">
        <f t="shared" si="6"/>
        <v>107.61250000000001</v>
      </c>
      <c r="U9" s="28">
        <f t="shared" si="7"/>
        <v>129.13499999999999</v>
      </c>
      <c r="V9" s="28">
        <f t="shared" si="8"/>
        <v>172.18</v>
      </c>
      <c r="W9" s="28">
        <f t="shared" si="9"/>
        <v>78.056343737546683</v>
      </c>
      <c r="X9" s="29">
        <v>79</v>
      </c>
      <c r="Y9" s="5">
        <f t="shared" si="10"/>
        <v>-5.8756835356875078E-2</v>
      </c>
      <c r="Z9" s="6">
        <f t="shared" si="11"/>
        <v>0.10564544083742954</v>
      </c>
      <c r="AB9" s="57">
        <v>46168</v>
      </c>
      <c r="AC9" s="59">
        <v>76</v>
      </c>
    </row>
    <row r="10" spans="1:29" x14ac:dyDescent="0.25">
      <c r="A10" t="s">
        <v>89</v>
      </c>
      <c r="B10" t="s">
        <v>29</v>
      </c>
      <c r="C10" s="25" t="s">
        <v>90</v>
      </c>
      <c r="D10" s="2">
        <f>175.1868+89.2865</f>
        <v>264.47329999999999</v>
      </c>
      <c r="E10" s="26">
        <v>271.26</v>
      </c>
      <c r="F10" s="3">
        <f t="shared" si="0"/>
        <v>71741.027357999992</v>
      </c>
      <c r="G10" s="3">
        <f>43046.46+22443.88</f>
        <v>65490.34</v>
      </c>
      <c r="H10" s="4">
        <f t="shared" si="1"/>
        <v>247.62552590374906</v>
      </c>
      <c r="I10" s="3">
        <f t="shared" si="2"/>
        <v>6250.6873579999956</v>
      </c>
      <c r="J10" s="26">
        <f t="shared" si="3"/>
        <v>23.634474096250926</v>
      </c>
      <c r="K10" s="27">
        <v>46121</v>
      </c>
      <c r="L10">
        <f>DAYS360(K10,$C$1)</f>
        <v>36</v>
      </c>
      <c r="M10" s="5">
        <f t="shared" si="4"/>
        <v>9.5444417573645149E-2</v>
      </c>
      <c r="N10" s="9">
        <v>65</v>
      </c>
      <c r="O10">
        <v>93</v>
      </c>
      <c r="P10" s="59">
        <v>91</v>
      </c>
      <c r="Q10" s="28">
        <v>243.8</v>
      </c>
      <c r="R10" s="29">
        <f t="shared" si="5"/>
        <v>226.73400000000001</v>
      </c>
      <c r="S10" s="29">
        <v>206</v>
      </c>
      <c r="T10" s="30">
        <f t="shared" si="6"/>
        <v>304.75</v>
      </c>
      <c r="U10" s="28">
        <f t="shared" si="7"/>
        <v>365.70000000000005</v>
      </c>
      <c r="V10" s="28">
        <f t="shared" si="8"/>
        <v>487.6</v>
      </c>
      <c r="W10" s="28">
        <f t="shared" si="9"/>
        <v>230.29173909048663</v>
      </c>
      <c r="X10" s="29">
        <v>238</v>
      </c>
      <c r="Y10" s="5">
        <f t="shared" si="10"/>
        <v>-3.8871299187025102E-2</v>
      </c>
      <c r="Z10" s="31">
        <f t="shared" si="11"/>
        <v>0.11865374672305913</v>
      </c>
      <c r="AB10" s="57">
        <v>46168</v>
      </c>
      <c r="AC10" s="9">
        <v>96</v>
      </c>
    </row>
    <row r="11" spans="1:29" x14ac:dyDescent="0.25">
      <c r="A11" t="s">
        <v>82</v>
      </c>
      <c r="B11" t="s">
        <v>29</v>
      </c>
      <c r="C11" s="25" t="s">
        <v>83</v>
      </c>
      <c r="D11" s="2">
        <v>144.76</v>
      </c>
      <c r="E11" s="26">
        <v>848.84</v>
      </c>
      <c r="F11" s="3">
        <f t="shared" si="0"/>
        <v>122878.0784</v>
      </c>
      <c r="G11" s="3">
        <v>66860.710000000006</v>
      </c>
      <c r="H11" s="4">
        <f t="shared" si="1"/>
        <v>461.87282398452618</v>
      </c>
      <c r="I11" s="3">
        <f t="shared" si="2"/>
        <v>56017.368399999992</v>
      </c>
      <c r="J11" s="26">
        <f t="shared" si="3"/>
        <v>386.96717601547385</v>
      </c>
      <c r="K11" s="27">
        <v>46129</v>
      </c>
      <c r="L11">
        <f>DAYS360(K11,$C$1)</f>
        <v>28</v>
      </c>
      <c r="M11" s="5">
        <f t="shared" si="4"/>
        <v>0.83782191962962982</v>
      </c>
      <c r="N11" s="9">
        <v>18</v>
      </c>
      <c r="O11">
        <v>98</v>
      </c>
      <c r="P11" s="59">
        <v>99</v>
      </c>
      <c r="Q11" s="28">
        <v>472.61</v>
      </c>
      <c r="R11" s="29">
        <f t="shared" si="5"/>
        <v>439.52730000000003</v>
      </c>
      <c r="S11" s="29">
        <v>362.59</v>
      </c>
      <c r="T11" s="28">
        <f t="shared" si="6"/>
        <v>590.76250000000005</v>
      </c>
      <c r="U11" s="28">
        <f t="shared" si="7"/>
        <v>708.91499999999996</v>
      </c>
      <c r="V11" s="28">
        <f t="shared" si="8"/>
        <v>945.22</v>
      </c>
      <c r="W11" s="28">
        <f t="shared" si="9"/>
        <v>429.54172630560936</v>
      </c>
      <c r="X11" s="29">
        <v>675</v>
      </c>
      <c r="Y11" s="5">
        <f t="shared" si="10"/>
        <v>0.46144125600819952</v>
      </c>
      <c r="Z11" s="31">
        <f t="shared" si="11"/>
        <v>0.20323021469337743</v>
      </c>
      <c r="AB11" s="55">
        <v>46242</v>
      </c>
      <c r="AC11" s="9">
        <v>99</v>
      </c>
    </row>
    <row r="12" spans="1:29" x14ac:dyDescent="0.25">
      <c r="A12" t="s">
        <v>95</v>
      </c>
      <c r="B12" t="s">
        <v>29</v>
      </c>
      <c r="C12" s="25" t="s">
        <v>96</v>
      </c>
      <c r="D12" s="2">
        <f>257.782+121.1917</f>
        <v>378.97370000000001</v>
      </c>
      <c r="E12" s="26">
        <v>172.17</v>
      </c>
      <c r="F12" s="3">
        <f t="shared" si="0"/>
        <v>65247.901929</v>
      </c>
      <c r="G12" s="3">
        <f>48847.11+24861.68</f>
        <v>73708.790000000008</v>
      </c>
      <c r="H12" s="4">
        <f t="shared" si="1"/>
        <v>194.49579218821782</v>
      </c>
      <c r="I12" s="3">
        <f t="shared" si="2"/>
        <v>-8460.8880710000085</v>
      </c>
      <c r="J12" s="26">
        <f t="shared" si="3"/>
        <v>-22.325792188217832</v>
      </c>
      <c r="K12" s="27">
        <v>46147</v>
      </c>
      <c r="L12">
        <f t="shared" ref="L12:L17" si="12">DAYS360(K12,$C$1)</f>
        <v>10</v>
      </c>
      <c r="M12" s="5">
        <f t="shared" si="4"/>
        <v>-0.11478804727360208</v>
      </c>
      <c r="N12" s="9">
        <v>12</v>
      </c>
      <c r="O12">
        <v>86</v>
      </c>
      <c r="P12" s="59">
        <v>84</v>
      </c>
      <c r="Q12" s="28">
        <v>198.97</v>
      </c>
      <c r="R12" s="29">
        <f t="shared" si="5"/>
        <v>185.0421</v>
      </c>
      <c r="S12" s="29">
        <v>164.8</v>
      </c>
      <c r="T12" s="28">
        <f t="shared" si="6"/>
        <v>248.71250000000001</v>
      </c>
      <c r="U12" s="28">
        <f t="shared" si="7"/>
        <v>298.45499999999998</v>
      </c>
      <c r="V12" s="28">
        <f t="shared" si="8"/>
        <v>397.94</v>
      </c>
      <c r="W12" s="28">
        <f t="shared" si="9"/>
        <v>180.88108673504257</v>
      </c>
      <c r="X12" s="29">
        <v>169</v>
      </c>
      <c r="Y12" s="5">
        <f t="shared" si="10"/>
        <v>-0.13108660039053691</v>
      </c>
      <c r="Z12" s="6">
        <f t="shared" si="11"/>
        <v>0.10791465239354774</v>
      </c>
      <c r="AB12" s="55">
        <v>46174</v>
      </c>
      <c r="AC12" s="9">
        <v>97</v>
      </c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12"/>
        <v>45495</v>
      </c>
      <c r="M13" s="5" t="e">
        <f t="shared" si="4"/>
        <v>#DIV/0!</v>
      </c>
      <c r="N13" s="9"/>
      <c r="P13" s="60"/>
      <c r="Q13" s="28"/>
      <c r="R13" s="29">
        <f t="shared" si="5"/>
        <v>0</v>
      </c>
      <c r="S13" s="29"/>
      <c r="T13" s="30">
        <f t="shared" si="6"/>
        <v>0</v>
      </c>
      <c r="U13" s="28">
        <f t="shared" si="7"/>
        <v>0</v>
      </c>
      <c r="V13" s="28">
        <f t="shared" si="8"/>
        <v>0</v>
      </c>
      <c r="W13" s="28" t="e">
        <f t="shared" si="9"/>
        <v>#DIV/0!</v>
      </c>
      <c r="X13" s="29"/>
      <c r="Y13" s="5" t="e">
        <f t="shared" si="10"/>
        <v>#DIV/0!</v>
      </c>
      <c r="Z13" s="6">
        <f t="shared" si="11"/>
        <v>0</v>
      </c>
      <c r="AB13" s="57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12"/>
        <v>45495</v>
      </c>
      <c r="M14" s="5" t="e">
        <f t="shared" si="4"/>
        <v>#DIV/0!</v>
      </c>
      <c r="N14" s="32"/>
      <c r="P14" s="60"/>
      <c r="Q14" s="28"/>
      <c r="R14" s="29">
        <f t="shared" si="5"/>
        <v>0</v>
      </c>
      <c r="S14" s="29"/>
      <c r="T14" s="30">
        <f t="shared" si="6"/>
        <v>0</v>
      </c>
      <c r="U14" s="28">
        <f t="shared" si="7"/>
        <v>0</v>
      </c>
      <c r="V14" s="28">
        <f t="shared" si="8"/>
        <v>0</v>
      </c>
      <c r="W14" s="28" t="e">
        <f t="shared" si="9"/>
        <v>#DIV/0!</v>
      </c>
      <c r="X14" s="29"/>
      <c r="Y14" s="5" t="e">
        <f t="shared" si="10"/>
        <v>#DIV/0!</v>
      </c>
      <c r="Z14" s="6">
        <f t="shared" si="11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12"/>
        <v>45495</v>
      </c>
      <c r="M15" s="5" t="e">
        <f t="shared" si="4"/>
        <v>#DIV/0!</v>
      </c>
      <c r="N15" s="9"/>
      <c r="P15" s="32"/>
      <c r="Q15" s="28"/>
      <c r="R15" s="29">
        <f t="shared" si="5"/>
        <v>0</v>
      </c>
      <c r="S15" s="29"/>
      <c r="T15" s="28">
        <f t="shared" si="6"/>
        <v>0</v>
      </c>
      <c r="U15" s="28">
        <f t="shared" si="7"/>
        <v>0</v>
      </c>
      <c r="V15" s="28">
        <f t="shared" si="8"/>
        <v>0</v>
      </c>
      <c r="W15" s="28" t="e">
        <f t="shared" si="9"/>
        <v>#DIV/0!</v>
      </c>
      <c r="X15" s="29"/>
      <c r="Y15" s="5" t="e">
        <f t="shared" si="10"/>
        <v>#DIV/0!</v>
      </c>
      <c r="Z15" s="31">
        <f t="shared" si="11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12"/>
        <v>45495</v>
      </c>
      <c r="M16" s="5" t="e">
        <f t="shared" si="4"/>
        <v>#DIV/0!</v>
      </c>
      <c r="P16" s="59"/>
      <c r="Q16" s="28"/>
      <c r="R16" s="29">
        <f t="shared" si="5"/>
        <v>0</v>
      </c>
      <c r="S16" s="29"/>
      <c r="T16" s="28">
        <f t="shared" si="6"/>
        <v>0</v>
      </c>
      <c r="U16" s="28">
        <f t="shared" si="7"/>
        <v>0</v>
      </c>
      <c r="V16" s="28">
        <f t="shared" si="8"/>
        <v>0</v>
      </c>
      <c r="W16" s="28" t="e">
        <f t="shared" si="9"/>
        <v>#DIV/0!</v>
      </c>
      <c r="X16" s="29"/>
      <c r="Y16" s="5" t="e">
        <f t="shared" si="10"/>
        <v>#DIV/0!</v>
      </c>
      <c r="Z16" s="31">
        <f t="shared" si="11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12"/>
        <v>45495</v>
      </c>
      <c r="M17" s="40" t="e">
        <f t="shared" si="4"/>
        <v>#DIV/0!</v>
      </c>
      <c r="N17" s="33"/>
      <c r="O17" s="33"/>
      <c r="P17" s="61"/>
      <c r="Q17" s="41"/>
      <c r="R17" s="42">
        <f t="shared" si="5"/>
        <v>0</v>
      </c>
      <c r="S17" s="42"/>
      <c r="T17" s="43">
        <f t="shared" si="6"/>
        <v>0</v>
      </c>
      <c r="U17" s="41">
        <f t="shared" si="7"/>
        <v>0</v>
      </c>
      <c r="V17" s="41">
        <f t="shared" si="8"/>
        <v>0</v>
      </c>
      <c r="W17" s="41" t="e">
        <f t="shared" si="9"/>
        <v>#DIV/0!</v>
      </c>
      <c r="X17" s="42"/>
      <c r="Y17" s="40" t="e">
        <f t="shared" si="10"/>
        <v>#DIV/0!</v>
      </c>
      <c r="Z17" s="44">
        <f t="shared" si="11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452575.04842299997</v>
      </c>
      <c r="G18" s="3">
        <f>SUM(G6:G17)</f>
        <v>353081.17489999998</v>
      </c>
      <c r="H18" s="4"/>
      <c r="I18" s="3">
        <f>SUM(I6:I17)</f>
        <v>99493.873522999987</v>
      </c>
      <c r="M18" s="5"/>
      <c r="Z18" s="6"/>
    </row>
    <row r="19" spans="1:29" x14ac:dyDescent="0.25">
      <c r="D19" s="2" t="s">
        <v>32</v>
      </c>
      <c r="F19" s="3">
        <v>152050</v>
      </c>
      <c r="G19" s="6">
        <f>F19/F20</f>
        <v>0.25147816881980178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604625.04842299991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'05-08-26'!F20</f>
        <v>627314.70429200004</v>
      </c>
      <c r="K21" s="1">
        <v>45657</v>
      </c>
      <c r="L21" s="47">
        <v>208334</v>
      </c>
      <c r="M21" s="47">
        <v>223604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-3.6169494695024132E-2</v>
      </c>
      <c r="K22" s="9" t="s">
        <v>54</v>
      </c>
      <c r="L22" s="6">
        <f>(M21-L21)/L21</f>
        <v>7.3295765453550543E-2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2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2" si="14">F28/D28</f>
        <v>271.34091722620656</v>
      </c>
      <c r="F28" s="3">
        <v>78305</v>
      </c>
      <c r="G28" s="53">
        <v>73933.25</v>
      </c>
      <c r="H28" s="54">
        <f t="shared" ref="H28:H41" si="15">G28/D28</f>
        <v>256.19201671048387</v>
      </c>
      <c r="I28" s="54">
        <f t="shared" ref="I28:I41" si="16">G28-F28</f>
        <v>-4371.75</v>
      </c>
      <c r="J28" s="6">
        <f t="shared" ref="J28:J41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4"/>
        <v>643.42001341181731</v>
      </c>
      <c r="F39" s="3">
        <v>30223.69</v>
      </c>
      <c r="G39" s="53">
        <v>54219.4</v>
      </c>
      <c r="H39" s="54">
        <f t="shared" si="15"/>
        <v>1154.2550587033115</v>
      </c>
      <c r="I39" s="54">
        <f t="shared" si="16"/>
        <v>23995.710000000003</v>
      </c>
      <c r="J39" s="6">
        <f t="shared" si="17"/>
        <v>0.79393714003816229</v>
      </c>
      <c r="K39" s="27">
        <v>46000</v>
      </c>
      <c r="L39" s="1">
        <v>46135</v>
      </c>
      <c r="M39">
        <f t="shared" si="13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14"/>
        <v>362.33948238304873</v>
      </c>
      <c r="F40" s="3">
        <v>54708.95</v>
      </c>
      <c r="G40" s="53">
        <v>53696.78</v>
      </c>
      <c r="H40" s="54">
        <f t="shared" si="15"/>
        <v>355.63584150009171</v>
      </c>
      <c r="I40" s="54">
        <f t="shared" si="16"/>
        <v>-1012.1699999999983</v>
      </c>
      <c r="J40" s="6">
        <f t="shared" si="17"/>
        <v>-1.8500994809807141E-2</v>
      </c>
      <c r="K40" s="27">
        <v>46125</v>
      </c>
      <c r="L40" s="1">
        <v>46140</v>
      </c>
      <c r="M40">
        <f t="shared" si="13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14"/>
        <v>151.2456151637227</v>
      </c>
      <c r="F41" s="3">
        <f>32498.71+23220.22</f>
        <v>55718.93</v>
      </c>
      <c r="G41" s="53">
        <v>48956.11</v>
      </c>
      <c r="H41" s="54">
        <f t="shared" si="15"/>
        <v>132.88835541121981</v>
      </c>
      <c r="I41" s="54">
        <f t="shared" si="16"/>
        <v>-6762.82</v>
      </c>
      <c r="J41" s="6">
        <f t="shared" si="17"/>
        <v>-0.12137383111987254</v>
      </c>
      <c r="K41" s="27">
        <v>46122</v>
      </c>
      <c r="L41" s="1">
        <v>46140</v>
      </c>
      <c r="M41">
        <f t="shared" si="13"/>
        <v>18</v>
      </c>
    </row>
    <row r="42" spans="1:13" x14ac:dyDescent="0.25">
      <c r="A42" t="s">
        <v>97</v>
      </c>
      <c r="B42" t="s">
        <v>29</v>
      </c>
      <c r="C42" s="25" t="s">
        <v>98</v>
      </c>
      <c r="D42" s="2">
        <f>1259.0685+394.9897+229.2235</f>
        <v>1883.2817000000002</v>
      </c>
      <c r="E42" s="54">
        <f t="shared" si="14"/>
        <v>25.142647273639412</v>
      </c>
      <c r="F42" s="3">
        <f>30443.09+10694.48+6213.1175</f>
        <v>47350.6875</v>
      </c>
      <c r="G42" s="53">
        <v>39448.75</v>
      </c>
      <c r="H42" s="54">
        <f t="shared" ref="H42" si="18">G42/D42</f>
        <v>20.946813214401221</v>
      </c>
      <c r="I42" s="54">
        <f t="shared" ref="I42" si="19">G42-F42</f>
        <v>-7901.9375</v>
      </c>
      <c r="J42" s="6">
        <f t="shared" ref="J42" si="20">I42/F42</f>
        <v>-0.16688115668859085</v>
      </c>
      <c r="K42" s="27">
        <v>46147</v>
      </c>
      <c r="L42" s="1">
        <v>46156</v>
      </c>
      <c r="M42">
        <f t="shared" si="13"/>
        <v>9</v>
      </c>
    </row>
    <row r="43" spans="1:13" x14ac:dyDescent="0.25">
      <c r="C43" s="25"/>
      <c r="D43" s="2"/>
      <c r="E43" s="54"/>
      <c r="F43" s="3"/>
      <c r="G43" s="53"/>
      <c r="H43" s="54"/>
      <c r="I43" s="54"/>
      <c r="J43" s="6"/>
      <c r="K43" s="27"/>
      <c r="L43" s="1"/>
    </row>
    <row r="44" spans="1:13" x14ac:dyDescent="0.25">
      <c r="C44" s="25"/>
      <c r="D44" s="2"/>
      <c r="E44" s="54"/>
      <c r="F44" s="3"/>
      <c r="G44" s="53"/>
      <c r="H44" s="54"/>
      <c r="I44" s="54"/>
      <c r="J44" s="6"/>
      <c r="K44" s="27"/>
      <c r="L44" s="1"/>
    </row>
    <row r="45" spans="1:13" x14ac:dyDescent="0.25">
      <c r="C45" s="25"/>
      <c r="D45" s="2"/>
      <c r="E45" s="54"/>
      <c r="F45" s="3"/>
      <c r="G45" s="53"/>
      <c r="H45" s="54"/>
      <c r="I45" s="54"/>
      <c r="J45" s="6"/>
      <c r="K45" s="27"/>
      <c r="L45" s="1"/>
    </row>
    <row r="46" spans="1:13" x14ac:dyDescent="0.25">
      <c r="F46" s="53"/>
      <c r="G46" s="53"/>
      <c r="H46" s="3" t="s">
        <v>66</v>
      </c>
      <c r="I46" s="3">
        <f>SUM(I26:I38)</f>
        <v>-78432.552599999995</v>
      </c>
      <c r="J46" s="13" t="s">
        <v>49</v>
      </c>
    </row>
    <row r="47" spans="1:13" x14ac:dyDescent="0.25">
      <c r="F47" s="53"/>
      <c r="G47" s="53"/>
      <c r="H47" s="3" t="s">
        <v>50</v>
      </c>
      <c r="I47" s="56">
        <v>14</v>
      </c>
      <c r="J47" s="5">
        <v>-0.13450000000000001</v>
      </c>
    </row>
    <row r="48" spans="1:13" x14ac:dyDescent="0.25">
      <c r="F48" s="53"/>
      <c r="G48" s="53"/>
      <c r="H48" s="3" t="s">
        <v>51</v>
      </c>
      <c r="I48" s="63">
        <v>4</v>
      </c>
      <c r="J48" s="5">
        <v>0.27379999999999999</v>
      </c>
    </row>
    <row r="49" spans="6:10" x14ac:dyDescent="0.25">
      <c r="F49" s="53"/>
      <c r="G49" s="53"/>
      <c r="I49" s="56">
        <f>SUM(I47:I48)</f>
        <v>18</v>
      </c>
      <c r="J49" s="6"/>
    </row>
    <row r="50" spans="6:10" x14ac:dyDescent="0.25">
      <c r="F50" s="53"/>
      <c r="G50" s="53"/>
      <c r="H50" t="s">
        <v>65</v>
      </c>
      <c r="I50" s="64">
        <f>I48/I49</f>
        <v>0.22222222222222221</v>
      </c>
      <c r="J50" s="65">
        <f>J48/J47*-1</f>
        <v>2.0356877323420073</v>
      </c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  <c r="J69" s="6"/>
    </row>
    <row r="70" spans="6:10" x14ac:dyDescent="0.25">
      <c r="F70" s="53"/>
      <c r="G70" s="53"/>
      <c r="J70" s="6"/>
    </row>
    <row r="71" spans="6:10" x14ac:dyDescent="0.25">
      <c r="F71" s="53"/>
      <c r="G71" s="53"/>
      <c r="J71" s="6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  <row r="75" spans="6:10" x14ac:dyDescent="0.25">
      <c r="F75" s="53"/>
      <c r="G75" s="53"/>
    </row>
    <row r="76" spans="6:10" x14ac:dyDescent="0.25">
      <c r="F76" s="53"/>
      <c r="G76" s="53"/>
    </row>
    <row r="77" spans="6:10" x14ac:dyDescent="0.25">
      <c r="F77" s="53"/>
      <c r="G77" s="53"/>
    </row>
  </sheetData>
  <pageMargins left="0.7" right="0.7" top="0.75" bottom="0.75" header="0.3" footer="0.3"/>
  <pageSetup scale="4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60E29-0A74-40A9-8D43-73699C2B9F47}">
  <dimension ref="A1:AC7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46171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968.32</v>
      </c>
      <c r="F7" s="3">
        <f>E7*D7</f>
        <v>77855.058303999991</v>
      </c>
      <c r="G7" s="3">
        <f>61467.93+20488.3849-30223.69</f>
        <v>51732.624899999995</v>
      </c>
      <c r="H7" s="4">
        <f>G7/D7</f>
        <v>643.42300210690746</v>
      </c>
      <c r="I7" s="3">
        <f>F7-G7</f>
        <v>26122.433403999996</v>
      </c>
      <c r="J7" s="26">
        <f>E7-H7</f>
        <v>324.89699789309259</v>
      </c>
      <c r="K7" s="27">
        <v>46000</v>
      </c>
      <c r="L7">
        <f>DAYS360(K7,$C$1)</f>
        <v>170</v>
      </c>
      <c r="M7" s="5">
        <f>(I7/G7)</f>
        <v>0.50495085943338625</v>
      </c>
      <c r="N7" s="9">
        <v>39</v>
      </c>
      <c r="O7">
        <v>86</v>
      </c>
      <c r="P7" s="59">
        <v>85</v>
      </c>
      <c r="Q7" s="28">
        <v>701</v>
      </c>
      <c r="R7" s="29">
        <f>Q7*0.93</f>
        <v>651.93000000000006</v>
      </c>
      <c r="S7" s="29">
        <v>708.75</v>
      </c>
      <c r="T7" s="28">
        <f>Q7*1.25</f>
        <v>876.25</v>
      </c>
      <c r="U7" s="28">
        <f>Q7*1.5</f>
        <v>1051.5</v>
      </c>
      <c r="V7" s="28">
        <f>Q7*2</f>
        <v>1402</v>
      </c>
      <c r="W7" s="28">
        <f>H7-(H7*0.07)</f>
        <v>598.38339195942399</v>
      </c>
      <c r="X7" s="29">
        <v>980</v>
      </c>
      <c r="Y7" s="5">
        <f>(X7-H7)/H7</f>
        <v>0.52310376966779448</v>
      </c>
      <c r="Z7" s="6">
        <f>F7/F$20</f>
        <v>0.12475243430079387</v>
      </c>
      <c r="AB7" s="55">
        <v>46265</v>
      </c>
      <c r="AC7" s="9">
        <v>86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420.91</v>
      </c>
      <c r="F8" s="3">
        <f>E8*D8</f>
        <v>77352.819432000004</v>
      </c>
      <c r="G8" s="3">
        <v>31661.82</v>
      </c>
      <c r="H8" s="4">
        <f>G8/D8</f>
        <v>172.28559675081294</v>
      </c>
      <c r="I8" s="3">
        <f>F8-G8</f>
        <v>45690.999432000004</v>
      </c>
      <c r="J8" s="26">
        <f>E8-H8</f>
        <v>248.62440324918708</v>
      </c>
      <c r="K8" s="27">
        <v>46114</v>
      </c>
      <c r="L8">
        <f>DAYS360(K8,$C$1)</f>
        <v>57</v>
      </c>
      <c r="M8" s="5">
        <f>(I8/G8)</f>
        <v>1.4430945356899889</v>
      </c>
      <c r="N8" s="32">
        <v>1</v>
      </c>
      <c r="O8">
        <v>99</v>
      </c>
      <c r="P8" s="60">
        <v>97</v>
      </c>
      <c r="Q8" s="28">
        <v>168.08</v>
      </c>
      <c r="R8" s="29">
        <f>Q8*0.93</f>
        <v>156.31440000000001</v>
      </c>
      <c r="S8" s="29">
        <v>155.37</v>
      </c>
      <c r="T8" s="30">
        <f>Q8*1.25</f>
        <v>210.10000000000002</v>
      </c>
      <c r="U8" s="28">
        <f>Q8*1.5</f>
        <v>252.12</v>
      </c>
      <c r="V8" s="28">
        <f>Q8*2</f>
        <v>336.16</v>
      </c>
      <c r="W8" s="28">
        <f>H8-(H8*0.07)</f>
        <v>160.22560497825603</v>
      </c>
      <c r="X8" s="29">
        <v>205</v>
      </c>
      <c r="Y8" s="5">
        <f>(X8-H8)/H8</f>
        <v>0.18988472551483149</v>
      </c>
      <c r="Z8" s="6">
        <f>F8/F$20</f>
        <v>0.12394766293143938</v>
      </c>
      <c r="AB8" s="62">
        <v>46268</v>
      </c>
      <c r="AC8" s="32">
        <v>99</v>
      </c>
    </row>
    <row r="9" spans="1:29" x14ac:dyDescent="0.25">
      <c r="A9" t="s">
        <v>87</v>
      </c>
      <c r="B9" t="s">
        <v>29</v>
      </c>
      <c r="C9" s="25" t="s">
        <v>88</v>
      </c>
      <c r="D9" s="2">
        <f>518.2339+239.8468</f>
        <v>758.08069999999998</v>
      </c>
      <c r="E9" s="26">
        <v>85.87</v>
      </c>
      <c r="F9" s="3">
        <f>E9*D9</f>
        <v>65096.389709000003</v>
      </c>
      <c r="G9" s="3">
        <f>42849.56+20777.33</f>
        <v>63626.89</v>
      </c>
      <c r="H9" s="4">
        <f>G9/D9</f>
        <v>83.931552405964169</v>
      </c>
      <c r="I9" s="3">
        <f>F9-G9</f>
        <v>1469.4997090000033</v>
      </c>
      <c r="J9" s="26">
        <f>E9-H9</f>
        <v>1.9384475940358357</v>
      </c>
      <c r="K9" s="27">
        <v>46120</v>
      </c>
      <c r="L9">
        <f>DAYS360(K9,$C$1)</f>
        <v>51</v>
      </c>
      <c r="M9" s="5">
        <f>(I9/G9)</f>
        <v>2.3095576555761305E-2</v>
      </c>
      <c r="N9" s="9">
        <v>40</v>
      </c>
      <c r="O9">
        <v>85</v>
      </c>
      <c r="P9" s="59">
        <v>69</v>
      </c>
      <c r="Q9" s="28">
        <v>86.09</v>
      </c>
      <c r="R9" s="29">
        <f>Q9*0.93</f>
        <v>80.063700000000011</v>
      </c>
      <c r="S9" s="29">
        <v>78</v>
      </c>
      <c r="T9" s="28">
        <f>Q9*1.25</f>
        <v>107.61250000000001</v>
      </c>
      <c r="U9" s="28">
        <f>Q9*1.5</f>
        <v>129.13499999999999</v>
      </c>
      <c r="V9" s="28">
        <f>Q9*2</f>
        <v>172.18</v>
      </c>
      <c r="W9" s="28">
        <f>H9-(H9*0.07)</f>
        <v>78.056343737546683</v>
      </c>
      <c r="X9" s="29">
        <v>79</v>
      </c>
      <c r="Y9" s="5">
        <f>(X9-H9)/H9</f>
        <v>-5.8756835356875078E-2</v>
      </c>
      <c r="Z9" s="6">
        <f>F9/F$20</f>
        <v>0.10430835526037574</v>
      </c>
      <c r="AB9" s="55">
        <v>46253</v>
      </c>
      <c r="AC9" s="59">
        <v>83</v>
      </c>
    </row>
    <row r="10" spans="1:29" x14ac:dyDescent="0.25">
      <c r="A10" t="s">
        <v>82</v>
      </c>
      <c r="B10" t="s">
        <v>29</v>
      </c>
      <c r="C10" s="25" t="s">
        <v>83</v>
      </c>
      <c r="D10" s="2">
        <v>144.76</v>
      </c>
      <c r="E10" s="26">
        <v>860.84</v>
      </c>
      <c r="F10" s="3">
        <f>E10*D10</f>
        <v>124615.19839999999</v>
      </c>
      <c r="G10" s="3">
        <v>66860.710000000006</v>
      </c>
      <c r="H10" s="4">
        <f>G10/D10</f>
        <v>461.87282398452618</v>
      </c>
      <c r="I10" s="3">
        <f>F10-G10</f>
        <v>57754.488399999987</v>
      </c>
      <c r="J10" s="26">
        <f>E10-H10</f>
        <v>398.96717601547385</v>
      </c>
      <c r="K10" s="27">
        <v>46129</v>
      </c>
      <c r="L10">
        <f>DAYS360(K10,$C$1)</f>
        <v>42</v>
      </c>
      <c r="M10" s="5">
        <f>(I10/G10)</f>
        <v>0.86380309751422002</v>
      </c>
      <c r="N10" s="9">
        <v>25</v>
      </c>
      <c r="O10">
        <v>98</v>
      </c>
      <c r="P10" s="59">
        <v>99</v>
      </c>
      <c r="Q10" s="28">
        <v>472.61</v>
      </c>
      <c r="R10" s="29">
        <f>Q10*0.93</f>
        <v>439.52730000000003</v>
      </c>
      <c r="S10" s="29">
        <v>362.59</v>
      </c>
      <c r="T10" s="28">
        <f>Q10*1.25</f>
        <v>590.76250000000005</v>
      </c>
      <c r="U10" s="28">
        <f>Q10*1.5</f>
        <v>708.91499999999996</v>
      </c>
      <c r="V10" s="28">
        <f>Q10*2</f>
        <v>945.22</v>
      </c>
      <c r="W10" s="28">
        <f>H10-(H10*0.07)</f>
        <v>429.54172630560936</v>
      </c>
      <c r="X10" s="29">
        <v>675</v>
      </c>
      <c r="Y10" s="5">
        <f>(X10-H10)/H10</f>
        <v>0.46144125600819952</v>
      </c>
      <c r="Z10" s="31">
        <f>F10/F$20</f>
        <v>0.19967937459598148</v>
      </c>
      <c r="AB10" s="55">
        <v>46244</v>
      </c>
      <c r="AC10" s="9">
        <v>99</v>
      </c>
    </row>
    <row r="11" spans="1:29" x14ac:dyDescent="0.25">
      <c r="C11" s="25"/>
      <c r="D11" s="2"/>
      <c r="E11" s="26"/>
      <c r="F11" s="3">
        <f>E11*D11</f>
        <v>0</v>
      </c>
      <c r="G11" s="3"/>
      <c r="H11" s="4" t="e">
        <f>G11/D11</f>
        <v>#DIV/0!</v>
      </c>
      <c r="I11" s="3">
        <f>F11-G11</f>
        <v>0</v>
      </c>
      <c r="J11" s="26" t="e">
        <f>E11-H11</f>
        <v>#DIV/0!</v>
      </c>
      <c r="K11" s="27"/>
      <c r="L11">
        <f>DAYS360(K11,$C$1)</f>
        <v>45509</v>
      </c>
      <c r="M11" s="5" t="e">
        <f>(I11/G11)</f>
        <v>#DIV/0!</v>
      </c>
      <c r="N11" s="9"/>
      <c r="P11" s="59"/>
      <c r="Q11" s="28"/>
      <c r="R11" s="29">
        <f>Q11*0.93</f>
        <v>0</v>
      </c>
      <c r="S11" s="29"/>
      <c r="T11" s="30">
        <f>Q11*1.25</f>
        <v>0</v>
      </c>
      <c r="U11" s="28">
        <f>Q11*1.5</f>
        <v>0</v>
      </c>
      <c r="V11" s="28">
        <f>Q11*2</f>
        <v>0</v>
      </c>
      <c r="W11" s="28" t="e">
        <f>H11-(H11*0.07)</f>
        <v>#DIV/0!</v>
      </c>
      <c r="X11" s="29"/>
      <c r="Y11" s="5" t="e">
        <f>(X11-H11)/H11</f>
        <v>#DIV/0!</v>
      </c>
      <c r="Z11" s="31">
        <f>F11/F$20</f>
        <v>0</v>
      </c>
      <c r="AB11" s="57"/>
      <c r="AC11" s="9"/>
    </row>
    <row r="12" spans="1:29" x14ac:dyDescent="0.25">
      <c r="C12" s="25"/>
      <c r="D12" s="2"/>
      <c r="E12" s="26"/>
      <c r="F12" s="3">
        <f t="shared" ref="F12:F17" si="0">E12*D12</f>
        <v>0</v>
      </c>
      <c r="G12" s="3"/>
      <c r="H12" s="4" t="e">
        <f t="shared" ref="H12:H17" si="1">G12/D12</f>
        <v>#DIV/0!</v>
      </c>
      <c r="I12" s="3">
        <f t="shared" ref="I12:I17" si="2">F12-G12</f>
        <v>0</v>
      </c>
      <c r="J12" s="26" t="e">
        <f t="shared" ref="J12:J17" si="3">E12-H12</f>
        <v>#DIV/0!</v>
      </c>
      <c r="K12" s="27"/>
      <c r="L12">
        <f t="shared" ref="L12:L17" si="4">DAYS360(K12,$C$1)</f>
        <v>45509</v>
      </c>
      <c r="M12" s="5" t="e">
        <f t="shared" ref="M12:M17" si="5">(I12/G12)</f>
        <v>#DIV/0!</v>
      </c>
      <c r="N12" s="9"/>
      <c r="P12" s="59"/>
      <c r="Q12" s="28"/>
      <c r="R12" s="29">
        <f t="shared" ref="R12:R17" si="6">Q12*0.93</f>
        <v>0</v>
      </c>
      <c r="S12" s="29"/>
      <c r="T12" s="28">
        <f t="shared" ref="T12:T17" si="7">Q12*1.25</f>
        <v>0</v>
      </c>
      <c r="U12" s="28">
        <f t="shared" ref="U12:U17" si="8">Q12*1.5</f>
        <v>0</v>
      </c>
      <c r="V12" s="28">
        <f t="shared" ref="V12:V17" si="9">Q12*2</f>
        <v>0</v>
      </c>
      <c r="W12" s="28" t="e">
        <f t="shared" ref="W12:W17" si="10">H12-(H12*0.07)</f>
        <v>#DIV/0!</v>
      </c>
      <c r="X12" s="29"/>
      <c r="Y12" s="5" t="e">
        <f t="shared" ref="Y12:Y17" si="11">(X12-H12)/H12</f>
        <v>#DIV/0!</v>
      </c>
      <c r="Z12" s="6">
        <f t="shared" ref="Z12:Z17" si="12">F12/F$20</f>
        <v>0</v>
      </c>
      <c r="AB12" s="55"/>
      <c r="AC12" s="9"/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45509</v>
      </c>
      <c r="M13" s="5" t="e">
        <f t="shared" si="5"/>
        <v>#DIV/0!</v>
      </c>
      <c r="N13" s="9"/>
      <c r="P13" s="60"/>
      <c r="Q13" s="28"/>
      <c r="R13" s="29">
        <f t="shared" si="6"/>
        <v>0</v>
      </c>
      <c r="S13" s="29"/>
      <c r="T13" s="30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6">
        <f t="shared" si="12"/>
        <v>0</v>
      </c>
      <c r="AB13" s="57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45509</v>
      </c>
      <c r="M14" s="5" t="e">
        <f t="shared" si="5"/>
        <v>#DIV/0!</v>
      </c>
      <c r="N14" s="32"/>
      <c r="P14" s="60"/>
      <c r="Q14" s="28"/>
      <c r="R14" s="29">
        <f t="shared" si="6"/>
        <v>0</v>
      </c>
      <c r="S14" s="29"/>
      <c r="T14" s="30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45509</v>
      </c>
      <c r="M15" s="5" t="e">
        <f t="shared" si="5"/>
        <v>#DIV/0!</v>
      </c>
      <c r="N15" s="9"/>
      <c r="P15" s="32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1">
        <f t="shared" si="12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45509</v>
      </c>
      <c r="M16" s="5" t="e">
        <f t="shared" si="5"/>
        <v>#DIV/0!</v>
      </c>
      <c r="P16" s="59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1">
        <f t="shared" si="12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4"/>
        <v>45509</v>
      </c>
      <c r="M17" s="40" t="e">
        <f t="shared" si="5"/>
        <v>#DIV/0!</v>
      </c>
      <c r="N17" s="33"/>
      <c r="O17" s="33"/>
      <c r="P17" s="61"/>
      <c r="Q17" s="41"/>
      <c r="R17" s="42">
        <f t="shared" si="6"/>
        <v>0</v>
      </c>
      <c r="S17" s="42"/>
      <c r="T17" s="43">
        <f t="shared" si="7"/>
        <v>0</v>
      </c>
      <c r="U17" s="41">
        <f t="shared" si="8"/>
        <v>0</v>
      </c>
      <c r="V17" s="41">
        <f t="shared" si="9"/>
        <v>0</v>
      </c>
      <c r="W17" s="41" t="e">
        <f t="shared" si="10"/>
        <v>#DIV/0!</v>
      </c>
      <c r="X17" s="42"/>
      <c r="Y17" s="40" t="e">
        <f t="shared" si="11"/>
        <v>#DIV/0!</v>
      </c>
      <c r="Z17" s="44">
        <f t="shared" si="12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344919.465845</v>
      </c>
      <c r="G18" s="3">
        <f>SUM(G6:G17)</f>
        <v>213882.04490000004</v>
      </c>
      <c r="H18" s="4"/>
      <c r="I18" s="3">
        <f>SUM(I6:I17)</f>
        <v>131037.42094499998</v>
      </c>
      <c r="M18" s="5"/>
      <c r="Z18" s="6"/>
    </row>
    <row r="19" spans="1:29" x14ac:dyDescent="0.25">
      <c r="D19" s="2" t="s">
        <v>32</v>
      </c>
      <c r="F19" s="3">
        <v>279157</v>
      </c>
      <c r="G19" s="6">
        <f>F19/F20</f>
        <v>0.44731217291140951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624076.465845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99</v>
      </c>
      <c r="I21" s="47">
        <f>'05-15-26'!F20</f>
        <v>604625.04842299991</v>
      </c>
      <c r="K21" s="1">
        <v>45657</v>
      </c>
      <c r="L21" s="47">
        <v>208334</v>
      </c>
      <c r="M21" s="47">
        <v>230827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3.217104133005045E-2</v>
      </c>
      <c r="K22" s="9" t="s">
        <v>54</v>
      </c>
      <c r="L22" s="6">
        <f>(M21-L21)/L21</f>
        <v>0.10796605450862558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4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4" si="14">F28/D28</f>
        <v>271.34091722620656</v>
      </c>
      <c r="F28" s="3">
        <v>78305</v>
      </c>
      <c r="G28" s="53">
        <v>73933.25</v>
      </c>
      <c r="H28" s="54">
        <f t="shared" ref="H28:H42" si="15">G28/D28</f>
        <v>256.19201671048387</v>
      </c>
      <c r="I28" s="54">
        <f t="shared" ref="I28:I42" si="16">G28-F28</f>
        <v>-4371.75</v>
      </c>
      <c r="J28" s="6">
        <f t="shared" ref="J28:J42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4"/>
        <v>643.42001341181731</v>
      </c>
      <c r="F39" s="3">
        <v>30223.69</v>
      </c>
      <c r="G39" s="53">
        <v>54219.4</v>
      </c>
      <c r="H39" s="54">
        <f t="shared" si="15"/>
        <v>1154.2550587033115</v>
      </c>
      <c r="I39" s="54">
        <f t="shared" si="16"/>
        <v>23995.710000000003</v>
      </c>
      <c r="J39" s="6">
        <f t="shared" si="17"/>
        <v>0.79393714003816229</v>
      </c>
      <c r="K39" s="27">
        <v>46000</v>
      </c>
      <c r="L39" s="1">
        <v>46135</v>
      </c>
      <c r="M39">
        <f t="shared" si="13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14"/>
        <v>362.33948238304873</v>
      </c>
      <c r="F40" s="3">
        <v>54708.95</v>
      </c>
      <c r="G40" s="53">
        <v>53696.78</v>
      </c>
      <c r="H40" s="54">
        <f t="shared" si="15"/>
        <v>355.63584150009171</v>
      </c>
      <c r="I40" s="54">
        <f t="shared" si="16"/>
        <v>-1012.1699999999983</v>
      </c>
      <c r="J40" s="6">
        <f t="shared" si="17"/>
        <v>-1.8500994809807141E-2</v>
      </c>
      <c r="K40" s="27">
        <v>46125</v>
      </c>
      <c r="L40" s="1">
        <v>46140</v>
      </c>
      <c r="M40">
        <f t="shared" si="13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14"/>
        <v>151.2456151637227</v>
      </c>
      <c r="F41" s="3">
        <f>32498.71+23220.22</f>
        <v>55718.93</v>
      </c>
      <c r="G41" s="53">
        <v>48956.11</v>
      </c>
      <c r="H41" s="54">
        <f t="shared" si="15"/>
        <v>132.88835541121981</v>
      </c>
      <c r="I41" s="54">
        <f t="shared" si="16"/>
        <v>-6762.82</v>
      </c>
      <c r="J41" s="6">
        <f t="shared" si="17"/>
        <v>-0.12137383111987254</v>
      </c>
      <c r="K41" s="27">
        <v>46122</v>
      </c>
      <c r="L41" s="1">
        <v>46140</v>
      </c>
      <c r="M41">
        <f t="shared" si="13"/>
        <v>18</v>
      </c>
    </row>
    <row r="42" spans="1:13" x14ac:dyDescent="0.25">
      <c r="A42" t="s">
        <v>97</v>
      </c>
      <c r="B42" t="s">
        <v>29</v>
      </c>
      <c r="C42" s="25" t="s">
        <v>98</v>
      </c>
      <c r="D42" s="2">
        <f>1259.0685+394.9897+229.2235</f>
        <v>1883.2817000000002</v>
      </c>
      <c r="E42" s="54">
        <f t="shared" si="14"/>
        <v>25.142647273639412</v>
      </c>
      <c r="F42" s="3">
        <f>30443.09+10694.48+6213.1175</f>
        <v>47350.6875</v>
      </c>
      <c r="G42" s="53">
        <v>39448.75</v>
      </c>
      <c r="H42" s="54">
        <f t="shared" si="15"/>
        <v>20.946813214401221</v>
      </c>
      <c r="I42" s="54">
        <f t="shared" si="16"/>
        <v>-7901.9375</v>
      </c>
      <c r="J42" s="6">
        <f t="shared" si="17"/>
        <v>-0.16688115668859085</v>
      </c>
      <c r="K42" s="27">
        <v>46147</v>
      </c>
      <c r="L42" s="1">
        <v>46156</v>
      </c>
      <c r="M42">
        <f t="shared" si="13"/>
        <v>9</v>
      </c>
    </row>
    <row r="43" spans="1:13" x14ac:dyDescent="0.25">
      <c r="A43" t="s">
        <v>95</v>
      </c>
      <c r="B43" t="s">
        <v>29</v>
      </c>
      <c r="C43" s="25" t="s">
        <v>96</v>
      </c>
      <c r="D43" s="2">
        <f>257.782+121.1917</f>
        <v>378.97370000000001</v>
      </c>
      <c r="E43" s="54">
        <f t="shared" si="14"/>
        <v>194.49579218821782</v>
      </c>
      <c r="F43" s="3">
        <f>48847.11+24861.68</f>
        <v>73708.790000000008</v>
      </c>
      <c r="G43" s="53">
        <v>64046.55</v>
      </c>
      <c r="H43" s="54">
        <f t="shared" ref="H43:H44" si="18">G43/D43</f>
        <v>168.99998601486067</v>
      </c>
      <c r="I43" s="54">
        <f t="shared" ref="I43:I44" si="19">G43-F43</f>
        <v>-9662.2400000000052</v>
      </c>
      <c r="J43" s="6">
        <f t="shared" ref="J43:J44" si="20">I43/F43</f>
        <v>-0.13108667229512252</v>
      </c>
      <c r="K43" s="27">
        <v>46147</v>
      </c>
      <c r="L43" s="1">
        <v>46160</v>
      </c>
      <c r="M43">
        <f t="shared" si="13"/>
        <v>13</v>
      </c>
    </row>
    <row r="44" spans="1:13" x14ac:dyDescent="0.25">
      <c r="A44" t="s">
        <v>89</v>
      </c>
      <c r="B44" t="s">
        <v>29</v>
      </c>
      <c r="C44" s="25" t="s">
        <v>90</v>
      </c>
      <c r="D44" s="2">
        <f>175.1868+89.2865</f>
        <v>264.47329999999999</v>
      </c>
      <c r="E44" s="54">
        <f t="shared" si="14"/>
        <v>247.62552590374906</v>
      </c>
      <c r="F44" s="3">
        <f>43046.46+22443.88</f>
        <v>65490.34</v>
      </c>
      <c r="G44" s="53">
        <v>62944.65</v>
      </c>
      <c r="H44" s="54">
        <f t="shared" si="18"/>
        <v>238.00001739306009</v>
      </c>
      <c r="I44" s="54">
        <f t="shared" si="19"/>
        <v>-2545.6899999999951</v>
      </c>
      <c r="J44" s="6">
        <f t="shared" si="20"/>
        <v>-3.8871228947658466E-2</v>
      </c>
      <c r="K44" s="27">
        <v>46121</v>
      </c>
      <c r="L44" s="1">
        <v>46161</v>
      </c>
      <c r="M44">
        <f t="shared" si="13"/>
        <v>40</v>
      </c>
    </row>
    <row r="45" spans="1:13" x14ac:dyDescent="0.25">
      <c r="C45" s="25"/>
      <c r="D45" s="2"/>
      <c r="E45" s="54"/>
      <c r="F45" s="3"/>
      <c r="G45" s="53"/>
      <c r="H45" s="54"/>
      <c r="I45" s="54"/>
      <c r="J45" s="6"/>
      <c r="K45" s="27"/>
      <c r="L45" s="1"/>
    </row>
    <row r="46" spans="1:13" x14ac:dyDescent="0.25">
      <c r="F46" s="53"/>
      <c r="G46" s="53"/>
      <c r="H46" s="3" t="s">
        <v>66</v>
      </c>
      <c r="I46" s="3">
        <f>SUM(I26:I38)</f>
        <v>-78432.552599999995</v>
      </c>
      <c r="J46" s="13" t="s">
        <v>49</v>
      </c>
    </row>
    <row r="47" spans="1:13" x14ac:dyDescent="0.25">
      <c r="F47" s="53"/>
      <c r="G47" s="53"/>
      <c r="H47" s="3" t="s">
        <v>50</v>
      </c>
      <c r="I47" s="56">
        <v>15</v>
      </c>
      <c r="J47" s="5">
        <v>-0.12920000000000001</v>
      </c>
    </row>
    <row r="48" spans="1:13" x14ac:dyDescent="0.25">
      <c r="F48" s="53"/>
      <c r="G48" s="53"/>
      <c r="H48" s="3" t="s">
        <v>51</v>
      </c>
      <c r="I48" s="63">
        <v>4</v>
      </c>
      <c r="J48" s="5">
        <v>0.27379999999999999</v>
      </c>
    </row>
    <row r="49" spans="6:10" x14ac:dyDescent="0.25">
      <c r="F49" s="53"/>
      <c r="G49" s="53"/>
      <c r="I49" s="56">
        <f>SUM(I47:I48)</f>
        <v>19</v>
      </c>
      <c r="J49" s="6"/>
    </row>
    <row r="50" spans="6:10" x14ac:dyDescent="0.25">
      <c r="F50" s="53"/>
      <c r="G50" s="53"/>
      <c r="H50" t="s">
        <v>65</v>
      </c>
      <c r="I50" s="64">
        <f>I48/I49</f>
        <v>0.21052631578947367</v>
      </c>
      <c r="J50" s="65">
        <f>J48/J47*-1</f>
        <v>2.1191950464396281</v>
      </c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  <c r="J69" s="6"/>
    </row>
    <row r="70" spans="6:10" x14ac:dyDescent="0.25">
      <c r="F70" s="53"/>
      <c r="G70" s="53"/>
      <c r="J70" s="6"/>
    </row>
    <row r="71" spans="6:10" x14ac:dyDescent="0.25">
      <c r="F71" s="53"/>
      <c r="G71" s="53"/>
      <c r="J71" s="6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  <row r="75" spans="6:10" x14ac:dyDescent="0.25">
      <c r="F75" s="53"/>
      <c r="G75" s="53"/>
    </row>
    <row r="76" spans="6:10" x14ac:dyDescent="0.25">
      <c r="F76" s="53"/>
      <c r="G76" s="53"/>
    </row>
    <row r="77" spans="6:10" x14ac:dyDescent="0.25">
      <c r="F77" s="53"/>
      <c r="G77" s="53"/>
    </row>
  </sheetData>
  <sortState xmlns:xlrd2="http://schemas.microsoft.com/office/spreadsheetml/2017/richdata2" ref="A7:AC10">
    <sortCondition descending="1" ref="L7:L10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FFDE-8629-4F7D-AE1E-70556E771FB5}">
  <dimension ref="A1:AC7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46178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933.64</v>
      </c>
      <c r="F7" s="3">
        <f t="shared" ref="F7:F12" si="0">E7*D7</f>
        <v>75066.710007999995</v>
      </c>
      <c r="G7" s="3">
        <f>61467.93+20488.3849-30223.69</f>
        <v>51732.624899999995</v>
      </c>
      <c r="H7" s="4">
        <f t="shared" ref="H7:H12" si="1">G7/D7</f>
        <v>643.42300210690746</v>
      </c>
      <c r="I7" s="3">
        <f t="shared" ref="I7:I12" si="2">F7-G7</f>
        <v>23334.085107999999</v>
      </c>
      <c r="J7" s="26">
        <f t="shared" ref="J7:J12" si="3">E7-H7</f>
        <v>290.21699789309253</v>
      </c>
      <c r="K7" s="27">
        <v>46000</v>
      </c>
      <c r="L7">
        <f t="shared" ref="L7:L12" si="4">DAYS360(K7,$C$1)</f>
        <v>176</v>
      </c>
      <c r="M7" s="5">
        <f t="shared" ref="M7:M12" si="5">(I7/G7)</f>
        <v>0.45105163623738725</v>
      </c>
      <c r="N7" s="9">
        <v>61</v>
      </c>
      <c r="O7">
        <v>87</v>
      </c>
      <c r="P7" s="59">
        <v>85</v>
      </c>
      <c r="Q7" s="28">
        <v>701</v>
      </c>
      <c r="R7" s="29">
        <f t="shared" ref="R7:R12" si="6">Q7*0.93</f>
        <v>651.93000000000006</v>
      </c>
      <c r="S7" s="29">
        <v>708.75</v>
      </c>
      <c r="T7" s="28">
        <f t="shared" ref="T7:T12" si="7">Q7*1.25</f>
        <v>876.25</v>
      </c>
      <c r="U7" s="28">
        <f t="shared" ref="U7:U12" si="8">Q7*1.5</f>
        <v>1051.5</v>
      </c>
      <c r="V7" s="28">
        <f t="shared" ref="V7:V12" si="9">Q7*2</f>
        <v>1402</v>
      </c>
      <c r="W7" s="28">
        <f t="shared" ref="W7:W12" si="10">H7-(H7*0.07)</f>
        <v>598.38339195942399</v>
      </c>
      <c r="X7" s="29">
        <v>980</v>
      </c>
      <c r="Y7" s="5">
        <f t="shared" ref="Y7:Y12" si="11">(X7-H7)/H7</f>
        <v>0.52310376966779448</v>
      </c>
      <c r="Z7" s="6">
        <f t="shared" ref="Z7:Z12" si="12">F7/F$20</f>
        <v>0.12466429242103516</v>
      </c>
      <c r="AB7" s="55">
        <v>46225</v>
      </c>
      <c r="AC7" s="9">
        <v>83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394.39</v>
      </c>
      <c r="F8" s="3">
        <f t="shared" si="0"/>
        <v>72479.101128000009</v>
      </c>
      <c r="G8" s="3">
        <v>31661.82</v>
      </c>
      <c r="H8" s="4">
        <f t="shared" si="1"/>
        <v>172.28559675081294</v>
      </c>
      <c r="I8" s="3">
        <f t="shared" si="2"/>
        <v>40817.28112800001</v>
      </c>
      <c r="J8" s="26">
        <f t="shared" si="3"/>
        <v>222.10440324918704</v>
      </c>
      <c r="K8" s="27">
        <v>46114</v>
      </c>
      <c r="L8">
        <f t="shared" si="4"/>
        <v>63</v>
      </c>
      <c r="M8" s="5">
        <f t="shared" si="5"/>
        <v>1.2891640824185093</v>
      </c>
      <c r="N8" s="32">
        <v>3</v>
      </c>
      <c r="O8">
        <v>99</v>
      </c>
      <c r="P8" s="60">
        <v>97</v>
      </c>
      <c r="Q8" s="28">
        <v>168.08</v>
      </c>
      <c r="R8" s="29">
        <f t="shared" si="6"/>
        <v>156.31440000000001</v>
      </c>
      <c r="S8" s="29">
        <v>155.37</v>
      </c>
      <c r="T8" s="30">
        <f t="shared" si="7"/>
        <v>210.10000000000002</v>
      </c>
      <c r="U8" s="28">
        <f t="shared" si="8"/>
        <v>252.12</v>
      </c>
      <c r="V8" s="28">
        <f t="shared" si="9"/>
        <v>336.16</v>
      </c>
      <c r="W8" s="28">
        <f t="shared" si="10"/>
        <v>160.22560497825603</v>
      </c>
      <c r="X8" s="29">
        <v>205</v>
      </c>
      <c r="Y8" s="5">
        <f t="shared" si="11"/>
        <v>0.18988472551483149</v>
      </c>
      <c r="Z8" s="6">
        <f t="shared" si="12"/>
        <v>0.12036701563811492</v>
      </c>
      <c r="AB8" s="62">
        <v>46268</v>
      </c>
      <c r="AC8" s="32">
        <v>99</v>
      </c>
    </row>
    <row r="9" spans="1:29" x14ac:dyDescent="0.25">
      <c r="A9" t="s">
        <v>82</v>
      </c>
      <c r="B9" t="s">
        <v>29</v>
      </c>
      <c r="C9" s="25" t="s">
        <v>83</v>
      </c>
      <c r="D9" s="2">
        <v>144.76</v>
      </c>
      <c r="E9" s="26">
        <v>882.43</v>
      </c>
      <c r="F9" s="3">
        <f t="shared" si="0"/>
        <v>127740.56679999999</v>
      </c>
      <c r="G9" s="3">
        <v>66860.710000000006</v>
      </c>
      <c r="H9" s="4">
        <f t="shared" si="1"/>
        <v>461.87282398452618</v>
      </c>
      <c r="I9" s="3">
        <f t="shared" si="2"/>
        <v>60879.85679999998</v>
      </c>
      <c r="J9" s="26">
        <f t="shared" si="3"/>
        <v>420.55717601547377</v>
      </c>
      <c r="K9" s="27">
        <v>46129</v>
      </c>
      <c r="L9">
        <f t="shared" si="4"/>
        <v>48</v>
      </c>
      <c r="M9" s="5">
        <f t="shared" si="5"/>
        <v>0.91054756672491177</v>
      </c>
      <c r="N9" s="9">
        <v>24</v>
      </c>
      <c r="O9">
        <v>99</v>
      </c>
      <c r="P9" s="59">
        <v>99</v>
      </c>
      <c r="Q9" s="28">
        <v>472.61</v>
      </c>
      <c r="R9" s="29">
        <f t="shared" si="6"/>
        <v>439.52730000000003</v>
      </c>
      <c r="S9" s="29">
        <v>362.59</v>
      </c>
      <c r="T9" s="28">
        <f t="shared" si="7"/>
        <v>590.76250000000005</v>
      </c>
      <c r="U9" s="28">
        <f t="shared" si="8"/>
        <v>708.91499999999996</v>
      </c>
      <c r="V9" s="28">
        <f t="shared" si="9"/>
        <v>945.22</v>
      </c>
      <c r="W9" s="28">
        <f t="shared" si="10"/>
        <v>429.54172630560936</v>
      </c>
      <c r="X9" s="29">
        <v>675</v>
      </c>
      <c r="Y9" s="5">
        <f t="shared" si="11"/>
        <v>0.46144125600819952</v>
      </c>
      <c r="Z9" s="31">
        <f t="shared" si="12"/>
        <v>0.21214047307903663</v>
      </c>
      <c r="AB9" s="55">
        <v>46244</v>
      </c>
      <c r="AC9" s="9">
        <v>99</v>
      </c>
    </row>
    <row r="10" spans="1:29" x14ac:dyDescent="0.25">
      <c r="A10" t="s">
        <v>100</v>
      </c>
      <c r="B10" t="s">
        <v>29</v>
      </c>
      <c r="C10" s="25" t="s">
        <v>100</v>
      </c>
      <c r="D10" s="2">
        <v>765.40449999999998</v>
      </c>
      <c r="E10" s="26">
        <v>54.35</v>
      </c>
      <c r="F10" s="3">
        <f t="shared" si="0"/>
        <v>41599.734575000002</v>
      </c>
      <c r="G10" s="3">
        <v>50362.82</v>
      </c>
      <c r="H10" s="4">
        <f t="shared" si="1"/>
        <v>65.798959896368515</v>
      </c>
      <c r="I10" s="3">
        <f t="shared" si="2"/>
        <v>-8763.0854249999975</v>
      </c>
      <c r="J10" s="26">
        <f t="shared" si="3"/>
        <v>-11.448959896368514</v>
      </c>
      <c r="K10" s="27">
        <v>46174</v>
      </c>
      <c r="L10">
        <f t="shared" si="4"/>
        <v>4</v>
      </c>
      <c r="M10" s="5">
        <f t="shared" si="5"/>
        <v>-0.17399910142045258</v>
      </c>
      <c r="N10" s="9">
        <v>102</v>
      </c>
      <c r="O10">
        <v>91</v>
      </c>
      <c r="P10" s="59">
        <v>7</v>
      </c>
      <c r="Q10" s="28">
        <v>63.59</v>
      </c>
      <c r="R10" s="29">
        <f t="shared" si="6"/>
        <v>59.138700000000007</v>
      </c>
      <c r="S10" s="29">
        <v>46</v>
      </c>
      <c r="T10" s="30">
        <f t="shared" si="7"/>
        <v>79.487500000000011</v>
      </c>
      <c r="U10" s="28">
        <f t="shared" si="8"/>
        <v>95.385000000000005</v>
      </c>
      <c r="V10" s="28">
        <f t="shared" si="9"/>
        <v>127.18</v>
      </c>
      <c r="W10" s="28">
        <f t="shared" si="10"/>
        <v>61.19303270362272</v>
      </c>
      <c r="X10" s="29">
        <v>61</v>
      </c>
      <c r="Y10" s="5">
        <f t="shared" si="11"/>
        <v>-7.2933674087352449E-2</v>
      </c>
      <c r="Z10" s="31">
        <f t="shared" si="12"/>
        <v>6.908523731947977E-2</v>
      </c>
      <c r="AB10" s="55">
        <v>46281</v>
      </c>
      <c r="AC10" s="9">
        <v>56</v>
      </c>
    </row>
    <row r="11" spans="1:29" x14ac:dyDescent="0.25">
      <c r="A11" t="s">
        <v>95</v>
      </c>
      <c r="B11" t="s">
        <v>29</v>
      </c>
      <c r="C11" s="25" t="s">
        <v>96</v>
      </c>
      <c r="D11" s="2">
        <f>160.7346+74.6791</f>
        <v>235.41370000000001</v>
      </c>
      <c r="E11" s="26">
        <v>206.89</v>
      </c>
      <c r="F11" s="3">
        <f t="shared" si="0"/>
        <v>48704.740393</v>
      </c>
      <c r="G11" s="3">
        <f>37783.98+16080.63</f>
        <v>53864.61</v>
      </c>
      <c r="H11" s="4">
        <f t="shared" si="1"/>
        <v>228.80830639848062</v>
      </c>
      <c r="I11" s="3">
        <f t="shared" si="2"/>
        <v>-5159.8696070000005</v>
      </c>
      <c r="J11" s="26">
        <f t="shared" si="3"/>
        <v>-21.918306398480638</v>
      </c>
      <c r="K11" s="27">
        <v>46174</v>
      </c>
      <c r="L11">
        <f t="shared" si="4"/>
        <v>4</v>
      </c>
      <c r="M11" s="5">
        <f t="shared" si="5"/>
        <v>-9.5793316000988407E-2</v>
      </c>
      <c r="N11" s="9">
        <v>26</v>
      </c>
      <c r="O11">
        <v>94</v>
      </c>
      <c r="P11" s="59">
        <v>83</v>
      </c>
      <c r="Q11" s="28">
        <v>211</v>
      </c>
      <c r="R11" s="29">
        <f t="shared" si="6"/>
        <v>196.23000000000002</v>
      </c>
      <c r="S11" s="29">
        <v>148.94</v>
      </c>
      <c r="T11" s="28">
        <f t="shared" si="7"/>
        <v>263.75</v>
      </c>
      <c r="U11" s="28">
        <f t="shared" si="8"/>
        <v>316.5</v>
      </c>
      <c r="V11" s="28">
        <f t="shared" si="9"/>
        <v>422</v>
      </c>
      <c r="W11" s="28">
        <f t="shared" si="10"/>
        <v>212.79172495058697</v>
      </c>
      <c r="X11" s="29">
        <v>218</v>
      </c>
      <c r="Y11" s="5">
        <f t="shared" si="11"/>
        <v>-4.7237386476946516E-2</v>
      </c>
      <c r="Z11" s="6">
        <f t="shared" si="12"/>
        <v>8.0884615803682863E-2</v>
      </c>
      <c r="AB11" s="55">
        <v>46274</v>
      </c>
      <c r="AC11" s="9">
        <v>98</v>
      </c>
    </row>
    <row r="12" spans="1:29" x14ac:dyDescent="0.25">
      <c r="C12" s="25"/>
      <c r="D12" s="2"/>
      <c r="E12" s="26"/>
      <c r="F12" s="3">
        <f t="shared" si="0"/>
        <v>0</v>
      </c>
      <c r="G12" s="3"/>
      <c r="H12" s="4" t="e">
        <f t="shared" si="1"/>
        <v>#DIV/0!</v>
      </c>
      <c r="I12" s="3">
        <f t="shared" si="2"/>
        <v>0</v>
      </c>
      <c r="J12" s="26" t="e">
        <f t="shared" si="3"/>
        <v>#DIV/0!</v>
      </c>
      <c r="K12" s="27"/>
      <c r="L12">
        <f t="shared" si="4"/>
        <v>45515</v>
      </c>
      <c r="M12" s="5" t="e">
        <f t="shared" si="5"/>
        <v>#DIV/0!</v>
      </c>
      <c r="N12" s="9"/>
      <c r="P12" s="59"/>
      <c r="Q12" s="28"/>
      <c r="R12" s="29">
        <f t="shared" si="6"/>
        <v>0</v>
      </c>
      <c r="S12" s="29"/>
      <c r="T12" s="28">
        <f t="shared" si="7"/>
        <v>0</v>
      </c>
      <c r="U12" s="28">
        <f t="shared" si="8"/>
        <v>0</v>
      </c>
      <c r="V12" s="28">
        <f t="shared" si="9"/>
        <v>0</v>
      </c>
      <c r="W12" s="28" t="e">
        <f t="shared" si="10"/>
        <v>#DIV/0!</v>
      </c>
      <c r="X12" s="29"/>
      <c r="Y12" s="5" t="e">
        <f t="shared" si="11"/>
        <v>#DIV/0!</v>
      </c>
      <c r="Z12" s="6">
        <f t="shared" si="12"/>
        <v>0</v>
      </c>
      <c r="AB12" s="55"/>
      <c r="AC12" s="59"/>
    </row>
    <row r="13" spans="1:29" x14ac:dyDescent="0.25">
      <c r="C13" s="25"/>
      <c r="D13" s="2"/>
      <c r="E13" s="26"/>
      <c r="F13" s="3">
        <f t="shared" ref="F13:F17" si="13">E13*D13</f>
        <v>0</v>
      </c>
      <c r="G13" s="3"/>
      <c r="H13" s="4" t="e">
        <f t="shared" ref="H13:H17" si="14">G13/D13</f>
        <v>#DIV/0!</v>
      </c>
      <c r="I13" s="3">
        <f t="shared" ref="I13:I17" si="15">F13-G13</f>
        <v>0</v>
      </c>
      <c r="J13" s="26" t="e">
        <f t="shared" ref="J13:J17" si="16">E13-H13</f>
        <v>#DIV/0!</v>
      </c>
      <c r="K13" s="27"/>
      <c r="L13">
        <f t="shared" ref="L13:L17" si="17">DAYS360(K13,$C$1)</f>
        <v>45515</v>
      </c>
      <c r="M13" s="5" t="e">
        <f t="shared" ref="M13:M17" si="18">(I13/G13)</f>
        <v>#DIV/0!</v>
      </c>
      <c r="N13" s="9"/>
      <c r="P13" s="60"/>
      <c r="Q13" s="28"/>
      <c r="R13" s="29">
        <f t="shared" ref="R13:R17" si="19">Q13*0.93</f>
        <v>0</v>
      </c>
      <c r="S13" s="29"/>
      <c r="T13" s="30">
        <f t="shared" ref="T13:T17" si="20">Q13*1.25</f>
        <v>0</v>
      </c>
      <c r="U13" s="28">
        <f t="shared" ref="U13:U17" si="21">Q13*1.5</f>
        <v>0</v>
      </c>
      <c r="V13" s="28">
        <f t="shared" ref="V13:V17" si="22">Q13*2</f>
        <v>0</v>
      </c>
      <c r="W13" s="28" t="e">
        <f t="shared" ref="W13:W17" si="23">H13-(H13*0.07)</f>
        <v>#DIV/0!</v>
      </c>
      <c r="X13" s="29"/>
      <c r="Y13" s="5" t="e">
        <f t="shared" ref="Y13:Y17" si="24">(X13-H13)/H13</f>
        <v>#DIV/0!</v>
      </c>
      <c r="Z13" s="6">
        <f t="shared" ref="Z13:Z17" si="25">F13/F$20</f>
        <v>0</v>
      </c>
      <c r="AB13" s="57"/>
      <c r="AC13" s="9"/>
    </row>
    <row r="14" spans="1:29" x14ac:dyDescent="0.25">
      <c r="C14" s="25"/>
      <c r="D14" s="2"/>
      <c r="E14" s="26"/>
      <c r="F14" s="3">
        <f t="shared" si="13"/>
        <v>0</v>
      </c>
      <c r="G14" s="3"/>
      <c r="H14" s="4" t="e">
        <f t="shared" si="14"/>
        <v>#DIV/0!</v>
      </c>
      <c r="I14" s="3">
        <f t="shared" si="15"/>
        <v>0</v>
      </c>
      <c r="J14" s="26" t="e">
        <f t="shared" si="16"/>
        <v>#DIV/0!</v>
      </c>
      <c r="K14" s="27"/>
      <c r="L14">
        <f t="shared" si="17"/>
        <v>45515</v>
      </c>
      <c r="M14" s="5" t="e">
        <f t="shared" si="18"/>
        <v>#DIV/0!</v>
      </c>
      <c r="N14" s="32"/>
      <c r="P14" s="60"/>
      <c r="Q14" s="28"/>
      <c r="R14" s="29">
        <f t="shared" si="19"/>
        <v>0</v>
      </c>
      <c r="S14" s="29"/>
      <c r="T14" s="30">
        <f t="shared" si="20"/>
        <v>0</v>
      </c>
      <c r="U14" s="28">
        <f t="shared" si="21"/>
        <v>0</v>
      </c>
      <c r="V14" s="28">
        <f t="shared" si="22"/>
        <v>0</v>
      </c>
      <c r="W14" s="28" t="e">
        <f t="shared" si="23"/>
        <v>#DIV/0!</v>
      </c>
      <c r="X14" s="29"/>
      <c r="Y14" s="5" t="e">
        <f t="shared" si="24"/>
        <v>#DIV/0!</v>
      </c>
      <c r="Z14" s="6">
        <f t="shared" si="25"/>
        <v>0</v>
      </c>
      <c r="AB14" s="67"/>
      <c r="AC14" s="32"/>
    </row>
    <row r="15" spans="1:29" x14ac:dyDescent="0.25">
      <c r="C15" s="25"/>
      <c r="D15" s="2"/>
      <c r="E15" s="26"/>
      <c r="F15" s="3">
        <f t="shared" si="13"/>
        <v>0</v>
      </c>
      <c r="G15" s="3"/>
      <c r="H15" s="4" t="e">
        <f t="shared" si="14"/>
        <v>#DIV/0!</v>
      </c>
      <c r="I15" s="3">
        <f t="shared" si="15"/>
        <v>0</v>
      </c>
      <c r="J15" s="26" t="e">
        <f t="shared" si="16"/>
        <v>#DIV/0!</v>
      </c>
      <c r="K15" s="27"/>
      <c r="L15">
        <f t="shared" si="17"/>
        <v>45515</v>
      </c>
      <c r="M15" s="5" t="e">
        <f t="shared" si="18"/>
        <v>#DIV/0!</v>
      </c>
      <c r="N15" s="9"/>
      <c r="P15" s="32"/>
      <c r="Q15" s="28"/>
      <c r="R15" s="29">
        <f t="shared" si="19"/>
        <v>0</v>
      </c>
      <c r="S15" s="29"/>
      <c r="T15" s="28">
        <f t="shared" si="20"/>
        <v>0</v>
      </c>
      <c r="U15" s="28">
        <f t="shared" si="21"/>
        <v>0</v>
      </c>
      <c r="V15" s="28">
        <f t="shared" si="22"/>
        <v>0</v>
      </c>
      <c r="W15" s="28" t="e">
        <f t="shared" si="23"/>
        <v>#DIV/0!</v>
      </c>
      <c r="X15" s="29"/>
      <c r="Y15" s="5" t="e">
        <f t="shared" si="24"/>
        <v>#DIV/0!</v>
      </c>
      <c r="Z15" s="31">
        <f t="shared" si="25"/>
        <v>0</v>
      </c>
      <c r="AB15" s="55"/>
      <c r="AC15" s="9"/>
    </row>
    <row r="16" spans="1:29" x14ac:dyDescent="0.25">
      <c r="C16" s="25"/>
      <c r="D16" s="2"/>
      <c r="E16" s="26"/>
      <c r="F16" s="3">
        <f t="shared" si="13"/>
        <v>0</v>
      </c>
      <c r="G16" s="3"/>
      <c r="H16" s="4" t="e">
        <f t="shared" si="14"/>
        <v>#DIV/0!</v>
      </c>
      <c r="I16" s="3">
        <f t="shared" si="15"/>
        <v>0</v>
      </c>
      <c r="J16" s="26" t="e">
        <f t="shared" si="16"/>
        <v>#DIV/0!</v>
      </c>
      <c r="K16" s="27"/>
      <c r="L16">
        <f t="shared" si="17"/>
        <v>45515</v>
      </c>
      <c r="M16" s="5" t="e">
        <f t="shared" si="18"/>
        <v>#DIV/0!</v>
      </c>
      <c r="P16" s="59"/>
      <c r="Q16" s="28"/>
      <c r="R16" s="29">
        <f t="shared" si="19"/>
        <v>0</v>
      </c>
      <c r="S16" s="29"/>
      <c r="T16" s="28">
        <f t="shared" si="20"/>
        <v>0</v>
      </c>
      <c r="U16" s="28">
        <f t="shared" si="21"/>
        <v>0</v>
      </c>
      <c r="V16" s="28">
        <f t="shared" si="22"/>
        <v>0</v>
      </c>
      <c r="W16" s="28" t="e">
        <f t="shared" si="23"/>
        <v>#DIV/0!</v>
      </c>
      <c r="X16" s="29"/>
      <c r="Y16" s="5" t="e">
        <f t="shared" si="24"/>
        <v>#DIV/0!</v>
      </c>
      <c r="Z16" s="31">
        <f t="shared" si="25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13"/>
        <v>0</v>
      </c>
      <c r="G17" s="37"/>
      <c r="H17" s="38" t="e">
        <f t="shared" si="14"/>
        <v>#DIV/0!</v>
      </c>
      <c r="I17" s="37">
        <f t="shared" si="15"/>
        <v>0</v>
      </c>
      <c r="J17" s="36" t="e">
        <f t="shared" si="16"/>
        <v>#DIV/0!</v>
      </c>
      <c r="K17" s="39"/>
      <c r="L17" s="33">
        <f t="shared" si="17"/>
        <v>45515</v>
      </c>
      <c r="M17" s="40" t="e">
        <f t="shared" si="18"/>
        <v>#DIV/0!</v>
      </c>
      <c r="N17" s="33"/>
      <c r="O17" s="33"/>
      <c r="P17" s="61"/>
      <c r="Q17" s="41"/>
      <c r="R17" s="42">
        <f t="shared" si="19"/>
        <v>0</v>
      </c>
      <c r="S17" s="42"/>
      <c r="T17" s="43">
        <f t="shared" si="20"/>
        <v>0</v>
      </c>
      <c r="U17" s="41">
        <f t="shared" si="21"/>
        <v>0</v>
      </c>
      <c r="V17" s="41">
        <f t="shared" si="22"/>
        <v>0</v>
      </c>
      <c r="W17" s="41" t="e">
        <f t="shared" si="23"/>
        <v>#DIV/0!</v>
      </c>
      <c r="X17" s="42"/>
      <c r="Y17" s="40" t="e">
        <f t="shared" si="24"/>
        <v>#DIV/0!</v>
      </c>
      <c r="Z17" s="44">
        <f t="shared" si="25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365590.85290400003</v>
      </c>
      <c r="G18" s="3">
        <f>SUM(G6:G17)</f>
        <v>254482.58490000002</v>
      </c>
      <c r="H18" s="4"/>
      <c r="I18" s="3">
        <f>SUM(I6:I17)</f>
        <v>111108.26800399998</v>
      </c>
      <c r="M18" s="5"/>
      <c r="Z18" s="6"/>
    </row>
    <row r="19" spans="1:29" x14ac:dyDescent="0.25">
      <c r="D19" s="2" t="s">
        <v>32</v>
      </c>
      <c r="F19" s="3">
        <v>236560</v>
      </c>
      <c r="G19" s="6">
        <f>F19/F20</f>
        <v>0.39285836573865052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602150.85290400009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'05-29-26'!F20</f>
        <v>624076.465845</v>
      </c>
      <c r="K21" s="1">
        <v>45657</v>
      </c>
      <c r="L21" s="47">
        <v>208334</v>
      </c>
      <c r="M21" s="47">
        <v>222725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-3.5132894991181274E-2</v>
      </c>
      <c r="K22" s="9" t="s">
        <v>54</v>
      </c>
      <c r="L22" s="6">
        <f>(M21-L21)/L21</f>
        <v>6.9076578954947343E-2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5" si="26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26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5" si="27">F28/D28</f>
        <v>271.34091722620656</v>
      </c>
      <c r="F28" s="3">
        <v>78305</v>
      </c>
      <c r="G28" s="53">
        <v>73933.25</v>
      </c>
      <c r="H28" s="54">
        <f t="shared" ref="H28:H44" si="28">G28/D28</f>
        <v>256.19201671048387</v>
      </c>
      <c r="I28" s="54">
        <f t="shared" ref="I28:I44" si="29">G28-F28</f>
        <v>-4371.75</v>
      </c>
      <c r="J28" s="6">
        <f t="shared" ref="J28:J44" si="30">I28/F28</f>
        <v>-5.5829768214034861E-2</v>
      </c>
      <c r="K28" s="1">
        <v>45971</v>
      </c>
      <c r="L28" s="1">
        <v>46038</v>
      </c>
      <c r="M28">
        <f t="shared" si="26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27"/>
        <v>478.84701522846564</v>
      </c>
      <c r="F29" s="3">
        <v>61897.919999999998</v>
      </c>
      <c r="G29" s="53">
        <v>54753.85</v>
      </c>
      <c r="H29" s="54">
        <f t="shared" si="28"/>
        <v>423.57994654371464</v>
      </c>
      <c r="I29" s="54">
        <f t="shared" si="29"/>
        <v>-7144.07</v>
      </c>
      <c r="J29" s="6">
        <f t="shared" si="30"/>
        <v>-0.11541696393029038</v>
      </c>
      <c r="K29" s="1">
        <v>46006</v>
      </c>
      <c r="L29" s="1">
        <v>46051</v>
      </c>
      <c r="M29">
        <f t="shared" si="26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27"/>
        <v>145.61999516394894</v>
      </c>
      <c r="F30" s="3">
        <v>61848.7</v>
      </c>
      <c r="G30" s="53">
        <v>58111.070800000001</v>
      </c>
      <c r="H30" s="54">
        <f t="shared" si="28"/>
        <v>136.81991454740191</v>
      </c>
      <c r="I30" s="54">
        <f t="shared" si="29"/>
        <v>-3737.6291999999958</v>
      </c>
      <c r="J30" s="6">
        <f t="shared" si="30"/>
        <v>-6.0431815058360094E-2</v>
      </c>
      <c r="K30" s="27">
        <v>46034</v>
      </c>
      <c r="L30" s="1">
        <v>46057</v>
      </c>
      <c r="M30">
        <f t="shared" si="26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27"/>
        <v>55.207341751332095</v>
      </c>
      <c r="F31" s="3">
        <v>72367.23</v>
      </c>
      <c r="G31" s="53">
        <v>67265.89</v>
      </c>
      <c r="H31" s="54">
        <f t="shared" si="28"/>
        <v>51.315643523145937</v>
      </c>
      <c r="I31" s="54">
        <f t="shared" si="29"/>
        <v>-5101.3399999999965</v>
      </c>
      <c r="J31" s="6">
        <f t="shared" si="30"/>
        <v>-7.0492403813162352E-2</v>
      </c>
      <c r="K31" s="27">
        <v>46035</v>
      </c>
      <c r="L31" s="1">
        <v>46057</v>
      </c>
      <c r="M31">
        <f t="shared" si="26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27"/>
        <v>80.130014013049191</v>
      </c>
      <c r="F32" s="3">
        <v>36213.629999999997</v>
      </c>
      <c r="G32" s="53">
        <v>43431.476999999999</v>
      </c>
      <c r="H32" s="54">
        <f t="shared" si="28"/>
        <v>96.100966973413705</v>
      </c>
      <c r="I32" s="54">
        <f t="shared" si="29"/>
        <v>7217.8470000000016</v>
      </c>
      <c r="J32" s="6">
        <f t="shared" si="30"/>
        <v>0.19931299347787013</v>
      </c>
      <c r="K32" s="27">
        <v>46027</v>
      </c>
      <c r="L32" s="1">
        <v>46057</v>
      </c>
      <c r="M32">
        <f t="shared" si="26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27"/>
        <v>21.050759843181712</v>
      </c>
      <c r="F33" s="3">
        <v>60465.55</v>
      </c>
      <c r="G33" s="53">
        <v>55822.989600000001</v>
      </c>
      <c r="H33" s="54">
        <f t="shared" si="28"/>
        <v>19.434477116275801</v>
      </c>
      <c r="I33" s="54">
        <f t="shared" si="29"/>
        <v>-4642.5604000000021</v>
      </c>
      <c r="J33" s="6">
        <f t="shared" si="30"/>
        <v>-7.6780255864703162E-2</v>
      </c>
      <c r="K33" s="27">
        <v>46027</v>
      </c>
      <c r="L33" s="1">
        <v>46057</v>
      </c>
      <c r="M33">
        <f t="shared" si="26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27"/>
        <v>434.85074082715977</v>
      </c>
      <c r="F34" s="3">
        <v>59637.17</v>
      </c>
      <c r="G34" s="53">
        <v>53506.86</v>
      </c>
      <c r="H34" s="54">
        <f t="shared" si="28"/>
        <v>390.15093624219799</v>
      </c>
      <c r="I34" s="54">
        <f t="shared" si="29"/>
        <v>-6130.3099999999977</v>
      </c>
      <c r="J34" s="6">
        <f t="shared" si="30"/>
        <v>-0.10279344241183809</v>
      </c>
      <c r="K34" s="27">
        <v>46063</v>
      </c>
      <c r="L34" s="1">
        <v>46085</v>
      </c>
      <c r="M34">
        <f t="shared" si="26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27"/>
        <v>112.41206140057369</v>
      </c>
      <c r="F35" s="3">
        <f>24221.64+10214.21</f>
        <v>34435.85</v>
      </c>
      <c r="G35" s="53">
        <v>34880.3246</v>
      </c>
      <c r="H35" s="54">
        <f t="shared" si="28"/>
        <v>113.86300005973835</v>
      </c>
      <c r="I35" s="54">
        <f t="shared" si="29"/>
        <v>444.47460000000137</v>
      </c>
      <c r="J35" s="6">
        <f t="shared" si="30"/>
        <v>1.2907321875313123E-2</v>
      </c>
      <c r="K35" s="27">
        <v>46072</v>
      </c>
      <c r="L35" s="1">
        <v>46085</v>
      </c>
      <c r="M35">
        <f t="shared" si="26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27"/>
        <v>118.60769778513222</v>
      </c>
      <c r="F36" s="3">
        <v>48654.55</v>
      </c>
      <c r="G36" s="53">
        <v>32800.589999999997</v>
      </c>
      <c r="H36" s="54">
        <f t="shared" si="28"/>
        <v>79.959684467208703</v>
      </c>
      <c r="I36" s="54">
        <f t="shared" si="29"/>
        <v>-15853.960000000006</v>
      </c>
      <c r="J36" s="6">
        <f t="shared" si="30"/>
        <v>-0.32584742845222092</v>
      </c>
      <c r="K36" s="27">
        <v>46062</v>
      </c>
      <c r="L36" s="1">
        <v>46093</v>
      </c>
      <c r="M36">
        <f t="shared" si="26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27"/>
        <v>39.561729974101887</v>
      </c>
      <c r="F37" s="3">
        <f>30380.12+16944.65</f>
        <v>47324.770000000004</v>
      </c>
      <c r="G37" s="53">
        <v>51539.4</v>
      </c>
      <c r="H37" s="54">
        <f t="shared" si="28"/>
        <v>43.085002332335193</v>
      </c>
      <c r="I37" s="54">
        <f t="shared" si="29"/>
        <v>4214.6299999999974</v>
      </c>
      <c r="J37" s="6">
        <f t="shared" si="30"/>
        <v>8.9057590771175366E-2</v>
      </c>
      <c r="K37" s="27">
        <v>46021</v>
      </c>
      <c r="L37" s="1">
        <v>46111</v>
      </c>
      <c r="M37">
        <f t="shared" si="26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27"/>
        <v>38.367801566497917</v>
      </c>
      <c r="F38" s="3">
        <f>30923.76+17760.7+20459.97</f>
        <v>69144.429999999993</v>
      </c>
      <c r="G38" s="53">
        <v>40461.81</v>
      </c>
      <c r="H38" s="54">
        <f t="shared" si="28"/>
        <v>22.451999345447508</v>
      </c>
      <c r="I38" s="54">
        <f t="shared" si="29"/>
        <v>-28682.619999999995</v>
      </c>
      <c r="J38" s="6">
        <f t="shared" si="30"/>
        <v>-0.41482184465183963</v>
      </c>
      <c r="K38" s="27">
        <v>46043</v>
      </c>
      <c r="L38" s="1">
        <v>46111</v>
      </c>
      <c r="M38">
        <f t="shared" si="26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27"/>
        <v>643.42001341181731</v>
      </c>
      <c r="F39" s="3">
        <v>30223.69</v>
      </c>
      <c r="G39" s="53">
        <v>54219.4</v>
      </c>
      <c r="H39" s="54">
        <f t="shared" si="28"/>
        <v>1154.2550587033115</v>
      </c>
      <c r="I39" s="54">
        <f t="shared" si="29"/>
        <v>23995.710000000003</v>
      </c>
      <c r="J39" s="6">
        <f t="shared" si="30"/>
        <v>0.79393714003816229</v>
      </c>
      <c r="K39" s="27">
        <v>46000</v>
      </c>
      <c r="L39" s="1">
        <v>46135</v>
      </c>
      <c r="M39">
        <f t="shared" si="26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27"/>
        <v>362.33948238304873</v>
      </c>
      <c r="F40" s="3">
        <v>54708.95</v>
      </c>
      <c r="G40" s="53">
        <v>53696.78</v>
      </c>
      <c r="H40" s="54">
        <f t="shared" si="28"/>
        <v>355.63584150009171</v>
      </c>
      <c r="I40" s="54">
        <f t="shared" si="29"/>
        <v>-1012.1699999999983</v>
      </c>
      <c r="J40" s="6">
        <f t="shared" si="30"/>
        <v>-1.8500994809807141E-2</v>
      </c>
      <c r="K40" s="27">
        <v>46125</v>
      </c>
      <c r="L40" s="1">
        <v>46140</v>
      </c>
      <c r="M40">
        <f t="shared" si="26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27"/>
        <v>151.2456151637227</v>
      </c>
      <c r="F41" s="3">
        <f>32498.71+23220.22</f>
        <v>55718.93</v>
      </c>
      <c r="G41" s="53">
        <v>48956.11</v>
      </c>
      <c r="H41" s="54">
        <f t="shared" si="28"/>
        <v>132.88835541121981</v>
      </c>
      <c r="I41" s="54">
        <f t="shared" si="29"/>
        <v>-6762.82</v>
      </c>
      <c r="J41" s="6">
        <f t="shared" si="30"/>
        <v>-0.12137383111987254</v>
      </c>
      <c r="K41" s="27">
        <v>46122</v>
      </c>
      <c r="L41" s="1">
        <v>46140</v>
      </c>
      <c r="M41">
        <f t="shared" si="26"/>
        <v>18</v>
      </c>
    </row>
    <row r="42" spans="1:13" x14ac:dyDescent="0.25">
      <c r="A42" t="s">
        <v>97</v>
      </c>
      <c r="B42" t="s">
        <v>29</v>
      </c>
      <c r="C42" s="25" t="s">
        <v>98</v>
      </c>
      <c r="D42" s="2">
        <f>1259.0685+394.9897+229.2235</f>
        <v>1883.2817000000002</v>
      </c>
      <c r="E42" s="54">
        <f t="shared" si="27"/>
        <v>25.142647273639412</v>
      </c>
      <c r="F42" s="3">
        <f>30443.09+10694.48+6213.1175</f>
        <v>47350.6875</v>
      </c>
      <c r="G42" s="53">
        <v>39448.75</v>
      </c>
      <c r="H42" s="54">
        <f t="shared" si="28"/>
        <v>20.946813214401221</v>
      </c>
      <c r="I42" s="54">
        <f t="shared" si="29"/>
        <v>-7901.9375</v>
      </c>
      <c r="J42" s="6">
        <f t="shared" si="30"/>
        <v>-0.16688115668859085</v>
      </c>
      <c r="K42" s="27">
        <v>46147</v>
      </c>
      <c r="L42" s="1">
        <v>46156</v>
      </c>
      <c r="M42">
        <f t="shared" si="26"/>
        <v>9</v>
      </c>
    </row>
    <row r="43" spans="1:13" x14ac:dyDescent="0.25">
      <c r="A43" t="s">
        <v>95</v>
      </c>
      <c r="B43" t="s">
        <v>29</v>
      </c>
      <c r="C43" s="25" t="s">
        <v>96</v>
      </c>
      <c r="D43" s="2">
        <f>257.782+121.1917</f>
        <v>378.97370000000001</v>
      </c>
      <c r="E43" s="54">
        <f t="shared" si="27"/>
        <v>194.49579218821782</v>
      </c>
      <c r="F43" s="3">
        <f>48847.11+24861.68</f>
        <v>73708.790000000008</v>
      </c>
      <c r="G43" s="53">
        <v>64046.55</v>
      </c>
      <c r="H43" s="54">
        <f t="shared" si="28"/>
        <v>168.99998601486067</v>
      </c>
      <c r="I43" s="54">
        <f t="shared" si="29"/>
        <v>-9662.2400000000052</v>
      </c>
      <c r="J43" s="6">
        <f t="shared" si="30"/>
        <v>-0.13108667229512252</v>
      </c>
      <c r="K43" s="27">
        <v>46147</v>
      </c>
      <c r="L43" s="1">
        <v>46160</v>
      </c>
      <c r="M43">
        <f t="shared" si="26"/>
        <v>13</v>
      </c>
    </row>
    <row r="44" spans="1:13" x14ac:dyDescent="0.25">
      <c r="A44" t="s">
        <v>89</v>
      </c>
      <c r="B44" t="s">
        <v>29</v>
      </c>
      <c r="C44" s="25" t="s">
        <v>90</v>
      </c>
      <c r="D44" s="2">
        <f>175.1868+89.2865</f>
        <v>264.47329999999999</v>
      </c>
      <c r="E44" s="54">
        <f t="shared" si="27"/>
        <v>247.62552590374906</v>
      </c>
      <c r="F44" s="3">
        <f>43046.46+22443.88</f>
        <v>65490.34</v>
      </c>
      <c r="G44" s="53">
        <v>62944.65</v>
      </c>
      <c r="H44" s="54">
        <f t="shared" si="28"/>
        <v>238.00001739306009</v>
      </c>
      <c r="I44" s="54">
        <f t="shared" si="29"/>
        <v>-2545.6899999999951</v>
      </c>
      <c r="J44" s="6">
        <f t="shared" si="30"/>
        <v>-3.8871228947658466E-2</v>
      </c>
      <c r="K44" s="27">
        <v>46121</v>
      </c>
      <c r="L44" s="1">
        <v>46161</v>
      </c>
      <c r="M44">
        <f t="shared" si="26"/>
        <v>40</v>
      </c>
    </row>
    <row r="45" spans="1:13" x14ac:dyDescent="0.25">
      <c r="A45" t="s">
        <v>87</v>
      </c>
      <c r="B45" t="s">
        <v>29</v>
      </c>
      <c r="C45" s="25" t="s">
        <v>88</v>
      </c>
      <c r="D45" s="2">
        <f>518.2339+239.8468</f>
        <v>758.08069999999998</v>
      </c>
      <c r="E45" s="54">
        <f t="shared" si="27"/>
        <v>83.931552405964169</v>
      </c>
      <c r="F45" s="3">
        <f>42849.56+20777.33</f>
        <v>63626.89</v>
      </c>
      <c r="G45" s="53">
        <v>61224.85</v>
      </c>
      <c r="H45" s="54">
        <f t="shared" ref="H45" si="31">G45/D45</f>
        <v>80.762971541156503</v>
      </c>
      <c r="I45" s="54">
        <f t="shared" ref="I45" si="32">G45-F45</f>
        <v>-2402.0400000000009</v>
      </c>
      <c r="J45" s="6">
        <f t="shared" ref="J45" si="33">I45/F45</f>
        <v>-3.7751963045812874E-2</v>
      </c>
      <c r="K45" s="27">
        <v>46120</v>
      </c>
      <c r="L45" s="1">
        <v>46175</v>
      </c>
      <c r="M45">
        <f t="shared" si="26"/>
        <v>54</v>
      </c>
    </row>
    <row r="46" spans="1:13" x14ac:dyDescent="0.25">
      <c r="F46" s="53"/>
      <c r="G46" s="53"/>
      <c r="H46" s="3" t="s">
        <v>66</v>
      </c>
      <c r="I46" s="3">
        <f>SUM(I26:I45)</f>
        <v>-84723.740099999995</v>
      </c>
      <c r="J46" s="13" t="s">
        <v>49</v>
      </c>
    </row>
    <row r="47" spans="1:13" x14ac:dyDescent="0.25">
      <c r="F47" s="53"/>
      <c r="G47" s="53"/>
      <c r="H47" s="3" t="s">
        <v>50</v>
      </c>
      <c r="I47" s="56">
        <v>16</v>
      </c>
      <c r="J47" s="5">
        <v>-0.1235</v>
      </c>
    </row>
    <row r="48" spans="1:13" x14ac:dyDescent="0.25">
      <c r="F48" s="53"/>
      <c r="G48" s="53"/>
      <c r="H48" s="3" t="s">
        <v>51</v>
      </c>
      <c r="I48" s="63">
        <v>4</v>
      </c>
      <c r="J48" s="5">
        <v>0.27379999999999999</v>
      </c>
    </row>
    <row r="49" spans="6:10" x14ac:dyDescent="0.25">
      <c r="F49" s="53"/>
      <c r="G49" s="53"/>
      <c r="I49" s="56">
        <f>SUM(I47:I48)</f>
        <v>20</v>
      </c>
      <c r="J49" s="6"/>
    </row>
    <row r="50" spans="6:10" x14ac:dyDescent="0.25">
      <c r="F50" s="53"/>
      <c r="G50" s="53"/>
      <c r="H50" t="s">
        <v>65</v>
      </c>
      <c r="I50" s="64">
        <f>I48/I49</f>
        <v>0.2</v>
      </c>
      <c r="J50" s="65">
        <f>J48/J47*-1</f>
        <v>2.217004048582996</v>
      </c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  <c r="J69" s="6"/>
    </row>
    <row r="70" spans="6:10" x14ac:dyDescent="0.25">
      <c r="F70" s="53"/>
      <c r="G70" s="53"/>
      <c r="J70" s="6"/>
    </row>
    <row r="71" spans="6:10" x14ac:dyDescent="0.25">
      <c r="F71" s="53"/>
      <c r="G71" s="53"/>
      <c r="J71" s="6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  <row r="75" spans="6:10" x14ac:dyDescent="0.25">
      <c r="F75" s="53"/>
      <c r="G75" s="53"/>
    </row>
    <row r="76" spans="6:10" x14ac:dyDescent="0.25">
      <c r="F76" s="53"/>
      <c r="G76" s="53"/>
    </row>
    <row r="77" spans="6:10" x14ac:dyDescent="0.25">
      <c r="F77" s="53"/>
      <c r="G77" s="53"/>
    </row>
  </sheetData>
  <sortState xmlns:xlrd2="http://schemas.microsoft.com/office/spreadsheetml/2017/richdata2" ref="A7:AC11">
    <sortCondition descending="1" ref="L7:L11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B66A-F6D1-4B25-B068-DE5DB11C5ED7}">
  <dimension ref="A1:AC7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46185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940.66</v>
      </c>
      <c r="F7" s="3">
        <f t="shared" ref="F7:F17" si="0">E7*D7</f>
        <v>75631.133451999995</v>
      </c>
      <c r="G7" s="3">
        <f>61467.93+20488.3849-30223.69</f>
        <v>51732.624899999995</v>
      </c>
      <c r="H7" s="4">
        <f t="shared" ref="H7:H17" si="1">G7/D7</f>
        <v>643.42300210690746</v>
      </c>
      <c r="I7" s="3">
        <f t="shared" ref="I7:I17" si="2">F7-G7</f>
        <v>23898.508551999999</v>
      </c>
      <c r="J7" s="26">
        <f t="shared" ref="J7:J17" si="3">E7-H7</f>
        <v>297.23699789309251</v>
      </c>
      <c r="K7" s="27">
        <v>46000</v>
      </c>
      <c r="L7">
        <f t="shared" ref="L7:L17" si="4">DAYS360(K7,$C$1)</f>
        <v>183</v>
      </c>
      <c r="M7" s="5">
        <f t="shared" ref="M7:M17" si="5">(I7/G7)</f>
        <v>0.46196203262827285</v>
      </c>
      <c r="N7" s="9">
        <v>69</v>
      </c>
      <c r="O7">
        <v>82</v>
      </c>
      <c r="P7" s="59">
        <v>86</v>
      </c>
      <c r="Q7" s="28">
        <v>701</v>
      </c>
      <c r="R7" s="29">
        <f t="shared" ref="R7:R17" si="6">Q7*0.93</f>
        <v>651.93000000000006</v>
      </c>
      <c r="S7" s="29">
        <v>708.75</v>
      </c>
      <c r="T7" s="28">
        <f t="shared" ref="T7:T17" si="7">Q7*1.25</f>
        <v>876.25</v>
      </c>
      <c r="U7" s="28">
        <f t="shared" ref="U7:U17" si="8">Q7*1.5</f>
        <v>1051.5</v>
      </c>
      <c r="V7" s="28">
        <f t="shared" ref="V7:V17" si="9">Q7*2</f>
        <v>1402</v>
      </c>
      <c r="W7" s="28">
        <f t="shared" ref="W7:W17" si="10">H7-(H7*0.07)</f>
        <v>598.38339195942399</v>
      </c>
      <c r="X7" s="29">
        <v>980</v>
      </c>
      <c r="Y7" s="5">
        <f t="shared" ref="Y7:Y17" si="11">(X7-H7)/H7</f>
        <v>0.52310376966779448</v>
      </c>
      <c r="Z7" s="6">
        <f t="shared" ref="Z7:Z17" si="12">F7/F$20</f>
        <v>0.12247499802900542</v>
      </c>
      <c r="AB7" s="55">
        <v>46225</v>
      </c>
      <c r="AC7" s="9">
        <v>78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395.57</v>
      </c>
      <c r="F8" s="3">
        <f t="shared" si="0"/>
        <v>72695.955864000003</v>
      </c>
      <c r="G8" s="3">
        <v>31661.82</v>
      </c>
      <c r="H8" s="4">
        <f t="shared" si="1"/>
        <v>172.28559675081294</v>
      </c>
      <c r="I8" s="3">
        <f t="shared" si="2"/>
        <v>41034.135864000003</v>
      </c>
      <c r="J8" s="26">
        <f t="shared" si="3"/>
        <v>223.28440324918705</v>
      </c>
      <c r="K8" s="27">
        <v>46114</v>
      </c>
      <c r="L8">
        <f t="shared" si="4"/>
        <v>70</v>
      </c>
      <c r="M8" s="5">
        <f t="shared" si="5"/>
        <v>1.2960131749848873</v>
      </c>
      <c r="N8" s="32">
        <v>2</v>
      </c>
      <c r="O8">
        <v>99</v>
      </c>
      <c r="P8" s="60">
        <v>97</v>
      </c>
      <c r="Q8" s="28">
        <v>168.08</v>
      </c>
      <c r="R8" s="29">
        <f t="shared" si="6"/>
        <v>156.31440000000001</v>
      </c>
      <c r="S8" s="29">
        <v>155.37</v>
      </c>
      <c r="T8" s="30">
        <f t="shared" si="7"/>
        <v>210.10000000000002</v>
      </c>
      <c r="U8" s="28">
        <f t="shared" si="8"/>
        <v>252.12</v>
      </c>
      <c r="V8" s="28">
        <f t="shared" si="9"/>
        <v>336.16</v>
      </c>
      <c r="W8" s="28">
        <f t="shared" si="10"/>
        <v>160.22560497825603</v>
      </c>
      <c r="X8" s="29">
        <v>205</v>
      </c>
      <c r="Y8" s="5">
        <f t="shared" si="11"/>
        <v>0.18988472551483149</v>
      </c>
      <c r="Z8" s="6">
        <f t="shared" si="12"/>
        <v>0.11772185136972349</v>
      </c>
      <c r="AB8" s="62">
        <v>46268</v>
      </c>
      <c r="AC8" s="32">
        <v>99</v>
      </c>
    </row>
    <row r="9" spans="1:29" x14ac:dyDescent="0.25">
      <c r="A9" t="s">
        <v>82</v>
      </c>
      <c r="B9" t="s">
        <v>29</v>
      </c>
      <c r="C9" s="25" t="s">
        <v>83</v>
      </c>
      <c r="D9" s="2">
        <v>144.76</v>
      </c>
      <c r="E9" s="26">
        <v>858.99</v>
      </c>
      <c r="F9" s="3">
        <f t="shared" si="0"/>
        <v>124347.3924</v>
      </c>
      <c r="G9" s="3">
        <v>66860.710000000006</v>
      </c>
      <c r="H9" s="4">
        <f t="shared" si="1"/>
        <v>461.87282398452618</v>
      </c>
      <c r="I9" s="3">
        <f t="shared" si="2"/>
        <v>57486.682399999991</v>
      </c>
      <c r="J9" s="26">
        <f t="shared" si="3"/>
        <v>397.11717601547383</v>
      </c>
      <c r="K9" s="27">
        <v>46129</v>
      </c>
      <c r="L9">
        <f t="shared" si="4"/>
        <v>55</v>
      </c>
      <c r="M9" s="5">
        <f t="shared" si="5"/>
        <v>0.85979766592367901</v>
      </c>
      <c r="N9" s="9">
        <v>29</v>
      </c>
      <c r="O9">
        <v>98</v>
      </c>
      <c r="P9" s="59">
        <v>99</v>
      </c>
      <c r="Q9" s="28">
        <v>472.61</v>
      </c>
      <c r="R9" s="29">
        <f t="shared" si="6"/>
        <v>439.52730000000003</v>
      </c>
      <c r="S9" s="29">
        <v>362.59</v>
      </c>
      <c r="T9" s="28">
        <f t="shared" si="7"/>
        <v>590.76250000000005</v>
      </c>
      <c r="U9" s="28">
        <f t="shared" si="8"/>
        <v>708.91499999999996</v>
      </c>
      <c r="V9" s="28">
        <f t="shared" si="9"/>
        <v>945.22</v>
      </c>
      <c r="W9" s="28">
        <f t="shared" si="10"/>
        <v>429.54172630560936</v>
      </c>
      <c r="X9" s="29">
        <v>675</v>
      </c>
      <c r="Y9" s="5">
        <f t="shared" si="11"/>
        <v>0.46144125600819952</v>
      </c>
      <c r="Z9" s="31">
        <f t="shared" si="12"/>
        <v>0.20136478119513407</v>
      </c>
      <c r="AB9" s="55">
        <v>46244</v>
      </c>
      <c r="AC9" s="9">
        <v>99</v>
      </c>
    </row>
    <row r="10" spans="1:29" x14ac:dyDescent="0.25">
      <c r="A10" t="s">
        <v>100</v>
      </c>
      <c r="B10" t="s">
        <v>29</v>
      </c>
      <c r="C10" s="25" t="s">
        <v>100</v>
      </c>
      <c r="D10" s="2">
        <v>765.40449999999998</v>
      </c>
      <c r="E10" s="26">
        <v>59.77</v>
      </c>
      <c r="F10" s="3">
        <f t="shared" si="0"/>
        <v>45748.226965000002</v>
      </c>
      <c r="G10" s="3">
        <v>50362.82</v>
      </c>
      <c r="H10" s="4">
        <f t="shared" si="1"/>
        <v>65.798959896368515</v>
      </c>
      <c r="I10" s="3">
        <f t="shared" si="2"/>
        <v>-4614.5930349999981</v>
      </c>
      <c r="J10" s="26">
        <f t="shared" si="3"/>
        <v>-6.0289598963685123</v>
      </c>
      <c r="K10" s="27">
        <v>46174</v>
      </c>
      <c r="L10">
        <f t="shared" si="4"/>
        <v>11</v>
      </c>
      <c r="M10" s="5">
        <f t="shared" si="5"/>
        <v>-9.162697869182064E-2</v>
      </c>
      <c r="N10" s="9">
        <v>83</v>
      </c>
      <c r="O10">
        <v>94</v>
      </c>
      <c r="P10" s="59">
        <v>7</v>
      </c>
      <c r="Q10" s="28">
        <v>63.59</v>
      </c>
      <c r="R10" s="29">
        <f t="shared" si="6"/>
        <v>59.138700000000007</v>
      </c>
      <c r="S10" s="29">
        <v>46</v>
      </c>
      <c r="T10" s="30">
        <f t="shared" si="7"/>
        <v>79.487500000000011</v>
      </c>
      <c r="U10" s="28">
        <f t="shared" si="8"/>
        <v>95.385000000000005</v>
      </c>
      <c r="V10" s="28">
        <f t="shared" si="9"/>
        <v>127.18</v>
      </c>
      <c r="W10" s="28">
        <f t="shared" si="10"/>
        <v>61.19303270362272</v>
      </c>
      <c r="X10" s="29">
        <v>61</v>
      </c>
      <c r="Y10" s="5">
        <f t="shared" si="11"/>
        <v>-7.2933674087352449E-2</v>
      </c>
      <c r="Z10" s="31">
        <f t="shared" si="12"/>
        <v>7.4083432994229467E-2</v>
      </c>
      <c r="AB10" s="55">
        <v>46281</v>
      </c>
      <c r="AC10" s="9">
        <v>55</v>
      </c>
    </row>
    <row r="11" spans="1:29" x14ac:dyDescent="0.25">
      <c r="A11" t="s">
        <v>95</v>
      </c>
      <c r="B11" t="s">
        <v>29</v>
      </c>
      <c r="C11" s="25" t="s">
        <v>96</v>
      </c>
      <c r="D11" s="2">
        <f>160.7346+74.6791</f>
        <v>235.41370000000001</v>
      </c>
      <c r="E11" s="26">
        <v>250.81</v>
      </c>
      <c r="F11" s="3">
        <f t="shared" si="0"/>
        <v>59044.110097000004</v>
      </c>
      <c r="G11" s="3">
        <f>37783.98+16080.63</f>
        <v>53864.61</v>
      </c>
      <c r="H11" s="4">
        <f t="shared" si="1"/>
        <v>228.80830639848062</v>
      </c>
      <c r="I11" s="3">
        <f t="shared" si="2"/>
        <v>5179.5000970000037</v>
      </c>
      <c r="J11" s="26">
        <f t="shared" si="3"/>
        <v>22.001693601519378</v>
      </c>
      <c r="K11" s="27">
        <v>46174</v>
      </c>
      <c r="L11">
        <f t="shared" si="4"/>
        <v>11</v>
      </c>
      <c r="M11" s="5">
        <f t="shared" si="5"/>
        <v>9.61577573289773E-2</v>
      </c>
      <c r="N11" s="9">
        <v>22</v>
      </c>
      <c r="O11">
        <v>96</v>
      </c>
      <c r="P11" s="59">
        <v>84</v>
      </c>
      <c r="Q11" s="28">
        <v>211</v>
      </c>
      <c r="R11" s="29">
        <f t="shared" si="6"/>
        <v>196.23000000000002</v>
      </c>
      <c r="S11" s="29">
        <v>148.94</v>
      </c>
      <c r="T11" s="28">
        <f t="shared" si="7"/>
        <v>263.75</v>
      </c>
      <c r="U11" s="28">
        <f t="shared" si="8"/>
        <v>316.5</v>
      </c>
      <c r="V11" s="28">
        <f t="shared" si="9"/>
        <v>422</v>
      </c>
      <c r="W11" s="28">
        <f t="shared" si="10"/>
        <v>212.79172495058697</v>
      </c>
      <c r="X11" s="29">
        <v>218</v>
      </c>
      <c r="Y11" s="5">
        <f t="shared" si="11"/>
        <v>-4.7237386476946516E-2</v>
      </c>
      <c r="Z11" s="6">
        <f t="shared" si="12"/>
        <v>9.5614424082959809E-2</v>
      </c>
      <c r="AB11" s="55">
        <v>46274</v>
      </c>
      <c r="AC11" s="9">
        <v>99</v>
      </c>
    </row>
    <row r="12" spans="1:29" x14ac:dyDescent="0.25">
      <c r="A12" t="s">
        <v>72</v>
      </c>
      <c r="B12" t="s">
        <v>29</v>
      </c>
      <c r="C12" s="25" t="s">
        <v>73</v>
      </c>
      <c r="D12" s="2">
        <f>256.7248+144.421</f>
        <v>401.14580000000001</v>
      </c>
      <c r="E12" s="26">
        <v>153.80000000000001</v>
      </c>
      <c r="F12" s="3">
        <f t="shared" si="0"/>
        <v>61696.224040000008</v>
      </c>
      <c r="G12" s="3">
        <f>36957.51+21832.03</f>
        <v>58789.54</v>
      </c>
      <c r="H12" s="4">
        <f t="shared" si="1"/>
        <v>146.554045935418</v>
      </c>
      <c r="I12" s="3">
        <f t="shared" si="2"/>
        <v>2906.6840400000074</v>
      </c>
      <c r="J12" s="26">
        <f t="shared" si="3"/>
        <v>7.2459540645820084</v>
      </c>
      <c r="K12" s="27">
        <v>46181</v>
      </c>
      <c r="L12">
        <f t="shared" si="4"/>
        <v>4</v>
      </c>
      <c r="M12" s="5">
        <f t="shared" si="5"/>
        <v>4.944219737048474E-2</v>
      </c>
      <c r="N12" s="9">
        <v>10</v>
      </c>
      <c r="O12">
        <v>76</v>
      </c>
      <c r="P12" s="59">
        <v>98</v>
      </c>
      <c r="Q12" s="28">
        <v>155.46</v>
      </c>
      <c r="R12" s="29">
        <f t="shared" si="6"/>
        <v>144.57780000000002</v>
      </c>
      <c r="S12" s="29">
        <v>138.19999999999999</v>
      </c>
      <c r="T12" s="28">
        <f t="shared" si="7"/>
        <v>194.32500000000002</v>
      </c>
      <c r="U12" s="28">
        <f t="shared" si="8"/>
        <v>233.19</v>
      </c>
      <c r="V12" s="28">
        <f t="shared" si="9"/>
        <v>310.92</v>
      </c>
      <c r="W12" s="28">
        <f t="shared" si="10"/>
        <v>136.29526271993873</v>
      </c>
      <c r="X12" s="29">
        <v>135</v>
      </c>
      <c r="Y12" s="5">
        <f t="shared" si="11"/>
        <v>-7.8838123244373115E-2</v>
      </c>
      <c r="Z12" s="6">
        <f t="shared" si="12"/>
        <v>9.9909185183529217E-2</v>
      </c>
      <c r="AB12" s="55">
        <v>46232</v>
      </c>
      <c r="AC12" s="59">
        <v>97</v>
      </c>
    </row>
    <row r="13" spans="1:29" x14ac:dyDescent="0.25">
      <c r="C13" s="25"/>
      <c r="D13" s="2"/>
      <c r="E13" s="26"/>
      <c r="F13" s="3">
        <f t="shared" si="0"/>
        <v>0</v>
      </c>
      <c r="G13" s="3"/>
      <c r="H13" s="4" t="e">
        <f t="shared" si="1"/>
        <v>#DIV/0!</v>
      </c>
      <c r="I13" s="3">
        <f t="shared" si="2"/>
        <v>0</v>
      </c>
      <c r="J13" s="26" t="e">
        <f t="shared" si="3"/>
        <v>#DIV/0!</v>
      </c>
      <c r="K13" s="27"/>
      <c r="L13">
        <f t="shared" si="4"/>
        <v>45522</v>
      </c>
      <c r="M13" s="5" t="e">
        <f t="shared" si="5"/>
        <v>#DIV/0!</v>
      </c>
      <c r="N13" s="9"/>
      <c r="P13" s="60"/>
      <c r="Q13" s="28"/>
      <c r="R13" s="29">
        <f t="shared" si="6"/>
        <v>0</v>
      </c>
      <c r="S13" s="29"/>
      <c r="T13" s="30">
        <f t="shared" si="7"/>
        <v>0</v>
      </c>
      <c r="U13" s="28">
        <f t="shared" si="8"/>
        <v>0</v>
      </c>
      <c r="V13" s="28">
        <f t="shared" si="9"/>
        <v>0</v>
      </c>
      <c r="W13" s="28" t="e">
        <f t="shared" si="10"/>
        <v>#DIV/0!</v>
      </c>
      <c r="X13" s="29"/>
      <c r="Y13" s="5" t="e">
        <f t="shared" si="11"/>
        <v>#DIV/0!</v>
      </c>
      <c r="Z13" s="6">
        <f t="shared" si="12"/>
        <v>0</v>
      </c>
      <c r="AB13" s="57"/>
      <c r="AC13" s="9"/>
    </row>
    <row r="14" spans="1:29" x14ac:dyDescent="0.25">
      <c r="C14" s="25"/>
      <c r="D14" s="2"/>
      <c r="E14" s="26"/>
      <c r="F14" s="3">
        <f t="shared" si="0"/>
        <v>0</v>
      </c>
      <c r="G14" s="3"/>
      <c r="H14" s="4" t="e">
        <f t="shared" si="1"/>
        <v>#DIV/0!</v>
      </c>
      <c r="I14" s="3">
        <f t="shared" si="2"/>
        <v>0</v>
      </c>
      <c r="J14" s="26" t="e">
        <f t="shared" si="3"/>
        <v>#DIV/0!</v>
      </c>
      <c r="K14" s="27"/>
      <c r="L14">
        <f t="shared" si="4"/>
        <v>45522</v>
      </c>
      <c r="M14" s="5" t="e">
        <f t="shared" si="5"/>
        <v>#DIV/0!</v>
      </c>
      <c r="N14" s="32"/>
      <c r="P14" s="60"/>
      <c r="Q14" s="28"/>
      <c r="R14" s="29">
        <f t="shared" si="6"/>
        <v>0</v>
      </c>
      <c r="S14" s="29"/>
      <c r="T14" s="30">
        <f t="shared" si="7"/>
        <v>0</v>
      </c>
      <c r="U14" s="28">
        <f t="shared" si="8"/>
        <v>0</v>
      </c>
      <c r="V14" s="28">
        <f t="shared" si="9"/>
        <v>0</v>
      </c>
      <c r="W14" s="28" t="e">
        <f t="shared" si="10"/>
        <v>#DIV/0!</v>
      </c>
      <c r="X14" s="29"/>
      <c r="Y14" s="5" t="e">
        <f t="shared" si="11"/>
        <v>#DIV/0!</v>
      </c>
      <c r="Z14" s="6">
        <f t="shared" si="12"/>
        <v>0</v>
      </c>
      <c r="AB14" s="67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45522</v>
      </c>
      <c r="M15" s="5" t="e">
        <f t="shared" si="5"/>
        <v>#DIV/0!</v>
      </c>
      <c r="N15" s="9"/>
      <c r="P15" s="32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1">
        <f t="shared" si="12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45522</v>
      </c>
      <c r="M16" s="5" t="e">
        <f t="shared" si="5"/>
        <v>#DIV/0!</v>
      </c>
      <c r="P16" s="59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1">
        <f t="shared" si="12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4"/>
        <v>45522</v>
      </c>
      <c r="M17" s="40" t="e">
        <f t="shared" si="5"/>
        <v>#DIV/0!</v>
      </c>
      <c r="N17" s="33"/>
      <c r="O17" s="33"/>
      <c r="P17" s="61"/>
      <c r="Q17" s="41"/>
      <c r="R17" s="42">
        <f t="shared" si="6"/>
        <v>0</v>
      </c>
      <c r="S17" s="42"/>
      <c r="T17" s="43">
        <f t="shared" si="7"/>
        <v>0</v>
      </c>
      <c r="U17" s="41">
        <f t="shared" si="8"/>
        <v>0</v>
      </c>
      <c r="V17" s="41">
        <f t="shared" si="9"/>
        <v>0</v>
      </c>
      <c r="W17" s="41" t="e">
        <f t="shared" si="10"/>
        <v>#DIV/0!</v>
      </c>
      <c r="X17" s="42"/>
      <c r="Y17" s="40" t="e">
        <f t="shared" si="11"/>
        <v>#DIV/0!</v>
      </c>
      <c r="Z17" s="44">
        <f t="shared" si="12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439163.04281800002</v>
      </c>
      <c r="G18" s="3">
        <f>SUM(G6:G17)</f>
        <v>313272.1249</v>
      </c>
      <c r="H18" s="4"/>
      <c r="I18" s="3">
        <f>SUM(I6:I17)</f>
        <v>125890.91791800001</v>
      </c>
      <c r="M18" s="5"/>
      <c r="Z18" s="6"/>
    </row>
    <row r="19" spans="1:29" x14ac:dyDescent="0.25">
      <c r="D19" s="2" t="s">
        <v>32</v>
      </c>
      <c r="F19" s="3">
        <v>178360</v>
      </c>
      <c r="G19" s="6">
        <f>F19/F20</f>
        <v>0.28883132714541843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617523.04281800007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'06-05-26'!F20</f>
        <v>602150.85290400009</v>
      </c>
      <c r="K21" s="1">
        <v>45657</v>
      </c>
      <c r="L21" s="47">
        <v>208334</v>
      </c>
      <c r="M21" s="47">
        <v>228162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2.5528802026708663E-2</v>
      </c>
      <c r="K22" s="9" t="s">
        <v>54</v>
      </c>
      <c r="L22" s="6">
        <f>(M21-L21)/L21</f>
        <v>9.5174095442894582E-2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5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5" si="14">F28/D28</f>
        <v>271.34091722620656</v>
      </c>
      <c r="F28" s="3">
        <v>78305</v>
      </c>
      <c r="G28" s="53">
        <v>73933.25</v>
      </c>
      <c r="H28" s="54">
        <f t="shared" ref="H28:H45" si="15">G28/D28</f>
        <v>256.19201671048387</v>
      </c>
      <c r="I28" s="54">
        <f t="shared" ref="I28:I45" si="16">G28-F28</f>
        <v>-4371.75</v>
      </c>
      <c r="J28" s="6">
        <f t="shared" ref="J28:J45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4"/>
        <v>643.42001341181731</v>
      </c>
      <c r="F39" s="3">
        <v>30223.69</v>
      </c>
      <c r="G39" s="53">
        <v>54219.4</v>
      </c>
      <c r="H39" s="54">
        <f t="shared" si="15"/>
        <v>1154.2550587033115</v>
      </c>
      <c r="I39" s="54">
        <f t="shared" si="16"/>
        <v>23995.710000000003</v>
      </c>
      <c r="J39" s="6">
        <f t="shared" si="17"/>
        <v>0.79393714003816229</v>
      </c>
      <c r="K39" s="27">
        <v>46000</v>
      </c>
      <c r="L39" s="1">
        <v>46135</v>
      </c>
      <c r="M39">
        <f t="shared" si="13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14"/>
        <v>362.33948238304873</v>
      </c>
      <c r="F40" s="3">
        <v>54708.95</v>
      </c>
      <c r="G40" s="53">
        <v>53696.78</v>
      </c>
      <c r="H40" s="54">
        <f t="shared" si="15"/>
        <v>355.63584150009171</v>
      </c>
      <c r="I40" s="54">
        <f t="shared" si="16"/>
        <v>-1012.1699999999983</v>
      </c>
      <c r="J40" s="6">
        <f t="shared" si="17"/>
        <v>-1.8500994809807141E-2</v>
      </c>
      <c r="K40" s="27">
        <v>46125</v>
      </c>
      <c r="L40" s="1">
        <v>46140</v>
      </c>
      <c r="M40">
        <f t="shared" si="13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14"/>
        <v>151.2456151637227</v>
      </c>
      <c r="F41" s="3">
        <f>32498.71+23220.22</f>
        <v>55718.93</v>
      </c>
      <c r="G41" s="53">
        <v>48956.11</v>
      </c>
      <c r="H41" s="54">
        <f t="shared" si="15"/>
        <v>132.88835541121981</v>
      </c>
      <c r="I41" s="54">
        <f t="shared" si="16"/>
        <v>-6762.82</v>
      </c>
      <c r="J41" s="6">
        <f t="shared" si="17"/>
        <v>-0.12137383111987254</v>
      </c>
      <c r="K41" s="27">
        <v>46122</v>
      </c>
      <c r="L41" s="1">
        <v>46140</v>
      </c>
      <c r="M41">
        <f t="shared" si="13"/>
        <v>18</v>
      </c>
    </row>
    <row r="42" spans="1:13" x14ac:dyDescent="0.25">
      <c r="A42" t="s">
        <v>97</v>
      </c>
      <c r="B42" t="s">
        <v>29</v>
      </c>
      <c r="C42" s="25" t="s">
        <v>98</v>
      </c>
      <c r="D42" s="2">
        <f>1259.0685+394.9897+229.2235</f>
        <v>1883.2817000000002</v>
      </c>
      <c r="E42" s="54">
        <f t="shared" si="14"/>
        <v>25.142647273639412</v>
      </c>
      <c r="F42" s="3">
        <f>30443.09+10694.48+6213.1175</f>
        <v>47350.6875</v>
      </c>
      <c r="G42" s="53">
        <v>39448.75</v>
      </c>
      <c r="H42" s="54">
        <f t="shared" si="15"/>
        <v>20.946813214401221</v>
      </c>
      <c r="I42" s="54">
        <f t="shared" si="16"/>
        <v>-7901.9375</v>
      </c>
      <c r="J42" s="6">
        <f t="shared" si="17"/>
        <v>-0.16688115668859085</v>
      </c>
      <c r="K42" s="27">
        <v>46147</v>
      </c>
      <c r="L42" s="1">
        <v>46156</v>
      </c>
      <c r="M42">
        <f t="shared" si="13"/>
        <v>9</v>
      </c>
    </row>
    <row r="43" spans="1:13" x14ac:dyDescent="0.25">
      <c r="A43" t="s">
        <v>95</v>
      </c>
      <c r="B43" t="s">
        <v>29</v>
      </c>
      <c r="C43" s="25" t="s">
        <v>96</v>
      </c>
      <c r="D43" s="2">
        <f>257.782+121.1917</f>
        <v>378.97370000000001</v>
      </c>
      <c r="E43" s="54">
        <f t="shared" si="14"/>
        <v>194.49579218821782</v>
      </c>
      <c r="F43" s="3">
        <f>48847.11+24861.68</f>
        <v>73708.790000000008</v>
      </c>
      <c r="G43" s="53">
        <v>64046.55</v>
      </c>
      <c r="H43" s="54">
        <f t="shared" si="15"/>
        <v>168.99998601486067</v>
      </c>
      <c r="I43" s="54">
        <f t="shared" si="16"/>
        <v>-9662.2400000000052</v>
      </c>
      <c r="J43" s="6">
        <f t="shared" si="17"/>
        <v>-0.13108667229512252</v>
      </c>
      <c r="K43" s="27">
        <v>46147</v>
      </c>
      <c r="L43" s="1">
        <v>46160</v>
      </c>
      <c r="M43">
        <f t="shared" si="13"/>
        <v>13</v>
      </c>
    </row>
    <row r="44" spans="1:13" x14ac:dyDescent="0.25">
      <c r="A44" t="s">
        <v>89</v>
      </c>
      <c r="B44" t="s">
        <v>29</v>
      </c>
      <c r="C44" s="25" t="s">
        <v>90</v>
      </c>
      <c r="D44" s="2">
        <f>175.1868+89.2865</f>
        <v>264.47329999999999</v>
      </c>
      <c r="E44" s="54">
        <f t="shared" si="14"/>
        <v>247.62552590374906</v>
      </c>
      <c r="F44" s="3">
        <f>43046.46+22443.88</f>
        <v>65490.34</v>
      </c>
      <c r="G44" s="53">
        <v>62944.65</v>
      </c>
      <c r="H44" s="54">
        <f t="shared" si="15"/>
        <v>238.00001739306009</v>
      </c>
      <c r="I44" s="54">
        <f t="shared" si="16"/>
        <v>-2545.6899999999951</v>
      </c>
      <c r="J44" s="6">
        <f t="shared" si="17"/>
        <v>-3.8871228947658466E-2</v>
      </c>
      <c r="K44" s="27">
        <v>46121</v>
      </c>
      <c r="L44" s="1">
        <v>46161</v>
      </c>
      <c r="M44">
        <f t="shared" si="13"/>
        <v>40</v>
      </c>
    </row>
    <row r="45" spans="1:13" x14ac:dyDescent="0.25">
      <c r="A45" t="s">
        <v>87</v>
      </c>
      <c r="B45" t="s">
        <v>29</v>
      </c>
      <c r="C45" s="25" t="s">
        <v>88</v>
      </c>
      <c r="D45" s="2">
        <f>518.2339+239.8468</f>
        <v>758.08069999999998</v>
      </c>
      <c r="E45" s="54">
        <f t="shared" si="14"/>
        <v>83.931552405964169</v>
      </c>
      <c r="F45" s="3">
        <f>42849.56+20777.33</f>
        <v>63626.89</v>
      </c>
      <c r="G45" s="53">
        <v>61224.85</v>
      </c>
      <c r="H45" s="54">
        <f t="shared" si="15"/>
        <v>80.762971541156503</v>
      </c>
      <c r="I45" s="54">
        <f t="shared" si="16"/>
        <v>-2402.0400000000009</v>
      </c>
      <c r="J45" s="6">
        <f t="shared" si="17"/>
        <v>-3.7751963045812874E-2</v>
      </c>
      <c r="K45" s="27">
        <v>46120</v>
      </c>
      <c r="L45" s="1">
        <v>46175</v>
      </c>
      <c r="M45">
        <f t="shared" si="13"/>
        <v>54</v>
      </c>
    </row>
    <row r="46" spans="1:13" x14ac:dyDescent="0.25">
      <c r="F46" s="53"/>
      <c r="G46" s="53"/>
      <c r="H46" s="3" t="s">
        <v>66</v>
      </c>
      <c r="I46" s="3">
        <f>SUM(I26:I45)</f>
        <v>-84723.740099999995</v>
      </c>
      <c r="J46" s="13" t="s">
        <v>49</v>
      </c>
    </row>
    <row r="47" spans="1:13" x14ac:dyDescent="0.25">
      <c r="F47" s="53"/>
      <c r="G47" s="53"/>
      <c r="H47" s="3" t="s">
        <v>50</v>
      </c>
      <c r="I47" s="56">
        <v>16</v>
      </c>
      <c r="J47" s="5">
        <v>-0.1235</v>
      </c>
    </row>
    <row r="48" spans="1:13" x14ac:dyDescent="0.25">
      <c r="F48" s="53"/>
      <c r="G48" s="53"/>
      <c r="H48" s="3" t="s">
        <v>51</v>
      </c>
      <c r="I48" s="63">
        <v>4</v>
      </c>
      <c r="J48" s="5">
        <v>0.27379999999999999</v>
      </c>
    </row>
    <row r="49" spans="6:10" x14ac:dyDescent="0.25">
      <c r="F49" s="53"/>
      <c r="G49" s="53"/>
      <c r="I49" s="56">
        <f>SUM(I47:I48)</f>
        <v>20</v>
      </c>
      <c r="J49" s="6"/>
    </row>
    <row r="50" spans="6:10" x14ac:dyDescent="0.25">
      <c r="F50" s="53"/>
      <c r="G50" s="53"/>
      <c r="H50" t="s">
        <v>65</v>
      </c>
      <c r="I50" s="64">
        <f>I48/I49</f>
        <v>0.2</v>
      </c>
      <c r="J50" s="65">
        <f>J48/J47*-1</f>
        <v>2.217004048582996</v>
      </c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  <c r="J69" s="6"/>
    </row>
    <row r="70" spans="6:10" x14ac:dyDescent="0.25">
      <c r="F70" s="53"/>
      <c r="G70" s="53"/>
      <c r="J70" s="6"/>
    </row>
    <row r="71" spans="6:10" x14ac:dyDescent="0.25">
      <c r="F71" s="53"/>
      <c r="G71" s="53"/>
      <c r="J71" s="6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  <row r="75" spans="6:10" x14ac:dyDescent="0.25">
      <c r="F75" s="53"/>
      <c r="G75" s="53"/>
    </row>
    <row r="76" spans="6:10" x14ac:dyDescent="0.25">
      <c r="F76" s="53"/>
      <c r="G76" s="53"/>
    </row>
    <row r="77" spans="6:10" x14ac:dyDescent="0.25">
      <c r="F77" s="53"/>
      <c r="G77" s="5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989E-397A-4E0A-BF43-107F599A9600}">
  <dimension ref="A1:AC77"/>
  <sheetViews>
    <sheetView workbookViewId="0">
      <selection sqref="A1:XFD1048576"/>
    </sheetView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46191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1109.019</v>
      </c>
      <c r="F7" s="3">
        <f t="shared" ref="F7:F17" si="0">E7*D7</f>
        <v>89167.567441799998</v>
      </c>
      <c r="G7" s="3">
        <f>61467.93+20488.3849-30223.69</f>
        <v>51732.624899999995</v>
      </c>
      <c r="H7" s="4">
        <f t="shared" ref="H7:H17" si="1">G7/D7</f>
        <v>643.42300210690746</v>
      </c>
      <c r="I7" s="3">
        <f t="shared" ref="I7:I17" si="2">F7-G7</f>
        <v>37434.942541800003</v>
      </c>
      <c r="J7" s="26">
        <f t="shared" ref="J7:J17" si="3">E7-H7</f>
        <v>465.59599789309254</v>
      </c>
      <c r="K7" s="27">
        <v>46000</v>
      </c>
      <c r="L7">
        <f t="shared" ref="L7:L17" si="4">DAYS360(K7,$C$1)</f>
        <v>189</v>
      </c>
      <c r="M7" s="5">
        <f t="shared" ref="M7:M17" si="5">(I7/G7)</f>
        <v>0.72362348931959963</v>
      </c>
      <c r="N7" s="9">
        <v>28</v>
      </c>
      <c r="O7">
        <v>92</v>
      </c>
      <c r="P7" s="59">
        <v>86</v>
      </c>
      <c r="Q7" s="28">
        <v>701</v>
      </c>
      <c r="R7" s="29">
        <f t="shared" ref="R7:R17" si="6">Q7*0.93</f>
        <v>651.93000000000006</v>
      </c>
      <c r="S7" s="29">
        <v>708.75</v>
      </c>
      <c r="T7" s="28">
        <f t="shared" ref="T7:T17" si="7">Q7*1.25</f>
        <v>876.25</v>
      </c>
      <c r="U7" s="28">
        <f t="shared" ref="U7:U17" si="8">Q7*1.5</f>
        <v>1051.5</v>
      </c>
      <c r="V7" s="28">
        <f t="shared" ref="V7:V17" si="9">Q7*2</f>
        <v>1402</v>
      </c>
      <c r="W7" s="28">
        <f t="shared" ref="W7:W17" si="10">H7-(H7*0.07)</f>
        <v>598.38339195942399</v>
      </c>
      <c r="X7" s="29">
        <v>980</v>
      </c>
      <c r="Y7" s="5">
        <f t="shared" ref="Y7:Y17" si="11">(X7-H7)/H7</f>
        <v>0.52310376966779448</v>
      </c>
      <c r="Z7" s="6">
        <f t="shared" ref="Z7:Z17" si="12">F7/F$20</f>
        <v>0.14003361729627109</v>
      </c>
      <c r="AB7" s="55">
        <v>46225</v>
      </c>
      <c r="AC7" s="9">
        <v>93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409.64</v>
      </c>
      <c r="F8" s="3">
        <f t="shared" si="0"/>
        <v>75281.672928</v>
      </c>
      <c r="G8" s="3">
        <v>31661.82</v>
      </c>
      <c r="H8" s="4">
        <f t="shared" si="1"/>
        <v>172.28559675081294</v>
      </c>
      <c r="I8" s="3">
        <f t="shared" si="2"/>
        <v>43619.852928</v>
      </c>
      <c r="J8" s="26">
        <f t="shared" si="3"/>
        <v>237.35440324918704</v>
      </c>
      <c r="K8" s="27">
        <v>46114</v>
      </c>
      <c r="L8">
        <f t="shared" si="4"/>
        <v>76</v>
      </c>
      <c r="M8" s="5">
        <f t="shared" si="5"/>
        <v>1.3776798973653441</v>
      </c>
      <c r="N8" s="32">
        <v>1</v>
      </c>
      <c r="O8">
        <v>99</v>
      </c>
      <c r="P8" s="60">
        <v>97</v>
      </c>
      <c r="Q8" s="28">
        <v>168.08</v>
      </c>
      <c r="R8" s="29">
        <f t="shared" si="6"/>
        <v>156.31440000000001</v>
      </c>
      <c r="S8" s="29">
        <v>155.37</v>
      </c>
      <c r="T8" s="30">
        <f t="shared" si="7"/>
        <v>210.10000000000002</v>
      </c>
      <c r="U8" s="28">
        <f t="shared" si="8"/>
        <v>252.12</v>
      </c>
      <c r="V8" s="28">
        <f t="shared" si="9"/>
        <v>336.16</v>
      </c>
      <c r="W8" s="28">
        <f t="shared" si="10"/>
        <v>160.22560497825603</v>
      </c>
      <c r="X8" s="29">
        <v>205</v>
      </c>
      <c r="Y8" s="5">
        <f t="shared" si="11"/>
        <v>0.18988472551483149</v>
      </c>
      <c r="Z8" s="6">
        <f t="shared" si="12"/>
        <v>0.11822645025169476</v>
      </c>
      <c r="AB8" s="62">
        <v>46268</v>
      </c>
      <c r="AC8" s="32">
        <v>99</v>
      </c>
    </row>
    <row r="9" spans="1:29" x14ac:dyDescent="0.25">
      <c r="A9" t="s">
        <v>82</v>
      </c>
      <c r="B9" t="s">
        <v>29</v>
      </c>
      <c r="C9" s="25" t="s">
        <v>83</v>
      </c>
      <c r="D9" s="2">
        <v>144.76</v>
      </c>
      <c r="E9" s="26">
        <v>861.88</v>
      </c>
      <c r="F9" s="3">
        <f t="shared" si="0"/>
        <v>124765.74879999999</v>
      </c>
      <c r="G9" s="3">
        <v>66860.710000000006</v>
      </c>
      <c r="H9" s="4">
        <f t="shared" si="1"/>
        <v>461.87282398452618</v>
      </c>
      <c r="I9" s="3">
        <f t="shared" si="2"/>
        <v>57905.03879999998</v>
      </c>
      <c r="J9" s="26">
        <f t="shared" si="3"/>
        <v>400.00717601547382</v>
      </c>
      <c r="K9" s="27">
        <v>46129</v>
      </c>
      <c r="L9">
        <f t="shared" si="4"/>
        <v>61</v>
      </c>
      <c r="M9" s="5">
        <f t="shared" si="5"/>
        <v>0.86605479959755105</v>
      </c>
      <c r="N9" s="9">
        <v>22</v>
      </c>
      <c r="O9">
        <v>98</v>
      </c>
      <c r="P9" s="59">
        <v>99</v>
      </c>
      <c r="Q9" s="28">
        <v>472.61</v>
      </c>
      <c r="R9" s="29">
        <f t="shared" si="6"/>
        <v>439.52730000000003</v>
      </c>
      <c r="S9" s="29">
        <v>362.59</v>
      </c>
      <c r="T9" s="28">
        <f t="shared" si="7"/>
        <v>590.76250000000005</v>
      </c>
      <c r="U9" s="28">
        <f t="shared" si="8"/>
        <v>708.91499999999996</v>
      </c>
      <c r="V9" s="28">
        <f t="shared" si="9"/>
        <v>945.22</v>
      </c>
      <c r="W9" s="28">
        <f t="shared" si="10"/>
        <v>429.54172630560936</v>
      </c>
      <c r="X9" s="29">
        <v>675</v>
      </c>
      <c r="Y9" s="5">
        <f t="shared" si="11"/>
        <v>0.46144125600819952</v>
      </c>
      <c r="Z9" s="31">
        <f t="shared" si="12"/>
        <v>0.19593894529583911</v>
      </c>
      <c r="AB9" s="55">
        <v>46244</v>
      </c>
      <c r="AC9" s="9">
        <v>99</v>
      </c>
    </row>
    <row r="10" spans="1:29" x14ac:dyDescent="0.25">
      <c r="A10" t="s">
        <v>100</v>
      </c>
      <c r="B10" t="s">
        <v>29</v>
      </c>
      <c r="C10" s="25" t="s">
        <v>100</v>
      </c>
      <c r="D10" s="2">
        <v>765.40449999999998</v>
      </c>
      <c r="E10" s="26">
        <v>59.96</v>
      </c>
      <c r="F10" s="3">
        <f t="shared" si="0"/>
        <v>45893.65382</v>
      </c>
      <c r="G10" s="3">
        <v>50362.82</v>
      </c>
      <c r="H10" s="4">
        <f t="shared" si="1"/>
        <v>65.798959896368515</v>
      </c>
      <c r="I10" s="3">
        <f t="shared" si="2"/>
        <v>-4469.1661800000002</v>
      </c>
      <c r="J10" s="26">
        <f t="shared" si="3"/>
        <v>-5.8389598963685145</v>
      </c>
      <c r="K10" s="27">
        <v>46174</v>
      </c>
      <c r="L10">
        <f t="shared" si="4"/>
        <v>17</v>
      </c>
      <c r="M10" s="5">
        <f t="shared" si="5"/>
        <v>-8.8739395053732101E-2</v>
      </c>
      <c r="N10" s="9">
        <v>68</v>
      </c>
      <c r="O10">
        <v>92</v>
      </c>
      <c r="P10" s="59">
        <v>7</v>
      </c>
      <c r="Q10" s="28">
        <v>63.59</v>
      </c>
      <c r="R10" s="29">
        <f t="shared" si="6"/>
        <v>59.138700000000007</v>
      </c>
      <c r="S10" s="29">
        <v>46</v>
      </c>
      <c r="T10" s="30">
        <f t="shared" si="7"/>
        <v>79.487500000000011</v>
      </c>
      <c r="U10" s="28">
        <f t="shared" si="8"/>
        <v>95.385000000000005</v>
      </c>
      <c r="V10" s="28">
        <f t="shared" si="9"/>
        <v>127.18</v>
      </c>
      <c r="W10" s="28">
        <f t="shared" si="10"/>
        <v>61.19303270362272</v>
      </c>
      <c r="X10" s="29">
        <v>61</v>
      </c>
      <c r="Y10" s="5">
        <f t="shared" si="11"/>
        <v>-7.2933674087352449E-2</v>
      </c>
      <c r="Z10" s="31">
        <f t="shared" si="12"/>
        <v>7.2073900182957562E-2</v>
      </c>
      <c r="AB10" s="55">
        <v>46245</v>
      </c>
      <c r="AC10" s="9">
        <v>54</v>
      </c>
    </row>
    <row r="11" spans="1:29" x14ac:dyDescent="0.25">
      <c r="A11" t="s">
        <v>95</v>
      </c>
      <c r="B11" t="s">
        <v>29</v>
      </c>
      <c r="C11" s="25" t="s">
        <v>96</v>
      </c>
      <c r="D11" s="2">
        <f>160.7346+74.6791</f>
        <v>235.41370000000001</v>
      </c>
      <c r="E11" s="26">
        <v>271.83</v>
      </c>
      <c r="F11" s="3">
        <f t="shared" si="0"/>
        <v>63992.506070999996</v>
      </c>
      <c r="G11" s="3">
        <f>37783.98+16080.63</f>
        <v>53864.61</v>
      </c>
      <c r="H11" s="4">
        <f t="shared" si="1"/>
        <v>228.80830639848062</v>
      </c>
      <c r="I11" s="3">
        <f t="shared" si="2"/>
        <v>10127.896070999996</v>
      </c>
      <c r="J11" s="26">
        <f t="shared" si="3"/>
        <v>43.02169360151936</v>
      </c>
      <c r="K11" s="27">
        <v>46174</v>
      </c>
      <c r="L11">
        <f t="shared" si="4"/>
        <v>17</v>
      </c>
      <c r="M11" s="5">
        <f t="shared" si="5"/>
        <v>0.18802505153197982</v>
      </c>
      <c r="N11" s="9">
        <v>19</v>
      </c>
      <c r="O11">
        <v>96</v>
      </c>
      <c r="P11" s="59">
        <v>83</v>
      </c>
      <c r="Q11" s="28">
        <v>211</v>
      </c>
      <c r="R11" s="29">
        <f t="shared" si="6"/>
        <v>196.23000000000002</v>
      </c>
      <c r="S11" s="29">
        <v>148.94</v>
      </c>
      <c r="T11" s="28">
        <f t="shared" si="7"/>
        <v>263.75</v>
      </c>
      <c r="U11" s="28">
        <f t="shared" si="8"/>
        <v>316.5</v>
      </c>
      <c r="V11" s="28">
        <f t="shared" si="9"/>
        <v>422</v>
      </c>
      <c r="W11" s="28">
        <f t="shared" si="10"/>
        <v>212.79172495058697</v>
      </c>
      <c r="X11" s="29">
        <v>218</v>
      </c>
      <c r="Y11" s="5">
        <f t="shared" si="11"/>
        <v>-4.7237386476946516E-2</v>
      </c>
      <c r="Z11" s="6">
        <f t="shared" si="12"/>
        <v>0.10049732612504723</v>
      </c>
      <c r="AB11" s="55">
        <v>46251</v>
      </c>
      <c r="AC11" s="9">
        <v>99</v>
      </c>
    </row>
    <row r="12" spans="1:29" x14ac:dyDescent="0.25">
      <c r="A12" t="s">
        <v>72</v>
      </c>
      <c r="B12" t="s">
        <v>29</v>
      </c>
      <c r="C12" s="25" t="s">
        <v>73</v>
      </c>
      <c r="D12" s="2">
        <f>256.7248+144.421</f>
        <v>401.14580000000001</v>
      </c>
      <c r="E12" s="26">
        <v>163.95</v>
      </c>
      <c r="F12" s="3">
        <f t="shared" si="0"/>
        <v>65767.853909999991</v>
      </c>
      <c r="G12" s="3">
        <f>36957.51+21832.03</f>
        <v>58789.54</v>
      </c>
      <c r="H12" s="4">
        <f t="shared" si="1"/>
        <v>146.554045935418</v>
      </c>
      <c r="I12" s="3">
        <f t="shared" si="2"/>
        <v>6978.3139099999898</v>
      </c>
      <c r="J12" s="26">
        <f t="shared" si="3"/>
        <v>17.395954064581986</v>
      </c>
      <c r="K12" s="27">
        <v>46181</v>
      </c>
      <c r="L12">
        <f t="shared" si="4"/>
        <v>10</v>
      </c>
      <c r="M12" s="5">
        <f t="shared" si="5"/>
        <v>0.11869992365988899</v>
      </c>
      <c r="N12" s="9">
        <v>2</v>
      </c>
      <c r="O12">
        <v>82</v>
      </c>
      <c r="P12" s="59">
        <v>98</v>
      </c>
      <c r="Q12" s="28">
        <v>155.46</v>
      </c>
      <c r="R12" s="29">
        <f t="shared" si="6"/>
        <v>144.57780000000002</v>
      </c>
      <c r="S12" s="29">
        <v>138.19999999999999</v>
      </c>
      <c r="T12" s="28">
        <f t="shared" si="7"/>
        <v>194.32500000000002</v>
      </c>
      <c r="U12" s="28">
        <f t="shared" si="8"/>
        <v>233.19</v>
      </c>
      <c r="V12" s="28">
        <f t="shared" si="9"/>
        <v>310.92</v>
      </c>
      <c r="W12" s="28">
        <f t="shared" si="10"/>
        <v>136.29526271993873</v>
      </c>
      <c r="X12" s="29">
        <v>135</v>
      </c>
      <c r="Y12" s="5">
        <f t="shared" si="11"/>
        <v>-7.8838123244373115E-2</v>
      </c>
      <c r="Z12" s="6">
        <f t="shared" si="12"/>
        <v>0.10328542932205947</v>
      </c>
      <c r="AB12" s="55">
        <v>46232</v>
      </c>
      <c r="AC12" s="59">
        <v>99</v>
      </c>
    </row>
    <row r="13" spans="1:29" x14ac:dyDescent="0.25">
      <c r="A13" t="s">
        <v>101</v>
      </c>
      <c r="B13" t="s">
        <v>29</v>
      </c>
      <c r="C13" s="25" t="s">
        <v>102</v>
      </c>
      <c r="D13" s="2">
        <f>493.8434+123.5892</f>
        <v>617.43259999999998</v>
      </c>
      <c r="E13" s="26">
        <v>133.99</v>
      </c>
      <c r="F13" s="3">
        <f t="shared" si="0"/>
        <v>82729.794074000005</v>
      </c>
      <c r="G13" s="3">
        <f>63528.22+14988.78</f>
        <v>78517</v>
      </c>
      <c r="H13" s="4">
        <f t="shared" si="1"/>
        <v>127.16691668046035</v>
      </c>
      <c r="I13" s="3">
        <f t="shared" si="2"/>
        <v>4212.7940740000049</v>
      </c>
      <c r="J13" s="26">
        <f t="shared" si="3"/>
        <v>6.8230833195396627</v>
      </c>
      <c r="K13" s="27">
        <v>46188</v>
      </c>
      <c r="L13">
        <f t="shared" si="4"/>
        <v>3</v>
      </c>
      <c r="M13" s="5">
        <f t="shared" si="5"/>
        <v>5.3654547091712683E-2</v>
      </c>
      <c r="N13" s="9">
        <v>6</v>
      </c>
      <c r="O13">
        <v>60</v>
      </c>
      <c r="P13" s="60">
        <v>99</v>
      </c>
      <c r="Q13" s="28">
        <v>132.61000000000001</v>
      </c>
      <c r="R13" s="29">
        <f t="shared" si="6"/>
        <v>123.32730000000002</v>
      </c>
      <c r="S13" s="29">
        <v>116</v>
      </c>
      <c r="T13" s="30">
        <f t="shared" si="7"/>
        <v>165.76250000000002</v>
      </c>
      <c r="U13" s="28">
        <f t="shared" si="8"/>
        <v>198.91500000000002</v>
      </c>
      <c r="V13" s="28">
        <f t="shared" si="9"/>
        <v>265.22000000000003</v>
      </c>
      <c r="W13" s="28">
        <f t="shared" si="10"/>
        <v>118.26523251282812</v>
      </c>
      <c r="X13" s="29">
        <v>118</v>
      </c>
      <c r="Y13" s="5">
        <f t="shared" si="11"/>
        <v>-7.2085703732949563E-2</v>
      </c>
      <c r="Z13" s="6">
        <f t="shared" si="12"/>
        <v>0.12992338643665899</v>
      </c>
      <c r="AB13" s="55">
        <v>46226</v>
      </c>
      <c r="AC13" s="9">
        <v>89</v>
      </c>
    </row>
    <row r="14" spans="1:29" x14ac:dyDescent="0.25">
      <c r="A14" t="s">
        <v>103</v>
      </c>
      <c r="B14" t="s">
        <v>29</v>
      </c>
      <c r="C14" s="25" t="s">
        <v>104</v>
      </c>
      <c r="D14" s="2">
        <v>1116.0377000000001</v>
      </c>
      <c r="E14" s="26">
        <v>47.17</v>
      </c>
      <c r="F14" s="3">
        <f t="shared" si="0"/>
        <v>52643.498309000002</v>
      </c>
      <c r="G14" s="3">
        <v>63307.24</v>
      </c>
      <c r="H14" s="4">
        <f t="shared" si="1"/>
        <v>56.72500131491973</v>
      </c>
      <c r="I14" s="3">
        <f t="shared" si="2"/>
        <v>-10663.741690999996</v>
      </c>
      <c r="J14" s="26">
        <f t="shared" si="3"/>
        <v>-9.5550013149197284</v>
      </c>
      <c r="K14" s="27">
        <v>46188</v>
      </c>
      <c r="L14">
        <f t="shared" si="4"/>
        <v>3</v>
      </c>
      <c r="M14" s="5">
        <f t="shared" si="5"/>
        <v>-0.16844426784361466</v>
      </c>
      <c r="N14" s="32">
        <v>23</v>
      </c>
      <c r="O14">
        <v>97</v>
      </c>
      <c r="P14" s="60">
        <v>93</v>
      </c>
      <c r="Q14" s="28">
        <v>54.86</v>
      </c>
      <c r="R14" s="29">
        <f t="shared" si="6"/>
        <v>51.019800000000004</v>
      </c>
      <c r="S14" s="29">
        <v>44.26</v>
      </c>
      <c r="T14" s="30">
        <f t="shared" si="7"/>
        <v>68.575000000000003</v>
      </c>
      <c r="U14" s="28">
        <f t="shared" si="8"/>
        <v>82.289999999999992</v>
      </c>
      <c r="V14" s="28">
        <f t="shared" si="9"/>
        <v>109.72</v>
      </c>
      <c r="W14" s="28">
        <f t="shared" si="10"/>
        <v>52.754251222875347</v>
      </c>
      <c r="X14" s="29">
        <v>52</v>
      </c>
      <c r="Y14" s="5">
        <f t="shared" si="11"/>
        <v>-8.3296627684290012E-2</v>
      </c>
      <c r="Z14" s="6">
        <f t="shared" si="12"/>
        <v>8.2674224573312957E-2</v>
      </c>
      <c r="AB14" s="62">
        <v>46240</v>
      </c>
      <c r="AC14" s="32">
        <v>91</v>
      </c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45528</v>
      </c>
      <c r="M15" s="5" t="e">
        <f t="shared" si="5"/>
        <v>#DIV/0!</v>
      </c>
      <c r="N15" s="9"/>
      <c r="P15" s="32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1">
        <f t="shared" si="12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45528</v>
      </c>
      <c r="M16" s="5" t="e">
        <f t="shared" si="5"/>
        <v>#DIV/0!</v>
      </c>
      <c r="P16" s="59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1">
        <f t="shared" si="12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4"/>
        <v>45528</v>
      </c>
      <c r="M17" s="40" t="e">
        <f t="shared" si="5"/>
        <v>#DIV/0!</v>
      </c>
      <c r="N17" s="33"/>
      <c r="O17" s="33"/>
      <c r="P17" s="61"/>
      <c r="Q17" s="41"/>
      <c r="R17" s="42">
        <f t="shared" si="6"/>
        <v>0</v>
      </c>
      <c r="S17" s="42"/>
      <c r="T17" s="43">
        <f t="shared" si="7"/>
        <v>0</v>
      </c>
      <c r="U17" s="41">
        <f t="shared" si="8"/>
        <v>0</v>
      </c>
      <c r="V17" s="41">
        <f t="shared" si="9"/>
        <v>0</v>
      </c>
      <c r="W17" s="41" t="e">
        <f t="shared" si="10"/>
        <v>#DIV/0!</v>
      </c>
      <c r="X17" s="42"/>
      <c r="Y17" s="40" t="e">
        <f t="shared" si="11"/>
        <v>#DIV/0!</v>
      </c>
      <c r="Z17" s="44">
        <f t="shared" si="12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600242.29535380006</v>
      </c>
      <c r="G18" s="3">
        <f>SUM(G6:G17)</f>
        <v>455096.36489999999</v>
      </c>
      <c r="H18" s="4"/>
      <c r="I18" s="3">
        <f>SUM(I6:I17)</f>
        <v>145145.93045379999</v>
      </c>
      <c r="M18" s="5"/>
      <c r="Z18" s="6"/>
    </row>
    <row r="19" spans="1:29" x14ac:dyDescent="0.25">
      <c r="D19" s="2" t="s">
        <v>32</v>
      </c>
      <c r="F19" s="3">
        <v>36516</v>
      </c>
      <c r="G19" s="6">
        <f>F19/F20</f>
        <v>5.7346720516158689E-2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636758.29535380006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'06-12-26'!F20</f>
        <v>617523.04281800007</v>
      </c>
      <c r="K21" s="1">
        <v>45657</v>
      </c>
      <c r="L21" s="47">
        <v>208334</v>
      </c>
      <c r="M21" s="47">
        <v>235476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3.1149044168492845E-2</v>
      </c>
      <c r="K22" s="9" t="s">
        <v>54</v>
      </c>
      <c r="L22" s="6">
        <f>(M21-L21)/L21</f>
        <v>0.13028118310021408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5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5" si="14">F28/D28</f>
        <v>271.34091722620656</v>
      </c>
      <c r="F28" s="3">
        <v>78305</v>
      </c>
      <c r="G28" s="53">
        <v>73933.25</v>
      </c>
      <c r="H28" s="54">
        <f t="shared" ref="H28:H45" si="15">G28/D28</f>
        <v>256.19201671048387</v>
      </c>
      <c r="I28" s="54">
        <f t="shared" ref="I28:I45" si="16">G28-F28</f>
        <v>-4371.75</v>
      </c>
      <c r="J28" s="6">
        <f t="shared" ref="J28:J45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4"/>
        <v>643.42001341181731</v>
      </c>
      <c r="F39" s="3">
        <v>30223.69</v>
      </c>
      <c r="G39" s="53">
        <v>54219.4</v>
      </c>
      <c r="H39" s="54">
        <f t="shared" si="15"/>
        <v>1154.2550587033115</v>
      </c>
      <c r="I39" s="54">
        <f t="shared" si="16"/>
        <v>23995.710000000003</v>
      </c>
      <c r="J39" s="6">
        <f t="shared" si="17"/>
        <v>0.79393714003816229</v>
      </c>
      <c r="K39" s="27">
        <v>46000</v>
      </c>
      <c r="L39" s="1">
        <v>46135</v>
      </c>
      <c r="M39">
        <f t="shared" si="13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14"/>
        <v>362.33948238304873</v>
      </c>
      <c r="F40" s="3">
        <v>54708.95</v>
      </c>
      <c r="G40" s="53">
        <v>53696.78</v>
      </c>
      <c r="H40" s="54">
        <f t="shared" si="15"/>
        <v>355.63584150009171</v>
      </c>
      <c r="I40" s="54">
        <f t="shared" si="16"/>
        <v>-1012.1699999999983</v>
      </c>
      <c r="J40" s="6">
        <f t="shared" si="17"/>
        <v>-1.8500994809807141E-2</v>
      </c>
      <c r="K40" s="27">
        <v>46125</v>
      </c>
      <c r="L40" s="1">
        <v>46140</v>
      </c>
      <c r="M40">
        <f t="shared" si="13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14"/>
        <v>151.2456151637227</v>
      </c>
      <c r="F41" s="3">
        <f>32498.71+23220.22</f>
        <v>55718.93</v>
      </c>
      <c r="G41" s="53">
        <v>48956.11</v>
      </c>
      <c r="H41" s="54">
        <f t="shared" si="15"/>
        <v>132.88835541121981</v>
      </c>
      <c r="I41" s="54">
        <f t="shared" si="16"/>
        <v>-6762.82</v>
      </c>
      <c r="J41" s="6">
        <f t="shared" si="17"/>
        <v>-0.12137383111987254</v>
      </c>
      <c r="K41" s="27">
        <v>46122</v>
      </c>
      <c r="L41" s="1">
        <v>46140</v>
      </c>
      <c r="M41">
        <f t="shared" si="13"/>
        <v>18</v>
      </c>
    </row>
    <row r="42" spans="1:13" x14ac:dyDescent="0.25">
      <c r="A42" t="s">
        <v>97</v>
      </c>
      <c r="B42" t="s">
        <v>29</v>
      </c>
      <c r="C42" s="25" t="s">
        <v>98</v>
      </c>
      <c r="D42" s="2">
        <f>1259.0685+394.9897+229.2235</f>
        <v>1883.2817000000002</v>
      </c>
      <c r="E42" s="54">
        <f t="shared" si="14"/>
        <v>25.142647273639412</v>
      </c>
      <c r="F42" s="3">
        <f>30443.09+10694.48+6213.1175</f>
        <v>47350.6875</v>
      </c>
      <c r="G42" s="53">
        <v>39448.75</v>
      </c>
      <c r="H42" s="54">
        <f t="shared" si="15"/>
        <v>20.946813214401221</v>
      </c>
      <c r="I42" s="54">
        <f t="shared" si="16"/>
        <v>-7901.9375</v>
      </c>
      <c r="J42" s="6">
        <f t="shared" si="17"/>
        <v>-0.16688115668859085</v>
      </c>
      <c r="K42" s="27">
        <v>46147</v>
      </c>
      <c r="L42" s="1">
        <v>46156</v>
      </c>
      <c r="M42">
        <f t="shared" si="13"/>
        <v>9</v>
      </c>
    </row>
    <row r="43" spans="1:13" x14ac:dyDescent="0.25">
      <c r="A43" t="s">
        <v>95</v>
      </c>
      <c r="B43" t="s">
        <v>29</v>
      </c>
      <c r="C43" s="25" t="s">
        <v>96</v>
      </c>
      <c r="D43" s="2">
        <f>257.782+121.1917</f>
        <v>378.97370000000001</v>
      </c>
      <c r="E43" s="54">
        <f t="shared" si="14"/>
        <v>194.49579218821782</v>
      </c>
      <c r="F43" s="3">
        <f>48847.11+24861.68</f>
        <v>73708.790000000008</v>
      </c>
      <c r="G43" s="53">
        <v>64046.55</v>
      </c>
      <c r="H43" s="54">
        <f t="shared" si="15"/>
        <v>168.99998601486067</v>
      </c>
      <c r="I43" s="54">
        <f t="shared" si="16"/>
        <v>-9662.2400000000052</v>
      </c>
      <c r="J43" s="6">
        <f t="shared" si="17"/>
        <v>-0.13108667229512252</v>
      </c>
      <c r="K43" s="27">
        <v>46147</v>
      </c>
      <c r="L43" s="1">
        <v>46160</v>
      </c>
      <c r="M43">
        <f t="shared" si="13"/>
        <v>13</v>
      </c>
    </row>
    <row r="44" spans="1:13" x14ac:dyDescent="0.25">
      <c r="A44" t="s">
        <v>89</v>
      </c>
      <c r="B44" t="s">
        <v>29</v>
      </c>
      <c r="C44" s="25" t="s">
        <v>90</v>
      </c>
      <c r="D44" s="2">
        <f>175.1868+89.2865</f>
        <v>264.47329999999999</v>
      </c>
      <c r="E44" s="54">
        <f t="shared" si="14"/>
        <v>247.62552590374906</v>
      </c>
      <c r="F44" s="3">
        <f>43046.46+22443.88</f>
        <v>65490.34</v>
      </c>
      <c r="G44" s="53">
        <v>62944.65</v>
      </c>
      <c r="H44" s="54">
        <f t="shared" si="15"/>
        <v>238.00001739306009</v>
      </c>
      <c r="I44" s="54">
        <f t="shared" si="16"/>
        <v>-2545.6899999999951</v>
      </c>
      <c r="J44" s="6">
        <f t="shared" si="17"/>
        <v>-3.8871228947658466E-2</v>
      </c>
      <c r="K44" s="27">
        <v>46121</v>
      </c>
      <c r="L44" s="1">
        <v>46161</v>
      </c>
      <c r="M44">
        <f t="shared" si="13"/>
        <v>40</v>
      </c>
    </row>
    <row r="45" spans="1:13" x14ac:dyDescent="0.25">
      <c r="A45" t="s">
        <v>87</v>
      </c>
      <c r="B45" t="s">
        <v>29</v>
      </c>
      <c r="C45" s="25" t="s">
        <v>88</v>
      </c>
      <c r="D45" s="2">
        <f>518.2339+239.8468</f>
        <v>758.08069999999998</v>
      </c>
      <c r="E45" s="54">
        <f t="shared" si="14"/>
        <v>83.931552405964169</v>
      </c>
      <c r="F45" s="3">
        <f>42849.56+20777.33</f>
        <v>63626.89</v>
      </c>
      <c r="G45" s="53">
        <v>61224.85</v>
      </c>
      <c r="H45" s="54">
        <f t="shared" si="15"/>
        <v>80.762971541156503</v>
      </c>
      <c r="I45" s="54">
        <f t="shared" si="16"/>
        <v>-2402.0400000000009</v>
      </c>
      <c r="J45" s="6">
        <f t="shared" si="17"/>
        <v>-3.7751963045812874E-2</v>
      </c>
      <c r="K45" s="27">
        <v>46120</v>
      </c>
      <c r="L45" s="1">
        <v>46175</v>
      </c>
      <c r="M45">
        <f t="shared" si="13"/>
        <v>54</v>
      </c>
    </row>
    <row r="46" spans="1:13" x14ac:dyDescent="0.25">
      <c r="F46" s="53"/>
      <c r="G46" s="53"/>
      <c r="H46" s="3" t="s">
        <v>66</v>
      </c>
      <c r="I46" s="3">
        <f>SUM(I26:I45)</f>
        <v>-84723.740099999995</v>
      </c>
      <c r="J46" s="13" t="s">
        <v>49</v>
      </c>
    </row>
    <row r="47" spans="1:13" x14ac:dyDescent="0.25">
      <c r="F47" s="53"/>
      <c r="G47" s="53"/>
      <c r="H47" s="3" t="s">
        <v>50</v>
      </c>
      <c r="I47" s="56">
        <v>16</v>
      </c>
      <c r="J47" s="5">
        <v>-0.1235</v>
      </c>
    </row>
    <row r="48" spans="1:13" x14ac:dyDescent="0.25">
      <c r="F48" s="53"/>
      <c r="G48" s="53"/>
      <c r="H48" s="3" t="s">
        <v>51</v>
      </c>
      <c r="I48" s="63">
        <v>4</v>
      </c>
      <c r="J48" s="5">
        <v>0.27379999999999999</v>
      </c>
    </row>
    <row r="49" spans="6:10" x14ac:dyDescent="0.25">
      <c r="F49" s="53"/>
      <c r="G49" s="53"/>
      <c r="I49" s="56">
        <f>SUM(I47:I48)</f>
        <v>20</v>
      </c>
      <c r="J49" s="6"/>
    </row>
    <row r="50" spans="6:10" x14ac:dyDescent="0.25">
      <c r="F50" s="53"/>
      <c r="G50" s="53"/>
      <c r="H50" t="s">
        <v>65</v>
      </c>
      <c r="I50" s="64">
        <f>I48/I49</f>
        <v>0.2</v>
      </c>
      <c r="J50" s="65">
        <f>J48/J47*-1</f>
        <v>2.217004048582996</v>
      </c>
    </row>
    <row r="51" spans="6:10" x14ac:dyDescent="0.25">
      <c r="F51" s="53"/>
      <c r="G51" s="53"/>
      <c r="J51" s="6"/>
    </row>
    <row r="52" spans="6:10" x14ac:dyDescent="0.25">
      <c r="F52" s="53"/>
      <c r="G52" s="53"/>
      <c r="J52" s="6"/>
    </row>
    <row r="53" spans="6:10" x14ac:dyDescent="0.25">
      <c r="F53" s="53"/>
      <c r="G53" s="53"/>
      <c r="J53" s="6"/>
    </row>
    <row r="54" spans="6:10" x14ac:dyDescent="0.25">
      <c r="F54" s="53"/>
      <c r="G54" s="53"/>
      <c r="J54" s="6"/>
    </row>
    <row r="55" spans="6:10" x14ac:dyDescent="0.25">
      <c r="F55" s="53"/>
      <c r="G55" s="53"/>
      <c r="J55" s="6"/>
    </row>
    <row r="56" spans="6:10" x14ac:dyDescent="0.25">
      <c r="F56" s="53"/>
      <c r="G56" s="53"/>
      <c r="J56" s="6"/>
    </row>
    <row r="57" spans="6:10" x14ac:dyDescent="0.25">
      <c r="F57" s="53"/>
      <c r="G57" s="53"/>
      <c r="J57" s="6"/>
    </row>
    <row r="58" spans="6:10" x14ac:dyDescent="0.25">
      <c r="F58" s="53"/>
      <c r="G58" s="53"/>
      <c r="J58" s="6"/>
    </row>
    <row r="59" spans="6:10" x14ac:dyDescent="0.25">
      <c r="F59" s="53"/>
      <c r="G59" s="53"/>
      <c r="J59" s="6"/>
    </row>
    <row r="60" spans="6:10" x14ac:dyDescent="0.25">
      <c r="F60" s="53"/>
      <c r="G60" s="53"/>
      <c r="J60" s="6"/>
    </row>
    <row r="61" spans="6:10" x14ac:dyDescent="0.25">
      <c r="F61" s="53"/>
      <c r="G61" s="53"/>
      <c r="J61" s="6"/>
    </row>
    <row r="62" spans="6:10" x14ac:dyDescent="0.25">
      <c r="F62" s="53"/>
      <c r="G62" s="53"/>
      <c r="J62" s="6"/>
    </row>
    <row r="63" spans="6:10" x14ac:dyDescent="0.25">
      <c r="F63" s="53"/>
      <c r="G63" s="53"/>
      <c r="J63" s="6"/>
    </row>
    <row r="64" spans="6:10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  <c r="J69" s="6"/>
    </row>
    <row r="70" spans="6:10" x14ac:dyDescent="0.25">
      <c r="F70" s="53"/>
      <c r="G70" s="53"/>
      <c r="J70" s="6"/>
    </row>
    <row r="71" spans="6:10" x14ac:dyDescent="0.25">
      <c r="F71" s="53"/>
      <c r="G71" s="53"/>
      <c r="J71" s="6"/>
    </row>
    <row r="72" spans="6:10" x14ac:dyDescent="0.25">
      <c r="F72" s="53"/>
      <c r="G72" s="53"/>
    </row>
    <row r="73" spans="6:10" x14ac:dyDescent="0.25">
      <c r="F73" s="53"/>
      <c r="G73" s="53"/>
    </row>
    <row r="74" spans="6:10" x14ac:dyDescent="0.25">
      <c r="F74" s="53"/>
      <c r="G74" s="53"/>
    </row>
    <row r="75" spans="6:10" x14ac:dyDescent="0.25">
      <c r="F75" s="53"/>
      <c r="G75" s="53"/>
    </row>
    <row r="76" spans="6:10" x14ac:dyDescent="0.25">
      <c r="F76" s="53"/>
      <c r="G76" s="53"/>
    </row>
    <row r="77" spans="6:10" x14ac:dyDescent="0.25">
      <c r="F77" s="53"/>
      <c r="G77" s="5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C634-E0D6-4789-B5DB-C51F064415B0}">
  <dimension ref="A1:AC82"/>
  <sheetViews>
    <sheetView tabSelected="1" workbookViewId="0"/>
  </sheetViews>
  <sheetFormatPr defaultRowHeight="15" x14ac:dyDescent="0.25"/>
  <cols>
    <col min="1" max="1" width="9.42578125" bestFit="1" customWidth="1"/>
    <col min="2" max="2" width="8.28515625" bestFit="1" customWidth="1"/>
    <col min="3" max="3" width="17.7109375" customWidth="1"/>
    <col min="4" max="4" width="11" bestFit="1" customWidth="1"/>
    <col min="5" max="5" width="10.85546875" bestFit="1" customWidth="1"/>
    <col min="6" max="6" width="11.5703125" bestFit="1" customWidth="1"/>
    <col min="7" max="7" width="12.5703125" bestFit="1" customWidth="1"/>
    <col min="8" max="8" width="11" customWidth="1"/>
    <col min="9" max="9" width="12.140625" customWidth="1"/>
    <col min="10" max="10" width="9" customWidth="1"/>
    <col min="11" max="11" width="14.140625" customWidth="1"/>
    <col min="12" max="12" width="10.42578125" bestFit="1" customWidth="1"/>
    <col min="13" max="13" width="10.140625" bestFit="1" customWidth="1"/>
    <col min="14" max="14" width="6.42578125" bestFit="1" customWidth="1"/>
    <col min="15" max="15" width="4" bestFit="1" customWidth="1"/>
    <col min="16" max="16" width="4.140625" style="9" bestFit="1" customWidth="1"/>
    <col min="17" max="17" width="8.5703125" bestFit="1" customWidth="1"/>
    <col min="18" max="20" width="6.5703125" bestFit="1" customWidth="1"/>
    <col min="21" max="21" width="7.5703125" customWidth="1"/>
    <col min="22" max="22" width="7.28515625" customWidth="1"/>
    <col min="23" max="23" width="7.5703125" customWidth="1"/>
    <col min="24" max="24" width="7.42578125" bestFit="1" customWidth="1"/>
    <col min="25" max="25" width="8" customWidth="1"/>
    <col min="26" max="26" width="7.140625" bestFit="1" customWidth="1"/>
  </cols>
  <sheetData>
    <row r="1" spans="1:29" x14ac:dyDescent="0.25">
      <c r="B1" s="66"/>
      <c r="C1" s="1">
        <v>46199</v>
      </c>
      <c r="D1" s="2"/>
      <c r="F1" s="3"/>
      <c r="G1" s="3"/>
      <c r="H1" s="4"/>
      <c r="I1" s="3"/>
      <c r="M1" s="5"/>
      <c r="Z1" s="6"/>
    </row>
    <row r="2" spans="1:29" x14ac:dyDescent="0.25">
      <c r="C2" s="1"/>
      <c r="D2" s="2"/>
      <c r="E2" s="7"/>
      <c r="F2" s="3"/>
      <c r="G2" s="3"/>
      <c r="H2" s="4"/>
      <c r="I2" s="3"/>
      <c r="M2" s="5"/>
      <c r="Z2" s="6"/>
    </row>
    <row r="3" spans="1:29" x14ac:dyDescent="0.25">
      <c r="C3" s="8" t="s">
        <v>0</v>
      </c>
      <c r="D3" s="2"/>
      <c r="F3" s="3"/>
      <c r="G3" s="3"/>
      <c r="H3" s="4"/>
      <c r="I3" s="3"/>
      <c r="M3" s="5"/>
      <c r="X3" s="9" t="s">
        <v>1</v>
      </c>
      <c r="Z3" s="6"/>
      <c r="AC3" s="9" t="s">
        <v>46</v>
      </c>
    </row>
    <row r="4" spans="1:29" x14ac:dyDescent="0.25">
      <c r="A4" s="9"/>
      <c r="B4" s="9"/>
      <c r="C4" s="9"/>
      <c r="D4" s="10"/>
      <c r="E4" s="11"/>
      <c r="F4" s="12"/>
      <c r="G4" s="12"/>
      <c r="H4" s="12" t="s">
        <v>2</v>
      </c>
      <c r="I4" s="12"/>
      <c r="J4" s="9" t="s">
        <v>3</v>
      </c>
      <c r="K4" s="9"/>
      <c r="L4" s="9"/>
      <c r="M4" s="13"/>
      <c r="N4" s="9" t="s">
        <v>4</v>
      </c>
      <c r="O4" s="9"/>
      <c r="P4" s="9" t="s">
        <v>5</v>
      </c>
      <c r="Q4" s="9"/>
      <c r="R4" s="14" t="s">
        <v>6</v>
      </c>
      <c r="S4" s="14" t="s">
        <v>7</v>
      </c>
      <c r="T4" s="9"/>
      <c r="U4" s="9"/>
      <c r="V4" s="9"/>
      <c r="W4" s="9" t="s">
        <v>8</v>
      </c>
      <c r="X4" s="9" t="s">
        <v>9</v>
      </c>
      <c r="Y4" s="9" t="s">
        <v>10</v>
      </c>
      <c r="Z4" s="15" t="s">
        <v>11</v>
      </c>
      <c r="AB4" s="9" t="s">
        <v>5</v>
      </c>
      <c r="AC4" s="9" t="s">
        <v>47</v>
      </c>
    </row>
    <row r="5" spans="1:29" x14ac:dyDescent="0.25">
      <c r="A5" s="16" t="s">
        <v>12</v>
      </c>
      <c r="B5" s="16" t="s">
        <v>13</v>
      </c>
      <c r="C5" s="16" t="s">
        <v>14</v>
      </c>
      <c r="D5" s="17" t="s">
        <v>15</v>
      </c>
      <c r="E5" s="16" t="s">
        <v>1</v>
      </c>
      <c r="F5" s="18" t="s">
        <v>16</v>
      </c>
      <c r="G5" s="18" t="s">
        <v>2</v>
      </c>
      <c r="H5" s="18" t="s">
        <v>17</v>
      </c>
      <c r="I5" s="18" t="s">
        <v>18</v>
      </c>
      <c r="J5" s="16" t="s">
        <v>19</v>
      </c>
      <c r="K5" s="16" t="s">
        <v>20</v>
      </c>
      <c r="L5" s="16" t="s">
        <v>21</v>
      </c>
      <c r="M5" s="19" t="s">
        <v>22</v>
      </c>
      <c r="N5" s="16" t="s">
        <v>23</v>
      </c>
      <c r="O5" s="16" t="s">
        <v>24</v>
      </c>
      <c r="P5" s="16" t="s">
        <v>24</v>
      </c>
      <c r="Q5" s="16" t="s">
        <v>6</v>
      </c>
      <c r="R5" s="20">
        <v>-7.0000000000000007E-2</v>
      </c>
      <c r="S5" s="21" t="s">
        <v>25</v>
      </c>
      <c r="T5" s="22">
        <v>0.25</v>
      </c>
      <c r="U5" s="22">
        <v>0.5</v>
      </c>
      <c r="V5" s="22">
        <v>1</v>
      </c>
      <c r="W5" s="22">
        <v>-7.0000000000000007E-2</v>
      </c>
      <c r="X5" s="23" t="s">
        <v>26</v>
      </c>
      <c r="Y5" s="23" t="s">
        <v>27</v>
      </c>
      <c r="Z5" s="24" t="s">
        <v>28</v>
      </c>
      <c r="AB5" s="51" t="s">
        <v>48</v>
      </c>
      <c r="AC5" s="9" t="s">
        <v>23</v>
      </c>
    </row>
    <row r="6" spans="1:29" x14ac:dyDescent="0.25">
      <c r="AB6" s="55"/>
      <c r="AC6" s="9"/>
    </row>
    <row r="7" spans="1:29" x14ac:dyDescent="0.25">
      <c r="A7" t="s">
        <v>52</v>
      </c>
      <c r="B7" t="s">
        <v>29</v>
      </c>
      <c r="C7" s="25" t="s">
        <v>53</v>
      </c>
      <c r="D7" s="2">
        <f>97.1506+30.2251-46.9735</f>
        <v>80.402199999999993</v>
      </c>
      <c r="E7" s="26">
        <v>1045.17</v>
      </c>
      <c r="F7" s="3">
        <f>E7*D7</f>
        <v>84033.967374</v>
      </c>
      <c r="G7" s="3">
        <f>61467.93+20488.3849-30223.69</f>
        <v>51732.624899999995</v>
      </c>
      <c r="H7" s="4">
        <f>G7/D7</f>
        <v>643.42300210690746</v>
      </c>
      <c r="I7" s="3">
        <f>F7-G7</f>
        <v>32301.342474000005</v>
      </c>
      <c r="J7" s="26">
        <f>E7-H7</f>
        <v>401.74699789309261</v>
      </c>
      <c r="K7" s="27">
        <v>46000</v>
      </c>
      <c r="L7">
        <f>DAYS360(K7,$C$1)</f>
        <v>197</v>
      </c>
      <c r="M7" s="5">
        <f>(I7/G7)</f>
        <v>0.62439017035070277</v>
      </c>
      <c r="N7" s="9">
        <v>55</v>
      </c>
      <c r="O7">
        <v>85</v>
      </c>
      <c r="P7" s="59">
        <v>85</v>
      </c>
      <c r="Q7" s="28">
        <v>701</v>
      </c>
      <c r="R7" s="29">
        <f>Q7*0.93</f>
        <v>651.93000000000006</v>
      </c>
      <c r="S7" s="29">
        <v>708.75</v>
      </c>
      <c r="T7" s="28">
        <f>Q7*1.25</f>
        <v>876.25</v>
      </c>
      <c r="U7" s="28">
        <f>Q7*1.5</f>
        <v>1051.5</v>
      </c>
      <c r="V7" s="28">
        <f>Q7*2</f>
        <v>1402</v>
      </c>
      <c r="W7" s="28">
        <f>H7-(H7*0.07)</f>
        <v>598.38339195942399</v>
      </c>
      <c r="X7" s="29">
        <v>980</v>
      </c>
      <c r="Y7" s="5">
        <f>(X7-H7)/H7</f>
        <v>0.52310376966779448</v>
      </c>
      <c r="Z7" s="6">
        <f>F7/F$20</f>
        <v>0.13973095025346155</v>
      </c>
      <c r="AB7" s="55">
        <v>46225</v>
      </c>
      <c r="AC7" s="9">
        <v>87</v>
      </c>
    </row>
    <row r="8" spans="1:29" x14ac:dyDescent="0.25">
      <c r="A8" t="s">
        <v>85</v>
      </c>
      <c r="B8" t="s">
        <v>29</v>
      </c>
      <c r="C8" s="25" t="s">
        <v>86</v>
      </c>
      <c r="D8" s="2">
        <v>183.77520000000001</v>
      </c>
      <c r="E8" s="26">
        <v>399.49</v>
      </c>
      <c r="F8" s="3">
        <f>E8*D8</f>
        <v>73416.354648000008</v>
      </c>
      <c r="G8" s="3">
        <v>31661.82</v>
      </c>
      <c r="H8" s="4">
        <f>G8/D8</f>
        <v>172.28559675081294</v>
      </c>
      <c r="I8" s="3">
        <f>F8-G8</f>
        <v>41754.534648000008</v>
      </c>
      <c r="J8" s="26">
        <f>E8-H8</f>
        <v>227.20440324918707</v>
      </c>
      <c r="K8" s="27">
        <v>46114</v>
      </c>
      <c r="L8">
        <f>DAYS360(K8,$C$1)</f>
        <v>84</v>
      </c>
      <c r="M8" s="5">
        <f>(I8/G8)</f>
        <v>1.3187660926630247</v>
      </c>
      <c r="N8" s="32">
        <v>3</v>
      </c>
      <c r="O8">
        <v>99</v>
      </c>
      <c r="P8" s="60">
        <v>97</v>
      </c>
      <c r="Q8" s="28">
        <v>168.08</v>
      </c>
      <c r="R8" s="29">
        <f>Q8*0.93</f>
        <v>156.31440000000001</v>
      </c>
      <c r="S8" s="29">
        <v>155.37</v>
      </c>
      <c r="T8" s="30">
        <f>Q8*1.25</f>
        <v>210.10000000000002</v>
      </c>
      <c r="U8" s="28">
        <f>Q8*1.5</f>
        <v>252.12</v>
      </c>
      <c r="V8" s="28">
        <f>Q8*2</f>
        <v>336.16</v>
      </c>
      <c r="W8" s="28">
        <f>H8-(H8*0.07)</f>
        <v>160.22560497825603</v>
      </c>
      <c r="X8" s="29">
        <v>350</v>
      </c>
      <c r="Y8" s="5">
        <f>(X8-H8)/H8</f>
        <v>1.0315105069765416</v>
      </c>
      <c r="Z8" s="6">
        <f>F8/F$20</f>
        <v>0.12207607613542423</v>
      </c>
      <c r="AB8" s="62">
        <v>46268</v>
      </c>
      <c r="AC8" s="32">
        <v>98</v>
      </c>
    </row>
    <row r="9" spans="1:29" x14ac:dyDescent="0.25">
      <c r="A9" t="s">
        <v>82</v>
      </c>
      <c r="B9" t="s">
        <v>29</v>
      </c>
      <c r="C9" s="25" t="s">
        <v>83</v>
      </c>
      <c r="D9" s="2">
        <v>144.76</v>
      </c>
      <c r="E9" s="26">
        <v>804.76</v>
      </c>
      <c r="F9" s="3">
        <f>E9*D9</f>
        <v>116497.05759999999</v>
      </c>
      <c r="G9" s="3">
        <v>66860.710000000006</v>
      </c>
      <c r="H9" s="4">
        <f>G9/D9</f>
        <v>461.87282398452618</v>
      </c>
      <c r="I9" s="3">
        <f>F9-G9</f>
        <v>49636.347599999979</v>
      </c>
      <c r="J9" s="26">
        <f>E9-H9</f>
        <v>342.88717601547381</v>
      </c>
      <c r="K9" s="27">
        <v>46129</v>
      </c>
      <c r="L9">
        <f>DAYS360(K9,$C$1)</f>
        <v>69</v>
      </c>
      <c r="M9" s="5">
        <f>(I9/G9)</f>
        <v>0.74238439286690161</v>
      </c>
      <c r="N9" s="9">
        <v>23</v>
      </c>
      <c r="O9">
        <v>98</v>
      </c>
      <c r="P9" s="59">
        <v>99</v>
      </c>
      <c r="Q9" s="28">
        <v>472.61</v>
      </c>
      <c r="R9" s="29">
        <f>Q9*0.93</f>
        <v>439.52730000000003</v>
      </c>
      <c r="S9" s="29">
        <v>362.59</v>
      </c>
      <c r="T9" s="28">
        <f>Q9*1.25</f>
        <v>590.76250000000005</v>
      </c>
      <c r="U9" s="28">
        <f>Q9*1.5</f>
        <v>708.91499999999996</v>
      </c>
      <c r="V9" s="28">
        <f>Q9*2</f>
        <v>945.22</v>
      </c>
      <c r="W9" s="28">
        <f>H9-(H9*0.07)</f>
        <v>429.54172630560936</v>
      </c>
      <c r="X9" s="29">
        <v>745</v>
      </c>
      <c r="Y9" s="5">
        <f>(X9-H9)/H9</f>
        <v>0.61299812700164247</v>
      </c>
      <c r="Z9" s="31">
        <f>F9/F$20</f>
        <v>0.19371029440669618</v>
      </c>
      <c r="AB9" s="55">
        <v>46244</v>
      </c>
      <c r="AC9" s="9">
        <v>97</v>
      </c>
    </row>
    <row r="10" spans="1:29" x14ac:dyDescent="0.25">
      <c r="A10" t="s">
        <v>95</v>
      </c>
      <c r="B10" t="s">
        <v>29</v>
      </c>
      <c r="C10" s="25" t="s">
        <v>96</v>
      </c>
      <c r="D10" s="2">
        <f>160.7346+74.6791</f>
        <v>235.41370000000001</v>
      </c>
      <c r="E10" s="26">
        <v>238</v>
      </c>
      <c r="F10" s="3">
        <f>E10*D10</f>
        <v>56028.460599999999</v>
      </c>
      <c r="G10" s="3">
        <f>37783.98+16080.63</f>
        <v>53864.61</v>
      </c>
      <c r="H10" s="4">
        <f>G10/D10</f>
        <v>228.80830639848062</v>
      </c>
      <c r="I10" s="3">
        <f>F10-G10</f>
        <v>2163.8505999999979</v>
      </c>
      <c r="J10" s="26">
        <f>E10-H10</f>
        <v>9.1916936015193755</v>
      </c>
      <c r="K10" s="27">
        <v>46174</v>
      </c>
      <c r="L10">
        <f>DAYS360(K10,$C$1)</f>
        <v>25</v>
      </c>
      <c r="M10" s="5">
        <f>(I10/G10)</f>
        <v>4.0172027607737214E-2</v>
      </c>
      <c r="N10" s="9">
        <v>38</v>
      </c>
      <c r="O10">
        <v>96</v>
      </c>
      <c r="P10" s="59">
        <v>83</v>
      </c>
      <c r="Q10" s="28">
        <v>211</v>
      </c>
      <c r="R10" s="29">
        <f>Q10*0.93</f>
        <v>196.23000000000002</v>
      </c>
      <c r="S10" s="29">
        <v>148.94</v>
      </c>
      <c r="T10" s="28">
        <f>Q10*1.25</f>
        <v>263.75</v>
      </c>
      <c r="U10" s="28">
        <f>Q10*1.5</f>
        <v>316.5</v>
      </c>
      <c r="V10" s="28">
        <f>Q10*2</f>
        <v>422</v>
      </c>
      <c r="W10" s="28">
        <f>H10-(H10*0.07)</f>
        <v>212.79172495058697</v>
      </c>
      <c r="X10" s="29">
        <v>218</v>
      </c>
      <c r="Y10" s="5">
        <f>(X10-H10)/H10</f>
        <v>-4.7237386476946516E-2</v>
      </c>
      <c r="Z10" s="6">
        <f>F10/F$20</f>
        <v>9.3163637104427433E-2</v>
      </c>
      <c r="AB10" s="55">
        <v>46274</v>
      </c>
      <c r="AC10" s="9">
        <v>96</v>
      </c>
    </row>
    <row r="11" spans="1:29" x14ac:dyDescent="0.25">
      <c r="A11" t="s">
        <v>72</v>
      </c>
      <c r="B11" t="s">
        <v>29</v>
      </c>
      <c r="C11" s="25" t="s">
        <v>73</v>
      </c>
      <c r="D11" s="2">
        <f>256.7248+144.421</f>
        <v>401.14580000000001</v>
      </c>
      <c r="E11" s="26">
        <v>163.72</v>
      </c>
      <c r="F11" s="3">
        <f>E11*D11</f>
        <v>65675.590376000007</v>
      </c>
      <c r="G11" s="3">
        <f>36957.51+21832.03</f>
        <v>58789.54</v>
      </c>
      <c r="H11" s="4">
        <f>G11/D11</f>
        <v>146.554045935418</v>
      </c>
      <c r="I11" s="3">
        <f>F11-G11</f>
        <v>6886.0503760000065</v>
      </c>
      <c r="J11" s="26">
        <f>E11-H11</f>
        <v>17.165954064581996</v>
      </c>
      <c r="K11" s="27">
        <v>46181</v>
      </c>
      <c r="L11">
        <f>DAYS360(K11,$C$1)</f>
        <v>18</v>
      </c>
      <c r="M11" s="5">
        <f>(I11/G11)</f>
        <v>0.11713053675875006</v>
      </c>
      <c r="N11" s="9">
        <v>5</v>
      </c>
      <c r="O11">
        <v>86</v>
      </c>
      <c r="P11" s="59">
        <v>98</v>
      </c>
      <c r="Q11" s="28">
        <v>155.46</v>
      </c>
      <c r="R11" s="29">
        <f>Q11*0.93</f>
        <v>144.57780000000002</v>
      </c>
      <c r="S11" s="29">
        <v>138.19999999999999</v>
      </c>
      <c r="T11" s="28">
        <f>Q11*1.25</f>
        <v>194.32500000000002</v>
      </c>
      <c r="U11" s="28">
        <f>Q11*1.5</f>
        <v>233.19</v>
      </c>
      <c r="V11" s="28">
        <f>Q11*2</f>
        <v>310.92</v>
      </c>
      <c r="W11" s="28">
        <f>H11-(H11*0.07)</f>
        <v>136.29526271993873</v>
      </c>
      <c r="X11" s="29">
        <v>152</v>
      </c>
      <c r="Y11" s="5">
        <f>(X11-H11)/H11</f>
        <v>3.7160039013742867E-2</v>
      </c>
      <c r="Z11" s="6">
        <f>F11/F$20</f>
        <v>0.10920480061179284</v>
      </c>
      <c r="AB11" s="55">
        <v>46232</v>
      </c>
      <c r="AC11" s="59">
        <v>99</v>
      </c>
    </row>
    <row r="12" spans="1:29" x14ac:dyDescent="0.25">
      <c r="A12" t="s">
        <v>101</v>
      </c>
      <c r="B12" t="s">
        <v>29</v>
      </c>
      <c r="C12" s="25" t="s">
        <v>102</v>
      </c>
      <c r="D12" s="2">
        <f>493.8434+123.5892</f>
        <v>617.43259999999998</v>
      </c>
      <c r="E12" s="26">
        <v>128.32</v>
      </c>
      <c r="F12" s="3">
        <f>E12*D12</f>
        <v>79228.951231999992</v>
      </c>
      <c r="G12" s="3">
        <f>63528.22+14988.78</f>
        <v>78517</v>
      </c>
      <c r="H12" s="4">
        <f>G12/D12</f>
        <v>127.16691668046035</v>
      </c>
      <c r="I12" s="3">
        <f>F12-G12</f>
        <v>711.95123199999216</v>
      </c>
      <c r="J12" s="26">
        <f>E12-H12</f>
        <v>1.1530833195396468</v>
      </c>
      <c r="K12" s="27">
        <v>46188</v>
      </c>
      <c r="L12">
        <f>DAYS360(K12,$C$1)</f>
        <v>11</v>
      </c>
      <c r="M12" s="5">
        <f>(I12/G12)</f>
        <v>9.0674787880330645E-3</v>
      </c>
      <c r="N12" s="9">
        <v>11</v>
      </c>
      <c r="O12">
        <v>60</v>
      </c>
      <c r="P12" s="60">
        <v>99</v>
      </c>
      <c r="Q12" s="28">
        <v>132.61000000000001</v>
      </c>
      <c r="R12" s="29">
        <f>Q12*0.93</f>
        <v>123.32730000000002</v>
      </c>
      <c r="S12" s="29">
        <v>116</v>
      </c>
      <c r="T12" s="30">
        <f>Q12*1.25</f>
        <v>165.76250000000002</v>
      </c>
      <c r="U12" s="28">
        <f>Q12*1.5</f>
        <v>198.91500000000002</v>
      </c>
      <c r="V12" s="28">
        <f>Q12*2</f>
        <v>265.22000000000003</v>
      </c>
      <c r="W12" s="28">
        <f>H12-(H12*0.07)</f>
        <v>118.26523251282812</v>
      </c>
      <c r="X12" s="29">
        <v>122</v>
      </c>
      <c r="Y12" s="5">
        <f>(X12-H12)/H12</f>
        <v>-4.0630981825591918E-2</v>
      </c>
      <c r="Z12" s="6">
        <f>F12/F$20</f>
        <v>0.13174121119334173</v>
      </c>
      <c r="AB12" s="55">
        <v>46226</v>
      </c>
      <c r="AC12" s="9">
        <v>87</v>
      </c>
    </row>
    <row r="13" spans="1:29" x14ac:dyDescent="0.25">
      <c r="C13" s="25"/>
      <c r="D13" s="2"/>
      <c r="E13" s="26"/>
      <c r="F13" s="3">
        <f>E13*D13</f>
        <v>0</v>
      </c>
      <c r="G13" s="3"/>
      <c r="H13" s="4" t="e">
        <f>G13/D13</f>
        <v>#DIV/0!</v>
      </c>
      <c r="I13" s="3">
        <f>F13-G13</f>
        <v>0</v>
      </c>
      <c r="J13" s="26" t="e">
        <f>E13-H13</f>
        <v>#DIV/0!</v>
      </c>
      <c r="K13" s="27"/>
      <c r="L13">
        <f>DAYS360(K13,$C$1)</f>
        <v>45536</v>
      </c>
      <c r="M13" s="5" t="e">
        <f>(I13/G13)</f>
        <v>#DIV/0!</v>
      </c>
      <c r="N13" s="9"/>
      <c r="P13" s="59"/>
      <c r="Q13" s="28"/>
      <c r="R13" s="29">
        <f>Q13*0.93</f>
        <v>0</v>
      </c>
      <c r="S13" s="29"/>
      <c r="T13" s="30">
        <f>Q13*1.25</f>
        <v>0</v>
      </c>
      <c r="U13" s="28">
        <f>Q13*1.5</f>
        <v>0</v>
      </c>
      <c r="V13" s="28">
        <f>Q13*2</f>
        <v>0</v>
      </c>
      <c r="W13" s="28" t="e">
        <f>H13-(H13*0.07)</f>
        <v>#DIV/0!</v>
      </c>
      <c r="X13" s="29"/>
      <c r="Y13" s="5" t="e">
        <f>(X13-H13)/H13</f>
        <v>#DIV/0!</v>
      </c>
      <c r="Z13" s="31">
        <f>F13/F$20</f>
        <v>0</v>
      </c>
      <c r="AB13" s="55"/>
      <c r="AC13" s="9"/>
    </row>
    <row r="14" spans="1:29" x14ac:dyDescent="0.25">
      <c r="C14" s="25"/>
      <c r="D14" s="2"/>
      <c r="E14" s="26"/>
      <c r="F14" s="3">
        <f t="shared" ref="F7:F17" si="0">E14*D14</f>
        <v>0</v>
      </c>
      <c r="G14" s="3"/>
      <c r="H14" s="4" t="e">
        <f t="shared" ref="H7:H17" si="1">G14/D14</f>
        <v>#DIV/0!</v>
      </c>
      <c r="I14" s="3">
        <f t="shared" ref="I7:I17" si="2">F14-G14</f>
        <v>0</v>
      </c>
      <c r="J14" s="26" t="e">
        <f t="shared" ref="J7:J17" si="3">E14-H14</f>
        <v>#DIV/0!</v>
      </c>
      <c r="K14" s="27"/>
      <c r="L14">
        <f t="shared" ref="L7:L17" si="4">DAYS360(K14,$C$1)</f>
        <v>45536</v>
      </c>
      <c r="M14" s="5" t="e">
        <f t="shared" ref="M7:M17" si="5">(I14/G14)</f>
        <v>#DIV/0!</v>
      </c>
      <c r="N14" s="32"/>
      <c r="P14" s="60"/>
      <c r="Q14" s="28"/>
      <c r="R14" s="29">
        <f t="shared" ref="R7:R17" si="6">Q14*0.93</f>
        <v>0</v>
      </c>
      <c r="S14" s="29"/>
      <c r="T14" s="30">
        <f t="shared" ref="T7:T17" si="7">Q14*1.25</f>
        <v>0</v>
      </c>
      <c r="U14" s="28">
        <f t="shared" ref="U7:U17" si="8">Q14*1.5</f>
        <v>0</v>
      </c>
      <c r="V14" s="28">
        <f t="shared" ref="V7:V17" si="9">Q14*2</f>
        <v>0</v>
      </c>
      <c r="W14" s="28" t="e">
        <f t="shared" ref="W7:W17" si="10">H14-(H14*0.07)</f>
        <v>#DIV/0!</v>
      </c>
      <c r="X14" s="29"/>
      <c r="Y14" s="5" t="e">
        <f t="shared" ref="Y7:Y17" si="11">(X14-H14)/H14</f>
        <v>#DIV/0!</v>
      </c>
      <c r="Z14" s="6">
        <f t="shared" ref="Z7:Z17" si="12">F14/F$20</f>
        <v>0</v>
      </c>
      <c r="AB14" s="62"/>
      <c r="AC14" s="32"/>
    </row>
    <row r="15" spans="1:29" x14ac:dyDescent="0.25">
      <c r="C15" s="25"/>
      <c r="D15" s="2"/>
      <c r="E15" s="26"/>
      <c r="F15" s="3">
        <f t="shared" si="0"/>
        <v>0</v>
      </c>
      <c r="G15" s="3"/>
      <c r="H15" s="4" t="e">
        <f t="shared" si="1"/>
        <v>#DIV/0!</v>
      </c>
      <c r="I15" s="3">
        <f t="shared" si="2"/>
        <v>0</v>
      </c>
      <c r="J15" s="26" t="e">
        <f t="shared" si="3"/>
        <v>#DIV/0!</v>
      </c>
      <c r="K15" s="27"/>
      <c r="L15">
        <f t="shared" si="4"/>
        <v>45536</v>
      </c>
      <c r="M15" s="5" t="e">
        <f t="shared" si="5"/>
        <v>#DIV/0!</v>
      </c>
      <c r="N15" s="9"/>
      <c r="P15" s="32"/>
      <c r="Q15" s="28"/>
      <c r="R15" s="29">
        <f t="shared" si="6"/>
        <v>0</v>
      </c>
      <c r="S15" s="29"/>
      <c r="T15" s="28">
        <f t="shared" si="7"/>
        <v>0</v>
      </c>
      <c r="U15" s="28">
        <f t="shared" si="8"/>
        <v>0</v>
      </c>
      <c r="V15" s="28">
        <f t="shared" si="9"/>
        <v>0</v>
      </c>
      <c r="W15" s="28" t="e">
        <f t="shared" si="10"/>
        <v>#DIV/0!</v>
      </c>
      <c r="X15" s="29"/>
      <c r="Y15" s="5" t="e">
        <f t="shared" si="11"/>
        <v>#DIV/0!</v>
      </c>
      <c r="Z15" s="31">
        <f t="shared" si="12"/>
        <v>0</v>
      </c>
      <c r="AB15" s="55"/>
      <c r="AC15" s="9"/>
    </row>
    <row r="16" spans="1:29" x14ac:dyDescent="0.25">
      <c r="C16" s="25"/>
      <c r="D16" s="2"/>
      <c r="E16" s="26"/>
      <c r="F16" s="3">
        <f t="shared" si="0"/>
        <v>0</v>
      </c>
      <c r="G16" s="3"/>
      <c r="H16" s="4" t="e">
        <f t="shared" si="1"/>
        <v>#DIV/0!</v>
      </c>
      <c r="I16" s="3">
        <f t="shared" si="2"/>
        <v>0</v>
      </c>
      <c r="J16" s="26" t="e">
        <f t="shared" si="3"/>
        <v>#DIV/0!</v>
      </c>
      <c r="K16" s="27"/>
      <c r="L16">
        <f t="shared" si="4"/>
        <v>45536</v>
      </c>
      <c r="M16" s="5" t="e">
        <f t="shared" si="5"/>
        <v>#DIV/0!</v>
      </c>
      <c r="P16" s="59"/>
      <c r="Q16" s="28"/>
      <c r="R16" s="29">
        <f t="shared" si="6"/>
        <v>0</v>
      </c>
      <c r="S16" s="29"/>
      <c r="T16" s="28">
        <f t="shared" si="7"/>
        <v>0</v>
      </c>
      <c r="U16" s="28">
        <f t="shared" si="8"/>
        <v>0</v>
      </c>
      <c r="V16" s="28">
        <f t="shared" si="9"/>
        <v>0</v>
      </c>
      <c r="W16" s="28" t="e">
        <f t="shared" si="10"/>
        <v>#DIV/0!</v>
      </c>
      <c r="X16" s="29"/>
      <c r="Y16" s="5" t="e">
        <f t="shared" si="11"/>
        <v>#DIV/0!</v>
      </c>
      <c r="Z16" s="31">
        <f t="shared" si="12"/>
        <v>0</v>
      </c>
      <c r="AB16" s="55"/>
      <c r="AC16" s="9"/>
    </row>
    <row r="17" spans="1:29" x14ac:dyDescent="0.25">
      <c r="A17" s="33"/>
      <c r="B17" s="33"/>
      <c r="C17" s="34"/>
      <c r="D17" s="35"/>
      <c r="E17" s="36"/>
      <c r="F17" s="37">
        <f t="shared" si="0"/>
        <v>0</v>
      </c>
      <c r="G17" s="37"/>
      <c r="H17" s="38" t="e">
        <f t="shared" si="1"/>
        <v>#DIV/0!</v>
      </c>
      <c r="I17" s="37">
        <f t="shared" si="2"/>
        <v>0</v>
      </c>
      <c r="J17" s="36" t="e">
        <f t="shared" si="3"/>
        <v>#DIV/0!</v>
      </c>
      <c r="K17" s="39"/>
      <c r="L17" s="33">
        <f t="shared" si="4"/>
        <v>45536</v>
      </c>
      <c r="M17" s="40" t="e">
        <f t="shared" si="5"/>
        <v>#DIV/0!</v>
      </c>
      <c r="N17" s="33"/>
      <c r="O17" s="33"/>
      <c r="P17" s="61"/>
      <c r="Q17" s="41"/>
      <c r="R17" s="42">
        <f t="shared" si="6"/>
        <v>0</v>
      </c>
      <c r="S17" s="42"/>
      <c r="T17" s="43">
        <f t="shared" si="7"/>
        <v>0</v>
      </c>
      <c r="U17" s="41">
        <f t="shared" si="8"/>
        <v>0</v>
      </c>
      <c r="V17" s="41">
        <f t="shared" si="9"/>
        <v>0</v>
      </c>
      <c r="W17" s="41" t="e">
        <f t="shared" si="10"/>
        <v>#DIV/0!</v>
      </c>
      <c r="X17" s="42"/>
      <c r="Y17" s="40" t="e">
        <f t="shared" si="11"/>
        <v>#DIV/0!</v>
      </c>
      <c r="Z17" s="44">
        <f t="shared" si="12"/>
        <v>0</v>
      </c>
      <c r="AB17" s="57"/>
      <c r="AC17" s="9"/>
    </row>
    <row r="18" spans="1:29" x14ac:dyDescent="0.25">
      <c r="A18" t="s">
        <v>31</v>
      </c>
      <c r="D18" s="2"/>
      <c r="F18" s="3">
        <f>SUM(F6:F17)</f>
        <v>474880.38182999997</v>
      </c>
      <c r="G18" s="3">
        <f>SUM(G6:G17)</f>
        <v>341426.30489999999</v>
      </c>
      <c r="H18" s="4"/>
      <c r="I18" s="3">
        <f>SUM(I6:I17)</f>
        <v>133454.07692999998</v>
      </c>
      <c r="M18" s="5"/>
      <c r="Z18" s="6"/>
    </row>
    <row r="19" spans="1:29" x14ac:dyDescent="0.25">
      <c r="D19" s="2" t="s">
        <v>32</v>
      </c>
      <c r="F19" s="3">
        <v>126518</v>
      </c>
      <c r="G19" s="6">
        <f>F19/F20</f>
        <v>0.21037303029485607</v>
      </c>
      <c r="H19" s="4"/>
      <c r="I19" s="3"/>
      <c r="M19" s="5"/>
      <c r="Z19" s="6"/>
    </row>
    <row r="20" spans="1:29" x14ac:dyDescent="0.25">
      <c r="D20" s="2" t="s">
        <v>33</v>
      </c>
      <c r="F20" s="3">
        <f>SUM(F18:F19)</f>
        <v>601398.38182999997</v>
      </c>
      <c r="G20" s="3"/>
      <c r="H20" s="45"/>
      <c r="I20" s="46"/>
      <c r="K20" t="s">
        <v>34</v>
      </c>
      <c r="M20" s="13" t="s">
        <v>35</v>
      </c>
      <c r="Z20" s="6"/>
    </row>
    <row r="21" spans="1:29" x14ac:dyDescent="0.25">
      <c r="D21" s="2"/>
      <c r="F21" s="4"/>
      <c r="G21" s="3"/>
      <c r="H21" s="4" t="s">
        <v>36</v>
      </c>
      <c r="I21" s="47">
        <f>'06-19-26'!F20</f>
        <v>636758.29535380006</v>
      </c>
      <c r="K21" s="1">
        <v>45657</v>
      </c>
      <c r="L21" s="47">
        <v>208334</v>
      </c>
      <c r="M21" s="47">
        <v>222407</v>
      </c>
      <c r="Z21" s="6"/>
    </row>
    <row r="22" spans="1:29" x14ac:dyDescent="0.25">
      <c r="D22" s="2"/>
      <c r="F22" s="3"/>
      <c r="G22" s="48"/>
      <c r="H22" s="4" t="s">
        <v>37</v>
      </c>
      <c r="I22" s="6">
        <f>(F20-I21)/I21</f>
        <v>-5.5531139180767436E-2</v>
      </c>
      <c r="K22" s="9" t="s">
        <v>54</v>
      </c>
      <c r="L22" s="6">
        <f>(M21-L21)/L21</f>
        <v>6.755018383941172E-2</v>
      </c>
      <c r="Z22" s="6"/>
    </row>
    <row r="24" spans="1:29" x14ac:dyDescent="0.25">
      <c r="D24" s="9"/>
      <c r="E24" s="9"/>
      <c r="F24" s="49"/>
      <c r="G24" s="3"/>
      <c r="H24" s="3"/>
      <c r="I24" s="12"/>
      <c r="J24" s="9"/>
      <c r="K24" s="9"/>
      <c r="L24" s="9"/>
      <c r="M24" s="13" t="s">
        <v>38</v>
      </c>
    </row>
    <row r="25" spans="1:29" x14ac:dyDescent="0.25">
      <c r="A25" s="50" t="s">
        <v>67</v>
      </c>
      <c r="D25" s="51" t="s">
        <v>15</v>
      </c>
      <c r="E25" s="51" t="s">
        <v>39</v>
      </c>
      <c r="F25" s="52" t="s">
        <v>40</v>
      </c>
      <c r="G25" s="52" t="s">
        <v>41</v>
      </c>
      <c r="H25" s="52" t="s">
        <v>42</v>
      </c>
      <c r="I25" s="52" t="s">
        <v>43</v>
      </c>
      <c r="J25" s="51" t="s">
        <v>11</v>
      </c>
      <c r="K25" s="51" t="s">
        <v>20</v>
      </c>
      <c r="L25" s="51" t="s">
        <v>44</v>
      </c>
      <c r="M25" s="51" t="s">
        <v>45</v>
      </c>
      <c r="N25" s="1"/>
    </row>
    <row r="26" spans="1:29" x14ac:dyDescent="0.25">
      <c r="A26" t="s">
        <v>61</v>
      </c>
      <c r="B26" t="s">
        <v>29</v>
      </c>
      <c r="C26" s="25" t="s">
        <v>62</v>
      </c>
      <c r="D26" s="2">
        <v>747.35059999999999</v>
      </c>
      <c r="E26" s="54">
        <f>F26/D26</f>
        <v>82.183649815762507</v>
      </c>
      <c r="F26" s="3">
        <v>61420</v>
      </c>
      <c r="G26" s="53">
        <v>53510.285400000001</v>
      </c>
      <c r="H26" s="54">
        <f>G26/D26</f>
        <v>71.599976503665076</v>
      </c>
      <c r="I26" s="54">
        <f>G26-F26</f>
        <v>-7909.7145999999993</v>
      </c>
      <c r="J26" s="6">
        <f>I26/F26</f>
        <v>-0.12878076522305437</v>
      </c>
      <c r="K26" s="1">
        <v>46009</v>
      </c>
      <c r="L26" s="1">
        <v>46034</v>
      </c>
      <c r="M26">
        <f t="shared" ref="M26:M47" si="13">DAYS360(K26,L26)</f>
        <v>24</v>
      </c>
      <c r="Q26" s="28"/>
      <c r="S26" s="58"/>
    </row>
    <row r="27" spans="1:29" x14ac:dyDescent="0.25">
      <c r="A27" t="s">
        <v>55</v>
      </c>
      <c r="B27" t="s">
        <v>29</v>
      </c>
      <c r="C27" s="25" t="s">
        <v>58</v>
      </c>
      <c r="D27" s="2">
        <v>90.343400000000003</v>
      </c>
      <c r="E27" s="54">
        <f>F27/D27</f>
        <v>678.26493136189254</v>
      </c>
      <c r="F27" s="3">
        <v>61276.76</v>
      </c>
      <c r="G27" s="53">
        <v>54541.21</v>
      </c>
      <c r="H27" s="54">
        <f>G27/D27</f>
        <v>603.70995556952687</v>
      </c>
      <c r="I27" s="54">
        <f>G27-F27</f>
        <v>-6735.5500000000029</v>
      </c>
      <c r="J27" s="6">
        <f>I27/F27</f>
        <v>-0.10992013938073754</v>
      </c>
      <c r="K27" s="1">
        <v>45995</v>
      </c>
      <c r="L27" s="1">
        <v>46037</v>
      </c>
      <c r="M27">
        <f t="shared" si="13"/>
        <v>41</v>
      </c>
      <c r="Q27" s="28"/>
      <c r="S27" s="58"/>
    </row>
    <row r="28" spans="1:29" x14ac:dyDescent="0.25">
      <c r="A28" t="s">
        <v>56</v>
      </c>
      <c r="B28" t="s">
        <v>29</v>
      </c>
      <c r="C28" s="25" t="s">
        <v>57</v>
      </c>
      <c r="D28" s="2">
        <v>288.58530000000002</v>
      </c>
      <c r="E28" s="54">
        <f t="shared" ref="E28:E47" si="14">F28/D28</f>
        <v>271.34091722620656</v>
      </c>
      <c r="F28" s="3">
        <v>78305</v>
      </c>
      <c r="G28" s="53">
        <v>73933.25</v>
      </c>
      <c r="H28" s="54">
        <f t="shared" ref="H28:H45" si="15">G28/D28</f>
        <v>256.19201671048387</v>
      </c>
      <c r="I28" s="54">
        <f t="shared" ref="I28:I45" si="16">G28-F28</f>
        <v>-4371.75</v>
      </c>
      <c r="J28" s="6">
        <f t="shared" ref="J28:J45" si="17">I28/F28</f>
        <v>-5.5829768214034861E-2</v>
      </c>
      <c r="K28" s="1">
        <v>45971</v>
      </c>
      <c r="L28" s="1">
        <v>46038</v>
      </c>
      <c r="M28">
        <f t="shared" si="13"/>
        <v>66</v>
      </c>
      <c r="Q28" s="28"/>
      <c r="S28" s="58"/>
    </row>
    <row r="29" spans="1:29" x14ac:dyDescent="0.25">
      <c r="A29" t="s">
        <v>59</v>
      </c>
      <c r="B29" t="s">
        <v>29</v>
      </c>
      <c r="C29" s="25" t="s">
        <v>60</v>
      </c>
      <c r="D29" s="2">
        <v>129.2645</v>
      </c>
      <c r="E29" s="54">
        <f t="shared" si="14"/>
        <v>478.84701522846564</v>
      </c>
      <c r="F29" s="3">
        <v>61897.919999999998</v>
      </c>
      <c r="G29" s="53">
        <v>54753.85</v>
      </c>
      <c r="H29" s="54">
        <f t="shared" si="15"/>
        <v>423.57994654371464</v>
      </c>
      <c r="I29" s="54">
        <f t="shared" si="16"/>
        <v>-7144.07</v>
      </c>
      <c r="J29" s="6">
        <f t="shared" si="17"/>
        <v>-0.11541696393029038</v>
      </c>
      <c r="K29" s="1">
        <v>46006</v>
      </c>
      <c r="L29" s="1">
        <v>46051</v>
      </c>
      <c r="M29">
        <f t="shared" si="13"/>
        <v>44</v>
      </c>
      <c r="Q29" s="28"/>
      <c r="S29" s="58"/>
    </row>
    <row r="30" spans="1:29" x14ac:dyDescent="0.25">
      <c r="A30" t="s">
        <v>72</v>
      </c>
      <c r="B30" t="s">
        <v>29</v>
      </c>
      <c r="C30" s="25" t="s">
        <v>73</v>
      </c>
      <c r="D30" s="2">
        <v>424.72669999999999</v>
      </c>
      <c r="E30" s="54">
        <f t="shared" si="14"/>
        <v>145.61999516394894</v>
      </c>
      <c r="F30" s="3">
        <v>61848.7</v>
      </c>
      <c r="G30" s="53">
        <v>58111.070800000001</v>
      </c>
      <c r="H30" s="54">
        <f t="shared" si="15"/>
        <v>136.81991454740191</v>
      </c>
      <c r="I30" s="54">
        <f t="shared" si="16"/>
        <v>-3737.6291999999958</v>
      </c>
      <c r="J30" s="6">
        <f t="shared" si="17"/>
        <v>-6.0431815058360094E-2</v>
      </c>
      <c r="K30" s="27">
        <v>46034</v>
      </c>
      <c r="L30" s="1">
        <v>46057</v>
      </c>
      <c r="M30">
        <f t="shared" si="13"/>
        <v>22</v>
      </c>
      <c r="Q30" s="28"/>
      <c r="S30" s="58"/>
    </row>
    <row r="31" spans="1:29" x14ac:dyDescent="0.25">
      <c r="A31" t="s">
        <v>74</v>
      </c>
      <c r="B31" t="s">
        <v>29</v>
      </c>
      <c r="C31" s="25" t="s">
        <v>75</v>
      </c>
      <c r="D31" s="2">
        <f>911.4227+399.4035</f>
        <v>1310.8262</v>
      </c>
      <c r="E31" s="54">
        <f t="shared" si="14"/>
        <v>55.207341751332095</v>
      </c>
      <c r="F31" s="3">
        <v>72367.23</v>
      </c>
      <c r="G31" s="53">
        <v>67265.89</v>
      </c>
      <c r="H31" s="54">
        <f t="shared" si="15"/>
        <v>51.315643523145937</v>
      </c>
      <c r="I31" s="54">
        <f t="shared" si="16"/>
        <v>-5101.3399999999965</v>
      </c>
      <c r="J31" s="6">
        <f t="shared" si="17"/>
        <v>-7.0492403813162352E-2</v>
      </c>
      <c r="K31" s="27">
        <v>46035</v>
      </c>
      <c r="L31" s="1">
        <v>46057</v>
      </c>
      <c r="M31">
        <f t="shared" si="13"/>
        <v>21</v>
      </c>
      <c r="Q31" s="28"/>
      <c r="S31" s="58"/>
    </row>
    <row r="32" spans="1:29" x14ac:dyDescent="0.25">
      <c r="A32" t="s">
        <v>68</v>
      </c>
      <c r="B32" t="s">
        <v>29</v>
      </c>
      <c r="C32" s="25" t="s">
        <v>69</v>
      </c>
      <c r="D32" s="2">
        <v>451.9359</v>
      </c>
      <c r="E32" s="54">
        <f t="shared" si="14"/>
        <v>80.130014013049191</v>
      </c>
      <c r="F32" s="3">
        <v>36213.629999999997</v>
      </c>
      <c r="G32" s="53">
        <v>43431.476999999999</v>
      </c>
      <c r="H32" s="54">
        <f t="shared" si="15"/>
        <v>96.100966973413705</v>
      </c>
      <c r="I32" s="54">
        <f t="shared" si="16"/>
        <v>7217.8470000000016</v>
      </c>
      <c r="J32" s="6">
        <f t="shared" si="17"/>
        <v>0.19931299347787013</v>
      </c>
      <c r="K32" s="27">
        <v>46027</v>
      </c>
      <c r="L32" s="1">
        <v>46057</v>
      </c>
      <c r="M32">
        <f t="shared" si="13"/>
        <v>29</v>
      </c>
      <c r="Q32" s="28"/>
      <c r="S32" s="58"/>
    </row>
    <row r="33" spans="1:13" x14ac:dyDescent="0.25">
      <c r="A33" t="s">
        <v>70</v>
      </c>
      <c r="B33" t="s">
        <v>29</v>
      </c>
      <c r="C33" s="25" t="s">
        <v>71</v>
      </c>
      <c r="D33" s="2">
        <f>1733.9964+1138.3726</f>
        <v>2872.3689999999997</v>
      </c>
      <c r="E33" s="54">
        <f t="shared" si="14"/>
        <v>21.050759843181712</v>
      </c>
      <c r="F33" s="3">
        <v>60465.55</v>
      </c>
      <c r="G33" s="53">
        <v>55822.989600000001</v>
      </c>
      <c r="H33" s="54">
        <f t="shared" si="15"/>
        <v>19.434477116275801</v>
      </c>
      <c r="I33" s="54">
        <f t="shared" si="16"/>
        <v>-4642.5604000000021</v>
      </c>
      <c r="J33" s="6">
        <f t="shared" si="17"/>
        <v>-7.6780255864703162E-2</v>
      </c>
      <c r="K33" s="27">
        <v>46027</v>
      </c>
      <c r="L33" s="1">
        <v>46057</v>
      </c>
      <c r="M33">
        <f t="shared" si="13"/>
        <v>29</v>
      </c>
    </row>
    <row r="34" spans="1:13" x14ac:dyDescent="0.25">
      <c r="A34" t="s">
        <v>82</v>
      </c>
      <c r="B34" t="s">
        <v>29</v>
      </c>
      <c r="C34" s="25" t="s">
        <v>83</v>
      </c>
      <c r="D34" s="2">
        <v>137.14400000000001</v>
      </c>
      <c r="E34" s="54">
        <f t="shared" si="14"/>
        <v>434.85074082715977</v>
      </c>
      <c r="F34" s="3">
        <v>59637.17</v>
      </c>
      <c r="G34" s="53">
        <v>53506.86</v>
      </c>
      <c r="H34" s="54">
        <f t="shared" si="15"/>
        <v>390.15093624219799</v>
      </c>
      <c r="I34" s="54">
        <f t="shared" si="16"/>
        <v>-6130.3099999999977</v>
      </c>
      <c r="J34" s="6">
        <f t="shared" si="17"/>
        <v>-0.10279344241183809</v>
      </c>
      <c r="K34" s="27">
        <v>46063</v>
      </c>
      <c r="L34" s="1">
        <v>46085</v>
      </c>
      <c r="M34">
        <f t="shared" si="13"/>
        <v>24</v>
      </c>
    </row>
    <row r="35" spans="1:13" x14ac:dyDescent="0.25">
      <c r="A35" t="s">
        <v>80</v>
      </c>
      <c r="B35" t="s">
        <v>29</v>
      </c>
      <c r="C35" s="25" t="s">
        <v>81</v>
      </c>
      <c r="D35" s="2">
        <f>220.4374+85.8985</f>
        <v>306.33589999999998</v>
      </c>
      <c r="E35" s="54">
        <f t="shared" si="14"/>
        <v>112.41206140057369</v>
      </c>
      <c r="F35" s="3">
        <f>24221.64+10214.21</f>
        <v>34435.85</v>
      </c>
      <c r="G35" s="53">
        <v>34880.3246</v>
      </c>
      <c r="H35" s="54">
        <f t="shared" si="15"/>
        <v>113.86300005973835</v>
      </c>
      <c r="I35" s="54">
        <f t="shared" si="16"/>
        <v>444.47460000000137</v>
      </c>
      <c r="J35" s="6">
        <f t="shared" si="17"/>
        <v>1.2907321875313123E-2</v>
      </c>
      <c r="K35" s="27">
        <v>46072</v>
      </c>
      <c r="L35" s="1">
        <v>46085</v>
      </c>
      <c r="M35">
        <f t="shared" si="13"/>
        <v>15</v>
      </c>
    </row>
    <row r="36" spans="1:13" x14ac:dyDescent="0.25">
      <c r="A36" t="s">
        <v>78</v>
      </c>
      <c r="B36" t="s">
        <v>29</v>
      </c>
      <c r="C36" s="25" t="s">
        <v>79</v>
      </c>
      <c r="D36" s="2">
        <v>410.21409999999997</v>
      </c>
      <c r="E36" s="54">
        <f t="shared" si="14"/>
        <v>118.60769778513222</v>
      </c>
      <c r="F36" s="3">
        <v>48654.55</v>
      </c>
      <c r="G36" s="53">
        <v>32800.589999999997</v>
      </c>
      <c r="H36" s="54">
        <f t="shared" si="15"/>
        <v>79.959684467208703</v>
      </c>
      <c r="I36" s="54">
        <f t="shared" si="16"/>
        <v>-15853.960000000006</v>
      </c>
      <c r="J36" s="6">
        <f t="shared" si="17"/>
        <v>-0.32584742845222092</v>
      </c>
      <c r="K36" s="27">
        <v>46062</v>
      </c>
      <c r="L36" s="1">
        <v>46093</v>
      </c>
      <c r="M36">
        <f t="shared" si="13"/>
        <v>33</v>
      </c>
    </row>
    <row r="37" spans="1:13" x14ac:dyDescent="0.25">
      <c r="A37" t="s">
        <v>63</v>
      </c>
      <c r="B37" t="s">
        <v>29</v>
      </c>
      <c r="C37" s="25" t="s">
        <v>64</v>
      </c>
      <c r="D37" s="2">
        <f>774.8271+421.3989</f>
        <v>1196.2260000000001</v>
      </c>
      <c r="E37" s="54">
        <f t="shared" si="14"/>
        <v>39.561729974101887</v>
      </c>
      <c r="F37" s="3">
        <f>30380.12+16944.65</f>
        <v>47324.770000000004</v>
      </c>
      <c r="G37" s="53">
        <v>51539.4</v>
      </c>
      <c r="H37" s="54">
        <f t="shared" si="15"/>
        <v>43.085002332335193</v>
      </c>
      <c r="I37" s="54">
        <f t="shared" si="16"/>
        <v>4214.6299999999974</v>
      </c>
      <c r="J37" s="6">
        <f t="shared" si="17"/>
        <v>8.9057590771175366E-2</v>
      </c>
      <c r="K37" s="27">
        <v>46021</v>
      </c>
      <c r="L37" s="1">
        <v>46111</v>
      </c>
      <c r="M37">
        <f t="shared" si="13"/>
        <v>90</v>
      </c>
    </row>
    <row r="38" spans="1:13" x14ac:dyDescent="0.25">
      <c r="A38" t="s">
        <v>76</v>
      </c>
      <c r="B38" t="s">
        <v>29</v>
      </c>
      <c r="C38" s="25" t="s">
        <v>77</v>
      </c>
      <c r="D38" s="2">
        <f>842.9076+471.2592+487.9805</f>
        <v>1802.1473000000001</v>
      </c>
      <c r="E38" s="54">
        <f t="shared" si="14"/>
        <v>38.367801566497917</v>
      </c>
      <c r="F38" s="3">
        <f>30923.76+17760.7+20459.97</f>
        <v>69144.429999999993</v>
      </c>
      <c r="G38" s="53">
        <v>40461.81</v>
      </c>
      <c r="H38" s="54">
        <f t="shared" si="15"/>
        <v>22.451999345447508</v>
      </c>
      <c r="I38" s="54">
        <f t="shared" si="16"/>
        <v>-28682.619999999995</v>
      </c>
      <c r="J38" s="6">
        <f t="shared" si="17"/>
        <v>-0.41482184465183963</v>
      </c>
      <c r="K38" s="27">
        <v>46043</v>
      </c>
      <c r="L38" s="1">
        <v>46111</v>
      </c>
      <c r="M38">
        <f t="shared" si="13"/>
        <v>69</v>
      </c>
    </row>
    <row r="39" spans="1:13" x14ac:dyDescent="0.25">
      <c r="A39" t="s">
        <v>52</v>
      </c>
      <c r="B39" t="s">
        <v>29</v>
      </c>
      <c r="C39" s="25" t="s">
        <v>53</v>
      </c>
      <c r="D39" s="2">
        <v>46.973500000000001</v>
      </c>
      <c r="E39" s="54">
        <f t="shared" si="14"/>
        <v>643.42001341181731</v>
      </c>
      <c r="F39" s="3">
        <v>30223.69</v>
      </c>
      <c r="G39" s="53">
        <v>54219.4</v>
      </c>
      <c r="H39" s="54">
        <f t="shared" si="15"/>
        <v>1154.2550587033115</v>
      </c>
      <c r="I39" s="54">
        <f t="shared" si="16"/>
        <v>23995.710000000003</v>
      </c>
      <c r="J39" s="6">
        <f t="shared" si="17"/>
        <v>0.79393714003816229</v>
      </c>
      <c r="K39" s="27">
        <v>46000</v>
      </c>
      <c r="L39" s="1">
        <v>46135</v>
      </c>
      <c r="M39">
        <f t="shared" si="13"/>
        <v>134</v>
      </c>
    </row>
    <row r="40" spans="1:13" x14ac:dyDescent="0.25">
      <c r="A40" t="s">
        <v>93</v>
      </c>
      <c r="B40" t="s">
        <v>29</v>
      </c>
      <c r="C40" s="25" t="s">
        <v>94</v>
      </c>
      <c r="D40" s="2">
        <v>150.9881</v>
      </c>
      <c r="E40" s="54">
        <f t="shared" si="14"/>
        <v>362.33948238304873</v>
      </c>
      <c r="F40" s="3">
        <v>54708.95</v>
      </c>
      <c r="G40" s="53">
        <v>53696.78</v>
      </c>
      <c r="H40" s="54">
        <f t="shared" si="15"/>
        <v>355.63584150009171</v>
      </c>
      <c r="I40" s="54">
        <f t="shared" si="16"/>
        <v>-1012.1699999999983</v>
      </c>
      <c r="J40" s="6">
        <f t="shared" si="17"/>
        <v>-1.8500994809807141E-2</v>
      </c>
      <c r="K40" s="27">
        <v>46125</v>
      </c>
      <c r="L40" s="1">
        <v>46140</v>
      </c>
      <c r="M40">
        <f t="shared" si="13"/>
        <v>15</v>
      </c>
    </row>
    <row r="41" spans="1:13" x14ac:dyDescent="0.25">
      <c r="A41" t="s">
        <v>91</v>
      </c>
      <c r="B41" t="s">
        <v>29</v>
      </c>
      <c r="C41" s="25" t="s">
        <v>92</v>
      </c>
      <c r="D41" s="2">
        <f>222.1406+146.2597</f>
        <v>368.40030000000002</v>
      </c>
      <c r="E41" s="54">
        <f t="shared" si="14"/>
        <v>151.2456151637227</v>
      </c>
      <c r="F41" s="3">
        <f>32498.71+23220.22</f>
        <v>55718.93</v>
      </c>
      <c r="G41" s="53">
        <v>48956.11</v>
      </c>
      <c r="H41" s="54">
        <f t="shared" si="15"/>
        <v>132.88835541121981</v>
      </c>
      <c r="I41" s="54">
        <f t="shared" si="16"/>
        <v>-6762.82</v>
      </c>
      <c r="J41" s="6">
        <f t="shared" si="17"/>
        <v>-0.12137383111987254</v>
      </c>
      <c r="K41" s="27">
        <v>46122</v>
      </c>
      <c r="L41" s="1">
        <v>46140</v>
      </c>
      <c r="M41">
        <f t="shared" si="13"/>
        <v>18</v>
      </c>
    </row>
    <row r="42" spans="1:13" x14ac:dyDescent="0.25">
      <c r="A42" t="s">
        <v>97</v>
      </c>
      <c r="B42" t="s">
        <v>29</v>
      </c>
      <c r="C42" s="25" t="s">
        <v>98</v>
      </c>
      <c r="D42" s="2">
        <f>1259.0685+394.9897+229.2235</f>
        <v>1883.2817000000002</v>
      </c>
      <c r="E42" s="54">
        <f t="shared" si="14"/>
        <v>25.142647273639412</v>
      </c>
      <c r="F42" s="3">
        <f>30443.09+10694.48+6213.1175</f>
        <v>47350.6875</v>
      </c>
      <c r="G42" s="53">
        <v>39448.75</v>
      </c>
      <c r="H42" s="54">
        <f t="shared" si="15"/>
        <v>20.946813214401221</v>
      </c>
      <c r="I42" s="54">
        <f t="shared" si="16"/>
        <v>-7901.9375</v>
      </c>
      <c r="J42" s="6">
        <f t="shared" si="17"/>
        <v>-0.16688115668859085</v>
      </c>
      <c r="K42" s="27">
        <v>46147</v>
      </c>
      <c r="L42" s="1">
        <v>46156</v>
      </c>
      <c r="M42">
        <f t="shared" si="13"/>
        <v>9</v>
      </c>
    </row>
    <row r="43" spans="1:13" x14ac:dyDescent="0.25">
      <c r="A43" t="s">
        <v>95</v>
      </c>
      <c r="B43" t="s">
        <v>29</v>
      </c>
      <c r="C43" s="25" t="s">
        <v>96</v>
      </c>
      <c r="D43" s="2">
        <f>257.782+121.1917</f>
        <v>378.97370000000001</v>
      </c>
      <c r="E43" s="54">
        <f t="shared" si="14"/>
        <v>194.49579218821782</v>
      </c>
      <c r="F43" s="3">
        <f>48847.11+24861.68</f>
        <v>73708.790000000008</v>
      </c>
      <c r="G43" s="53">
        <v>64046.55</v>
      </c>
      <c r="H43" s="54">
        <f t="shared" si="15"/>
        <v>168.99998601486067</v>
      </c>
      <c r="I43" s="54">
        <f t="shared" si="16"/>
        <v>-9662.2400000000052</v>
      </c>
      <c r="J43" s="6">
        <f t="shared" si="17"/>
        <v>-0.13108667229512252</v>
      </c>
      <c r="K43" s="27">
        <v>46147</v>
      </c>
      <c r="L43" s="1">
        <v>46160</v>
      </c>
      <c r="M43">
        <f t="shared" si="13"/>
        <v>13</v>
      </c>
    </row>
    <row r="44" spans="1:13" x14ac:dyDescent="0.25">
      <c r="A44" t="s">
        <v>89</v>
      </c>
      <c r="B44" t="s">
        <v>29</v>
      </c>
      <c r="C44" s="25" t="s">
        <v>90</v>
      </c>
      <c r="D44" s="2">
        <f>175.1868+89.2865</f>
        <v>264.47329999999999</v>
      </c>
      <c r="E44" s="54">
        <f t="shared" si="14"/>
        <v>247.62552590374906</v>
      </c>
      <c r="F44" s="3">
        <f>43046.46+22443.88</f>
        <v>65490.34</v>
      </c>
      <c r="G44" s="53">
        <v>62944.65</v>
      </c>
      <c r="H44" s="54">
        <f t="shared" si="15"/>
        <v>238.00001739306009</v>
      </c>
      <c r="I44" s="54">
        <f t="shared" si="16"/>
        <v>-2545.6899999999951</v>
      </c>
      <c r="J44" s="6">
        <f t="shared" si="17"/>
        <v>-3.8871228947658466E-2</v>
      </c>
      <c r="K44" s="27">
        <v>46121</v>
      </c>
      <c r="L44" s="1">
        <v>46161</v>
      </c>
      <c r="M44">
        <f t="shared" si="13"/>
        <v>40</v>
      </c>
    </row>
    <row r="45" spans="1:13" x14ac:dyDescent="0.25">
      <c r="A45" t="s">
        <v>87</v>
      </c>
      <c r="B45" t="s">
        <v>29</v>
      </c>
      <c r="C45" s="25" t="s">
        <v>88</v>
      </c>
      <c r="D45" s="2">
        <f>518.2339+239.8468</f>
        <v>758.08069999999998</v>
      </c>
      <c r="E45" s="54">
        <f t="shared" si="14"/>
        <v>83.931552405964169</v>
      </c>
      <c r="F45" s="3">
        <f>42849.56+20777.33</f>
        <v>63626.89</v>
      </c>
      <c r="G45" s="53">
        <v>61224.85</v>
      </c>
      <c r="H45" s="54">
        <f t="shared" si="15"/>
        <v>80.762971541156503</v>
      </c>
      <c r="I45" s="54">
        <f t="shared" si="16"/>
        <v>-2402.0400000000009</v>
      </c>
      <c r="J45" s="6">
        <f t="shared" si="17"/>
        <v>-3.7751963045812874E-2</v>
      </c>
      <c r="K45" s="27">
        <v>46120</v>
      </c>
      <c r="L45" s="1">
        <v>46175</v>
      </c>
      <c r="M45">
        <f t="shared" si="13"/>
        <v>54</v>
      </c>
    </row>
    <row r="46" spans="1:13" x14ac:dyDescent="0.25">
      <c r="A46" t="s">
        <v>100</v>
      </c>
      <c r="B46" t="s">
        <v>29</v>
      </c>
      <c r="C46" s="25" t="s">
        <v>100</v>
      </c>
      <c r="D46" s="2">
        <v>765.40449999999998</v>
      </c>
      <c r="E46" s="54">
        <f t="shared" si="14"/>
        <v>65.798959896368515</v>
      </c>
      <c r="F46" s="3">
        <v>50362.82</v>
      </c>
      <c r="G46" s="53">
        <v>36655.21</v>
      </c>
      <c r="H46" s="54">
        <f t="shared" ref="H46:H47" si="18">G46/D46</f>
        <v>47.889984968732222</v>
      </c>
      <c r="I46" s="54">
        <f t="shared" ref="I46:I47" si="19">G46-F46</f>
        <v>-13707.61</v>
      </c>
      <c r="J46" s="6">
        <f t="shared" ref="J46:J47" si="20">I46/F46</f>
        <v>-0.27217717355779525</v>
      </c>
      <c r="K46" s="27">
        <v>46174</v>
      </c>
      <c r="L46" s="1">
        <v>46199</v>
      </c>
      <c r="M46">
        <f t="shared" si="13"/>
        <v>25</v>
      </c>
    </row>
    <row r="47" spans="1:13" x14ac:dyDescent="0.25">
      <c r="A47" t="s">
        <v>103</v>
      </c>
      <c r="B47" t="s">
        <v>29</v>
      </c>
      <c r="C47" s="25" t="s">
        <v>104</v>
      </c>
      <c r="D47" s="2">
        <v>1116.0377000000001</v>
      </c>
      <c r="E47" s="54">
        <f t="shared" si="14"/>
        <v>56.72500131491973</v>
      </c>
      <c r="F47" s="3">
        <v>63307.24</v>
      </c>
      <c r="G47" s="53">
        <v>53364.01</v>
      </c>
      <c r="H47" s="54">
        <f t="shared" si="18"/>
        <v>47.815597985623604</v>
      </c>
      <c r="I47" s="54">
        <f t="shared" si="19"/>
        <v>-9943.2299999999959</v>
      </c>
      <c r="J47" s="6">
        <f t="shared" si="20"/>
        <v>-0.15706307840935724</v>
      </c>
      <c r="K47" s="27">
        <v>46188</v>
      </c>
      <c r="L47" s="1">
        <v>46199</v>
      </c>
      <c r="M47">
        <f t="shared" si="13"/>
        <v>11</v>
      </c>
    </row>
    <row r="48" spans="1:13" x14ac:dyDescent="0.25">
      <c r="C48" s="25"/>
      <c r="D48" s="2"/>
      <c r="E48" s="54"/>
      <c r="F48" s="3"/>
      <c r="G48" s="53"/>
      <c r="H48" s="54"/>
      <c r="I48" s="54"/>
      <c r="J48" s="6"/>
      <c r="K48" s="27"/>
      <c r="L48" s="1"/>
    </row>
    <row r="49" spans="3:12" x14ac:dyDescent="0.25">
      <c r="C49" s="25"/>
      <c r="D49" s="2"/>
      <c r="E49" s="54"/>
      <c r="F49" s="3"/>
      <c r="G49" s="53"/>
      <c r="H49" s="54"/>
      <c r="I49" s="54"/>
      <c r="J49" s="6"/>
      <c r="K49" s="27"/>
      <c r="L49" s="1"/>
    </row>
    <row r="50" spans="3:12" x14ac:dyDescent="0.25">
      <c r="C50" s="25"/>
      <c r="D50" s="2"/>
      <c r="E50" s="54"/>
      <c r="F50" s="3"/>
      <c r="G50" s="53"/>
      <c r="H50" s="54"/>
      <c r="I50" s="54"/>
      <c r="J50" s="6"/>
      <c r="K50" s="27"/>
      <c r="L50" s="1"/>
    </row>
    <row r="51" spans="3:12" x14ac:dyDescent="0.25">
      <c r="F51" s="53"/>
      <c r="G51" s="53"/>
      <c r="H51" s="3" t="s">
        <v>66</v>
      </c>
      <c r="I51" s="3">
        <f>SUM(I26:I50)</f>
        <v>-108374.58009999999</v>
      </c>
      <c r="J51" s="13" t="s">
        <v>49</v>
      </c>
    </row>
    <row r="52" spans="3:12" x14ac:dyDescent="0.25">
      <c r="F52" s="53"/>
      <c r="G52" s="53"/>
      <c r="H52" s="3" t="s">
        <v>50</v>
      </c>
      <c r="I52" s="56">
        <v>18</v>
      </c>
      <c r="J52" s="5">
        <v>-0.1336</v>
      </c>
    </row>
    <row r="53" spans="3:12" x14ac:dyDescent="0.25">
      <c r="F53" s="53"/>
      <c r="G53" s="53"/>
      <c r="H53" s="3" t="s">
        <v>51</v>
      </c>
      <c r="I53" s="63">
        <v>4</v>
      </c>
      <c r="J53" s="5">
        <v>0.27379999999999999</v>
      </c>
    </row>
    <row r="54" spans="3:12" x14ac:dyDescent="0.25">
      <c r="F54" s="53"/>
      <c r="G54" s="53"/>
      <c r="I54" s="56">
        <f>SUM(I52:I53)</f>
        <v>22</v>
      </c>
      <c r="J54" s="6"/>
    </row>
    <row r="55" spans="3:12" x14ac:dyDescent="0.25">
      <c r="F55" s="53"/>
      <c r="G55" s="53"/>
      <c r="H55" t="s">
        <v>65</v>
      </c>
      <c r="I55" s="64">
        <f>I53/I54</f>
        <v>0.18181818181818182</v>
      </c>
      <c r="J55" s="65">
        <f>J53/J52*-1</f>
        <v>2.0494011976047903</v>
      </c>
    </row>
    <row r="56" spans="3:12" x14ac:dyDescent="0.25">
      <c r="F56" s="53"/>
      <c r="G56" s="53"/>
      <c r="J56" s="6"/>
    </row>
    <row r="57" spans="3:12" x14ac:dyDescent="0.25">
      <c r="F57" s="53"/>
      <c r="G57" s="53"/>
      <c r="J57" s="6"/>
    </row>
    <row r="58" spans="3:12" x14ac:dyDescent="0.25">
      <c r="F58" s="53"/>
      <c r="G58" s="53"/>
      <c r="J58" s="6"/>
    </row>
    <row r="59" spans="3:12" x14ac:dyDescent="0.25">
      <c r="F59" s="53"/>
      <c r="G59" s="53"/>
      <c r="J59" s="6"/>
    </row>
    <row r="60" spans="3:12" x14ac:dyDescent="0.25">
      <c r="F60" s="53"/>
      <c r="G60" s="53"/>
      <c r="J60" s="6"/>
    </row>
    <row r="61" spans="3:12" x14ac:dyDescent="0.25">
      <c r="F61" s="53"/>
      <c r="G61" s="53"/>
      <c r="J61" s="6"/>
    </row>
    <row r="62" spans="3:12" x14ac:dyDescent="0.25">
      <c r="F62" s="53"/>
      <c r="G62" s="53"/>
      <c r="J62" s="6"/>
    </row>
    <row r="63" spans="3:12" x14ac:dyDescent="0.25">
      <c r="F63" s="53"/>
      <c r="G63" s="53"/>
      <c r="J63" s="6"/>
    </row>
    <row r="64" spans="3:12" x14ac:dyDescent="0.25">
      <c r="F64" s="53"/>
      <c r="G64" s="53"/>
      <c r="J64" s="6"/>
    </row>
    <row r="65" spans="6:10" x14ac:dyDescent="0.25">
      <c r="F65" s="53"/>
      <c r="G65" s="53"/>
      <c r="J65" s="6"/>
    </row>
    <row r="66" spans="6:10" x14ac:dyDescent="0.25">
      <c r="F66" s="53"/>
      <c r="G66" s="53"/>
      <c r="J66" s="6"/>
    </row>
    <row r="67" spans="6:10" x14ac:dyDescent="0.25">
      <c r="F67" s="53"/>
      <c r="G67" s="53"/>
      <c r="J67" s="6"/>
    </row>
    <row r="68" spans="6:10" x14ac:dyDescent="0.25">
      <c r="F68" s="53"/>
      <c r="G68" s="53"/>
      <c r="J68" s="6"/>
    </row>
    <row r="69" spans="6:10" x14ac:dyDescent="0.25">
      <c r="F69" s="53"/>
      <c r="G69" s="53"/>
      <c r="J69" s="6"/>
    </row>
    <row r="70" spans="6:10" x14ac:dyDescent="0.25">
      <c r="F70" s="53"/>
      <c r="G70" s="53"/>
      <c r="J70" s="6"/>
    </row>
    <row r="71" spans="6:10" x14ac:dyDescent="0.25">
      <c r="F71" s="53"/>
      <c r="G71" s="53"/>
      <c r="J71" s="6"/>
    </row>
    <row r="72" spans="6:10" x14ac:dyDescent="0.25">
      <c r="F72" s="53"/>
      <c r="G72" s="53"/>
      <c r="J72" s="6"/>
    </row>
    <row r="73" spans="6:10" x14ac:dyDescent="0.25">
      <c r="F73" s="53"/>
      <c r="G73" s="53"/>
      <c r="J73" s="6"/>
    </row>
    <row r="74" spans="6:10" x14ac:dyDescent="0.25">
      <c r="F74" s="53"/>
      <c r="G74" s="53"/>
      <c r="J74" s="6"/>
    </row>
    <row r="75" spans="6:10" x14ac:dyDescent="0.25">
      <c r="F75" s="53"/>
      <c r="G75" s="53"/>
      <c r="J75" s="6"/>
    </row>
    <row r="76" spans="6:10" x14ac:dyDescent="0.25">
      <c r="F76" s="53"/>
      <c r="G76" s="53"/>
      <c r="J76" s="6"/>
    </row>
    <row r="77" spans="6:10" x14ac:dyDescent="0.25">
      <c r="F77" s="53"/>
      <c r="G77" s="53"/>
    </row>
    <row r="78" spans="6:10" x14ac:dyDescent="0.25">
      <c r="F78" s="53"/>
      <c r="G78" s="53"/>
    </row>
    <row r="79" spans="6:10" x14ac:dyDescent="0.25">
      <c r="F79" s="53"/>
      <c r="G79" s="53"/>
    </row>
    <row r="80" spans="6:10" x14ac:dyDescent="0.25">
      <c r="F80" s="53"/>
      <c r="G80" s="53"/>
    </row>
    <row r="81" spans="6:7" x14ac:dyDescent="0.25">
      <c r="F81" s="53"/>
      <c r="G81" s="53"/>
    </row>
    <row r="82" spans="6:7" x14ac:dyDescent="0.25">
      <c r="F82" s="53"/>
      <c r="G82" s="53"/>
    </row>
  </sheetData>
  <sortState xmlns:xlrd2="http://schemas.microsoft.com/office/spreadsheetml/2017/richdata2" ref="A7:AC12">
    <sortCondition descending="1" ref="L7:L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12-31-25</vt:lpstr>
      <vt:lpstr>01-02-26</vt:lpstr>
      <vt:lpstr>01-09-26</vt:lpstr>
      <vt:lpstr>01-16-26</vt:lpstr>
      <vt:lpstr>01-23-26</vt:lpstr>
      <vt:lpstr>01-30-26</vt:lpstr>
      <vt:lpstr>02-06-26</vt:lpstr>
      <vt:lpstr>02-13-26</vt:lpstr>
      <vt:lpstr>02-20-26</vt:lpstr>
      <vt:lpstr>02-27-26</vt:lpstr>
      <vt:lpstr>03-06-26</vt:lpstr>
      <vt:lpstr>03-13-26</vt:lpstr>
      <vt:lpstr>03-20-26</vt:lpstr>
      <vt:lpstr>03-27-26</vt:lpstr>
      <vt:lpstr>04-03-26</vt:lpstr>
      <vt:lpstr>04-10-26</vt:lpstr>
      <vt:lpstr>04-17-26</vt:lpstr>
      <vt:lpstr>04-24-26</vt:lpstr>
      <vt:lpstr>05-01-26</vt:lpstr>
      <vt:lpstr>05-08-26</vt:lpstr>
      <vt:lpstr>05-15-26</vt:lpstr>
      <vt:lpstr>05-29-26</vt:lpstr>
      <vt:lpstr>06-05-26</vt:lpstr>
      <vt:lpstr>06-12-26</vt:lpstr>
      <vt:lpstr>06-19-26</vt:lpstr>
      <vt:lpstr>06-26-26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doug@apsvllc.com</dc:creator>
  <cp:lastModifiedBy>doug@apsvllc.com</cp:lastModifiedBy>
  <cp:lastPrinted>2026-05-16T18:47:50Z</cp:lastPrinted>
  <dcterms:created xsi:type="dcterms:W3CDTF">2025-01-03T21:27:53Z</dcterms:created>
  <dcterms:modified xsi:type="dcterms:W3CDTF">2026-06-27T17:45:42Z</dcterms:modified>
</cp:coreProperties>
</file>